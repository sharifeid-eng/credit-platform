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ildnw.sharepoint.com/sites/InvestorDataRoom/Shared Documents/Option B_2025 deb raise_Private Credit capital raise/3. Investor data rooms/3. Sedco Capital/4. Finance/"/>
    </mc:Choice>
  </mc:AlternateContent>
  <xr:revisionPtr revIDLastSave="48" documentId="13_ncr:1_{3EBD4476-68B8-418F-A0CE-E42ECA602987}" xr6:coauthVersionLast="47" xr6:coauthVersionMax="47" xr10:uidLastSave="{CCEC9D40-EFF2-4567-8B9F-F0F159DD9B12}"/>
  <bookViews>
    <workbookView xWindow="-98" yWindow="-98" windowWidth="21795" windowHeight="13875" xr2:uid="{F20B5F16-08E6-48C6-B150-E1AED684EDD4}"/>
  </bookViews>
  <sheets>
    <sheet name="IS Consolidated" sheetId="1" r:id="rId1"/>
    <sheet name="BS Consolidated" sheetId="2" r:id="rId2"/>
    <sheet name="Cash Flow Consolidated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\a" localSheetId="1">#REF!</definedName>
    <definedName name="\a">#REF!</definedName>
    <definedName name="\c" localSheetId="1">[1]FLASH!#REF!</definedName>
    <definedName name="\c">[1]FLASH!#REF!</definedName>
    <definedName name="\f" localSheetId="1">[1]FLASH!#REF!</definedName>
    <definedName name="\f">[1]FLASH!#REF!</definedName>
    <definedName name="\q" localSheetId="1">[1]FLASH!#REF!</definedName>
    <definedName name="\q">[1]FLASH!#REF!</definedName>
    <definedName name="\s" localSheetId="1">#REF!</definedName>
    <definedName name="\s">#REF!</definedName>
    <definedName name="\t" localSheetId="1">[1]FLASH!#REF!</definedName>
    <definedName name="\t">[1]FLASH!#REF!</definedName>
    <definedName name="\u" localSheetId="1">'[2]R &amp; M - H L P'!#REF!</definedName>
    <definedName name="\u">'[2]R &amp; M - H L P'!#REF!</definedName>
    <definedName name="\z">'[2]R &amp; M - H L P'!#REF!</definedName>
    <definedName name="_1" localSheetId="1">#REF!</definedName>
    <definedName name="_1">#REF!</definedName>
    <definedName name="_2" localSheetId="1">#REF!</definedName>
    <definedName name="_2">#REF!</definedName>
    <definedName name="_3" localSheetId="1">#REF!</definedName>
    <definedName name="_3">#REF!</definedName>
    <definedName name="_xlnm._FilterDatabase" localSheetId="1" hidden="1">'BS Consolidated'!$A$9:$B$121</definedName>
    <definedName name="_xlnm._FilterDatabase" localSheetId="0" hidden="1">'IS Consolidated'!$A$6:$B$87</definedName>
    <definedName name="_Key2" localSheetId="1" hidden="1">#REF!</definedName>
    <definedName name="_Key2" hidden="1">#REF!</definedName>
    <definedName name="_Order2" hidden="1">0</definedName>
    <definedName name="_Sort" localSheetId="1" hidden="1">#REF!</definedName>
    <definedName name="_Sort" hidden="1">#REF!</definedName>
    <definedName name="A" localSheetId="1">#REF!</definedName>
    <definedName name="A">#REF!</definedName>
    <definedName name="Audit_adj">[3]validation!$I$9</definedName>
    <definedName name="Audit_adj_LY">[3]validation_LY!$I$9</definedName>
    <definedName name="Axis" localSheetId="1">OFFSET(#REF!,0,0,MAX(#REF!),1)</definedName>
    <definedName name="Axis">OFFSET(#REF!,0,0,MAX(#REF!),1)</definedName>
    <definedName name="Axis1" localSheetId="1">OFFSET(#REF!,0,0,MAX(#REF!),1)</definedName>
    <definedName name="Axis1">OFFSET(#REF!,0,0,MAX(#REF!),1)</definedName>
    <definedName name="B" localSheetId="1">#REF!</definedName>
    <definedName name="B">#REF!</definedName>
    <definedName name="BUDGETM">'[4]Budget By Month'!$E$7:$R$83</definedName>
    <definedName name="C_">'[2]R &amp; M - H L P'!#REF!</definedName>
    <definedName name="CEO">[3]validation!$U$80:$U$82</definedName>
    <definedName name="CHARTMONTH">'[4]Budget By Month'!$AA$26:$AC$41</definedName>
    <definedName name="CIQWBGuid" hidden="1">"04c75487-eaf2-4b3e-a120-7f6f9bcd9c86"</definedName>
    <definedName name="Country">[5]PDI!$A$827:$A$838</definedName>
    <definedName name="_xlnm.Criteria">[6]pter94!#REF!</definedName>
    <definedName name="D" localSheetId="1">#REF!</definedName>
    <definedName name="D">#REF!</definedName>
    <definedName name="Data" localSheetId="1">OFFSET(#REF!,0,0,MAX(#REF!),1)</definedName>
    <definedName name="Data">OFFSET(#REF!,0,0,MAX(#REF!),1)</definedName>
    <definedName name="Data1" localSheetId="1">OFFSET(#REF!,0,0,MAX(#REF!),1)</definedName>
    <definedName name="Data1">OFFSET(#REF!,0,0,MAX(#REF!),1)</definedName>
    <definedName name="_xlnm.Database" localSheetId="1">#REF!</definedName>
    <definedName name="_xlnm.Database">#REF!</definedName>
    <definedName name="DimensionLedgerAccountType">'[7]Dynamics Enum Cache'!$A$1:$A$10</definedName>
    <definedName name="E" localSheetId="1">#REF!</definedName>
    <definedName name="E">#REF!</definedName>
    <definedName name="EO">[3]validation!$U$81:$U$82</definedName>
    <definedName name="_xlnm.Extract">[6]pter94!#REF!</definedName>
    <definedName name="F" localSheetId="1">#REF!</definedName>
    <definedName name="F">#REF!</definedName>
    <definedName name="FindPic">INDIRECT('[8]Employee Information2'!$A$2)</definedName>
    <definedName name="HIDEBUDGET">'[4]Budget By Month'!$J$1:$P$1</definedName>
    <definedName name="HIDETRACKING">[4]Tracking!$H$1:$O$2</definedName>
    <definedName name="LedgerJournalACType">'[9]Dynamics Enum Cache'!$A$1:$A$6</definedName>
    <definedName name="M" localSheetId="1">#REF!</definedName>
    <definedName name="M">#REF!</definedName>
    <definedName name="MONTHSA">[4]Tracking!$AE$26:$AF$37</definedName>
    <definedName name="MONTHSB">[4]Tracking!$AF$26:$AG$37</definedName>
    <definedName name="MONTHSC">[4]Tracking!$AB$26:$AD$40</definedName>
    <definedName name="MONTHSD">[4]Tracking!$AF$26:$AH$38</definedName>
    <definedName name="MONTHSE">[4]Comparison!$R$26:$T$40</definedName>
    <definedName name="P">'[2]R &amp; M - H L P'!#REF!</definedName>
    <definedName name="Period_Code">[10]list!$C$5</definedName>
    <definedName name="Print_Area_MI" localSheetId="1">#REF!</definedName>
    <definedName name="Print_Area_MI">#REF!</definedName>
    <definedName name="PT">'[2]R &amp; M - H L P'!#REF!</definedName>
    <definedName name="R_">[1]FLASH!#REF!</definedName>
    <definedName name="_xlnm.Recorder" localSheetId="1">#REF!</definedName>
    <definedName name="_xlnm.Recorder">#REF!</definedName>
    <definedName name="Reporting_Date">[10]dbase!$A$3:$B$15</definedName>
    <definedName name="S">'[2]R &amp; M - H L P'!#REF!</definedName>
    <definedName name="SA1_Axis" localSheetId="1">OFFSET(#REF!,0,0,MAX(#REF!),1)</definedName>
    <definedName name="SA1_Axis">OFFSET(#REF!,0,0,MAX(#REF!),1)</definedName>
    <definedName name="SA1_Data" localSheetId="1">OFFSET(#REF!,0,0,MAX(#REF!),1)</definedName>
    <definedName name="SA1_Data">OFFSET(#REF!,0,0,MAX(#REF!),1)</definedName>
    <definedName name="SA2_Axis" localSheetId="1">OFFSET(#REF!,0,0,MAX(#REF!),1)</definedName>
    <definedName name="SA2_Axis">OFFSET(#REF!,0,0,MAX(#REF!),1)</definedName>
    <definedName name="SA2_Data" localSheetId="1">OFFSET(#REF!,0,0,MAX(#REF!),1)</definedName>
    <definedName name="SA2_Data">OFFSET(#REF!,0,0,MAX(#REF!),1)</definedName>
    <definedName name="SA3_Axis" localSheetId="1">OFFSET(#REF!,0,0,MAX(#REF!),1)</definedName>
    <definedName name="SA3_Axis">OFFSET(#REF!,0,0,MAX(#REF!),1)</definedName>
    <definedName name="SA3_Data" localSheetId="1">OFFSET(#REF!,0,0,MAX(#REF!),1)</definedName>
    <definedName name="SA3_Data">OFFSET(#REF!,0,0,MAX(#REF!),1)</definedName>
    <definedName name="SA4_Axis" localSheetId="1">OFFSET(#REF!,0,0,MAX(#REF!),1)</definedName>
    <definedName name="SA4_Axis">OFFSET(#REF!,0,0,MAX(#REF!),1)</definedName>
    <definedName name="SA4_Data" localSheetId="1">OFFSET(#REF!,0,0,MAX(#REF!),1)</definedName>
    <definedName name="SA4_Data">OFFSET(#REF!,0,0,MAX(#REF!),1)</definedName>
    <definedName name="SA5_Axis" localSheetId="1">OFFSET(#REF!,0,0,MAX(#REF!),1)</definedName>
    <definedName name="SA5_Axis">OFFSET(#REF!,0,0,MAX(#REF!),1)</definedName>
    <definedName name="SA5_Data" localSheetId="1">OFFSET(#REF!,0,0,MAX(#REF!),1)</definedName>
    <definedName name="SA5_Data">OFFSET(#REF!,0,0,MAX(#REF!),1)</definedName>
    <definedName name="SA5_Data2" localSheetId="1">OFFSET(#REF!,0,0,MAX(#REF!),1)</definedName>
    <definedName name="SA5_Data2">OFFSET(#REF!,0,0,MAX(#REF!),1)</definedName>
    <definedName name="saja" localSheetId="1" hidden="1">#REF!</definedName>
    <definedName name="saja" hidden="1">#REF!</definedName>
    <definedName name="sdf" localSheetId="1">#REF!</definedName>
    <definedName name="sdf">#REF!</definedName>
    <definedName name="Stock_groups" localSheetId="1">OFFSET(#REF!,0,0,MAX(#REF!),1)</definedName>
    <definedName name="Stock_groups">OFFSET(#REF!,0,0,MAX(#REF!),1)</definedName>
    <definedName name="Stocks_AVG" localSheetId="1">OFFSET(#REF!,0,0,MAX(#REF!),1)</definedName>
    <definedName name="Stocks_AVG">OFFSET(#REF!,0,0,MAX(#REF!),1)</definedName>
    <definedName name="T">[1]FLASH!#REF!</definedName>
    <definedName name="TRACKING">[4]Tracking!$D$7:$Q$84</definedName>
    <definedName name="TRN" localSheetId="1">OFFSET(#REF!,0,0,MAX(#REF!),1)</definedName>
    <definedName name="TRN">OFFSET(#REF!,0,0,MAX(#REF!),1)</definedName>
    <definedName name="Turnover_group" localSheetId="1">OFFSET(#REF!,0,0,MAX(#REF!),1)</definedName>
    <definedName name="Turnover_group">OFFSET(#REF!,0,0,MAX(#REF!),1)</definedName>
    <definedName name="validapproval">[11]Sheet4!$F$9:$F$17</definedName>
    <definedName name="validar">[11]Sheet4!$I$9:$I$17</definedName>
    <definedName name="validcom1">[11]Sheet4!$K$9:$K$22</definedName>
    <definedName name="validEDO">[11]Sheet4!$H$9:$H$19</definedName>
    <definedName name="valideov">[11]Sheet4!$M$9:$M$19</definedName>
    <definedName name="validexecutive">[11]Sheet4!$E$9:$E$19</definedName>
    <definedName name="validloc2">[11]Sheet4!$C$9:$C$27</definedName>
    <definedName name="validorderstatus">[11]Sheet4!$G$9:$G$20</definedName>
    <definedName name="validpp">[11]Sheet4!$L$9:$L$18</definedName>
    <definedName name="validpro1">[11]Sheet4!$B$9:$B$28</definedName>
    <definedName name="validprovinces">[11]Sheet4!$D$9:$D$13</definedName>
    <definedName name="validps">[11]Sheet4!$J$9:$J$20</definedName>
    <definedName name="WeekStart">[12]Settings!$H$4</definedName>
    <definedName name="z">[13]TRIAL!$N$228:$X$261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4" i="3" l="1"/>
  <c r="AA84" i="3"/>
  <c r="Z84" i="3"/>
  <c r="Y84" i="3"/>
  <c r="X84" i="3"/>
  <c r="W84" i="3"/>
  <c r="V84" i="3"/>
  <c r="U84" i="3"/>
  <c r="T84" i="3"/>
  <c r="S84" i="3"/>
  <c r="R84" i="3"/>
  <c r="Q84" i="3"/>
  <c r="O84" i="3"/>
  <c r="N84" i="3"/>
  <c r="M84" i="3"/>
  <c r="L84" i="3"/>
  <c r="K84" i="3"/>
  <c r="J84" i="3"/>
  <c r="I84" i="3"/>
  <c r="H84" i="3"/>
  <c r="G84" i="3"/>
  <c r="F84" i="3"/>
  <c r="E84" i="3"/>
  <c r="D84" i="3"/>
  <c r="AB52" i="3"/>
  <c r="AA52" i="3"/>
  <c r="Z52" i="3"/>
  <c r="Y52" i="3"/>
  <c r="X52" i="3"/>
  <c r="W52" i="3"/>
  <c r="V52" i="3"/>
  <c r="U52" i="3"/>
  <c r="T52" i="3"/>
  <c r="S52" i="3"/>
  <c r="R52" i="3"/>
  <c r="Q52" i="3"/>
  <c r="O52" i="3"/>
  <c r="N52" i="3"/>
  <c r="M52" i="3"/>
  <c r="L52" i="3"/>
  <c r="K52" i="3"/>
  <c r="J52" i="3"/>
  <c r="I52" i="3"/>
  <c r="H52" i="3"/>
  <c r="G52" i="3"/>
  <c r="F52" i="3"/>
  <c r="E52" i="3"/>
  <c r="D52" i="3"/>
  <c r="AB39" i="3"/>
  <c r="AB88" i="3" s="1"/>
  <c r="AA39" i="3"/>
  <c r="Z39" i="3"/>
  <c r="Z86" i="3" s="1"/>
  <c r="Y39" i="3"/>
  <c r="X39" i="3"/>
  <c r="X86" i="3" s="1"/>
  <c r="W39" i="3"/>
  <c r="V39" i="3"/>
  <c r="U39" i="3"/>
  <c r="T39" i="3"/>
  <c r="S39" i="3"/>
  <c r="R39" i="3"/>
  <c r="Q39" i="3"/>
  <c r="O39" i="3"/>
  <c r="N39" i="3"/>
  <c r="M39" i="3"/>
  <c r="L39" i="3"/>
  <c r="K39" i="3"/>
  <c r="J39" i="3"/>
  <c r="I39" i="3"/>
  <c r="I88" i="3" s="1"/>
  <c r="H39" i="3"/>
  <c r="G39" i="3"/>
  <c r="F39" i="3"/>
  <c r="E39" i="3"/>
  <c r="E86" i="3" s="1"/>
  <c r="D39" i="3"/>
  <c r="D88" i="3" s="1"/>
  <c r="AB117" i="2"/>
  <c r="AA117" i="2"/>
  <c r="Z117" i="2"/>
  <c r="Y117" i="2"/>
  <c r="X117" i="2"/>
  <c r="W117" i="2"/>
  <c r="V117" i="2"/>
  <c r="U117" i="2"/>
  <c r="T117" i="2"/>
  <c r="S117" i="2"/>
  <c r="R117" i="2"/>
  <c r="Q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AB90" i="2"/>
  <c r="AA90" i="2"/>
  <c r="Z90" i="2"/>
  <c r="Y90" i="2"/>
  <c r="X90" i="2"/>
  <c r="W90" i="2"/>
  <c r="V90" i="2"/>
  <c r="U90" i="2"/>
  <c r="T90" i="2"/>
  <c r="S90" i="2"/>
  <c r="R90" i="2"/>
  <c r="Q90" i="2"/>
  <c r="O90" i="2"/>
  <c r="N90" i="2"/>
  <c r="M90" i="2"/>
  <c r="L90" i="2"/>
  <c r="K90" i="2"/>
  <c r="J90" i="2"/>
  <c r="I90" i="2"/>
  <c r="H90" i="2"/>
  <c r="G90" i="2"/>
  <c r="F90" i="2"/>
  <c r="E90" i="2"/>
  <c r="D90" i="2"/>
  <c r="E75" i="2"/>
  <c r="E70" i="2" s="1"/>
  <c r="AB70" i="2"/>
  <c r="AA70" i="2"/>
  <c r="Z70" i="2"/>
  <c r="Y70" i="2"/>
  <c r="X70" i="2"/>
  <c r="W70" i="2"/>
  <c r="V70" i="2"/>
  <c r="U70" i="2"/>
  <c r="T70" i="2"/>
  <c r="S70" i="2"/>
  <c r="R70" i="2"/>
  <c r="Q70" i="2"/>
  <c r="O70" i="2"/>
  <c r="N70" i="2"/>
  <c r="M70" i="2"/>
  <c r="L70" i="2"/>
  <c r="K70" i="2"/>
  <c r="J70" i="2"/>
  <c r="I70" i="2"/>
  <c r="H70" i="2"/>
  <c r="G70" i="2"/>
  <c r="F70" i="2"/>
  <c r="D70" i="2"/>
  <c r="AB57" i="2"/>
  <c r="AA57" i="2"/>
  <c r="Z57" i="2"/>
  <c r="Y57" i="2"/>
  <c r="X57" i="2"/>
  <c r="W57" i="2"/>
  <c r="V57" i="2"/>
  <c r="U57" i="2"/>
  <c r="T57" i="2"/>
  <c r="S57" i="2"/>
  <c r="R57" i="2"/>
  <c r="Q57" i="2"/>
  <c r="O57" i="2"/>
  <c r="N57" i="2"/>
  <c r="M57" i="2"/>
  <c r="L57" i="2"/>
  <c r="K57" i="2"/>
  <c r="J57" i="2"/>
  <c r="I57" i="2"/>
  <c r="H57" i="2"/>
  <c r="G57" i="2"/>
  <c r="F57" i="2"/>
  <c r="E57" i="2"/>
  <c r="D57" i="2"/>
  <c r="AB48" i="2"/>
  <c r="AA48" i="2"/>
  <c r="Z48" i="2"/>
  <c r="Y48" i="2"/>
  <c r="X48" i="2"/>
  <c r="W48" i="2"/>
  <c r="V48" i="2"/>
  <c r="U48" i="2"/>
  <c r="T48" i="2"/>
  <c r="S48" i="2"/>
  <c r="R48" i="2"/>
  <c r="Q48" i="2"/>
  <c r="O48" i="2"/>
  <c r="N48" i="2"/>
  <c r="M48" i="2"/>
  <c r="L48" i="2"/>
  <c r="K48" i="2"/>
  <c r="J48" i="2"/>
  <c r="I48" i="2"/>
  <c r="H48" i="2"/>
  <c r="G48" i="2"/>
  <c r="F48" i="2"/>
  <c r="E48" i="2"/>
  <c r="D48" i="2"/>
  <c r="AB31" i="2"/>
  <c r="AA31" i="2"/>
  <c r="Z31" i="2"/>
  <c r="Y31" i="2"/>
  <c r="X31" i="2"/>
  <c r="W31" i="2"/>
  <c r="V31" i="2"/>
  <c r="U31" i="2"/>
  <c r="T31" i="2"/>
  <c r="S31" i="2"/>
  <c r="R31" i="2"/>
  <c r="Q31" i="2"/>
  <c r="O31" i="2"/>
  <c r="N31" i="2"/>
  <c r="M31" i="2"/>
  <c r="L31" i="2"/>
  <c r="K31" i="2"/>
  <c r="J31" i="2"/>
  <c r="I31" i="2"/>
  <c r="H31" i="2"/>
  <c r="G31" i="2"/>
  <c r="F31" i="2"/>
  <c r="E31" i="2"/>
  <c r="D31" i="2"/>
  <c r="AB27" i="2"/>
  <c r="AA27" i="2"/>
  <c r="Z27" i="2"/>
  <c r="Y27" i="2"/>
  <c r="X27" i="2"/>
  <c r="W27" i="2"/>
  <c r="V27" i="2"/>
  <c r="U27" i="2"/>
  <c r="T27" i="2"/>
  <c r="S27" i="2"/>
  <c r="R27" i="2"/>
  <c r="Q27" i="2"/>
  <c r="O27" i="2"/>
  <c r="N27" i="2"/>
  <c r="M27" i="2"/>
  <c r="L27" i="2"/>
  <c r="K27" i="2"/>
  <c r="J27" i="2"/>
  <c r="I27" i="2"/>
  <c r="H27" i="2"/>
  <c r="G27" i="2"/>
  <c r="F27" i="2"/>
  <c r="E27" i="2"/>
  <c r="D27" i="2"/>
  <c r="AB10" i="2"/>
  <c r="AA10" i="2"/>
  <c r="Z10" i="2"/>
  <c r="Y10" i="2"/>
  <c r="X10" i="2"/>
  <c r="W10" i="2"/>
  <c r="V10" i="2"/>
  <c r="U10" i="2"/>
  <c r="T10" i="2"/>
  <c r="S10" i="2"/>
  <c r="R10" i="2"/>
  <c r="Q10" i="2"/>
  <c r="O10" i="2"/>
  <c r="N10" i="2"/>
  <c r="M10" i="2"/>
  <c r="L10" i="2"/>
  <c r="K10" i="2"/>
  <c r="J10" i="2"/>
  <c r="I10" i="2"/>
  <c r="H10" i="2"/>
  <c r="G10" i="2"/>
  <c r="F10" i="2"/>
  <c r="E10" i="2"/>
  <c r="D10" i="2"/>
  <c r="R85" i="1"/>
  <c r="E85" i="1"/>
  <c r="D85" i="1"/>
  <c r="R83" i="1"/>
  <c r="D83" i="1"/>
  <c r="R81" i="1"/>
  <c r="D81" i="1"/>
  <c r="R80" i="1"/>
  <c r="D80" i="1"/>
  <c r="R79" i="1"/>
  <c r="D79" i="1"/>
  <c r="R78" i="1"/>
  <c r="D78" i="1"/>
  <c r="R77" i="1"/>
  <c r="D77" i="1"/>
  <c r="R76" i="1"/>
  <c r="E76" i="1"/>
  <c r="D76" i="1" s="1"/>
  <c r="AD75" i="1"/>
  <c r="AC75" i="1"/>
  <c r="AB75" i="1"/>
  <c r="AA75" i="1"/>
  <c r="Z75" i="1"/>
  <c r="Y75" i="1"/>
  <c r="X75" i="1"/>
  <c r="W75" i="1"/>
  <c r="V75" i="1"/>
  <c r="U75" i="1"/>
  <c r="T75" i="1"/>
  <c r="S75" i="1"/>
  <c r="P75" i="1"/>
  <c r="O75" i="1"/>
  <c r="N75" i="1"/>
  <c r="M75" i="1"/>
  <c r="L75" i="1"/>
  <c r="K75" i="1"/>
  <c r="J75" i="1"/>
  <c r="I75" i="1"/>
  <c r="H75" i="1"/>
  <c r="G75" i="1"/>
  <c r="F75" i="1"/>
  <c r="R69" i="1"/>
  <c r="D69" i="1"/>
  <c r="R68" i="1"/>
  <c r="D68" i="1"/>
  <c r="R67" i="1"/>
  <c r="D67" i="1"/>
  <c r="R66" i="1"/>
  <c r="D66" i="1"/>
  <c r="R65" i="1"/>
  <c r="D65" i="1"/>
  <c r="R64" i="1"/>
  <c r="D64" i="1"/>
  <c r="R63" i="1"/>
  <c r="D63" i="1"/>
  <c r="S62" i="1"/>
  <c r="R62" i="1"/>
  <c r="E62" i="1"/>
  <c r="D62" i="1" s="1"/>
  <c r="R61" i="1"/>
  <c r="D61" i="1"/>
  <c r="R60" i="1"/>
  <c r="D60" i="1"/>
  <c r="R59" i="1"/>
  <c r="D59" i="1"/>
  <c r="R58" i="1"/>
  <c r="D58" i="1"/>
  <c r="R57" i="1"/>
  <c r="D57" i="1"/>
  <c r="R56" i="1"/>
  <c r="D56" i="1"/>
  <c r="R55" i="1"/>
  <c r="D55" i="1"/>
  <c r="R54" i="1"/>
  <c r="D54" i="1"/>
  <c r="R53" i="1"/>
  <c r="D53" i="1"/>
  <c r="AD52" i="1"/>
  <c r="AC52" i="1"/>
  <c r="AB52" i="1"/>
  <c r="AA52" i="1"/>
  <c r="Z52" i="1"/>
  <c r="Y52" i="1"/>
  <c r="X52" i="1"/>
  <c r="W52" i="1"/>
  <c r="V52" i="1"/>
  <c r="U52" i="1"/>
  <c r="T52" i="1"/>
  <c r="S52" i="1"/>
  <c r="P52" i="1"/>
  <c r="O52" i="1"/>
  <c r="N52" i="1"/>
  <c r="M52" i="1"/>
  <c r="L52" i="1"/>
  <c r="K52" i="1"/>
  <c r="J52" i="1"/>
  <c r="I52" i="1"/>
  <c r="H52" i="1"/>
  <c r="G52" i="1"/>
  <c r="F52" i="1"/>
  <c r="E52" i="1"/>
  <c r="R51" i="1"/>
  <c r="D51" i="1"/>
  <c r="R50" i="1"/>
  <c r="D50" i="1"/>
  <c r="R49" i="1"/>
  <c r="D49" i="1"/>
  <c r="AD48" i="1"/>
  <c r="AC48" i="1"/>
  <c r="AB48" i="1"/>
  <c r="AA48" i="1"/>
  <c r="Z48" i="1"/>
  <c r="Y48" i="1"/>
  <c r="X48" i="1"/>
  <c r="W48" i="1"/>
  <c r="V48" i="1"/>
  <c r="U48" i="1"/>
  <c r="T48" i="1"/>
  <c r="S48" i="1"/>
  <c r="P48" i="1"/>
  <c r="O48" i="1"/>
  <c r="N48" i="1"/>
  <c r="M48" i="1"/>
  <c r="L48" i="1"/>
  <c r="K48" i="1"/>
  <c r="J48" i="1"/>
  <c r="I48" i="1"/>
  <c r="H48" i="1"/>
  <c r="G48" i="1"/>
  <c r="F48" i="1"/>
  <c r="E48" i="1"/>
  <c r="R47" i="1"/>
  <c r="D47" i="1"/>
  <c r="R46" i="1"/>
  <c r="D46" i="1"/>
  <c r="R45" i="1"/>
  <c r="E45" i="1"/>
  <c r="D45" i="1" s="1"/>
  <c r="AD44" i="1"/>
  <c r="AC44" i="1"/>
  <c r="AB44" i="1"/>
  <c r="AA44" i="1"/>
  <c r="Z44" i="1"/>
  <c r="Y44" i="1"/>
  <c r="X44" i="1"/>
  <c r="W44" i="1"/>
  <c r="V44" i="1"/>
  <c r="U44" i="1"/>
  <c r="T44" i="1"/>
  <c r="S44" i="1"/>
  <c r="P44" i="1"/>
  <c r="O44" i="1"/>
  <c r="N44" i="1"/>
  <c r="M44" i="1"/>
  <c r="L44" i="1"/>
  <c r="K44" i="1"/>
  <c r="J44" i="1"/>
  <c r="I44" i="1"/>
  <c r="H44" i="1"/>
  <c r="G44" i="1"/>
  <c r="F44" i="1"/>
  <c r="R43" i="1"/>
  <c r="D43" i="1"/>
  <c r="R42" i="1"/>
  <c r="D42" i="1"/>
  <c r="R41" i="1"/>
  <c r="D41" i="1"/>
  <c r="R40" i="1"/>
  <c r="D40" i="1"/>
  <c r="R39" i="1"/>
  <c r="D39" i="1"/>
  <c r="R38" i="1"/>
  <c r="D38" i="1"/>
  <c r="R37" i="1"/>
  <c r="D37" i="1"/>
  <c r="R36" i="1"/>
  <c r="D36" i="1"/>
  <c r="R35" i="1"/>
  <c r="D35" i="1"/>
  <c r="AD34" i="1"/>
  <c r="AC34" i="1"/>
  <c r="AB34" i="1"/>
  <c r="AA34" i="1"/>
  <c r="Z34" i="1"/>
  <c r="Y34" i="1"/>
  <c r="X34" i="1"/>
  <c r="W34" i="1"/>
  <c r="V34" i="1"/>
  <c r="U34" i="1"/>
  <c r="T34" i="1"/>
  <c r="S34" i="1"/>
  <c r="P34" i="1"/>
  <c r="O34" i="1"/>
  <c r="N34" i="1"/>
  <c r="M34" i="1"/>
  <c r="L34" i="1"/>
  <c r="K34" i="1"/>
  <c r="J34" i="1"/>
  <c r="I34" i="1"/>
  <c r="H34" i="1"/>
  <c r="G34" i="1"/>
  <c r="F34" i="1"/>
  <c r="E34" i="1"/>
  <c r="R33" i="1"/>
  <c r="D33" i="1"/>
  <c r="R32" i="1"/>
  <c r="D32" i="1"/>
  <c r="R31" i="1"/>
  <c r="D31" i="1"/>
  <c r="R30" i="1"/>
  <c r="D30" i="1"/>
  <c r="R29" i="1"/>
  <c r="D29" i="1"/>
  <c r="R28" i="1"/>
  <c r="D28" i="1"/>
  <c r="R27" i="1"/>
  <c r="D27" i="1"/>
  <c r="R26" i="1"/>
  <c r="D26" i="1"/>
  <c r="R25" i="1"/>
  <c r="D25" i="1"/>
  <c r="R24" i="1"/>
  <c r="D24" i="1"/>
  <c r="R23" i="1"/>
  <c r="D23" i="1"/>
  <c r="R22" i="1"/>
  <c r="D22" i="1"/>
  <c r="R21" i="1"/>
  <c r="D21" i="1"/>
  <c r="R20" i="1"/>
  <c r="D20" i="1"/>
  <c r="R19" i="1"/>
  <c r="D19" i="1"/>
  <c r="R18" i="1"/>
  <c r="D18" i="1"/>
  <c r="R17" i="1"/>
  <c r="D17" i="1"/>
  <c r="AD16" i="1"/>
  <c r="AC16" i="1"/>
  <c r="AB16" i="1"/>
  <c r="AA16" i="1"/>
  <c r="Z16" i="1"/>
  <c r="Y16" i="1"/>
  <c r="X16" i="1"/>
  <c r="W16" i="1"/>
  <c r="V16" i="1"/>
  <c r="U16" i="1"/>
  <c r="T16" i="1"/>
  <c r="S16" i="1"/>
  <c r="P16" i="1"/>
  <c r="O16" i="1"/>
  <c r="N16" i="1"/>
  <c r="M16" i="1"/>
  <c r="L16" i="1"/>
  <c r="K16" i="1"/>
  <c r="J16" i="1"/>
  <c r="I16" i="1"/>
  <c r="H16" i="1"/>
  <c r="G16" i="1"/>
  <c r="F16" i="1"/>
  <c r="E16" i="1"/>
  <c r="AD14" i="1"/>
  <c r="AC14" i="1"/>
  <c r="AB14" i="1"/>
  <c r="AA14" i="1"/>
  <c r="Z14" i="1"/>
  <c r="Y14" i="1"/>
  <c r="X14" i="1"/>
  <c r="W14" i="1"/>
  <c r="V14" i="1"/>
  <c r="U14" i="1"/>
  <c r="T14" i="1"/>
  <c r="S14" i="1"/>
  <c r="P14" i="1"/>
  <c r="O14" i="1"/>
  <c r="N14" i="1"/>
  <c r="M14" i="1"/>
  <c r="L14" i="1"/>
  <c r="K14" i="1"/>
  <c r="J14" i="1"/>
  <c r="I14" i="1"/>
  <c r="H14" i="1"/>
  <c r="G14" i="1"/>
  <c r="F14" i="1"/>
  <c r="E14" i="1"/>
  <c r="R13" i="1"/>
  <c r="D13" i="1"/>
  <c r="R12" i="1"/>
  <c r="D12" i="1"/>
  <c r="R11" i="1"/>
  <c r="D11" i="1"/>
  <c r="R10" i="1"/>
  <c r="D10" i="1"/>
  <c r="G96" i="2" l="1"/>
  <c r="H96" i="2"/>
  <c r="F96" i="2"/>
  <c r="K62" i="2"/>
  <c r="E44" i="1"/>
  <c r="V96" i="2"/>
  <c r="E62" i="2"/>
  <c r="AB62" i="2"/>
  <c r="Y96" i="2"/>
  <c r="U62" i="2"/>
  <c r="X96" i="2"/>
  <c r="L62" i="2"/>
  <c r="G120" i="2"/>
  <c r="R62" i="2"/>
  <c r="V62" i="2"/>
  <c r="F86" i="3"/>
  <c r="G86" i="3"/>
  <c r="W88" i="3"/>
  <c r="M86" i="3"/>
  <c r="K88" i="3"/>
  <c r="F88" i="3"/>
  <c r="V88" i="3"/>
  <c r="V86" i="3"/>
  <c r="W86" i="3"/>
  <c r="D48" i="1"/>
  <c r="R48" i="1"/>
  <c r="R44" i="1"/>
  <c r="K70" i="1"/>
  <c r="K73" i="1" s="1"/>
  <c r="K87" i="1" s="1"/>
  <c r="AC70" i="1"/>
  <c r="AC73" i="1" s="1"/>
  <c r="AC87" i="1" s="1"/>
  <c r="R34" i="1"/>
  <c r="L70" i="1"/>
  <c r="L73" i="1" s="1"/>
  <c r="L87" i="1" s="1"/>
  <c r="AD70" i="1"/>
  <c r="AD73" i="1" s="1"/>
  <c r="AD87" i="1" s="1"/>
  <c r="M70" i="1"/>
  <c r="M73" i="1" s="1"/>
  <c r="M87" i="1" s="1"/>
  <c r="V70" i="1"/>
  <c r="V73" i="1" s="1"/>
  <c r="V87" i="1" s="1"/>
  <c r="E70" i="1"/>
  <c r="E73" i="1" s="1"/>
  <c r="R52" i="1"/>
  <c r="H88" i="3"/>
  <c r="Y88" i="3"/>
  <c r="Z88" i="3"/>
  <c r="M88" i="3"/>
  <c r="R88" i="3"/>
  <c r="L88" i="3"/>
  <c r="Q86" i="3"/>
  <c r="K86" i="3"/>
  <c r="AB86" i="3"/>
  <c r="S88" i="3"/>
  <c r="T86" i="3"/>
  <c r="H86" i="3"/>
  <c r="U88" i="3"/>
  <c r="Y86" i="3"/>
  <c r="J88" i="3"/>
  <c r="AA88" i="3"/>
  <c r="I86" i="3"/>
  <c r="J86" i="3"/>
  <c r="Q88" i="3"/>
  <c r="AA86" i="3"/>
  <c r="E88" i="3"/>
  <c r="G88" i="3"/>
  <c r="N88" i="3"/>
  <c r="O88" i="3"/>
  <c r="L86" i="3"/>
  <c r="X88" i="3"/>
  <c r="M45" i="2"/>
  <c r="D62" i="2"/>
  <c r="R96" i="2"/>
  <c r="R120" i="2" s="1"/>
  <c r="G45" i="2"/>
  <c r="X45" i="2"/>
  <c r="F45" i="2"/>
  <c r="W45" i="2"/>
  <c r="Q45" i="2"/>
  <c r="W96" i="2"/>
  <c r="W120" i="2" s="1"/>
  <c r="O62" i="2"/>
  <c r="AA96" i="2"/>
  <c r="AA120" i="2" s="1"/>
  <c r="K45" i="2"/>
  <c r="K65" i="2" s="1"/>
  <c r="AB45" i="2"/>
  <c r="S62" i="2"/>
  <c r="T62" i="2"/>
  <c r="L45" i="2"/>
  <c r="L65" i="2" s="1"/>
  <c r="N45" i="2"/>
  <c r="N86" i="3"/>
  <c r="O86" i="3"/>
  <c r="T88" i="3"/>
  <c r="R86" i="3"/>
  <c r="S86" i="3"/>
  <c r="D86" i="3"/>
  <c r="U86" i="3"/>
  <c r="E96" i="2"/>
  <c r="E120" i="2" s="1"/>
  <c r="J96" i="2"/>
  <c r="J120" i="2" s="1"/>
  <c r="I96" i="2"/>
  <c r="I120" i="2" s="1"/>
  <c r="O45" i="2"/>
  <c r="Z96" i="2"/>
  <c r="Z120" i="2" s="1"/>
  <c r="G62" i="2"/>
  <c r="AB96" i="2"/>
  <c r="AB120" i="2" s="1"/>
  <c r="T45" i="2"/>
  <c r="H62" i="2"/>
  <c r="Y62" i="2"/>
  <c r="Q96" i="2"/>
  <c r="Q120" i="2" s="1"/>
  <c r="L96" i="2"/>
  <c r="L120" i="2" s="1"/>
  <c r="R45" i="2"/>
  <c r="W62" i="2"/>
  <c r="W65" i="2" s="1"/>
  <c r="Y45" i="2"/>
  <c r="S45" i="2"/>
  <c r="X62" i="2"/>
  <c r="K96" i="2"/>
  <c r="K120" i="2" s="1"/>
  <c r="J45" i="2"/>
  <c r="AA45" i="2"/>
  <c r="D45" i="2"/>
  <c r="U45" i="2"/>
  <c r="I62" i="2"/>
  <c r="Z62" i="2"/>
  <c r="M96" i="2"/>
  <c r="M120" i="2" s="1"/>
  <c r="F62" i="2"/>
  <c r="H45" i="2"/>
  <c r="E45" i="2"/>
  <c r="V45" i="2"/>
  <c r="M62" i="2"/>
  <c r="J62" i="2"/>
  <c r="AA62" i="2"/>
  <c r="S96" i="2"/>
  <c r="S120" i="2" s="1"/>
  <c r="N96" i="2"/>
  <c r="N120" i="2" s="1"/>
  <c r="V120" i="2"/>
  <c r="O96" i="2"/>
  <c r="O120" i="2" s="1"/>
  <c r="X120" i="2"/>
  <c r="I45" i="2"/>
  <c r="N62" i="2"/>
  <c r="T96" i="2"/>
  <c r="T120" i="2" s="1"/>
  <c r="Z45" i="2"/>
  <c r="Q62" i="2"/>
  <c r="D96" i="2"/>
  <c r="D120" i="2" s="1"/>
  <c r="U96" i="2"/>
  <c r="U120" i="2" s="1"/>
  <c r="W70" i="1"/>
  <c r="W73" i="1" s="1"/>
  <c r="W87" i="1" s="1"/>
  <c r="D44" i="1"/>
  <c r="F70" i="1"/>
  <c r="F73" i="1" s="1"/>
  <c r="F87" i="1" s="1"/>
  <c r="X70" i="1"/>
  <c r="X73" i="1" s="1"/>
  <c r="X87" i="1" s="1"/>
  <c r="D34" i="1"/>
  <c r="Y70" i="1"/>
  <c r="Y73" i="1" s="1"/>
  <c r="Y87" i="1" s="1"/>
  <c r="G70" i="1"/>
  <c r="G73" i="1" s="1"/>
  <c r="G87" i="1" s="1"/>
  <c r="J70" i="1"/>
  <c r="J73" i="1" s="1"/>
  <c r="J87" i="1" s="1"/>
  <c r="AA70" i="1"/>
  <c r="AA73" i="1" s="1"/>
  <c r="AA87" i="1" s="1"/>
  <c r="AB70" i="1"/>
  <c r="AB73" i="1" s="1"/>
  <c r="AB87" i="1" s="1"/>
  <c r="H70" i="1"/>
  <c r="H73" i="1" s="1"/>
  <c r="H87" i="1" s="1"/>
  <c r="I70" i="1"/>
  <c r="I73" i="1" s="1"/>
  <c r="I87" i="1" s="1"/>
  <c r="Z70" i="1"/>
  <c r="Z73" i="1" s="1"/>
  <c r="Z87" i="1" s="1"/>
  <c r="D52" i="1"/>
  <c r="R14" i="1"/>
  <c r="R16" i="1"/>
  <c r="P70" i="1"/>
  <c r="P73" i="1" s="1"/>
  <c r="P87" i="1" s="1"/>
  <c r="N70" i="1"/>
  <c r="N73" i="1" s="1"/>
  <c r="N87" i="1" s="1"/>
  <c r="O70" i="1"/>
  <c r="O73" i="1" s="1"/>
  <c r="O87" i="1" s="1"/>
  <c r="S70" i="1"/>
  <c r="S73" i="1" s="1"/>
  <c r="S87" i="1" s="1"/>
  <c r="T70" i="1"/>
  <c r="T73" i="1" s="1"/>
  <c r="T87" i="1" s="1"/>
  <c r="D75" i="1"/>
  <c r="D14" i="1"/>
  <c r="D16" i="1"/>
  <c r="U70" i="1"/>
  <c r="U73" i="1" s="1"/>
  <c r="U87" i="1" s="1"/>
  <c r="R75" i="1"/>
  <c r="F120" i="2"/>
  <c r="H120" i="2"/>
  <c r="Y120" i="2"/>
  <c r="E75" i="1"/>
  <c r="D65" i="2" l="1"/>
  <c r="U65" i="2"/>
  <c r="AB65" i="2"/>
  <c r="T65" i="2"/>
  <c r="N65" i="2"/>
  <c r="E65" i="2"/>
  <c r="V65" i="2"/>
  <c r="R65" i="2"/>
  <c r="M65" i="2"/>
  <c r="S65" i="2"/>
  <c r="F65" i="2"/>
  <c r="Y65" i="2"/>
  <c r="I65" i="2"/>
  <c r="J65" i="2"/>
  <c r="R70" i="1"/>
  <c r="R73" i="1" s="1"/>
  <c r="R87" i="1" s="1"/>
  <c r="AA65" i="2"/>
  <c r="G65" i="2"/>
  <c r="H65" i="2"/>
  <c r="X65" i="2"/>
  <c r="O65" i="2"/>
  <c r="Q65" i="2"/>
  <c r="Z65" i="2"/>
  <c r="D70" i="1"/>
  <c r="D73" i="1" s="1"/>
  <c r="D87" i="1" s="1"/>
  <c r="E87" i="1"/>
</calcChain>
</file>

<file path=xl/sharedStrings.xml><?xml version="1.0" encoding="utf-8"?>
<sst xmlns="http://schemas.openxmlformats.org/spreadsheetml/2006/main" count="306" uniqueCount="206">
  <si>
    <t>INCOME STATEMENT (SAR in '000s)</t>
  </si>
  <si>
    <t>Sales</t>
  </si>
  <si>
    <t>Cost of Goods Sold</t>
  </si>
  <si>
    <t>Purchase Discounts</t>
  </si>
  <si>
    <t>Consultation Income</t>
  </si>
  <si>
    <t>Gross Income</t>
  </si>
  <si>
    <t>General and Administrative Expenses</t>
  </si>
  <si>
    <t>Bad Debt</t>
  </si>
  <si>
    <t>Bank Fees and Charges</t>
  </si>
  <si>
    <t>Office Supplies</t>
  </si>
  <si>
    <t>Office Utilities - Electricity/Water/Janitorial</t>
  </si>
  <si>
    <t>Office Expenses</t>
  </si>
  <si>
    <t>Travel Expense</t>
  </si>
  <si>
    <t>Printing and Stationery</t>
  </si>
  <si>
    <t>Rent Expense (G&amp;A)</t>
  </si>
  <si>
    <t>Meals and Entertainment</t>
  </si>
  <si>
    <t>Audit &amp; Consultancy expense</t>
  </si>
  <si>
    <t>Communication Exp - Mobile &amp; Internet</t>
  </si>
  <si>
    <t>Subscriptions &amp; Memberships</t>
  </si>
  <si>
    <t>Penny Difference</t>
  </si>
  <si>
    <t>Charity</t>
  </si>
  <si>
    <t>Exchange Gain or Loss</t>
  </si>
  <si>
    <t>Witholding Tax</t>
  </si>
  <si>
    <t>Low Value Assets</t>
  </si>
  <si>
    <t>Selling Expenses</t>
  </si>
  <si>
    <t>Business travel expenses</t>
  </si>
  <si>
    <t>Collection Commission</t>
  </si>
  <si>
    <t>Dinar commission</t>
  </si>
  <si>
    <t>New customer commission</t>
  </si>
  <si>
    <t>Cash Purchase - Backend Margin</t>
  </si>
  <si>
    <t>Cash Sale Commission</t>
  </si>
  <si>
    <t>Fuel/Mileage Expenses</t>
  </si>
  <si>
    <t>Marketing &amp; Advertising</t>
  </si>
  <si>
    <t>Trade Credit Insurance</t>
  </si>
  <si>
    <t>Legal &amp; Consultation Expenses</t>
  </si>
  <si>
    <t>Consultant Expense</t>
  </si>
  <si>
    <t>Government &amp; Compliance Expense</t>
  </si>
  <si>
    <t>Legal</t>
  </si>
  <si>
    <t>Depreciation Expenses</t>
  </si>
  <si>
    <t>Depreciation - Furniture &amp; Fixture</t>
  </si>
  <si>
    <t>Depreciation - Motor Vehicle</t>
  </si>
  <si>
    <t>Depreciation - Office Equipment's</t>
  </si>
  <si>
    <t>Personnel Expenses</t>
  </si>
  <si>
    <t>Employee Insurance</t>
  </si>
  <si>
    <t>Leave Pay Expense</t>
  </si>
  <si>
    <t>Employee Referral Allowance</t>
  </si>
  <si>
    <t>Maintenance Allowance</t>
  </si>
  <si>
    <t>Employee Related Govt Fees</t>
  </si>
  <si>
    <t>Telecome Allowance</t>
  </si>
  <si>
    <t>US Employer Taxes</t>
  </si>
  <si>
    <t>GOSI</t>
  </si>
  <si>
    <t>HUMAN RESOUACES DEVELOPMENT FUND</t>
  </si>
  <si>
    <t>Recruitments &amp; Visas</t>
  </si>
  <si>
    <t>Bonus</t>
  </si>
  <si>
    <t>Salaries - Basic</t>
  </si>
  <si>
    <t>Salaries - Housing</t>
  </si>
  <si>
    <t>Salaries - Others</t>
  </si>
  <si>
    <t>Salaries - Transportation</t>
  </si>
  <si>
    <t>End Of Service Benefits</t>
  </si>
  <si>
    <t>Staff Education/Growth Allowance</t>
  </si>
  <si>
    <t>Operating expenses</t>
  </si>
  <si>
    <t>Net operating profit / (loss)</t>
  </si>
  <si>
    <t>Financing Expenses</t>
  </si>
  <si>
    <t>Investor's Profit sharing (Unrealized)</t>
  </si>
  <si>
    <t>Short term financing expense (Al-Raeda)</t>
  </si>
  <si>
    <t>Financing expense (Arbah)</t>
  </si>
  <si>
    <t>Financing expense (STV)</t>
  </si>
  <si>
    <t>Financing Processing Fee Expense</t>
  </si>
  <si>
    <t>Fundraising Expense</t>
  </si>
  <si>
    <t>Non-operating Income/(Expenses)</t>
  </si>
  <si>
    <t>Zakat / Income Tax</t>
  </si>
  <si>
    <t>Net income / (loss)</t>
  </si>
  <si>
    <t>STATEMENT OF FINANCIAL POSITION (SAR in '000s)</t>
  </si>
  <si>
    <t xml:space="preserve"> AS OF 30th Nov 2024</t>
  </si>
  <si>
    <t>ASSETS</t>
  </si>
  <si>
    <t>Cash and Bank Balances</t>
  </si>
  <si>
    <t xml:space="preserve"> ALINMA BILDNW FEE</t>
  </si>
  <si>
    <t xml:space="preserve"> ALINMA BILDNW PROFIT</t>
  </si>
  <si>
    <t xml:space="preserve"> ALINMA CLIENT PROFIT  </t>
  </si>
  <si>
    <t>ALINMA DINAR DEALs PROFIT</t>
  </si>
  <si>
    <t>ALINMA DINAR DEALs VAT</t>
  </si>
  <si>
    <t>ALINMA EQUITY</t>
  </si>
  <si>
    <t>ALINMA USD</t>
  </si>
  <si>
    <t>ALINMA VAT</t>
  </si>
  <si>
    <t>ALINMA-DEBT</t>
  </si>
  <si>
    <t>ANB-BILDNW TRADINGCOMPANY</t>
  </si>
  <si>
    <t>Riyad Bank</t>
  </si>
  <si>
    <t>US Checking Account</t>
  </si>
  <si>
    <t>ANB - Tanmeya Debt A/C</t>
  </si>
  <si>
    <t>Simplifi</t>
  </si>
  <si>
    <t>Petty Cash</t>
  </si>
  <si>
    <t>Trade Receivables (net)</t>
  </si>
  <si>
    <t>Trade Receivables - Gross</t>
  </si>
  <si>
    <t>Closing Provision for doubtful Accounts</t>
  </si>
  <si>
    <t>Prepaid Expenses &amp; Other recievables</t>
  </si>
  <si>
    <t>Prepaid Vendors</t>
  </si>
  <si>
    <t>Prepaid Accommodation Rent Expense</t>
  </si>
  <si>
    <t>Prepaid Financing Expense</t>
  </si>
  <si>
    <t>Prepaid Govt. Legal Expense</t>
  </si>
  <si>
    <t>Prepaid IT Subscriptions Expense</t>
  </si>
  <si>
    <t>Prepaid Office Rent Expense</t>
  </si>
  <si>
    <t>Prepaid Other Expense</t>
  </si>
  <si>
    <t>Employee Receivable</t>
  </si>
  <si>
    <t>Security deposits</t>
  </si>
  <si>
    <t>Other Receivable</t>
  </si>
  <si>
    <t xml:space="preserve"> Input VAT</t>
  </si>
  <si>
    <t>Profit Reserve Account (Deposit)</t>
  </si>
  <si>
    <t>TOTAL CURRENT ASSETS</t>
  </si>
  <si>
    <t>Fixed Assets (net)</t>
  </si>
  <si>
    <t>Accumulated Depreciation -  Furniture &amp; Fixture</t>
  </si>
  <si>
    <t>Accumulated Depreciation - Motor Vehicle</t>
  </si>
  <si>
    <t>Accumulated Depreciation - Office Equipment's</t>
  </si>
  <si>
    <t>Fixed Assets not in Use</t>
  </si>
  <si>
    <t>Furniture &amp; Fixture</t>
  </si>
  <si>
    <t>Motor Vehicle</t>
  </si>
  <si>
    <t>Office Equipment</t>
  </si>
  <si>
    <t>Intercompany</t>
  </si>
  <si>
    <t>Related Party Loan (Bildnw INC. USA)</t>
  </si>
  <si>
    <t>TOTAL NON CURRENT ASSETS</t>
  </si>
  <si>
    <t>TOTAL ASSETS</t>
  </si>
  <si>
    <t>Other Payables and Accruals</t>
  </si>
  <si>
    <t>Zakat Provision</t>
  </si>
  <si>
    <t>Misc. Payables</t>
  </si>
  <si>
    <t>Other Payables</t>
  </si>
  <si>
    <t>Unearned Revenue</t>
  </si>
  <si>
    <t>Employee Payable</t>
  </si>
  <si>
    <t>Accounts Payable</t>
  </si>
  <si>
    <t>Accrued Expenses</t>
  </si>
  <si>
    <t>VAT Payable (GAZT)</t>
  </si>
  <si>
    <t>Accrued Investor Profit</t>
  </si>
  <si>
    <t>Accrued Investor Profit (Unrealized)</t>
  </si>
  <si>
    <t>Leave Pay Payable</t>
  </si>
  <si>
    <t>Salary Control Account</t>
  </si>
  <si>
    <t>Consultancy Fee Payable</t>
  </si>
  <si>
    <t>Output VAT</t>
  </si>
  <si>
    <t>GOSI Payable</t>
  </si>
  <si>
    <t>Dividend Payable (Investor)</t>
  </si>
  <si>
    <t>Provision for Doubtful Debts</t>
  </si>
  <si>
    <t>Debt Settlement Payable</t>
  </si>
  <si>
    <t>Short term Financing</t>
  </si>
  <si>
    <t>Interest payable (Al-Raeda)</t>
  </si>
  <si>
    <t>Short-term Financing (Al Raedah)</t>
  </si>
  <si>
    <t>Arbah Murabaha Facility</t>
  </si>
  <si>
    <t>TOTAL CURRENT LIABILITIES</t>
  </si>
  <si>
    <t xml:space="preserve"> Related parties (Family)</t>
  </si>
  <si>
    <t>External Debt Investor</t>
  </si>
  <si>
    <t>End of Service Indemnity</t>
  </si>
  <si>
    <t>TOTAL LONG-TERM LIABILITIES</t>
  </si>
  <si>
    <t>Equity Financing</t>
  </si>
  <si>
    <t>Contribution from Owners</t>
  </si>
  <si>
    <t>Statutory Reserve</t>
  </si>
  <si>
    <t>Profit &amp; Loss for the period</t>
  </si>
  <si>
    <t>Retained Earnings/(Accumulated Losses)</t>
  </si>
  <si>
    <t>TOTAL OWNER'S EQUITY</t>
  </si>
  <si>
    <t>TOTAL LIABILITIES &amp; EQUITY</t>
  </si>
  <si>
    <t>STATEMENT OF CASH FLOW (SAR in '000s)</t>
  </si>
  <si>
    <t>Beginning Cash Balance</t>
  </si>
  <si>
    <t>Cash Flow from Operating Activities</t>
  </si>
  <si>
    <t/>
  </si>
  <si>
    <t>Accounts Receivable</t>
  </si>
  <si>
    <t>Salaries &amp; Wages Payables</t>
  </si>
  <si>
    <t>Current Receivables</t>
  </si>
  <si>
    <t>Employee Advance</t>
  </si>
  <si>
    <t>Employee Reimbursements</t>
  </si>
  <si>
    <t>End of Service Benefits Payable</t>
  </si>
  <si>
    <t>GCC VAT Payable</t>
  </si>
  <si>
    <t>Input VAT</t>
  </si>
  <si>
    <t>Net Income</t>
  </si>
  <si>
    <t>Other Receivables</t>
  </si>
  <si>
    <t>Prepaid Expenses</t>
  </si>
  <si>
    <t>Provision for Zakat</t>
  </si>
  <si>
    <t>Net cash provided by Operating Activities</t>
  </si>
  <si>
    <t>Cash Flow from Investing Activities</t>
  </si>
  <si>
    <t>Capital Work in Progress</t>
  </si>
  <si>
    <t>Fixed Asset not yet in use</t>
  </si>
  <si>
    <t>Related Party (Loan Receivable)</t>
  </si>
  <si>
    <t>Related Party (Loan Receivable) KSA</t>
  </si>
  <si>
    <t>Net cash provided by Investing Activities</t>
  </si>
  <si>
    <t>Cash Flow from Financing Activities</t>
  </si>
  <si>
    <t>Cur8 Debt</t>
  </si>
  <si>
    <t>STV Debt</t>
  </si>
  <si>
    <t>Owner's Equity</t>
  </si>
  <si>
    <t>Related parties Loan Payable</t>
  </si>
  <si>
    <t>Related parties Loan MISA</t>
  </si>
  <si>
    <t>AAM Dividend Payable</t>
  </si>
  <si>
    <t>AAS Dividend Payable</t>
  </si>
  <si>
    <t>Cur8 Payable</t>
  </si>
  <si>
    <t>IBT Dividend Payable</t>
  </si>
  <si>
    <t>AAM #1</t>
  </si>
  <si>
    <t>AAS #2</t>
  </si>
  <si>
    <t>IBT #3</t>
  </si>
  <si>
    <t>Debt Financing (Al Raedah 1)</t>
  </si>
  <si>
    <t>Debt Financing (Al Raedah 2)</t>
  </si>
  <si>
    <t>Related Party (Loan) US</t>
  </si>
  <si>
    <t>Interst/Profit Payable</t>
  </si>
  <si>
    <t>Profit Payable (Arbah)</t>
  </si>
  <si>
    <t>Profit Payable (STV)</t>
  </si>
  <si>
    <t>Retained Earnings</t>
  </si>
  <si>
    <t>Shareholder's Equity (US Holdco.)</t>
  </si>
  <si>
    <t>Cost of Fund Raising</t>
  </si>
  <si>
    <t>Pre-Seed Equity</t>
  </si>
  <si>
    <t>Seed Equity</t>
  </si>
  <si>
    <t>Statutory reserve</t>
  </si>
  <si>
    <t>Net cash provided by Financing Activities</t>
  </si>
  <si>
    <t>Net Change in cash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</si>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</sst>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[$SAR]\ #,##0.00"/>
    <numFmt numFmtId="167" formatCode="[$-409]dd\-mmm\-yy;@"/>
    <numFmt numFmtId="168" formatCode="[$-409]mmm/yy;@"/>
    <numFmt numFmtId="169" formatCode="0_)"/>
    <numFmt numFmtId="170" formatCode="#,##0.0,"/>
    <numFmt numFmtId="171" formatCode="#,##0.00_);\(#,##0.00\);&quot;-  &quot;"/>
    <numFmt numFmtId="173" formatCode="[$-409]d\-mmm\-yy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indexed="9"/>
      <name val="Aptos Narrow"/>
      <family val="2"/>
      <scheme val="minor"/>
    </font>
    <font>
      <b/>
      <i/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A0C"/>
        <bgColor indexed="64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/>
      <diagonal/>
    </border>
    <border>
      <left/>
      <right/>
      <top style="thin">
        <color rgb="FFD5D5D5"/>
      </top>
      <bottom style="thin">
        <color rgb="FFD5D5D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rgb="FFD5D5D5"/>
      </right>
      <top style="thin">
        <color indexed="64"/>
      </top>
      <bottom style="thin">
        <color indexed="64"/>
      </bottom>
      <diagonal/>
    </border>
    <border>
      <left style="thin">
        <color rgb="FFD5D5D5"/>
      </left>
      <right style="thin">
        <color rgb="FFD5D5D5"/>
      </right>
      <top style="thin">
        <color indexed="64"/>
      </top>
      <bottom style="thin">
        <color indexed="64"/>
      </bottom>
      <diagonal/>
    </border>
    <border>
      <left style="thin">
        <color rgb="FFD5D5D5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0" applyFont="1"/>
    <xf numFmtId="164" fontId="6" fillId="0" borderId="0" xfId="3" applyFont="1" applyFill="1" applyBorder="1" applyAlignment="1" applyProtection="1">
      <alignment horizontal="center" vertical="center"/>
      <protection hidden="1"/>
    </xf>
    <xf numFmtId="165" fontId="0" fillId="0" borderId="0" xfId="0" applyNumberFormat="1"/>
    <xf numFmtId="43" fontId="0" fillId="0" borderId="0" xfId="0" applyNumberFormat="1"/>
    <xf numFmtId="165" fontId="0" fillId="0" borderId="0" xfId="1" applyNumberFormat="1" applyFont="1" applyBorder="1"/>
    <xf numFmtId="166" fontId="0" fillId="0" borderId="0" xfId="0" applyNumberFormat="1"/>
    <xf numFmtId="0" fontId="7" fillId="0" borderId="0" xfId="4" applyFont="1" applyAlignment="1" applyProtection="1">
      <alignment vertical="center"/>
      <protection hidden="1"/>
    </xf>
    <xf numFmtId="164" fontId="8" fillId="0" borderId="1" xfId="3" applyFont="1" applyFill="1" applyBorder="1" applyAlignment="1" applyProtection="1">
      <alignment horizontal="left"/>
      <protection hidden="1"/>
    </xf>
    <xf numFmtId="167" fontId="6" fillId="0" borderId="0" xfId="4" applyNumberFormat="1" applyFont="1" applyAlignment="1" applyProtection="1">
      <alignment horizontal="center" vertical="center"/>
      <protection hidden="1"/>
    </xf>
    <xf numFmtId="0" fontId="9" fillId="0" borderId="0" xfId="4" applyFont="1" applyAlignment="1" applyProtection="1">
      <alignment vertical="center"/>
      <protection hidden="1"/>
    </xf>
    <xf numFmtId="166" fontId="9" fillId="0" borderId="0" xfId="4" applyNumberFormat="1" applyFont="1" applyAlignment="1" applyProtection="1">
      <alignment vertical="center"/>
      <protection hidden="1"/>
    </xf>
    <xf numFmtId="164" fontId="6" fillId="2" borderId="2" xfId="3" applyFont="1" applyFill="1" applyBorder="1" applyAlignment="1" applyProtection="1">
      <alignment horizontal="left" vertical="center"/>
      <protection hidden="1"/>
    </xf>
    <xf numFmtId="168" fontId="6" fillId="2" borderId="3" xfId="3" applyNumberFormat="1" applyFont="1" applyFill="1" applyBorder="1" applyAlignment="1" applyProtection="1">
      <alignment horizontal="center" vertical="center"/>
      <protection hidden="1"/>
    </xf>
    <xf numFmtId="17" fontId="0" fillId="0" borderId="0" xfId="0" applyNumberFormat="1"/>
    <xf numFmtId="0" fontId="3" fillId="0" borderId="0" xfId="0" applyFont="1"/>
    <xf numFmtId="164" fontId="6" fillId="0" borderId="0" xfId="3" applyFont="1" applyFill="1" applyBorder="1" applyAlignment="1" applyProtection="1">
      <alignment horizontal="left"/>
      <protection hidden="1"/>
    </xf>
    <xf numFmtId="17" fontId="6" fillId="0" borderId="0" xfId="4" applyNumberFormat="1" applyFont="1" applyAlignment="1" applyProtection="1">
      <alignment horizontal="center" vertical="center"/>
      <protection hidden="1"/>
    </xf>
    <xf numFmtId="169" fontId="9" fillId="0" borderId="5" xfId="4" applyNumberFormat="1" applyFont="1" applyBorder="1" applyAlignment="1" applyProtection="1">
      <alignment vertical="center"/>
      <protection hidden="1"/>
    </xf>
    <xf numFmtId="0" fontId="10" fillId="0" borderId="0" xfId="0" applyFont="1"/>
    <xf numFmtId="169" fontId="6" fillId="0" borderId="5" xfId="4" applyNumberFormat="1" applyFont="1" applyBorder="1" applyAlignment="1" applyProtection="1">
      <alignment vertical="center"/>
      <protection hidden="1"/>
    </xf>
    <xf numFmtId="9" fontId="9" fillId="0" borderId="5" xfId="2" applyFont="1" applyBorder="1" applyAlignment="1" applyProtection="1">
      <alignment vertical="center"/>
      <protection hidden="1"/>
    </xf>
    <xf numFmtId="169" fontId="9" fillId="0" borderId="5" xfId="4" applyNumberFormat="1" applyFont="1" applyBorder="1" applyAlignment="1" applyProtection="1">
      <alignment horizontal="left" vertical="center" indent="1"/>
      <protection hidden="1"/>
    </xf>
    <xf numFmtId="169" fontId="9" fillId="0" borderId="0" xfId="4" applyNumberFormat="1" applyFont="1" applyAlignment="1" applyProtection="1">
      <alignment vertical="center"/>
      <protection hidden="1"/>
    </xf>
    <xf numFmtId="0" fontId="11" fillId="0" borderId="0" xfId="4" applyFont="1" applyAlignment="1" applyProtection="1">
      <alignment vertical="center"/>
      <protection hidden="1"/>
    </xf>
    <xf numFmtId="164" fontId="0" fillId="0" borderId="0" xfId="1" applyFont="1"/>
    <xf numFmtId="171" fontId="2" fillId="0" borderId="0" xfId="4" applyNumberFormat="1" applyFont="1" applyAlignment="1" applyProtection="1">
      <alignment horizontal="center" vertical="center"/>
      <protection hidden="1"/>
    </xf>
    <xf numFmtId="164" fontId="8" fillId="0" borderId="0" xfId="3" applyFont="1" applyFill="1" applyBorder="1" applyAlignment="1" applyProtection="1">
      <alignment horizontal="left"/>
      <protection hidden="1"/>
    </xf>
    <xf numFmtId="173" fontId="6" fillId="2" borderId="3" xfId="3" applyNumberFormat="1" applyFont="1" applyFill="1" applyBorder="1" applyAlignment="1" applyProtection="1">
      <alignment horizontal="center" vertical="center"/>
      <protection hidden="1"/>
    </xf>
    <xf numFmtId="165" fontId="3" fillId="0" borderId="0" xfId="1" applyNumberFormat="1" applyFont="1"/>
    <xf numFmtId="164" fontId="12" fillId="0" borderId="6" xfId="3" applyFont="1" applyFill="1" applyBorder="1" applyAlignment="1" applyProtection="1">
      <alignment horizontal="left"/>
      <protection hidden="1"/>
    </xf>
    <xf numFmtId="17" fontId="6" fillId="0" borderId="6" xfId="4" applyNumberFormat="1" applyFont="1" applyBorder="1" applyAlignment="1" applyProtection="1">
      <alignment horizontal="center" vertical="center"/>
      <protection hidden="1"/>
    </xf>
    <xf numFmtId="169" fontId="9" fillId="0" borderId="7" xfId="4" applyNumberFormat="1" applyFont="1" applyBorder="1" applyAlignment="1" applyProtection="1">
      <alignment vertical="center"/>
      <protection hidden="1"/>
    </xf>
    <xf numFmtId="170" fontId="0" fillId="0" borderId="0" xfId="1" applyNumberFormat="1" applyFont="1"/>
    <xf numFmtId="169" fontId="9" fillId="0" borderId="0" xfId="4" applyNumberFormat="1" applyFont="1" applyAlignment="1" applyProtection="1">
      <alignment horizontal="left" vertical="center" indent="1"/>
      <protection hidden="1"/>
    </xf>
    <xf numFmtId="9" fontId="4" fillId="0" borderId="0" xfId="5" applyFont="1"/>
    <xf numFmtId="169" fontId="6" fillId="0" borderId="7" xfId="4" applyNumberFormat="1" applyFont="1" applyBorder="1" applyAlignment="1" applyProtection="1">
      <alignment vertical="center"/>
      <protection hidden="1"/>
    </xf>
    <xf numFmtId="164" fontId="6" fillId="0" borderId="6" xfId="3" applyFont="1" applyFill="1" applyBorder="1" applyAlignment="1" applyProtection="1">
      <alignment horizontal="left"/>
      <protection hidden="1"/>
    </xf>
    <xf numFmtId="164" fontId="12" fillId="0" borderId="0" xfId="3" applyFont="1" applyFill="1" applyBorder="1" applyAlignment="1" applyProtection="1">
      <alignment horizontal="left"/>
      <protection hidden="1"/>
    </xf>
    <xf numFmtId="165" fontId="9" fillId="0" borderId="0" xfId="1" applyNumberFormat="1" applyFont="1" applyAlignment="1" applyProtection="1">
      <alignment vertical="center"/>
      <protection locked="0"/>
    </xf>
    <xf numFmtId="165" fontId="0" fillId="0" borderId="0" xfId="1" applyNumberFormat="1" applyFont="1"/>
    <xf numFmtId="0" fontId="9" fillId="0" borderId="0" xfId="4" applyFont="1" applyAlignment="1" applyProtection="1">
      <alignment vertical="center"/>
      <protection locked="0"/>
    </xf>
    <xf numFmtId="0" fontId="0" fillId="0" borderId="0" xfId="0" applyAlignment="1">
      <alignment horizontal="left"/>
    </xf>
    <xf numFmtId="0" fontId="13" fillId="0" borderId="0" xfId="0" applyFont="1"/>
    <xf numFmtId="0" fontId="18" fillId="0" borderId="0" xfId="0" applyFont="1"/>
    <xf numFmtId="0" fontId="20" fillId="0" borderId="0" xfId="0" applyFont="1"/>
    <xf numFmtId="0" fontId="21" fillId="0" borderId="0" xfId="0" applyFont="1" applyAlignment="1">
      <alignment horizontal="left"/>
    </xf>
    <xf numFmtId="0" fontId="16" fillId="4" borderId="8" xfId="0" applyFont="1" applyFill="1" applyBorder="1" applyAlignment="1">
      <alignment horizontal="left"/>
    </xf>
    <xf numFmtId="0" fontId="15" fillId="4" borderId="5" xfId="0" applyFont="1" applyFill="1" applyBorder="1" applyAlignment="1">
      <alignment horizontal="left" indent="2"/>
    </xf>
    <xf numFmtId="0" fontId="14" fillId="3" borderId="5" xfId="0" applyFont="1" applyFill="1" applyBorder="1" applyAlignment="1">
      <alignment horizontal="left"/>
    </xf>
    <xf numFmtId="164" fontId="17" fillId="2" borderId="10" xfId="3" applyFont="1" applyFill="1" applyBorder="1" applyAlignment="1" applyProtection="1">
      <alignment horizontal="left" vertical="center"/>
      <protection hidden="1"/>
    </xf>
    <xf numFmtId="173" fontId="17" fillId="2" borderId="4" xfId="3" applyNumberFormat="1" applyFont="1" applyFill="1" applyBorder="1" applyAlignment="1" applyProtection="1">
      <alignment horizontal="center" vertical="center"/>
      <protection hidden="1"/>
    </xf>
    <xf numFmtId="0" fontId="14" fillId="4" borderId="8" xfId="0" applyFont="1" applyFill="1" applyBorder="1" applyAlignment="1">
      <alignment horizontal="left"/>
    </xf>
    <xf numFmtId="165" fontId="0" fillId="0" borderId="7" xfId="1" applyNumberFormat="1" applyFont="1" applyFill="1" applyBorder="1" applyAlignment="1" applyProtection="1">
      <alignment horizontal="left" vertical="center"/>
      <protection locked="0"/>
    </xf>
    <xf numFmtId="165" fontId="9" fillId="0" borderId="7" xfId="1" applyNumberFormat="1" applyFont="1" applyFill="1" applyBorder="1" applyAlignment="1" applyProtection="1">
      <alignment horizontal="left" vertical="center"/>
      <protection locked="0"/>
    </xf>
    <xf numFmtId="165" fontId="9" fillId="0" borderId="0" xfId="1" applyNumberFormat="1" applyFont="1" applyFill="1" applyBorder="1" applyAlignment="1" applyProtection="1">
      <alignment horizontal="left" vertical="center"/>
      <protection locked="0"/>
    </xf>
    <xf numFmtId="165" fontId="0" fillId="0" borderId="0" xfId="1" applyNumberFormat="1" applyFont="1" applyFill="1" applyBorder="1" applyAlignment="1" applyProtection="1">
      <alignment horizontal="left" vertical="center"/>
      <protection locked="0"/>
    </xf>
    <xf numFmtId="165" fontId="6" fillId="0" borderId="7" xfId="1" applyNumberFormat="1" applyFont="1" applyFill="1" applyBorder="1" applyAlignment="1" applyProtection="1">
      <alignment horizontal="left" vertical="center"/>
      <protection locked="0"/>
    </xf>
    <xf numFmtId="165" fontId="9" fillId="0" borderId="6" xfId="1" applyNumberFormat="1" applyFont="1" applyFill="1" applyBorder="1" applyAlignment="1" applyProtection="1">
      <alignment horizontal="left" vertical="center"/>
      <protection locked="0"/>
    </xf>
    <xf numFmtId="165" fontId="9" fillId="0" borderId="0" xfId="1" applyNumberFormat="1" applyFont="1" applyBorder="1" applyAlignment="1" applyProtection="1">
      <alignment horizontal="left" vertical="center"/>
      <protection hidden="1"/>
    </xf>
    <xf numFmtId="165" fontId="14" fillId="3" borderId="5" xfId="1" applyNumberFormat="1" applyFont="1" applyFill="1" applyBorder="1" applyAlignment="1">
      <alignment horizontal="right"/>
    </xf>
    <xf numFmtId="165" fontId="14" fillId="3" borderId="9" xfId="1" applyNumberFormat="1" applyFont="1" applyFill="1" applyBorder="1" applyAlignment="1">
      <alignment horizontal="right"/>
    </xf>
    <xf numFmtId="165" fontId="13" fillId="0" borderId="0" xfId="1" applyNumberFormat="1" applyFont="1"/>
    <xf numFmtId="165" fontId="13" fillId="0" borderId="0" xfId="1" applyNumberFormat="1" applyFont="1" applyAlignment="1"/>
    <xf numFmtId="165" fontId="15" fillId="4" borderId="5" xfId="1" applyNumberFormat="1" applyFont="1" applyFill="1" applyBorder="1" applyAlignment="1">
      <alignment horizontal="right"/>
    </xf>
    <xf numFmtId="165" fontId="15" fillId="4" borderId="9" xfId="1" applyNumberFormat="1" applyFont="1" applyFill="1" applyBorder="1" applyAlignment="1">
      <alignment horizontal="right"/>
    </xf>
    <xf numFmtId="165" fontId="19" fillId="0" borderId="0" xfId="1" applyNumberFormat="1" applyFont="1" applyAlignment="1"/>
    <xf numFmtId="165" fontId="21" fillId="0" borderId="0" xfId="1" applyNumberFormat="1" applyFont="1"/>
    <xf numFmtId="165" fontId="14" fillId="3" borderId="11" xfId="1" applyNumberFormat="1" applyFont="1" applyFill="1" applyBorder="1" applyAlignment="1">
      <alignment horizontal="right"/>
    </xf>
    <xf numFmtId="165" fontId="14" fillId="3" borderId="12" xfId="1" applyNumberFormat="1" applyFont="1" applyFill="1" applyBorder="1" applyAlignment="1">
      <alignment horizontal="right"/>
    </xf>
    <xf numFmtId="165" fontId="14" fillId="3" borderId="13" xfId="1" applyNumberFormat="1" applyFont="1" applyFill="1" applyBorder="1" applyAlignment="1">
      <alignment horizontal="right"/>
    </xf>
    <xf numFmtId="165" fontId="0" fillId="0" borderId="5" xfId="1" applyNumberFormat="1" applyFont="1" applyFill="1" applyBorder="1" applyAlignment="1" applyProtection="1">
      <alignment horizontal="left" vertical="center"/>
      <protection locked="0"/>
    </xf>
    <xf numFmtId="165" fontId="0" fillId="0" borderId="0" xfId="1" applyNumberFormat="1" applyFont="1" applyFill="1" applyBorder="1" applyAlignment="1" applyProtection="1">
      <alignment horizontal="center" vertical="center"/>
      <protection locked="0"/>
    </xf>
    <xf numFmtId="165" fontId="3" fillId="0" borderId="5" xfId="1" applyNumberFormat="1" applyFont="1" applyFill="1" applyBorder="1" applyAlignment="1" applyProtection="1">
      <alignment horizontal="left" vertical="center"/>
      <protection locked="0"/>
    </xf>
    <xf numFmtId="165" fontId="3" fillId="0" borderId="0" xfId="1" applyNumberFormat="1" applyFont="1" applyFill="1" applyBorder="1" applyAlignment="1" applyProtection="1">
      <alignment horizontal="left" vertical="center"/>
      <protection locked="0"/>
    </xf>
    <xf numFmtId="165" fontId="0" fillId="0" borderId="5" xfId="1" applyNumberFormat="1" applyFont="1" applyFill="1" applyBorder="1" applyAlignment="1" applyProtection="1">
      <alignment horizontal="center" vertical="center"/>
      <protection locked="0"/>
    </xf>
    <xf numFmtId="165" fontId="3" fillId="0" borderId="0" xfId="1" applyNumberFormat="1" applyFont="1" applyFill="1" applyBorder="1" applyAlignment="1" applyProtection="1">
      <alignment horizontal="center" vertical="center"/>
      <protection locked="0"/>
    </xf>
    <xf numFmtId="0" fontId="6" fillId="2" borderId="3" xfId="3" applyNumberFormat="1" applyFont="1" applyFill="1" applyBorder="1" applyAlignment="1" applyProtection="1">
      <alignment horizontal="center" vertical="center"/>
      <protection hidden="1"/>
    </xf>
  </cellXfs>
  <cellStyles count="6">
    <cellStyle name="Comma" xfId="1" builtinId="3"/>
    <cellStyle name="Comma 3" xfId="3" xr:uid="{BFC5857A-CBE5-4FDC-BDE3-F183AC0FFD19}"/>
    <cellStyle name="Normal" xfId="0" builtinId="0"/>
    <cellStyle name="Normal 3" xfId="4" xr:uid="{55A8B835-1128-449D-934A-92E7A37F30B3}"/>
    <cellStyle name="Per cent" xfId="2" builtinId="5"/>
    <cellStyle name="Percent 2" xfId="5" xr:uid="{817C862E-C90B-4447-807C-ABF7F9D0F681}"/>
  </cellStyles>
  <dxfs count="2"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7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2</xdr:row>
      <xdr:rowOff>11207</xdr:rowOff>
    </xdr:from>
    <xdr:to>
      <xdr:col>3</xdr:col>
      <xdr:colOff>252852</xdr:colOff>
      <xdr:row>5</xdr:row>
      <xdr:rowOff>148668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2410BB-41A5-4CD5-A506-98DEC13A3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218" y="392207"/>
          <a:ext cx="3086818" cy="7089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0</xdr:row>
      <xdr:rowOff>67235</xdr:rowOff>
    </xdr:from>
    <xdr:to>
      <xdr:col>1</xdr:col>
      <xdr:colOff>3578485</xdr:colOff>
      <xdr:row>4</xdr:row>
      <xdr:rowOff>152960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4E79BD-6749-4FA7-9803-A1843DB07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93" y="67235"/>
          <a:ext cx="3544867" cy="847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254427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6FC010-DBC9-4B2C-80A4-8D1441435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0"/>
          <a:ext cx="3226227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Fin/Fin/excel/Impwork/FLASH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uhammad.Naeem/AppData/Local/Microsoft/Windows/Temporary%20Internet%20Files/Content.Outlook/SX4M0MTP/Budget%20201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AR%20Ajaz\01%20RAR%20Ajaz\00%20Accounts\Budget%202018%20with%20three%20mths%20Proj\01%20RAR%20BU's%20HO%20Budget%202018\4%20Industrial%20Units%20Budget%202018\01%20Steel%20-%202018%20Budget%20F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asood\Local%20Settings\Temporary%20Internet%20Files\OLKAFC\Personal\Budget_Planner(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t-server\1-pmt\12-PMT%20Reports\000-PDI%20Excel%20sheet%20and%20Monthly%20reports%202011-2012\PMT-Rpt-MasterFi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AUDIT\AUDIT9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yanapriya\AppData\Local\Microsoft\Windows\Temporary%20Internet%20Files\Content.Outlook\P456EJRQ\Chart%20of%20accounts%20final%20templat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ayroll\1-MS%20DATA\MASTER%20DAT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ayanapriya\AppData\Local\Microsoft\Windows\Temporary%20Internet%20Files\Content.Outlook\P456EJRQ\Ledger%20balances\ledgertran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Noel.Ines\Documents\Noel\2009\Expenses\0109%20YTD%20IS_Detailed%20Expenses_JAN-JUL_Complet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RSONAL%20FILES\Hisham\Specification%20development\Project%20list-%20DHW-Dec%20201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lshammari/Desktop/&#1582;&#1591;&#1577;%20&#1585;&#1608;&#1575;&#1578;&#1576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fin/TRI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FLASH"/>
      <sheetName val="Print"/>
      <sheetName val="Sheet1"/>
      <sheetName val="Print 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heet18"/>
      <sheetName val="Sheet9"/>
      <sheetName val="Budget Summary"/>
      <sheetName val="Income"/>
      <sheetName val="Write-up"/>
      <sheetName val="Sheet4"/>
      <sheetName val="Estimated Actual"/>
      <sheetName val="Salary 11"/>
      <sheetName val="Salary Summary"/>
      <sheetName val="Sheet7"/>
      <sheetName val="TOTAL STAFF"/>
      <sheetName val="Other Exp."/>
      <sheetName val="R &amp; M - H L P"/>
      <sheetName val="Sheet1"/>
      <sheetName val="Sheet12"/>
      <sheetName val="Trend"/>
      <sheetName val="Sales"/>
      <sheetName val="S2"/>
      <sheetName val="S1"/>
      <sheetName val="Sheet3"/>
      <sheetName val="Sheet21"/>
      <sheetName val="Working"/>
      <sheetName val="Sheet6"/>
      <sheetName val="P1"/>
      <sheetName val="P2"/>
      <sheetName val="P3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_Bud"/>
      <sheetName val="validation_LY"/>
      <sheetName val="validation"/>
      <sheetName val="input"/>
      <sheetName val="reports list"/>
      <sheetName val="kpi"/>
      <sheetName val="rar01"/>
      <sheetName val="rar01A"/>
      <sheetName val="rar02"/>
      <sheetName val="rar02A"/>
      <sheetName val="rar03"/>
      <sheetName val="rar03A"/>
      <sheetName val="rar04"/>
      <sheetName val="rar05"/>
      <sheetName val="rar05A"/>
      <sheetName val="rar05B"/>
      <sheetName val="rar06"/>
      <sheetName val="rar07"/>
      <sheetName val="rar08"/>
      <sheetName val="Highlights"/>
      <sheetName val="KPIs"/>
      <sheetName val="Ratio_Bud"/>
      <sheetName val="CF_Bud"/>
      <sheetName val="BS_Bud"/>
      <sheetName val="PL_Bud"/>
      <sheetName val="RE_Bud"/>
      <sheetName val="Cash_Budget"/>
      <sheetName val="DSO_Bud"/>
      <sheetName val="CF_Budget"/>
      <sheetName val="CF_LY"/>
      <sheetName val="Other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Quick Budget"/>
      <sheetName val="Budget By Month"/>
      <sheetName val="Tracking"/>
      <sheetName val="Comparison"/>
      <sheetName val="Daily Spending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t-Title"/>
      <sheetName val="PUF"/>
      <sheetName val="PDI"/>
      <sheetName val="Year-Smry"/>
      <sheetName val="PUF-1"/>
      <sheetName val="PUF-2"/>
      <sheetName val="PUF-3"/>
      <sheetName val="PDI-4"/>
      <sheetName val="PDI-3"/>
      <sheetName val="PDI-2"/>
      <sheetName val="PDI-1"/>
      <sheetName val="PUF-4"/>
      <sheetName val="PDI-9"/>
      <sheetName val="PDI-5"/>
      <sheetName val="PDI-8"/>
      <sheetName val="PDI-6"/>
      <sheetName val="PDI-7"/>
      <sheetName val="Sheet1"/>
      <sheetName val="Sheet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er94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ynamics Enum Cache"/>
      <sheetName val="MainAccount"/>
      <sheetName val="MainAccountCategory"/>
      <sheetName val="Dynamics AX Statu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-DATA (3)"/>
      <sheetName val="ACT-DATA (2)"/>
      <sheetName val="Grading Systems (2)"/>
      <sheetName val="AGE-Before final (2)"/>
      <sheetName val="AGE-Before final"/>
      <sheetName val="Add-Remove TAS"/>
      <sheetName val="رواتب شهر    -2010"/>
      <sheetName val="تعريف (2)"/>
      <sheetName val="Grading Structure"/>
      <sheetName val="Grading Systems"/>
      <sheetName val="Vacation Settlement"/>
      <sheetName val="عقد عمل"/>
      <sheetName val="SFC Summary"/>
      <sheetName val="SA SFC-OS"/>
      <sheetName val="SA Dept-Loctn"/>
      <sheetName val="SA RATIO BY SECTION"/>
      <sheetName val="SA RATIO (2)"/>
      <sheetName val="SA RATIO"/>
      <sheetName val="Report New App."/>
      <sheetName val="Report Res.Ter."/>
      <sheetName val="Monthly Report"/>
      <sheetName val="SA RATIO BY DEPTLOCA"/>
      <sheetName val="Postion By Branch"/>
      <sheetName val="Setting"/>
      <sheetName val="PicDATA"/>
      <sheetName val="Sheet2"/>
      <sheetName val="File Cover"/>
      <sheetName val="SIMAH"/>
      <sheetName val="PP-New Employee"/>
      <sheetName val="ADIB Academy"/>
      <sheetName val="Employee Information2"/>
      <sheetName val="ID Expiring Report"/>
      <sheetName val="ACT-DATA"/>
      <sheetName val="NACT-DATA"/>
      <sheetName val="قرار تعيين"/>
      <sheetName val="Families Data (Bupa)"/>
      <sheetName val="MI All"/>
      <sheetName val="Services"/>
      <sheetName val="Bupa"/>
      <sheetName val="PAYROLL"/>
      <sheetName val="PAYROLL1"/>
      <sheetName val="HA"/>
      <sheetName val="LOAN"/>
      <sheetName val="MI-Other Loan"/>
      <sheetName val="Other Deduction"/>
      <sheetName val="MI Upgrade"/>
      <sheetName val="MI Upgrade (2)"/>
      <sheetName val="Ref. No. maker"/>
      <sheetName val="EC Normal"/>
      <sheetName val="EC Normal EOS"/>
      <sheetName val="EC Full Details"/>
      <sheetName val="EC WO Salary"/>
      <sheetName val="خطاب تثبيت"/>
      <sheetName val="خطاب تثبيت (F)"/>
      <sheetName val="EN CERTIFICATE (2)"/>
      <sheetName val="قرار نقل"/>
      <sheetName val="قرار ترقية"/>
      <sheetName val="خبرة"/>
      <sheetName val="خبرة F"/>
      <sheetName val="Clearance"/>
      <sheetName val="EOS"/>
      <sheetName val="قرار"/>
      <sheetName val="EOS-B"/>
      <sheetName val="TO RATIO"/>
      <sheetName val="GOSI"/>
      <sheetName val="Warning Letter  (2)"/>
      <sheetName val="Warning Letter "/>
      <sheetName val="Warning Letter  (3)"/>
      <sheetName val="EN CERTIFIC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A2" t="str">
            <v>A1378_</v>
          </cell>
        </row>
      </sheetData>
      <sheetData sheetId="31"/>
      <sheetData sheetId="32">
        <row r="1">
          <cell r="A1" t="str">
            <v>IMP #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ynamics Enum Cache"/>
      <sheetName val="LedgerJournalTrans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list"/>
      <sheetName val="conso"/>
      <sheetName val="steel"/>
      <sheetName val="fasteners"/>
      <sheetName val="filters"/>
      <sheetName val="polywood"/>
      <sheetName val="efs"/>
      <sheetName val="bmd"/>
      <sheetName val="cement"/>
      <sheetName val="goodyear"/>
      <sheetName val="transport"/>
      <sheetName val="saveto"/>
      <sheetName val="ramat"/>
      <sheetName val="insuwrap"/>
      <sheetName val="sascom"/>
      <sheetName val="food"/>
      <sheetName val="cwc"/>
      <sheetName val="sidmas"/>
      <sheetName val="uae"/>
      <sheetName val="donaldson"/>
      <sheetName val="nibco"/>
      <sheetName val="comatec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"/>
    </sheetNames>
    <sheetDataSet>
      <sheetData sheetId="0"/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Holidays"/>
    </sheetNames>
    <sheetDataSet>
      <sheetData sheetId="0" refreshError="1">
        <row r="4">
          <cell r="H4" t="str">
            <v>SUNDAY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TRIAL"/>
      <sheetName val="FA"/>
      <sheetName val="2006"/>
      <sheetName val="Sheet3"/>
      <sheetName val="2005"/>
      <sheetName val="2004"/>
      <sheetName val="Sheet1"/>
      <sheetName val="Sheet2"/>
      <sheetName val="TRIALMarch"/>
      <sheetName val="TRIAL (Dec)"/>
      <sheetName val="owner"/>
      <sheetName val="Sheet5"/>
      <sheetName val="Bs-Detaile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290F-39F0-4332-BBB6-4B108949409D}">
  <dimension ref="A3:AP91"/>
  <sheetViews>
    <sheetView showGridLines="0" tabSelected="1" zoomScale="85" zoomScaleNormal="85" workbookViewId="0">
      <pane ySplit="8" topLeftCell="A9" activePane="bottomLeft" state="frozen"/>
      <selection activeCell="C8" sqref="C8"/>
      <selection pane="bottomLeft"/>
    </sheetView>
  </sheetViews>
  <sheetFormatPr defaultColWidth="8.796875" defaultRowHeight="14.25" outlineLevelRow="1" outlineLevelCol="1" x14ac:dyDescent="0.45"/>
  <cols>
    <col min="1" max="1" width="3.46484375" style="1" customWidth="1"/>
    <col min="2" max="2" width="40.53125" bestFit="1" customWidth="1"/>
    <col min="3" max="3" width="2.265625" customWidth="1"/>
    <col min="4" max="4" width="14.53125" bestFit="1" customWidth="1"/>
    <col min="5" max="16" width="14.265625" hidden="1" customWidth="1" outlineLevel="1"/>
    <col min="17" max="17" width="2" customWidth="1" collapsed="1"/>
    <col min="18" max="18" width="14.53125" bestFit="1" customWidth="1"/>
    <col min="19" max="30" width="14.265625" hidden="1" customWidth="1" outlineLevel="1"/>
    <col min="31" max="31" width="8.796875" collapsed="1"/>
  </cols>
  <sheetData>
    <row r="3" spans="1:32" x14ac:dyDescent="0.4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2" x14ac:dyDescent="0.45"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2" x14ac:dyDescent="0.45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2" s="10" customFormat="1" ht="14.65" thickBot="1" x14ac:dyDescent="0.5">
      <c r="A6" s="7"/>
      <c r="B6" s="8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2" ht="14.65" thickBot="1" x14ac:dyDescent="0.5">
      <c r="B7" s="12" t="s">
        <v>0</v>
      </c>
      <c r="C7" s="2"/>
      <c r="D7" s="77">
        <v>2023</v>
      </c>
      <c r="E7" s="13">
        <v>45261</v>
      </c>
      <c r="F7" s="13">
        <v>45231</v>
      </c>
      <c r="G7" s="13">
        <v>45200</v>
      </c>
      <c r="H7" s="13">
        <v>45170</v>
      </c>
      <c r="I7" s="13">
        <v>45139</v>
      </c>
      <c r="J7" s="13">
        <v>45108</v>
      </c>
      <c r="K7" s="13">
        <v>45078</v>
      </c>
      <c r="L7" s="13">
        <v>45047</v>
      </c>
      <c r="M7" s="13">
        <v>45017</v>
      </c>
      <c r="N7" s="13">
        <v>44986</v>
      </c>
      <c r="O7" s="13">
        <v>44958</v>
      </c>
      <c r="P7" s="13">
        <v>44927</v>
      </c>
      <c r="Q7" s="14"/>
      <c r="R7" s="77">
        <v>2022</v>
      </c>
      <c r="S7" s="13">
        <v>44896</v>
      </c>
      <c r="T7" s="13">
        <v>44866</v>
      </c>
      <c r="U7" s="13">
        <v>44835</v>
      </c>
      <c r="V7" s="13">
        <v>44805</v>
      </c>
      <c r="W7" s="13">
        <v>44774</v>
      </c>
      <c r="X7" s="13">
        <v>44743</v>
      </c>
      <c r="Y7" s="13">
        <v>44713</v>
      </c>
      <c r="Z7" s="13">
        <v>44682</v>
      </c>
      <c r="AA7" s="13">
        <v>44652</v>
      </c>
      <c r="AB7" s="13">
        <v>44621</v>
      </c>
      <c r="AC7" s="13">
        <v>44593</v>
      </c>
      <c r="AD7" s="13">
        <v>44562</v>
      </c>
      <c r="AE7" s="14"/>
      <c r="AF7" s="14"/>
    </row>
    <row r="8" spans="1:32" x14ac:dyDescent="0.45">
      <c r="B8" s="15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2" x14ac:dyDescent="0.45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2" x14ac:dyDescent="0.45">
      <c r="B10" s="18" t="s">
        <v>1</v>
      </c>
      <c r="C10" s="56"/>
      <c r="D10" s="71">
        <f>SUM(E10:P10)</f>
        <v>57322742.040000007</v>
      </c>
      <c r="E10" s="71">
        <v>12279967.530000001</v>
      </c>
      <c r="F10" s="71">
        <v>6429701.3499999996</v>
      </c>
      <c r="G10" s="71">
        <v>4414065.37</v>
      </c>
      <c r="H10" s="71">
        <v>3852849.84</v>
      </c>
      <c r="I10" s="71">
        <v>6032465.4000000004</v>
      </c>
      <c r="J10" s="71">
        <v>3581761.18</v>
      </c>
      <c r="K10" s="71">
        <v>4062191.6600000039</v>
      </c>
      <c r="L10" s="71">
        <v>4192821.5399999982</v>
      </c>
      <c r="M10" s="71">
        <v>2708707.7199999997</v>
      </c>
      <c r="N10" s="71">
        <v>2248909.6999999993</v>
      </c>
      <c r="O10" s="71">
        <v>4199197.37</v>
      </c>
      <c r="P10" s="71">
        <v>3320103.38</v>
      </c>
      <c r="Q10" s="40"/>
      <c r="R10" s="71">
        <f>SUM(S10:AD10)</f>
        <v>12745460.02</v>
      </c>
      <c r="S10" s="71">
        <v>2884394.59</v>
      </c>
      <c r="T10" s="71">
        <v>1740043.45</v>
      </c>
      <c r="U10" s="71">
        <v>1623528</v>
      </c>
      <c r="V10" s="71">
        <v>4237235.72</v>
      </c>
      <c r="W10" s="71">
        <v>720345.4</v>
      </c>
      <c r="X10" s="71">
        <v>916041.86</v>
      </c>
      <c r="Y10" s="71">
        <v>0</v>
      </c>
      <c r="Z10" s="71">
        <v>623871</v>
      </c>
      <c r="AA10" s="71">
        <v>0</v>
      </c>
      <c r="AB10" s="71">
        <v>0</v>
      </c>
      <c r="AC10" s="71">
        <v>0</v>
      </c>
      <c r="AD10" s="71">
        <v>0</v>
      </c>
    </row>
    <row r="11" spans="1:32" x14ac:dyDescent="0.45">
      <c r="B11" s="18" t="s">
        <v>2</v>
      </c>
      <c r="C11" s="56"/>
      <c r="D11" s="71">
        <f>SUM(E11:P11)</f>
        <v>52729140.729999997</v>
      </c>
      <c r="E11" s="71">
        <v>11381432.99</v>
      </c>
      <c r="F11" s="71">
        <v>5713099.46</v>
      </c>
      <c r="G11" s="71">
        <v>4119965.28</v>
      </c>
      <c r="H11" s="71">
        <v>3435387.34</v>
      </c>
      <c r="I11" s="71">
        <v>5604717.2199999997</v>
      </c>
      <c r="J11" s="71">
        <v>3269856.78</v>
      </c>
      <c r="K11" s="71">
        <v>3664756.169999999</v>
      </c>
      <c r="L11" s="71">
        <v>4053615.5000000009</v>
      </c>
      <c r="M11" s="71">
        <v>2398492.0099999998</v>
      </c>
      <c r="N11" s="71">
        <v>2042580.1000000006</v>
      </c>
      <c r="O11" s="71">
        <v>3939410.08</v>
      </c>
      <c r="P11" s="71">
        <v>3105827.8</v>
      </c>
      <c r="Q11" s="40"/>
      <c r="R11" s="71">
        <f>SUM(S11:AD11)</f>
        <v>11937193.42</v>
      </c>
      <c r="S11" s="71">
        <v>2683191.17</v>
      </c>
      <c r="T11" s="71">
        <v>1637655</v>
      </c>
      <c r="U11" s="71">
        <v>1523120</v>
      </c>
      <c r="V11" s="71">
        <v>1912758</v>
      </c>
      <c r="W11" s="71">
        <v>1272259</v>
      </c>
      <c r="X11" s="71">
        <v>1264300</v>
      </c>
      <c r="Y11" s="71">
        <v>603450</v>
      </c>
      <c r="Z11" s="71">
        <v>434760.25</v>
      </c>
      <c r="AA11" s="71">
        <v>605700</v>
      </c>
      <c r="AB11" s="71">
        <v>0</v>
      </c>
      <c r="AC11" s="71">
        <v>0</v>
      </c>
      <c r="AD11" s="71">
        <v>0</v>
      </c>
    </row>
    <row r="12" spans="1:32" hidden="1" outlineLevel="1" x14ac:dyDescent="0.45">
      <c r="B12" s="18" t="s">
        <v>3</v>
      </c>
      <c r="C12" s="72"/>
      <c r="D12" s="71">
        <f>SUM(E12:P12)</f>
        <v>0</v>
      </c>
      <c r="E12" s="71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40"/>
      <c r="R12" s="71">
        <f>SUM(S12:AD12)</f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  <c r="AC12" s="71">
        <v>0</v>
      </c>
      <c r="AD12" s="71">
        <v>0</v>
      </c>
    </row>
    <row r="13" spans="1:32" collapsed="1" x14ac:dyDescent="0.45">
      <c r="B13" s="18" t="s">
        <v>4</v>
      </c>
      <c r="C13" s="56"/>
      <c r="D13" s="71">
        <f>SUM(E13:P13)</f>
        <v>395217.38999999996</v>
      </c>
      <c r="E13" s="71">
        <v>159782.60999999999</v>
      </c>
      <c r="F13" s="71">
        <v>84782.61</v>
      </c>
      <c r="G13" s="71">
        <v>45652.17</v>
      </c>
      <c r="H13" s="71">
        <v>0</v>
      </c>
      <c r="I13" s="71">
        <v>105000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40"/>
      <c r="R13" s="71">
        <f>SUM(S13:AD13)</f>
        <v>150320</v>
      </c>
      <c r="S13" s="71">
        <v>150320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  <c r="AC13" s="71">
        <v>0</v>
      </c>
      <c r="AD13" s="71">
        <v>0</v>
      </c>
    </row>
    <row r="14" spans="1:32" s="15" customFormat="1" x14ac:dyDescent="0.45">
      <c r="A14" s="19"/>
      <c r="B14" s="20" t="s">
        <v>5</v>
      </c>
      <c r="C14" s="74"/>
      <c r="D14" s="73">
        <f>+D10-D11-D12+D13</f>
        <v>4988818.7000000095</v>
      </c>
      <c r="E14" s="73">
        <f t="shared" ref="E14:P14" si="0">+E10-E11-E12+E13</f>
        <v>1058317.1500000008</v>
      </c>
      <c r="F14" s="73">
        <f t="shared" si="0"/>
        <v>801384.49999999965</v>
      </c>
      <c r="G14" s="73">
        <f t="shared" si="0"/>
        <v>339752.2600000003</v>
      </c>
      <c r="H14" s="73">
        <f t="shared" si="0"/>
        <v>417462.5</v>
      </c>
      <c r="I14" s="73">
        <f t="shared" si="0"/>
        <v>532748.18000000063</v>
      </c>
      <c r="J14" s="73">
        <f t="shared" si="0"/>
        <v>311904.40000000037</v>
      </c>
      <c r="K14" s="73">
        <f t="shared" si="0"/>
        <v>397435.49000000488</v>
      </c>
      <c r="L14" s="73">
        <f t="shared" si="0"/>
        <v>139206.03999999724</v>
      </c>
      <c r="M14" s="73">
        <f t="shared" si="0"/>
        <v>310215.70999999996</v>
      </c>
      <c r="N14" s="73">
        <f t="shared" si="0"/>
        <v>206329.5999999987</v>
      </c>
      <c r="O14" s="73">
        <f t="shared" si="0"/>
        <v>259787.29000000004</v>
      </c>
      <c r="P14" s="73">
        <f t="shared" si="0"/>
        <v>214275.58000000007</v>
      </c>
      <c r="Q14" s="29"/>
      <c r="R14" s="73">
        <f>+R10-R11-R12+R13</f>
        <v>958586.59999999963</v>
      </c>
      <c r="S14" s="73">
        <f t="shared" ref="S14:AD14" si="1">+S10-S11-S12+S13</f>
        <v>351523.41999999993</v>
      </c>
      <c r="T14" s="73">
        <f t="shared" si="1"/>
        <v>102388.44999999995</v>
      </c>
      <c r="U14" s="73">
        <f t="shared" si="1"/>
        <v>100408</v>
      </c>
      <c r="V14" s="73">
        <f t="shared" si="1"/>
        <v>2324477.7199999997</v>
      </c>
      <c r="W14" s="73">
        <f t="shared" si="1"/>
        <v>-551913.6</v>
      </c>
      <c r="X14" s="73">
        <f t="shared" si="1"/>
        <v>-348258.14</v>
      </c>
      <c r="Y14" s="73">
        <f t="shared" si="1"/>
        <v>-603450</v>
      </c>
      <c r="Z14" s="73">
        <f t="shared" si="1"/>
        <v>189110.75</v>
      </c>
      <c r="AA14" s="73">
        <f t="shared" si="1"/>
        <v>-605700</v>
      </c>
      <c r="AB14" s="73">
        <f t="shared" si="1"/>
        <v>0</v>
      </c>
      <c r="AC14" s="73">
        <f t="shared" si="1"/>
        <v>0</v>
      </c>
      <c r="AD14" s="73">
        <f t="shared" si="1"/>
        <v>0</v>
      </c>
    </row>
    <row r="15" spans="1:32" x14ac:dyDescent="0.45">
      <c r="B15" s="21"/>
      <c r="C15" s="72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40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</row>
    <row r="16" spans="1:32" s="15" customFormat="1" x14ac:dyDescent="0.45">
      <c r="A16" s="19"/>
      <c r="B16" s="20" t="s">
        <v>6</v>
      </c>
      <c r="C16" s="74"/>
      <c r="D16" s="73">
        <f t="shared" ref="D16:AD16" si="2">SUM(D17:D33)</f>
        <v>625802.98</v>
      </c>
      <c r="E16" s="73">
        <f t="shared" si="2"/>
        <v>286205.24000000005</v>
      </c>
      <c r="F16" s="73">
        <f t="shared" si="2"/>
        <v>40150.89</v>
      </c>
      <c r="G16" s="73">
        <f t="shared" si="2"/>
        <v>39937.32</v>
      </c>
      <c r="H16" s="73">
        <f t="shared" si="2"/>
        <v>34460.949999999997</v>
      </c>
      <c r="I16" s="73">
        <f t="shared" si="2"/>
        <v>47970.649999999994</v>
      </c>
      <c r="J16" s="73">
        <f t="shared" si="2"/>
        <v>51368.619999999995</v>
      </c>
      <c r="K16" s="73">
        <f t="shared" si="2"/>
        <v>16948.649999999998</v>
      </c>
      <c r="L16" s="73">
        <f t="shared" si="2"/>
        <v>44210.439999999995</v>
      </c>
      <c r="M16" s="73">
        <f t="shared" si="2"/>
        <v>13435.05</v>
      </c>
      <c r="N16" s="73">
        <f t="shared" si="2"/>
        <v>23725.54</v>
      </c>
      <c r="O16" s="73">
        <f t="shared" si="2"/>
        <v>10463.64</v>
      </c>
      <c r="P16" s="73">
        <f t="shared" si="2"/>
        <v>16925.989999999998</v>
      </c>
      <c r="Q16" s="29"/>
      <c r="R16" s="73">
        <f t="shared" si="2"/>
        <v>80901.37999999999</v>
      </c>
      <c r="S16" s="73">
        <f t="shared" si="2"/>
        <v>16753.13</v>
      </c>
      <c r="T16" s="73">
        <f t="shared" si="2"/>
        <v>13088.05</v>
      </c>
      <c r="U16" s="73">
        <f t="shared" si="2"/>
        <v>13892.05</v>
      </c>
      <c r="V16" s="73">
        <f t="shared" si="2"/>
        <v>13199.160000000002</v>
      </c>
      <c r="W16" s="73">
        <f t="shared" si="2"/>
        <v>4443.12</v>
      </c>
      <c r="X16" s="73">
        <f t="shared" si="2"/>
        <v>7119.4600000000009</v>
      </c>
      <c r="Y16" s="73">
        <f t="shared" si="2"/>
        <v>7639.67</v>
      </c>
      <c r="Z16" s="73">
        <f t="shared" si="2"/>
        <v>1822.44</v>
      </c>
      <c r="AA16" s="73">
        <f t="shared" si="2"/>
        <v>1414.96</v>
      </c>
      <c r="AB16" s="73">
        <f t="shared" si="2"/>
        <v>1139.28</v>
      </c>
      <c r="AC16" s="73">
        <f t="shared" si="2"/>
        <v>24.7</v>
      </c>
      <c r="AD16" s="73">
        <f t="shared" si="2"/>
        <v>365.36</v>
      </c>
    </row>
    <row r="17" spans="2:30" hidden="1" outlineLevel="1" x14ac:dyDescent="0.45">
      <c r="B17" s="22" t="s">
        <v>7</v>
      </c>
      <c r="C17" s="72"/>
      <c r="D17" s="71">
        <f t="shared" ref="D17:D33" si="3">SUM(E17:P17)</f>
        <v>203000</v>
      </c>
      <c r="E17" s="71">
        <v>203000</v>
      </c>
      <c r="F17" s="71">
        <v>0</v>
      </c>
      <c r="G17" s="71">
        <v>0</v>
      </c>
      <c r="H17" s="71">
        <v>0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40"/>
      <c r="R17" s="71">
        <f t="shared" ref="R17:R33" si="4">SUM(S17:AD17)</f>
        <v>2</v>
      </c>
      <c r="S17" s="71">
        <v>0.9</v>
      </c>
      <c r="T17" s="71">
        <v>0.33</v>
      </c>
      <c r="U17" s="71">
        <v>0.13</v>
      </c>
      <c r="V17" s="71">
        <v>0.5</v>
      </c>
      <c r="W17" s="71">
        <v>0.14000000000000001</v>
      </c>
      <c r="X17" s="71">
        <v>0</v>
      </c>
      <c r="Y17" s="71">
        <v>0</v>
      </c>
      <c r="Z17" s="71">
        <v>0</v>
      </c>
      <c r="AA17" s="71">
        <v>0</v>
      </c>
      <c r="AB17" s="71">
        <v>0</v>
      </c>
      <c r="AC17" s="71">
        <v>0</v>
      </c>
      <c r="AD17" s="71">
        <v>0</v>
      </c>
    </row>
    <row r="18" spans="2:30" hidden="1" outlineLevel="1" x14ac:dyDescent="0.45">
      <c r="B18" s="22" t="s">
        <v>8</v>
      </c>
      <c r="C18" s="72"/>
      <c r="D18" s="71">
        <f t="shared" si="3"/>
        <v>12634.3</v>
      </c>
      <c r="E18" s="71">
        <v>2372.7600000000002</v>
      </c>
      <c r="F18" s="71">
        <v>1160.17</v>
      </c>
      <c r="G18" s="71">
        <v>974.12</v>
      </c>
      <c r="H18" s="71">
        <v>539.53</v>
      </c>
      <c r="I18" s="71">
        <v>1353.36</v>
      </c>
      <c r="J18" s="71">
        <v>1348</v>
      </c>
      <c r="K18" s="71">
        <v>1309.8</v>
      </c>
      <c r="L18" s="71">
        <v>889.77000000000021</v>
      </c>
      <c r="M18" s="71">
        <v>806.44999999999982</v>
      </c>
      <c r="N18" s="71">
        <v>593.44000000000005</v>
      </c>
      <c r="O18" s="71">
        <v>635.58999999999992</v>
      </c>
      <c r="P18" s="71">
        <v>651.30999999999995</v>
      </c>
      <c r="Q18" s="40"/>
      <c r="R18" s="71">
        <f t="shared" si="4"/>
        <v>3108.2499999999995</v>
      </c>
      <c r="S18" s="71">
        <v>837.06</v>
      </c>
      <c r="T18" s="71">
        <v>279.41000000000003</v>
      </c>
      <c r="U18" s="71">
        <v>862.46</v>
      </c>
      <c r="V18" s="71">
        <v>323.58999999999997</v>
      </c>
      <c r="W18" s="71">
        <v>334.45</v>
      </c>
      <c r="X18" s="71">
        <v>176.1</v>
      </c>
      <c r="Y18" s="71">
        <v>208.18</v>
      </c>
      <c r="Z18" s="71">
        <v>82</v>
      </c>
      <c r="AA18" s="71">
        <v>5</v>
      </c>
      <c r="AB18" s="71">
        <v>0</v>
      </c>
      <c r="AC18" s="71">
        <v>0</v>
      </c>
      <c r="AD18" s="71">
        <v>0</v>
      </c>
    </row>
    <row r="19" spans="2:30" hidden="1" outlineLevel="1" x14ac:dyDescent="0.45">
      <c r="B19" s="22" t="s">
        <v>9</v>
      </c>
      <c r="C19" s="72"/>
      <c r="D19" s="71">
        <f t="shared" si="3"/>
        <v>76680.34</v>
      </c>
      <c r="E19" s="71">
        <v>25436.7</v>
      </c>
      <c r="F19" s="71">
        <v>4818.71</v>
      </c>
      <c r="G19" s="71">
        <v>1944.34</v>
      </c>
      <c r="H19" s="71">
        <v>3623.1</v>
      </c>
      <c r="I19" s="71">
        <v>5501.8899999999994</v>
      </c>
      <c r="J19" s="71">
        <v>22511.980000000003</v>
      </c>
      <c r="K19" s="71">
        <v>0</v>
      </c>
      <c r="L19" s="71">
        <v>11826.72</v>
      </c>
      <c r="M19" s="71">
        <v>233.42</v>
      </c>
      <c r="N19" s="71">
        <v>478.26</v>
      </c>
      <c r="O19" s="71">
        <v>0</v>
      </c>
      <c r="P19" s="71">
        <v>305.22000000000003</v>
      </c>
      <c r="Q19" s="40"/>
      <c r="R19" s="71">
        <f t="shared" si="4"/>
        <v>22495.349999999995</v>
      </c>
      <c r="S19" s="71">
        <v>5691.6</v>
      </c>
      <c r="T19" s="71">
        <v>0</v>
      </c>
      <c r="U19" s="71">
        <v>1421.7</v>
      </c>
      <c r="V19" s="71">
        <v>32.17</v>
      </c>
      <c r="W19" s="71">
        <v>1763.26</v>
      </c>
      <c r="X19" s="71">
        <v>5912.71</v>
      </c>
      <c r="Y19" s="71">
        <v>6855.65</v>
      </c>
      <c r="Z19" s="71">
        <v>818.26</v>
      </c>
      <c r="AA19" s="71">
        <v>0</v>
      </c>
      <c r="AB19" s="71">
        <v>0</v>
      </c>
      <c r="AC19" s="71">
        <v>0</v>
      </c>
      <c r="AD19" s="71">
        <v>0</v>
      </c>
    </row>
    <row r="20" spans="2:30" hidden="1" outlineLevel="1" x14ac:dyDescent="0.45">
      <c r="B20" s="22" t="s">
        <v>10</v>
      </c>
      <c r="C20" s="72"/>
      <c r="D20" s="71">
        <f t="shared" si="3"/>
        <v>7383.4800000000005</v>
      </c>
      <c r="E20" s="71">
        <v>470.56</v>
      </c>
      <c r="F20" s="71">
        <v>721.42</v>
      </c>
      <c r="G20" s="71">
        <v>758.26</v>
      </c>
      <c r="H20" s="71">
        <v>1078.92</v>
      </c>
      <c r="I20" s="71">
        <v>1073.8</v>
      </c>
      <c r="J20" s="71">
        <v>1087.98</v>
      </c>
      <c r="K20" s="71">
        <v>791.11999999999989</v>
      </c>
      <c r="L20" s="71">
        <v>35.130000000000109</v>
      </c>
      <c r="M20" s="71">
        <v>1366.29</v>
      </c>
      <c r="N20" s="71">
        <v>0</v>
      </c>
      <c r="O20" s="71">
        <v>0</v>
      </c>
      <c r="P20" s="71">
        <v>0</v>
      </c>
      <c r="Q20" s="40"/>
      <c r="R20" s="71">
        <f t="shared" si="4"/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  <c r="AC20" s="71">
        <v>0</v>
      </c>
      <c r="AD20" s="71">
        <v>0</v>
      </c>
    </row>
    <row r="21" spans="2:30" hidden="1" outlineLevel="1" x14ac:dyDescent="0.45">
      <c r="B21" s="22" t="s">
        <v>11</v>
      </c>
      <c r="C21" s="72"/>
      <c r="D21" s="71">
        <f t="shared" si="3"/>
        <v>17570.939999999999</v>
      </c>
      <c r="E21" s="71">
        <v>0</v>
      </c>
      <c r="F21" s="71">
        <v>0</v>
      </c>
      <c r="G21" s="71">
        <v>2632.33</v>
      </c>
      <c r="H21" s="71">
        <v>1995.08</v>
      </c>
      <c r="I21" s="71">
        <v>2437.9299999999998</v>
      </c>
      <c r="J21" s="71">
        <v>4308.43</v>
      </c>
      <c r="K21" s="71">
        <v>0</v>
      </c>
      <c r="L21" s="71">
        <v>210.22</v>
      </c>
      <c r="M21" s="71">
        <v>0</v>
      </c>
      <c r="N21" s="71">
        <v>0</v>
      </c>
      <c r="O21" s="71">
        <v>0</v>
      </c>
      <c r="P21" s="71">
        <v>5986.95</v>
      </c>
      <c r="Q21" s="40"/>
      <c r="R21" s="71">
        <f t="shared" si="4"/>
        <v>3108.82</v>
      </c>
      <c r="S21" s="71">
        <v>0</v>
      </c>
      <c r="T21" s="71">
        <v>3108.82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  <c r="AC21" s="71">
        <v>0</v>
      </c>
      <c r="AD21" s="71">
        <v>0</v>
      </c>
    </row>
    <row r="22" spans="2:30" hidden="1" outlineLevel="1" x14ac:dyDescent="0.45">
      <c r="B22" s="22" t="s">
        <v>12</v>
      </c>
      <c r="C22" s="72"/>
      <c r="D22" s="71">
        <f t="shared" si="3"/>
        <v>7375.37</v>
      </c>
      <c r="E22" s="71">
        <v>5375.37</v>
      </c>
      <c r="F22" s="71">
        <v>0</v>
      </c>
      <c r="G22" s="71">
        <v>0</v>
      </c>
      <c r="H22" s="71">
        <v>0</v>
      </c>
      <c r="I22" s="71">
        <v>2000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40"/>
      <c r="R22" s="71">
        <f t="shared" si="4"/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  <c r="AC22" s="71">
        <v>0</v>
      </c>
      <c r="AD22" s="71">
        <v>0</v>
      </c>
    </row>
    <row r="23" spans="2:30" hidden="1" outlineLevel="1" x14ac:dyDescent="0.45">
      <c r="B23" s="22" t="s">
        <v>13</v>
      </c>
      <c r="C23" s="72"/>
      <c r="D23" s="71">
        <f t="shared" si="3"/>
        <v>3101.9199999999996</v>
      </c>
      <c r="E23" s="71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294.77999999999997</v>
      </c>
      <c r="L23" s="71">
        <v>2578</v>
      </c>
      <c r="M23" s="71">
        <v>0</v>
      </c>
      <c r="N23" s="71">
        <v>229.14</v>
      </c>
      <c r="O23" s="71">
        <v>0</v>
      </c>
      <c r="P23" s="71">
        <v>0</v>
      </c>
      <c r="Q23" s="40"/>
      <c r="R23" s="71">
        <f t="shared" si="4"/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  <c r="AC23" s="71">
        <v>0</v>
      </c>
      <c r="AD23" s="71">
        <v>0</v>
      </c>
    </row>
    <row r="24" spans="2:30" hidden="1" outlineLevel="1" x14ac:dyDescent="0.45">
      <c r="B24" s="22" t="s">
        <v>14</v>
      </c>
      <c r="C24" s="72"/>
      <c r="D24" s="71">
        <f t="shared" si="3"/>
        <v>66107.77</v>
      </c>
      <c r="E24" s="71">
        <v>16429.330000000002</v>
      </c>
      <c r="F24" s="71">
        <v>8029.34</v>
      </c>
      <c r="G24" s="71">
        <v>8029.34</v>
      </c>
      <c r="H24" s="71">
        <v>5833.33</v>
      </c>
      <c r="I24" s="71">
        <v>5833.33</v>
      </c>
      <c r="J24" s="71">
        <v>6250</v>
      </c>
      <c r="K24" s="71">
        <v>919.85</v>
      </c>
      <c r="L24" s="71">
        <v>2956.65</v>
      </c>
      <c r="M24" s="71">
        <v>2956.65</v>
      </c>
      <c r="N24" s="71">
        <v>2956.650000000001</v>
      </c>
      <c r="O24" s="71">
        <v>2956.65</v>
      </c>
      <c r="P24" s="71">
        <v>2956.65</v>
      </c>
      <c r="Q24" s="40"/>
      <c r="R24" s="71">
        <f t="shared" si="4"/>
        <v>21199.09</v>
      </c>
      <c r="S24" s="71">
        <v>3159.85</v>
      </c>
      <c r="T24" s="71">
        <v>3159.85</v>
      </c>
      <c r="U24" s="71">
        <v>3159.85</v>
      </c>
      <c r="V24" s="71">
        <v>11719.54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  <c r="AC24" s="71">
        <v>0</v>
      </c>
      <c r="AD24" s="71">
        <v>0</v>
      </c>
    </row>
    <row r="25" spans="2:30" hidden="1" outlineLevel="1" x14ac:dyDescent="0.45">
      <c r="B25" s="22" t="s">
        <v>15</v>
      </c>
      <c r="C25" s="72"/>
      <c r="D25" s="71">
        <f t="shared" si="3"/>
        <v>22352.170000000002</v>
      </c>
      <c r="E25" s="71">
        <v>9277.18</v>
      </c>
      <c r="F25" s="71">
        <v>2299</v>
      </c>
      <c r="G25" s="71">
        <v>2088.3000000000002</v>
      </c>
      <c r="H25" s="71">
        <v>1629.28</v>
      </c>
      <c r="I25" s="71">
        <v>2093.89</v>
      </c>
      <c r="J25" s="71">
        <v>2230.8200000000002</v>
      </c>
      <c r="K25" s="71">
        <v>266.51999999999953</v>
      </c>
      <c r="L25" s="71">
        <v>2213.92</v>
      </c>
      <c r="M25" s="71">
        <v>0</v>
      </c>
      <c r="N25" s="71">
        <v>118.25999999999999</v>
      </c>
      <c r="O25" s="71">
        <v>135</v>
      </c>
      <c r="P25" s="71">
        <v>0</v>
      </c>
      <c r="Q25" s="40"/>
      <c r="R25" s="71">
        <f t="shared" si="4"/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  <c r="AC25" s="71">
        <v>0</v>
      </c>
      <c r="AD25" s="71">
        <v>0</v>
      </c>
    </row>
    <row r="26" spans="2:30" hidden="1" outlineLevel="1" x14ac:dyDescent="0.45">
      <c r="B26" s="22" t="s">
        <v>16</v>
      </c>
      <c r="C26" s="72"/>
      <c r="D26" s="71">
        <f t="shared" si="3"/>
        <v>20469.97</v>
      </c>
      <c r="E26" s="71">
        <v>0</v>
      </c>
      <c r="F26" s="71">
        <v>0</v>
      </c>
      <c r="G26" s="71">
        <v>0</v>
      </c>
      <c r="H26" s="71">
        <v>0</v>
      </c>
      <c r="I26" s="71">
        <v>0</v>
      </c>
      <c r="J26" s="71">
        <v>0</v>
      </c>
      <c r="K26" s="71">
        <v>0</v>
      </c>
      <c r="L26" s="71">
        <v>10000</v>
      </c>
      <c r="M26" s="71">
        <v>0</v>
      </c>
      <c r="N26" s="71">
        <v>10469.969999999999</v>
      </c>
      <c r="O26" s="71">
        <v>0</v>
      </c>
      <c r="P26" s="71">
        <v>0</v>
      </c>
      <c r="Q26" s="40"/>
      <c r="R26" s="71">
        <f t="shared" si="4"/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0</v>
      </c>
      <c r="Z26" s="71">
        <v>0</v>
      </c>
      <c r="AA26" s="71">
        <v>0</v>
      </c>
      <c r="AB26" s="71">
        <v>0</v>
      </c>
      <c r="AC26" s="71">
        <v>0</v>
      </c>
      <c r="AD26" s="71">
        <v>0</v>
      </c>
    </row>
    <row r="27" spans="2:30" hidden="1" outlineLevel="1" x14ac:dyDescent="0.45">
      <c r="B27" s="22" t="s">
        <v>17</v>
      </c>
      <c r="C27" s="72"/>
      <c r="D27" s="71">
        <f t="shared" si="3"/>
        <v>0</v>
      </c>
      <c r="E27" s="71">
        <v>0</v>
      </c>
      <c r="F27" s="71">
        <v>0</v>
      </c>
      <c r="G27" s="71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40"/>
      <c r="R27" s="71">
        <f t="shared" si="4"/>
        <v>869.93000000000006</v>
      </c>
      <c r="S27" s="71">
        <v>411.85</v>
      </c>
      <c r="T27" s="71">
        <v>0</v>
      </c>
      <c r="U27" s="71">
        <v>0</v>
      </c>
      <c r="V27" s="71">
        <v>458.08</v>
      </c>
      <c r="W27" s="71">
        <v>0</v>
      </c>
      <c r="X27" s="71">
        <v>0</v>
      </c>
      <c r="Y27" s="71">
        <v>0</v>
      </c>
      <c r="Z27" s="71">
        <v>0</v>
      </c>
      <c r="AA27" s="71">
        <v>0</v>
      </c>
      <c r="AB27" s="71">
        <v>0</v>
      </c>
      <c r="AC27" s="71">
        <v>0</v>
      </c>
      <c r="AD27" s="71">
        <v>0</v>
      </c>
    </row>
    <row r="28" spans="2:30" hidden="1" outlineLevel="1" x14ac:dyDescent="0.45">
      <c r="B28" s="22" t="s">
        <v>18</v>
      </c>
      <c r="C28" s="72"/>
      <c r="D28" s="71">
        <f t="shared" si="3"/>
        <v>189126.71999999994</v>
      </c>
      <c r="E28" s="71">
        <v>23843.34</v>
      </c>
      <c r="F28" s="71">
        <v>23122.25</v>
      </c>
      <c r="G28" s="71">
        <v>23510.63</v>
      </c>
      <c r="H28" s="71">
        <v>19761.71</v>
      </c>
      <c r="I28" s="71">
        <v>27676.449999999997</v>
      </c>
      <c r="J28" s="71">
        <v>13631.41</v>
      </c>
      <c r="K28" s="71">
        <v>13366.58</v>
      </c>
      <c r="L28" s="71">
        <v>13500.03</v>
      </c>
      <c r="M28" s="71">
        <v>8072.24</v>
      </c>
      <c r="N28" s="71">
        <v>8879.82</v>
      </c>
      <c r="O28" s="71">
        <v>6736.4</v>
      </c>
      <c r="P28" s="71">
        <v>7025.86</v>
      </c>
      <c r="Q28" s="40"/>
      <c r="R28" s="71">
        <f t="shared" si="4"/>
        <v>30117.94</v>
      </c>
      <c r="S28" s="71">
        <v>6651.87</v>
      </c>
      <c r="T28" s="71">
        <v>6539.64</v>
      </c>
      <c r="U28" s="71">
        <v>8447.91</v>
      </c>
      <c r="V28" s="71">
        <v>665.28</v>
      </c>
      <c r="W28" s="71">
        <v>2345.27</v>
      </c>
      <c r="X28" s="71">
        <v>1030.6500000000001</v>
      </c>
      <c r="Y28" s="71">
        <v>575.83999999999992</v>
      </c>
      <c r="Z28" s="71">
        <v>922.18</v>
      </c>
      <c r="AA28" s="71">
        <v>1409.96</v>
      </c>
      <c r="AB28" s="71">
        <v>1139.28</v>
      </c>
      <c r="AC28" s="71">
        <v>24.7</v>
      </c>
      <c r="AD28" s="71">
        <v>365.36</v>
      </c>
    </row>
    <row r="29" spans="2:30" hidden="1" outlineLevel="1" x14ac:dyDescent="0.45">
      <c r="B29" s="22" t="s">
        <v>19</v>
      </c>
      <c r="C29" s="72"/>
      <c r="D29" s="71">
        <f t="shared" si="3"/>
        <v>0</v>
      </c>
      <c r="E29" s="71">
        <v>0</v>
      </c>
      <c r="F29" s="71">
        <v>0</v>
      </c>
      <c r="G29" s="71">
        <v>0</v>
      </c>
      <c r="H29" s="71">
        <v>0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40"/>
      <c r="R29" s="71">
        <f t="shared" si="4"/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  <c r="Z29" s="71">
        <v>0</v>
      </c>
      <c r="AA29" s="71">
        <v>0</v>
      </c>
      <c r="AB29" s="71">
        <v>0</v>
      </c>
      <c r="AC29" s="71">
        <v>0</v>
      </c>
      <c r="AD29" s="71">
        <v>0</v>
      </c>
    </row>
    <row r="30" spans="2:30" hidden="1" outlineLevel="1" x14ac:dyDescent="0.45">
      <c r="B30" s="22" t="s">
        <v>20</v>
      </c>
      <c r="C30" s="40"/>
      <c r="D30" s="71">
        <f t="shared" si="3"/>
        <v>0</v>
      </c>
      <c r="E30" s="71">
        <v>0</v>
      </c>
      <c r="F30" s="71">
        <v>0</v>
      </c>
      <c r="G30" s="71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40"/>
      <c r="R30" s="71">
        <f t="shared" si="4"/>
        <v>0</v>
      </c>
      <c r="S30" s="71">
        <v>0</v>
      </c>
      <c r="T30" s="71">
        <v>0</v>
      </c>
      <c r="U30" s="71">
        <v>0</v>
      </c>
      <c r="V30" s="71">
        <v>0</v>
      </c>
      <c r="W30" s="71">
        <v>0</v>
      </c>
      <c r="X30" s="71">
        <v>0</v>
      </c>
      <c r="Y30" s="71">
        <v>0</v>
      </c>
      <c r="Z30" s="71">
        <v>0</v>
      </c>
      <c r="AA30" s="71">
        <v>0</v>
      </c>
      <c r="AB30" s="71">
        <v>0</v>
      </c>
      <c r="AC30" s="71">
        <v>0</v>
      </c>
      <c r="AD30" s="71">
        <v>0</v>
      </c>
    </row>
    <row r="31" spans="2:30" hidden="1" outlineLevel="1" x14ac:dyDescent="0.45">
      <c r="B31" s="22" t="s">
        <v>21</v>
      </c>
      <c r="C31" s="72"/>
      <c r="D31" s="71">
        <f t="shared" si="3"/>
        <v>0</v>
      </c>
      <c r="E31" s="71">
        <v>0</v>
      </c>
      <c r="F31" s="71">
        <v>0</v>
      </c>
      <c r="G31" s="71">
        <v>0</v>
      </c>
      <c r="H31" s="71">
        <v>0</v>
      </c>
      <c r="I31" s="71">
        <v>0</v>
      </c>
      <c r="J31" s="71">
        <v>0</v>
      </c>
      <c r="K31" s="71">
        <v>0</v>
      </c>
      <c r="L31" s="71">
        <v>0</v>
      </c>
      <c r="M31" s="71">
        <v>0</v>
      </c>
      <c r="N31" s="71">
        <v>0</v>
      </c>
      <c r="O31" s="71">
        <v>0</v>
      </c>
      <c r="P31" s="71">
        <v>0</v>
      </c>
      <c r="Q31" s="40"/>
      <c r="R31" s="71">
        <f t="shared" si="4"/>
        <v>0</v>
      </c>
      <c r="S31" s="71">
        <v>0</v>
      </c>
      <c r="T31" s="71">
        <v>0</v>
      </c>
      <c r="U31" s="71">
        <v>0</v>
      </c>
      <c r="V31" s="71">
        <v>0</v>
      </c>
      <c r="W31" s="71">
        <v>0</v>
      </c>
      <c r="X31" s="71">
        <v>0</v>
      </c>
      <c r="Y31" s="71">
        <v>0</v>
      </c>
      <c r="Z31" s="71">
        <v>0</v>
      </c>
      <c r="AA31" s="71">
        <v>0</v>
      </c>
      <c r="AB31" s="71">
        <v>0</v>
      </c>
      <c r="AC31" s="71">
        <v>0</v>
      </c>
      <c r="AD31" s="71">
        <v>0</v>
      </c>
    </row>
    <row r="32" spans="2:30" hidden="1" outlineLevel="1" x14ac:dyDescent="0.45">
      <c r="B32" s="22" t="s">
        <v>22</v>
      </c>
      <c r="C32" s="40"/>
      <c r="D32" s="71">
        <f t="shared" si="3"/>
        <v>0</v>
      </c>
      <c r="E32" s="71">
        <v>0</v>
      </c>
      <c r="F32" s="71">
        <v>0</v>
      </c>
      <c r="G32" s="71">
        <v>0</v>
      </c>
      <c r="H32" s="71">
        <v>0</v>
      </c>
      <c r="I32" s="71">
        <v>0</v>
      </c>
      <c r="J32" s="71">
        <v>0</v>
      </c>
      <c r="K32" s="71">
        <v>0</v>
      </c>
      <c r="L32" s="71">
        <v>0</v>
      </c>
      <c r="M32" s="71">
        <v>0</v>
      </c>
      <c r="N32" s="71">
        <v>0</v>
      </c>
      <c r="O32" s="71">
        <v>0</v>
      </c>
      <c r="P32" s="71">
        <v>0</v>
      </c>
      <c r="Q32" s="40"/>
      <c r="R32" s="71">
        <f t="shared" si="4"/>
        <v>0</v>
      </c>
      <c r="S32" s="71">
        <v>0</v>
      </c>
      <c r="T32" s="71">
        <v>0</v>
      </c>
      <c r="U32" s="71">
        <v>0</v>
      </c>
      <c r="V32" s="71">
        <v>0</v>
      </c>
      <c r="W32" s="71">
        <v>0</v>
      </c>
      <c r="X32" s="71">
        <v>0</v>
      </c>
      <c r="Y32" s="71">
        <v>0</v>
      </c>
      <c r="Z32" s="71">
        <v>0</v>
      </c>
      <c r="AA32" s="71">
        <v>0</v>
      </c>
      <c r="AB32" s="71">
        <v>0</v>
      </c>
      <c r="AC32" s="71">
        <v>0</v>
      </c>
      <c r="AD32" s="71">
        <v>0</v>
      </c>
    </row>
    <row r="33" spans="1:30" hidden="1" outlineLevel="1" x14ac:dyDescent="0.45">
      <c r="B33" s="22" t="s">
        <v>23</v>
      </c>
      <c r="C33" s="72"/>
      <c r="D33" s="71">
        <f t="shared" si="3"/>
        <v>0</v>
      </c>
      <c r="E33" s="71">
        <v>0</v>
      </c>
      <c r="F33" s="71">
        <v>0</v>
      </c>
      <c r="G33" s="71">
        <v>0</v>
      </c>
      <c r="H33" s="71">
        <v>0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0</v>
      </c>
      <c r="O33" s="71">
        <v>0</v>
      </c>
      <c r="P33" s="71">
        <v>0</v>
      </c>
      <c r="Q33" s="40"/>
      <c r="R33" s="71">
        <f t="shared" si="4"/>
        <v>0</v>
      </c>
      <c r="S33" s="71">
        <v>0</v>
      </c>
      <c r="T33" s="71">
        <v>0</v>
      </c>
      <c r="U33" s="71">
        <v>0</v>
      </c>
      <c r="V33" s="71">
        <v>0</v>
      </c>
      <c r="W33" s="71">
        <v>0</v>
      </c>
      <c r="X33" s="71">
        <v>0</v>
      </c>
      <c r="Y33" s="71">
        <v>0</v>
      </c>
      <c r="Z33" s="71">
        <v>0</v>
      </c>
      <c r="AA33" s="71">
        <v>0</v>
      </c>
      <c r="AB33" s="71">
        <v>0</v>
      </c>
      <c r="AC33" s="71">
        <v>0</v>
      </c>
      <c r="AD33" s="71">
        <v>0</v>
      </c>
    </row>
    <row r="34" spans="1:30" s="15" customFormat="1" collapsed="1" x14ac:dyDescent="0.45">
      <c r="A34" s="19"/>
      <c r="B34" s="20" t="s">
        <v>24</v>
      </c>
      <c r="C34" s="76"/>
      <c r="D34" s="73">
        <f>SUM(D35:D43)</f>
        <v>178775.77000000002</v>
      </c>
      <c r="E34" s="73">
        <f t="shared" ref="E34:P34" si="5">SUM(E35:E43)</f>
        <v>48094.97</v>
      </c>
      <c r="F34" s="73">
        <f t="shared" si="5"/>
        <v>19879.68</v>
      </c>
      <c r="G34" s="73">
        <f t="shared" si="5"/>
        <v>21903.79</v>
      </c>
      <c r="H34" s="73">
        <f t="shared" si="5"/>
        <v>16830.080000000002</v>
      </c>
      <c r="I34" s="73">
        <f t="shared" si="5"/>
        <v>18125.489999999998</v>
      </c>
      <c r="J34" s="73">
        <f t="shared" si="5"/>
        <v>23705.809999999998</v>
      </c>
      <c r="K34" s="73">
        <f t="shared" si="5"/>
        <v>9802.3499999999985</v>
      </c>
      <c r="L34" s="73">
        <f t="shared" si="5"/>
        <v>10814.6</v>
      </c>
      <c r="M34" s="73">
        <f t="shared" si="5"/>
        <v>778.35000000000059</v>
      </c>
      <c r="N34" s="73">
        <f t="shared" si="5"/>
        <v>5286.1399999999994</v>
      </c>
      <c r="O34" s="73">
        <f t="shared" si="5"/>
        <v>2667.73</v>
      </c>
      <c r="P34" s="73">
        <f t="shared" si="5"/>
        <v>886.78</v>
      </c>
      <c r="Q34" s="29"/>
      <c r="R34" s="73">
        <f>SUM(R35:R43)</f>
        <v>13285.65</v>
      </c>
      <c r="S34" s="73">
        <f t="shared" ref="S34:AD34" si="6">SUM(S35:S43)</f>
        <v>2060.09</v>
      </c>
      <c r="T34" s="73">
        <f t="shared" si="6"/>
        <v>3060.44</v>
      </c>
      <c r="U34" s="73">
        <f t="shared" si="6"/>
        <v>8165.12</v>
      </c>
      <c r="V34" s="73">
        <f t="shared" si="6"/>
        <v>0</v>
      </c>
      <c r="W34" s="73">
        <f t="shared" si="6"/>
        <v>0</v>
      </c>
      <c r="X34" s="73">
        <f t="shared" si="6"/>
        <v>0</v>
      </c>
      <c r="Y34" s="73">
        <f t="shared" si="6"/>
        <v>0</v>
      </c>
      <c r="Z34" s="73">
        <f t="shared" si="6"/>
        <v>0</v>
      </c>
      <c r="AA34" s="73">
        <f t="shared" si="6"/>
        <v>0</v>
      </c>
      <c r="AB34" s="73">
        <f t="shared" si="6"/>
        <v>0</v>
      </c>
      <c r="AC34" s="73">
        <f t="shared" si="6"/>
        <v>0</v>
      </c>
      <c r="AD34" s="73">
        <f t="shared" si="6"/>
        <v>0</v>
      </c>
    </row>
    <row r="35" spans="1:30" hidden="1" outlineLevel="1" x14ac:dyDescent="0.45">
      <c r="B35" s="22" t="s">
        <v>25</v>
      </c>
      <c r="C35" s="72"/>
      <c r="D35" s="71">
        <f t="shared" ref="D35:D43" si="7">SUM(E35:P35)</f>
        <v>61427.89</v>
      </c>
      <c r="E35" s="71">
        <v>21432.31</v>
      </c>
      <c r="F35" s="71">
        <v>4836.76</v>
      </c>
      <c r="G35" s="71">
        <v>4106.54</v>
      </c>
      <c r="H35" s="71">
        <v>631.46</v>
      </c>
      <c r="I35" s="71">
        <v>5670.45</v>
      </c>
      <c r="J35" s="71">
        <v>15049.03</v>
      </c>
      <c r="K35" s="71">
        <v>1988.7900000000004</v>
      </c>
      <c r="L35" s="71">
        <v>2449.8200000000002</v>
      </c>
      <c r="M35" s="71">
        <v>0</v>
      </c>
      <c r="N35" s="71">
        <v>2594.9999999999995</v>
      </c>
      <c r="O35" s="71">
        <v>2667.73</v>
      </c>
      <c r="P35" s="71">
        <v>0</v>
      </c>
      <c r="Q35" s="40"/>
      <c r="R35" s="71">
        <f t="shared" ref="R35:R43" si="8">SUM(S35:AD35)</f>
        <v>10789.65</v>
      </c>
      <c r="S35" s="71">
        <v>86.09</v>
      </c>
      <c r="T35" s="71">
        <v>2538.44</v>
      </c>
      <c r="U35" s="71">
        <v>8165.12</v>
      </c>
      <c r="V35" s="71">
        <v>0</v>
      </c>
      <c r="W35" s="71">
        <v>0</v>
      </c>
      <c r="X35" s="71">
        <v>0</v>
      </c>
      <c r="Y35" s="71">
        <v>0</v>
      </c>
      <c r="Z35" s="71">
        <v>0</v>
      </c>
      <c r="AA35" s="71">
        <v>0</v>
      </c>
      <c r="AB35" s="71">
        <v>0</v>
      </c>
      <c r="AC35" s="71">
        <v>0</v>
      </c>
      <c r="AD35" s="71">
        <v>0</v>
      </c>
    </row>
    <row r="36" spans="1:30" hidden="1" outlineLevel="1" x14ac:dyDescent="0.45">
      <c r="B36" s="22" t="s">
        <v>26</v>
      </c>
      <c r="C36" s="72"/>
      <c r="D36" s="71">
        <f t="shared" si="7"/>
        <v>0</v>
      </c>
      <c r="E36" s="71">
        <v>0</v>
      </c>
      <c r="F36" s="71">
        <v>0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71">
        <v>0</v>
      </c>
      <c r="M36" s="71">
        <v>0</v>
      </c>
      <c r="N36" s="71">
        <v>0</v>
      </c>
      <c r="O36" s="71">
        <v>0</v>
      </c>
      <c r="P36" s="71">
        <v>0</v>
      </c>
      <c r="Q36" s="40"/>
      <c r="R36" s="71">
        <f t="shared" si="8"/>
        <v>0</v>
      </c>
      <c r="S36" s="71">
        <v>0</v>
      </c>
      <c r="T36" s="71">
        <v>0</v>
      </c>
      <c r="U36" s="71">
        <v>0</v>
      </c>
      <c r="V36" s="71">
        <v>0</v>
      </c>
      <c r="W36" s="71">
        <v>0</v>
      </c>
      <c r="X36" s="71">
        <v>0</v>
      </c>
      <c r="Y36" s="71">
        <v>0</v>
      </c>
      <c r="Z36" s="71">
        <v>0</v>
      </c>
      <c r="AA36" s="71">
        <v>0</v>
      </c>
      <c r="AB36" s="71">
        <v>0</v>
      </c>
      <c r="AC36" s="71">
        <v>0</v>
      </c>
      <c r="AD36" s="71">
        <v>0</v>
      </c>
    </row>
    <row r="37" spans="1:30" hidden="1" outlineLevel="1" x14ac:dyDescent="0.45">
      <c r="B37" s="22" t="s">
        <v>27</v>
      </c>
      <c r="C37" s="72"/>
      <c r="D37" s="71">
        <f t="shared" si="7"/>
        <v>0</v>
      </c>
      <c r="E37" s="71">
        <v>0</v>
      </c>
      <c r="F37" s="71">
        <v>0</v>
      </c>
      <c r="G37" s="71">
        <v>0</v>
      </c>
      <c r="H37" s="71">
        <v>0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1">
        <v>0</v>
      </c>
      <c r="Q37" s="40"/>
      <c r="R37" s="71">
        <f t="shared" si="8"/>
        <v>0</v>
      </c>
      <c r="S37" s="71">
        <v>0</v>
      </c>
      <c r="T37" s="71">
        <v>0</v>
      </c>
      <c r="U37" s="71">
        <v>0</v>
      </c>
      <c r="V37" s="71">
        <v>0</v>
      </c>
      <c r="W37" s="71">
        <v>0</v>
      </c>
      <c r="X37" s="71">
        <v>0</v>
      </c>
      <c r="Y37" s="71">
        <v>0</v>
      </c>
      <c r="Z37" s="71">
        <v>0</v>
      </c>
      <c r="AA37" s="71">
        <v>0</v>
      </c>
      <c r="AB37" s="71">
        <v>0</v>
      </c>
      <c r="AC37" s="71">
        <v>0</v>
      </c>
      <c r="AD37" s="71">
        <v>0</v>
      </c>
    </row>
    <row r="38" spans="1:30" hidden="1" outlineLevel="1" x14ac:dyDescent="0.45">
      <c r="B38" s="22" t="s">
        <v>28</v>
      </c>
      <c r="C38" s="72"/>
      <c r="D38" s="71">
        <f t="shared" si="7"/>
        <v>58016.720000000008</v>
      </c>
      <c r="E38" s="71">
        <v>13878.59</v>
      </c>
      <c r="F38" s="71">
        <v>6570.64</v>
      </c>
      <c r="G38" s="71">
        <v>11105.2</v>
      </c>
      <c r="H38" s="71">
        <v>11272.22</v>
      </c>
      <c r="I38" s="71">
        <v>6754.21</v>
      </c>
      <c r="J38" s="71">
        <v>1081.8</v>
      </c>
      <c r="K38" s="71">
        <v>2994.86</v>
      </c>
      <c r="L38" s="71">
        <v>3359.73</v>
      </c>
      <c r="M38" s="71">
        <v>0</v>
      </c>
      <c r="N38" s="71">
        <v>999.47</v>
      </c>
      <c r="O38" s="71">
        <v>0</v>
      </c>
      <c r="P38" s="71">
        <v>0</v>
      </c>
      <c r="Q38" s="40"/>
      <c r="R38" s="71">
        <f t="shared" si="8"/>
        <v>0</v>
      </c>
      <c r="S38" s="71">
        <v>0</v>
      </c>
      <c r="T38" s="71">
        <v>0</v>
      </c>
      <c r="U38" s="71">
        <v>0</v>
      </c>
      <c r="V38" s="71">
        <v>0</v>
      </c>
      <c r="W38" s="71">
        <v>0</v>
      </c>
      <c r="X38" s="71">
        <v>0</v>
      </c>
      <c r="Y38" s="71">
        <v>0</v>
      </c>
      <c r="Z38" s="71">
        <v>0</v>
      </c>
      <c r="AA38" s="71">
        <v>0</v>
      </c>
      <c r="AB38" s="71">
        <v>0</v>
      </c>
      <c r="AC38" s="71">
        <v>0</v>
      </c>
      <c r="AD38" s="71">
        <v>0</v>
      </c>
    </row>
    <row r="39" spans="1:30" hidden="1" outlineLevel="1" x14ac:dyDescent="0.45">
      <c r="B39" s="22" t="s">
        <v>29</v>
      </c>
      <c r="C39" s="72"/>
      <c r="D39" s="71">
        <f t="shared" si="7"/>
        <v>0</v>
      </c>
      <c r="E39" s="71">
        <v>0</v>
      </c>
      <c r="F39" s="71">
        <v>0</v>
      </c>
      <c r="G39" s="71">
        <v>0</v>
      </c>
      <c r="H39" s="71">
        <v>0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71">
        <v>0</v>
      </c>
      <c r="P39" s="71">
        <v>0</v>
      </c>
      <c r="Q39" s="40"/>
      <c r="R39" s="71">
        <f t="shared" si="8"/>
        <v>0</v>
      </c>
      <c r="S39" s="71">
        <v>0</v>
      </c>
      <c r="T39" s="71">
        <v>0</v>
      </c>
      <c r="U39" s="71">
        <v>0</v>
      </c>
      <c r="V39" s="71">
        <v>0</v>
      </c>
      <c r="W39" s="71">
        <v>0</v>
      </c>
      <c r="X39" s="71">
        <v>0</v>
      </c>
      <c r="Y39" s="71">
        <v>0</v>
      </c>
      <c r="Z39" s="71">
        <v>0</v>
      </c>
      <c r="AA39" s="71">
        <v>0</v>
      </c>
      <c r="AB39" s="71">
        <v>0</v>
      </c>
      <c r="AC39" s="71">
        <v>0</v>
      </c>
      <c r="AD39" s="71">
        <v>0</v>
      </c>
    </row>
    <row r="40" spans="1:30" hidden="1" outlineLevel="1" x14ac:dyDescent="0.45">
      <c r="B40" s="22" t="s">
        <v>30</v>
      </c>
      <c r="C40" s="72"/>
      <c r="D40" s="71">
        <f t="shared" si="7"/>
        <v>0</v>
      </c>
      <c r="E40" s="71">
        <v>0</v>
      </c>
      <c r="F40" s="71">
        <v>0</v>
      </c>
      <c r="G40" s="71">
        <v>0</v>
      </c>
      <c r="H40" s="71">
        <v>0</v>
      </c>
      <c r="I40" s="71">
        <v>0</v>
      </c>
      <c r="J40" s="71">
        <v>0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1">
        <v>0</v>
      </c>
      <c r="Q40" s="40"/>
      <c r="R40" s="71">
        <f t="shared" si="8"/>
        <v>0</v>
      </c>
      <c r="S40" s="71">
        <v>0</v>
      </c>
      <c r="T40" s="71">
        <v>0</v>
      </c>
      <c r="U40" s="71">
        <v>0</v>
      </c>
      <c r="V40" s="71">
        <v>0</v>
      </c>
      <c r="W40" s="71">
        <v>0</v>
      </c>
      <c r="X40" s="71">
        <v>0</v>
      </c>
      <c r="Y40" s="71">
        <v>0</v>
      </c>
      <c r="Z40" s="71">
        <v>0</v>
      </c>
      <c r="AA40" s="71">
        <v>0</v>
      </c>
      <c r="AB40" s="71">
        <v>0</v>
      </c>
      <c r="AC40" s="71">
        <v>0</v>
      </c>
      <c r="AD40" s="71">
        <v>0</v>
      </c>
    </row>
    <row r="41" spans="1:30" hidden="1" outlineLevel="1" x14ac:dyDescent="0.45">
      <c r="B41" s="22" t="s">
        <v>31</v>
      </c>
      <c r="C41" s="72"/>
      <c r="D41" s="71">
        <f t="shared" si="7"/>
        <v>8831</v>
      </c>
      <c r="E41" s="71">
        <v>7866</v>
      </c>
      <c r="F41" s="71">
        <v>965</v>
      </c>
      <c r="G41" s="71">
        <v>0</v>
      </c>
      <c r="H41" s="71">
        <v>0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71">
        <v>0</v>
      </c>
      <c r="P41" s="71">
        <v>0</v>
      </c>
      <c r="Q41" s="40"/>
      <c r="R41" s="71">
        <f t="shared" si="8"/>
        <v>0</v>
      </c>
      <c r="S41" s="71">
        <v>0</v>
      </c>
      <c r="T41" s="71">
        <v>0</v>
      </c>
      <c r="U41" s="71">
        <v>0</v>
      </c>
      <c r="V41" s="71">
        <v>0</v>
      </c>
      <c r="W41" s="71">
        <v>0</v>
      </c>
      <c r="X41" s="71">
        <v>0</v>
      </c>
      <c r="Y41" s="71">
        <v>0</v>
      </c>
      <c r="Z41" s="71">
        <v>0</v>
      </c>
      <c r="AA41" s="71">
        <v>0</v>
      </c>
      <c r="AB41" s="71">
        <v>0</v>
      </c>
      <c r="AC41" s="71">
        <v>0</v>
      </c>
      <c r="AD41" s="71">
        <v>0</v>
      </c>
    </row>
    <row r="42" spans="1:30" hidden="1" outlineLevel="1" x14ac:dyDescent="0.45">
      <c r="B42" s="22" t="s">
        <v>32</v>
      </c>
      <c r="C42" s="72"/>
      <c r="D42" s="71">
        <f t="shared" si="7"/>
        <v>50500.159999999996</v>
      </c>
      <c r="E42" s="71">
        <v>4918.07</v>
      </c>
      <c r="F42" s="71">
        <v>7507.2800000000007</v>
      </c>
      <c r="G42" s="71">
        <v>6692.05</v>
      </c>
      <c r="H42" s="71">
        <v>4926.3999999999996</v>
      </c>
      <c r="I42" s="71">
        <v>5700.83</v>
      </c>
      <c r="J42" s="71">
        <v>7574.98</v>
      </c>
      <c r="K42" s="71">
        <v>4818.699999999998</v>
      </c>
      <c r="L42" s="71">
        <v>5005.05</v>
      </c>
      <c r="M42" s="71">
        <v>778.35000000000059</v>
      </c>
      <c r="N42" s="71">
        <v>1691.6699999999998</v>
      </c>
      <c r="O42" s="71">
        <v>0</v>
      </c>
      <c r="P42" s="71">
        <v>886.78</v>
      </c>
      <c r="Q42" s="40"/>
      <c r="R42" s="71">
        <f t="shared" si="8"/>
        <v>522</v>
      </c>
      <c r="S42" s="71">
        <v>0</v>
      </c>
      <c r="T42" s="71">
        <v>522</v>
      </c>
      <c r="U42" s="71">
        <v>0</v>
      </c>
      <c r="V42" s="71">
        <v>0</v>
      </c>
      <c r="W42" s="71">
        <v>0</v>
      </c>
      <c r="X42" s="71">
        <v>0</v>
      </c>
      <c r="Y42" s="71">
        <v>0</v>
      </c>
      <c r="Z42" s="71">
        <v>0</v>
      </c>
      <c r="AA42" s="71">
        <v>0</v>
      </c>
      <c r="AB42" s="71">
        <v>0</v>
      </c>
      <c r="AC42" s="71">
        <v>0</v>
      </c>
      <c r="AD42" s="71">
        <v>0</v>
      </c>
    </row>
    <row r="43" spans="1:30" hidden="1" outlineLevel="1" x14ac:dyDescent="0.45">
      <c r="B43" s="22" t="s">
        <v>33</v>
      </c>
      <c r="C43" s="72"/>
      <c r="D43" s="71">
        <f t="shared" si="7"/>
        <v>0</v>
      </c>
      <c r="E43" s="71">
        <v>0</v>
      </c>
      <c r="F43" s="71">
        <v>0</v>
      </c>
      <c r="G43" s="71">
        <v>0</v>
      </c>
      <c r="H43" s="71">
        <v>0</v>
      </c>
      <c r="I43" s="71">
        <v>0</v>
      </c>
      <c r="J43" s="71">
        <v>0</v>
      </c>
      <c r="K43" s="71">
        <v>0</v>
      </c>
      <c r="L43" s="71">
        <v>0</v>
      </c>
      <c r="M43" s="71">
        <v>0</v>
      </c>
      <c r="N43" s="71">
        <v>0</v>
      </c>
      <c r="O43" s="71">
        <v>0</v>
      </c>
      <c r="P43" s="71">
        <v>0</v>
      </c>
      <c r="Q43" s="40"/>
      <c r="R43" s="71">
        <f t="shared" si="8"/>
        <v>1974</v>
      </c>
      <c r="S43" s="71">
        <v>1974</v>
      </c>
      <c r="T43" s="71">
        <v>0</v>
      </c>
      <c r="U43" s="71">
        <v>0</v>
      </c>
      <c r="V43" s="71">
        <v>0</v>
      </c>
      <c r="W43" s="71">
        <v>0</v>
      </c>
      <c r="X43" s="71">
        <v>0</v>
      </c>
      <c r="Y43" s="71">
        <v>0</v>
      </c>
      <c r="Z43" s="71">
        <v>0</v>
      </c>
      <c r="AA43" s="71">
        <v>0</v>
      </c>
      <c r="AB43" s="71">
        <v>0</v>
      </c>
      <c r="AC43" s="71">
        <v>0</v>
      </c>
      <c r="AD43" s="71">
        <v>0</v>
      </c>
    </row>
    <row r="44" spans="1:30" s="15" customFormat="1" collapsed="1" x14ac:dyDescent="0.45">
      <c r="A44" s="19"/>
      <c r="B44" s="20" t="s">
        <v>34</v>
      </c>
      <c r="C44" s="76"/>
      <c r="D44" s="73">
        <f>SUM(D45:D47)</f>
        <v>502326.66000000003</v>
      </c>
      <c r="E44" s="73">
        <f t="shared" ref="E44:P44" si="9">SUM(E45:E47)</f>
        <v>87443.41</v>
      </c>
      <c r="F44" s="73">
        <f t="shared" si="9"/>
        <v>88022.739999999991</v>
      </c>
      <c r="G44" s="73">
        <f t="shared" si="9"/>
        <v>47168.409999999996</v>
      </c>
      <c r="H44" s="73">
        <f t="shared" si="9"/>
        <v>19285.669999999998</v>
      </c>
      <c r="I44" s="73">
        <f t="shared" si="9"/>
        <v>39120.370000000003</v>
      </c>
      <c r="J44" s="73">
        <f t="shared" si="9"/>
        <v>43536.509999999995</v>
      </c>
      <c r="K44" s="73">
        <f t="shared" si="9"/>
        <v>28525.550000000003</v>
      </c>
      <c r="L44" s="73">
        <f t="shared" si="9"/>
        <v>31374</v>
      </c>
      <c r="M44" s="73">
        <f t="shared" si="9"/>
        <v>40024.539999999994</v>
      </c>
      <c r="N44" s="73">
        <f t="shared" si="9"/>
        <v>20834.160000000003</v>
      </c>
      <c r="O44" s="73">
        <f t="shared" si="9"/>
        <v>36418.49</v>
      </c>
      <c r="P44" s="73">
        <f t="shared" si="9"/>
        <v>20572.809999999998</v>
      </c>
      <c r="Q44" s="29"/>
      <c r="R44" s="73">
        <f>SUM(R45:R47)</f>
        <v>221438.63999999998</v>
      </c>
      <c r="S44" s="73">
        <f t="shared" ref="S44:AD44" si="10">SUM(S45:S47)</f>
        <v>40005.289999999994</v>
      </c>
      <c r="T44" s="73">
        <f t="shared" si="10"/>
        <v>9547.07</v>
      </c>
      <c r="U44" s="73">
        <f t="shared" si="10"/>
        <v>33893.659999999996</v>
      </c>
      <c r="V44" s="73">
        <f t="shared" si="10"/>
        <v>37744.93</v>
      </c>
      <c r="W44" s="73">
        <f t="shared" si="10"/>
        <v>4937.01</v>
      </c>
      <c r="X44" s="73">
        <f t="shared" si="10"/>
        <v>30123.32</v>
      </c>
      <c r="Y44" s="73">
        <f t="shared" si="10"/>
        <v>34382.19</v>
      </c>
      <c r="Z44" s="73">
        <f t="shared" si="10"/>
        <v>27894.93</v>
      </c>
      <c r="AA44" s="73">
        <f t="shared" si="10"/>
        <v>0</v>
      </c>
      <c r="AB44" s="73">
        <f t="shared" si="10"/>
        <v>2910.24</v>
      </c>
      <c r="AC44" s="73">
        <f t="shared" si="10"/>
        <v>0</v>
      </c>
      <c r="AD44" s="73">
        <f t="shared" si="10"/>
        <v>0</v>
      </c>
    </row>
    <row r="45" spans="1:30" hidden="1" outlineLevel="1" x14ac:dyDescent="0.45">
      <c r="B45" s="22" t="s">
        <v>35</v>
      </c>
      <c r="C45" s="72"/>
      <c r="D45" s="71">
        <f t="shared" ref="D45:D47" si="11">SUM(E45:P45)</f>
        <v>309622.44</v>
      </c>
      <c r="E45" s="71">
        <f>65993.95+11250</f>
        <v>77243.95</v>
      </c>
      <c r="F45" s="71">
        <v>22616.35</v>
      </c>
      <c r="G45" s="71">
        <v>42839.32</v>
      </c>
      <c r="H45" s="71">
        <v>13823.16</v>
      </c>
      <c r="I45" s="71">
        <v>13822.03</v>
      </c>
      <c r="J45" s="71">
        <v>15192.619999999999</v>
      </c>
      <c r="K45" s="71">
        <v>22600.540000000005</v>
      </c>
      <c r="L45" s="71">
        <v>25378.989999999998</v>
      </c>
      <c r="M45" s="71">
        <v>30561.019999999997</v>
      </c>
      <c r="N45" s="71">
        <v>13654.140000000001</v>
      </c>
      <c r="O45" s="71">
        <v>20191.75</v>
      </c>
      <c r="P45" s="71">
        <v>11698.57</v>
      </c>
      <c r="Q45" s="40"/>
      <c r="R45" s="71">
        <f t="shared" ref="R45:R47" si="12">SUM(S45:AD45)</f>
        <v>157366.78</v>
      </c>
      <c r="S45" s="71">
        <v>33133.449999999997</v>
      </c>
      <c r="T45" s="71">
        <v>2097.83</v>
      </c>
      <c r="U45" s="71">
        <v>27059.42</v>
      </c>
      <c r="V45" s="71">
        <v>14438.63</v>
      </c>
      <c r="W45" s="71">
        <v>4937.01</v>
      </c>
      <c r="X45" s="71">
        <v>30123.32</v>
      </c>
      <c r="Y45" s="71">
        <v>23032.19</v>
      </c>
      <c r="Z45" s="71">
        <v>22544.93</v>
      </c>
      <c r="AA45" s="71">
        <v>0</v>
      </c>
      <c r="AB45" s="71">
        <v>0</v>
      </c>
      <c r="AC45" s="71">
        <v>0</v>
      </c>
      <c r="AD45" s="71">
        <v>0</v>
      </c>
    </row>
    <row r="46" spans="1:30" hidden="1" outlineLevel="1" x14ac:dyDescent="0.45">
      <c r="B46" s="22" t="s">
        <v>36</v>
      </c>
      <c r="C46" s="72"/>
      <c r="D46" s="71">
        <f t="shared" si="11"/>
        <v>110551.98000000001</v>
      </c>
      <c r="E46" s="71">
        <v>10199.459999999999</v>
      </c>
      <c r="F46" s="71">
        <v>34621.75</v>
      </c>
      <c r="G46" s="71">
        <v>3462.5</v>
      </c>
      <c r="H46" s="71">
        <v>5462.51</v>
      </c>
      <c r="I46" s="71">
        <v>6513.34</v>
      </c>
      <c r="J46" s="71">
        <v>9558.89</v>
      </c>
      <c r="K46" s="71">
        <v>5925.01</v>
      </c>
      <c r="L46" s="71">
        <v>5995.0100000000039</v>
      </c>
      <c r="M46" s="71">
        <v>5925.0099999999966</v>
      </c>
      <c r="N46" s="71">
        <v>7180.02</v>
      </c>
      <c r="O46" s="71">
        <v>6834.24</v>
      </c>
      <c r="P46" s="71">
        <v>8874.24</v>
      </c>
      <c r="Q46" s="40"/>
      <c r="R46" s="71">
        <f t="shared" si="12"/>
        <v>44911.619999999995</v>
      </c>
      <c r="S46" s="71">
        <v>6871.84</v>
      </c>
      <c r="T46" s="71">
        <v>7449.24</v>
      </c>
      <c r="U46" s="71">
        <v>6834.24</v>
      </c>
      <c r="V46" s="71">
        <v>23306.3</v>
      </c>
      <c r="W46" s="71">
        <v>0</v>
      </c>
      <c r="X46" s="71">
        <v>0</v>
      </c>
      <c r="Y46" s="71">
        <v>100</v>
      </c>
      <c r="Z46" s="71">
        <v>350</v>
      </c>
      <c r="AA46" s="71">
        <v>0</v>
      </c>
      <c r="AB46" s="71">
        <v>0</v>
      </c>
      <c r="AC46" s="71">
        <v>0</v>
      </c>
      <c r="AD46" s="71">
        <v>0</v>
      </c>
    </row>
    <row r="47" spans="1:30" hidden="1" outlineLevel="1" x14ac:dyDescent="0.45">
      <c r="B47" s="22" t="s">
        <v>37</v>
      </c>
      <c r="C47" s="72"/>
      <c r="D47" s="71">
        <f t="shared" si="11"/>
        <v>82152.239999999991</v>
      </c>
      <c r="E47" s="71">
        <v>0</v>
      </c>
      <c r="F47" s="71">
        <v>30784.639999999999</v>
      </c>
      <c r="G47" s="71">
        <v>866.59</v>
      </c>
      <c r="H47" s="71">
        <v>0</v>
      </c>
      <c r="I47" s="71">
        <v>18785</v>
      </c>
      <c r="J47" s="71">
        <v>18785</v>
      </c>
      <c r="K47" s="71">
        <v>0</v>
      </c>
      <c r="L47" s="71">
        <v>0</v>
      </c>
      <c r="M47" s="71">
        <v>3538.51</v>
      </c>
      <c r="N47" s="71">
        <v>0</v>
      </c>
      <c r="O47" s="71">
        <v>9392.5</v>
      </c>
      <c r="P47" s="71">
        <v>0</v>
      </c>
      <c r="Q47" s="40"/>
      <c r="R47" s="71">
        <f t="shared" si="12"/>
        <v>19160.239999999998</v>
      </c>
      <c r="S47" s="71">
        <v>0</v>
      </c>
      <c r="T47" s="71">
        <v>0</v>
      </c>
      <c r="U47" s="71">
        <v>0</v>
      </c>
      <c r="V47" s="71">
        <v>0</v>
      </c>
      <c r="W47" s="71">
        <v>0</v>
      </c>
      <c r="X47" s="71">
        <v>0</v>
      </c>
      <c r="Y47" s="71">
        <v>11250</v>
      </c>
      <c r="Z47" s="71">
        <v>5000</v>
      </c>
      <c r="AA47" s="71">
        <v>0</v>
      </c>
      <c r="AB47" s="71">
        <v>2910.24</v>
      </c>
      <c r="AC47" s="71">
        <v>0</v>
      </c>
      <c r="AD47" s="71">
        <v>0</v>
      </c>
    </row>
    <row r="48" spans="1:30" s="15" customFormat="1" collapsed="1" x14ac:dyDescent="0.45">
      <c r="A48" s="19"/>
      <c r="B48" s="20" t="s">
        <v>38</v>
      </c>
      <c r="C48" s="76"/>
      <c r="D48" s="73">
        <f>SUM(D49:D51)</f>
        <v>52413.21402777778</v>
      </c>
      <c r="E48" s="73">
        <f t="shared" ref="E48:P48" si="13">SUM(E49:E51)</f>
        <v>5754.88</v>
      </c>
      <c r="F48" s="73">
        <f t="shared" si="13"/>
        <v>5707.81</v>
      </c>
      <c r="G48" s="73">
        <f t="shared" si="13"/>
        <v>5563.3600000000006</v>
      </c>
      <c r="H48" s="73">
        <f t="shared" si="13"/>
        <v>5398.6151388888902</v>
      </c>
      <c r="I48" s="73">
        <f t="shared" si="13"/>
        <v>5271.9484722222232</v>
      </c>
      <c r="J48" s="73">
        <f t="shared" si="13"/>
        <v>5179.1104166666673</v>
      </c>
      <c r="K48" s="73">
        <f t="shared" si="13"/>
        <v>4795.09</v>
      </c>
      <c r="L48" s="73">
        <f t="shared" si="13"/>
        <v>4720.2700000000004</v>
      </c>
      <c r="M48" s="73">
        <f t="shared" si="13"/>
        <v>3143.7000000000007</v>
      </c>
      <c r="N48" s="73">
        <f t="shared" si="13"/>
        <v>2925.5499999999997</v>
      </c>
      <c r="O48" s="73">
        <f t="shared" si="13"/>
        <v>1976.44</v>
      </c>
      <c r="P48" s="73">
        <f t="shared" si="13"/>
        <v>1976.44</v>
      </c>
      <c r="Q48" s="29"/>
      <c r="R48" s="73">
        <f>SUM(R49:R51)</f>
        <v>3215.67</v>
      </c>
      <c r="S48" s="73">
        <f t="shared" ref="S48:AD48" si="14">SUM(S49:S51)</f>
        <v>1838.83</v>
      </c>
      <c r="T48" s="73">
        <f t="shared" si="14"/>
        <v>963.47</v>
      </c>
      <c r="U48" s="73">
        <f t="shared" si="14"/>
        <v>229.31</v>
      </c>
      <c r="V48" s="73">
        <f t="shared" si="14"/>
        <v>184.06</v>
      </c>
      <c r="W48" s="73">
        <f t="shared" si="14"/>
        <v>0</v>
      </c>
      <c r="X48" s="73">
        <f t="shared" si="14"/>
        <v>0</v>
      </c>
      <c r="Y48" s="73">
        <f t="shared" si="14"/>
        <v>0</v>
      </c>
      <c r="Z48" s="73">
        <f t="shared" si="14"/>
        <v>0</v>
      </c>
      <c r="AA48" s="73">
        <f t="shared" si="14"/>
        <v>0</v>
      </c>
      <c r="AB48" s="73">
        <f t="shared" si="14"/>
        <v>0</v>
      </c>
      <c r="AC48" s="73">
        <f t="shared" si="14"/>
        <v>0</v>
      </c>
      <c r="AD48" s="73">
        <f t="shared" si="14"/>
        <v>0</v>
      </c>
    </row>
    <row r="49" spans="1:30" hidden="1" outlineLevel="1" x14ac:dyDescent="0.45">
      <c r="B49" s="22" t="s">
        <v>39</v>
      </c>
      <c r="C49" s="72"/>
      <c r="D49" s="71">
        <f t="shared" ref="D49:D51" si="15">SUM(E49:P49)</f>
        <v>8619.7961111111126</v>
      </c>
      <c r="E49" s="71">
        <v>1235.6300000000001</v>
      </c>
      <c r="F49" s="71">
        <v>1235.6300000000001</v>
      </c>
      <c r="G49" s="71">
        <v>1091.18</v>
      </c>
      <c r="H49" s="71">
        <v>1091.1813888888889</v>
      </c>
      <c r="I49" s="71">
        <v>1049.5147222222222</v>
      </c>
      <c r="J49" s="71">
        <v>972.22</v>
      </c>
      <c r="K49" s="71">
        <v>972.22</v>
      </c>
      <c r="L49" s="71">
        <v>972.22</v>
      </c>
      <c r="M49" s="71">
        <v>0</v>
      </c>
      <c r="N49" s="71">
        <v>0</v>
      </c>
      <c r="O49" s="71">
        <v>0</v>
      </c>
      <c r="P49" s="71">
        <v>0</v>
      </c>
      <c r="Q49" s="40"/>
      <c r="R49" s="71">
        <f t="shared" ref="R49:R51" si="16">SUM(S49:AD49)</f>
        <v>0</v>
      </c>
      <c r="S49" s="71">
        <v>0</v>
      </c>
      <c r="T49" s="71">
        <v>0</v>
      </c>
      <c r="U49" s="71">
        <v>0</v>
      </c>
      <c r="V49" s="71">
        <v>0</v>
      </c>
      <c r="W49" s="71">
        <v>0</v>
      </c>
      <c r="X49" s="71">
        <v>0</v>
      </c>
      <c r="Y49" s="71">
        <v>0</v>
      </c>
      <c r="Z49" s="71">
        <v>0</v>
      </c>
      <c r="AA49" s="71">
        <v>0</v>
      </c>
      <c r="AB49" s="71">
        <v>0</v>
      </c>
      <c r="AC49" s="71">
        <v>0</v>
      </c>
      <c r="AD49" s="71">
        <v>0</v>
      </c>
    </row>
    <row r="50" spans="1:30" hidden="1" outlineLevel="1" x14ac:dyDescent="0.45">
      <c r="B50" s="22" t="s">
        <v>40</v>
      </c>
      <c r="C50" s="72"/>
      <c r="D50" s="71">
        <f t="shared" si="15"/>
        <v>10504.320000000002</v>
      </c>
      <c r="E50" s="71">
        <v>875.36</v>
      </c>
      <c r="F50" s="71">
        <v>875.36</v>
      </c>
      <c r="G50" s="71">
        <v>875.36</v>
      </c>
      <c r="H50" s="71">
        <v>875.36</v>
      </c>
      <c r="I50" s="71">
        <v>875.36</v>
      </c>
      <c r="J50" s="71">
        <v>875.36</v>
      </c>
      <c r="K50" s="71">
        <v>875.36</v>
      </c>
      <c r="L50" s="71">
        <v>875.36000000000024</v>
      </c>
      <c r="M50" s="71">
        <v>875.36</v>
      </c>
      <c r="N50" s="71">
        <v>875.35999999999979</v>
      </c>
      <c r="O50" s="71">
        <v>875.36</v>
      </c>
      <c r="P50" s="71">
        <v>875.36</v>
      </c>
      <c r="Q50" s="40"/>
      <c r="R50" s="71">
        <f t="shared" si="16"/>
        <v>875.36</v>
      </c>
      <c r="S50" s="71">
        <v>875.36</v>
      </c>
      <c r="T50" s="71">
        <v>0</v>
      </c>
      <c r="U50" s="71">
        <v>0</v>
      </c>
      <c r="V50" s="71">
        <v>0</v>
      </c>
      <c r="W50" s="71">
        <v>0</v>
      </c>
      <c r="X50" s="71">
        <v>0</v>
      </c>
      <c r="Y50" s="71">
        <v>0</v>
      </c>
      <c r="Z50" s="71">
        <v>0</v>
      </c>
      <c r="AA50" s="71">
        <v>0</v>
      </c>
      <c r="AB50" s="71">
        <v>0</v>
      </c>
      <c r="AC50" s="71">
        <v>0</v>
      </c>
      <c r="AD50" s="71">
        <v>0</v>
      </c>
    </row>
    <row r="51" spans="1:30" hidden="1" outlineLevel="1" x14ac:dyDescent="0.45">
      <c r="B51" s="22" t="s">
        <v>41</v>
      </c>
      <c r="C51" s="72"/>
      <c r="D51" s="71">
        <f t="shared" si="15"/>
        <v>33289.097916666666</v>
      </c>
      <c r="E51" s="71">
        <v>3643.89</v>
      </c>
      <c r="F51" s="71">
        <v>3596.82</v>
      </c>
      <c r="G51" s="71">
        <v>3596.82</v>
      </c>
      <c r="H51" s="71">
        <v>3432.0737500000009</v>
      </c>
      <c r="I51" s="71">
        <v>3347.0737500000009</v>
      </c>
      <c r="J51" s="71">
        <v>3331.5304166666674</v>
      </c>
      <c r="K51" s="71">
        <v>2947.51</v>
      </c>
      <c r="L51" s="71">
        <v>2872.69</v>
      </c>
      <c r="M51" s="71">
        <v>2268.3400000000006</v>
      </c>
      <c r="N51" s="71">
        <v>2050.19</v>
      </c>
      <c r="O51" s="71">
        <v>1101.08</v>
      </c>
      <c r="P51" s="71">
        <v>1101.08</v>
      </c>
      <c r="Q51" s="40"/>
      <c r="R51" s="71">
        <f t="shared" si="16"/>
        <v>2340.31</v>
      </c>
      <c r="S51" s="71">
        <v>963.47</v>
      </c>
      <c r="T51" s="71">
        <v>963.47</v>
      </c>
      <c r="U51" s="71">
        <v>229.31</v>
      </c>
      <c r="V51" s="71">
        <v>184.06</v>
      </c>
      <c r="W51" s="71">
        <v>0</v>
      </c>
      <c r="X51" s="71">
        <v>0</v>
      </c>
      <c r="Y51" s="71">
        <v>0</v>
      </c>
      <c r="Z51" s="71">
        <v>0</v>
      </c>
      <c r="AA51" s="71">
        <v>0</v>
      </c>
      <c r="AB51" s="71">
        <v>0</v>
      </c>
      <c r="AC51" s="71">
        <v>0</v>
      </c>
      <c r="AD51" s="71">
        <v>0</v>
      </c>
    </row>
    <row r="52" spans="1:30" s="15" customFormat="1" collapsed="1" x14ac:dyDescent="0.45">
      <c r="A52" s="19"/>
      <c r="B52" s="20" t="s">
        <v>42</v>
      </c>
      <c r="C52" s="74"/>
      <c r="D52" s="73">
        <f>SUM(D53:D69)</f>
        <v>1787739.3099999998</v>
      </c>
      <c r="E52" s="73">
        <f t="shared" ref="E52:P52" si="17">SUM(E53:E69)</f>
        <v>279767.71999999997</v>
      </c>
      <c r="F52" s="73">
        <f t="shared" si="17"/>
        <v>208014.59999999998</v>
      </c>
      <c r="G52" s="73">
        <f t="shared" si="17"/>
        <v>202443.37999999998</v>
      </c>
      <c r="H52" s="73">
        <f t="shared" si="17"/>
        <v>204416.15</v>
      </c>
      <c r="I52" s="73">
        <f t="shared" si="17"/>
        <v>196826.49</v>
      </c>
      <c r="J52" s="73">
        <f t="shared" si="17"/>
        <v>126799.74</v>
      </c>
      <c r="K52" s="73">
        <f t="shared" si="17"/>
        <v>133240.43999999997</v>
      </c>
      <c r="L52" s="73">
        <f t="shared" si="17"/>
        <v>104407.42</v>
      </c>
      <c r="M52" s="73">
        <f t="shared" si="17"/>
        <v>96508.790000000008</v>
      </c>
      <c r="N52" s="73">
        <f t="shared" si="17"/>
        <v>77409.930000000008</v>
      </c>
      <c r="O52" s="73">
        <f t="shared" si="17"/>
        <v>63991.18</v>
      </c>
      <c r="P52" s="73">
        <f t="shared" si="17"/>
        <v>93913.47</v>
      </c>
      <c r="Q52" s="29"/>
      <c r="R52" s="73">
        <f>SUM(R53:R69)</f>
        <v>55443.020000000004</v>
      </c>
      <c r="S52" s="73">
        <f t="shared" ref="S52:AD52" si="18">SUM(S53:S69)</f>
        <v>14090.56</v>
      </c>
      <c r="T52" s="73">
        <f t="shared" si="18"/>
        <v>7665.02</v>
      </c>
      <c r="U52" s="73">
        <f t="shared" si="18"/>
        <v>18610.919999999998</v>
      </c>
      <c r="V52" s="73">
        <f t="shared" si="18"/>
        <v>13076.52</v>
      </c>
      <c r="W52" s="73">
        <f t="shared" si="18"/>
        <v>0</v>
      </c>
      <c r="X52" s="73">
        <f t="shared" si="18"/>
        <v>2000</v>
      </c>
      <c r="Y52" s="73">
        <f t="shared" si="18"/>
        <v>0</v>
      </c>
      <c r="Z52" s="73">
        <f t="shared" si="18"/>
        <v>0</v>
      </c>
      <c r="AA52" s="73">
        <f t="shared" si="18"/>
        <v>0</v>
      </c>
      <c r="AB52" s="73">
        <f t="shared" si="18"/>
        <v>0</v>
      </c>
      <c r="AC52" s="73">
        <f t="shared" si="18"/>
        <v>0</v>
      </c>
      <c r="AD52" s="73">
        <f t="shared" si="18"/>
        <v>0</v>
      </c>
    </row>
    <row r="53" spans="1:30" hidden="1" outlineLevel="1" x14ac:dyDescent="0.45">
      <c r="B53" s="22" t="s">
        <v>43</v>
      </c>
      <c r="C53" s="72"/>
      <c r="D53" s="71">
        <f t="shared" ref="D53:D69" si="19">SUM(E53:P53)</f>
        <v>29511.58</v>
      </c>
      <c r="E53" s="71">
        <v>3594.96</v>
      </c>
      <c r="F53" s="71">
        <v>3479.96</v>
      </c>
      <c r="G53" s="71">
        <v>3479.96</v>
      </c>
      <c r="H53" s="71">
        <v>3479.96</v>
      </c>
      <c r="I53" s="71">
        <v>3479.96</v>
      </c>
      <c r="J53" s="71">
        <v>3240.29</v>
      </c>
      <c r="K53" s="71">
        <v>2918.83</v>
      </c>
      <c r="L53" s="71">
        <v>2918.83</v>
      </c>
      <c r="M53" s="71">
        <v>2918.83</v>
      </c>
      <c r="N53" s="71">
        <v>0</v>
      </c>
      <c r="O53" s="71">
        <v>0</v>
      </c>
      <c r="P53" s="71">
        <v>0</v>
      </c>
      <c r="Q53" s="40"/>
      <c r="R53" s="71">
        <f t="shared" ref="R53:R69" si="20">SUM(S53:AD53)</f>
        <v>280</v>
      </c>
      <c r="S53" s="71">
        <v>0</v>
      </c>
      <c r="T53" s="71">
        <v>0</v>
      </c>
      <c r="U53" s="71">
        <v>280</v>
      </c>
      <c r="V53" s="71">
        <v>0</v>
      </c>
      <c r="W53" s="71">
        <v>0</v>
      </c>
      <c r="X53" s="71">
        <v>0</v>
      </c>
      <c r="Y53" s="71">
        <v>0</v>
      </c>
      <c r="Z53" s="71">
        <v>0</v>
      </c>
      <c r="AA53" s="71">
        <v>0</v>
      </c>
      <c r="AB53" s="71">
        <v>0</v>
      </c>
      <c r="AC53" s="71">
        <v>0</v>
      </c>
      <c r="AD53" s="71">
        <v>0</v>
      </c>
    </row>
    <row r="54" spans="1:30" hidden="1" outlineLevel="1" x14ac:dyDescent="0.45">
      <c r="B54" s="22" t="s">
        <v>44</v>
      </c>
      <c r="C54" s="72"/>
      <c r="D54" s="71">
        <f t="shared" si="19"/>
        <v>0</v>
      </c>
      <c r="E54" s="71">
        <v>0</v>
      </c>
      <c r="F54" s="71">
        <v>0</v>
      </c>
      <c r="G54" s="71">
        <v>0</v>
      </c>
      <c r="H54" s="71">
        <v>0</v>
      </c>
      <c r="I54" s="71">
        <v>0</v>
      </c>
      <c r="J54" s="71">
        <v>0</v>
      </c>
      <c r="K54" s="71">
        <v>0</v>
      </c>
      <c r="L54" s="71">
        <v>0</v>
      </c>
      <c r="M54" s="71">
        <v>0</v>
      </c>
      <c r="N54" s="71">
        <v>0</v>
      </c>
      <c r="O54" s="71">
        <v>0</v>
      </c>
      <c r="P54" s="71">
        <v>0</v>
      </c>
      <c r="Q54" s="40"/>
      <c r="R54" s="71">
        <f t="shared" si="20"/>
        <v>0</v>
      </c>
      <c r="S54" s="71">
        <v>0</v>
      </c>
      <c r="T54" s="71">
        <v>0</v>
      </c>
      <c r="U54" s="71">
        <v>0</v>
      </c>
      <c r="V54" s="71">
        <v>0</v>
      </c>
      <c r="W54" s="71">
        <v>0</v>
      </c>
      <c r="X54" s="71">
        <v>0</v>
      </c>
      <c r="Y54" s="71">
        <v>0</v>
      </c>
      <c r="Z54" s="71">
        <v>0</v>
      </c>
      <c r="AA54" s="71">
        <v>0</v>
      </c>
      <c r="AB54" s="71">
        <v>0</v>
      </c>
      <c r="AC54" s="71">
        <v>0</v>
      </c>
      <c r="AD54" s="71">
        <v>0</v>
      </c>
    </row>
    <row r="55" spans="1:30" hidden="1" outlineLevel="1" x14ac:dyDescent="0.45">
      <c r="B55" s="22" t="s">
        <v>45</v>
      </c>
      <c r="C55" s="72"/>
      <c r="D55" s="71">
        <f t="shared" si="19"/>
        <v>16836.54</v>
      </c>
      <c r="E55" s="71">
        <v>3501</v>
      </c>
      <c r="F55" s="71">
        <v>3058.29</v>
      </c>
      <c r="G55" s="71">
        <v>3500</v>
      </c>
      <c r="H55" s="71">
        <v>2280.0100000000002</v>
      </c>
      <c r="I55" s="71">
        <v>4497.24</v>
      </c>
      <c r="J55" s="71">
        <v>0</v>
      </c>
      <c r="K55" s="71">
        <v>0</v>
      </c>
      <c r="L55" s="71">
        <v>0</v>
      </c>
      <c r="M55" s="71">
        <v>0</v>
      </c>
      <c r="N55" s="71">
        <v>0</v>
      </c>
      <c r="O55" s="71">
        <v>0</v>
      </c>
      <c r="P55" s="71">
        <v>0</v>
      </c>
      <c r="Q55" s="40"/>
      <c r="R55" s="71">
        <f t="shared" si="20"/>
        <v>0</v>
      </c>
      <c r="S55" s="71">
        <v>0</v>
      </c>
      <c r="T55" s="71">
        <v>0</v>
      </c>
      <c r="U55" s="71">
        <v>0</v>
      </c>
      <c r="V55" s="71">
        <v>0</v>
      </c>
      <c r="W55" s="71">
        <v>0</v>
      </c>
      <c r="X55" s="71">
        <v>0</v>
      </c>
      <c r="Y55" s="71">
        <v>0</v>
      </c>
      <c r="Z55" s="71">
        <v>0</v>
      </c>
      <c r="AA55" s="71">
        <v>0</v>
      </c>
      <c r="AB55" s="71">
        <v>0</v>
      </c>
      <c r="AC55" s="71">
        <v>0</v>
      </c>
      <c r="AD55" s="71">
        <v>0</v>
      </c>
    </row>
    <row r="56" spans="1:30" hidden="1" outlineLevel="1" x14ac:dyDescent="0.45">
      <c r="B56" s="22" t="s">
        <v>46</v>
      </c>
      <c r="C56" s="72"/>
      <c r="D56" s="71">
        <f t="shared" si="19"/>
        <v>0</v>
      </c>
      <c r="E56" s="71">
        <v>0</v>
      </c>
      <c r="F56" s="71">
        <v>0</v>
      </c>
      <c r="G56" s="71">
        <v>0</v>
      </c>
      <c r="H56" s="71">
        <v>0</v>
      </c>
      <c r="I56" s="71">
        <v>0</v>
      </c>
      <c r="J56" s="71">
        <v>0</v>
      </c>
      <c r="K56" s="71">
        <v>0</v>
      </c>
      <c r="L56" s="71">
        <v>0</v>
      </c>
      <c r="M56" s="71">
        <v>0</v>
      </c>
      <c r="N56" s="71">
        <v>0</v>
      </c>
      <c r="O56" s="71">
        <v>0</v>
      </c>
      <c r="P56" s="71">
        <v>0</v>
      </c>
      <c r="Q56" s="40"/>
      <c r="R56" s="71">
        <f t="shared" si="20"/>
        <v>0</v>
      </c>
      <c r="S56" s="71">
        <v>0</v>
      </c>
      <c r="T56" s="71">
        <v>0</v>
      </c>
      <c r="U56" s="71">
        <v>0</v>
      </c>
      <c r="V56" s="71">
        <v>0</v>
      </c>
      <c r="W56" s="71">
        <v>0</v>
      </c>
      <c r="X56" s="71">
        <v>0</v>
      </c>
      <c r="Y56" s="71">
        <v>0</v>
      </c>
      <c r="Z56" s="71">
        <v>0</v>
      </c>
      <c r="AA56" s="71">
        <v>0</v>
      </c>
      <c r="AB56" s="71">
        <v>0</v>
      </c>
      <c r="AC56" s="71">
        <v>0</v>
      </c>
      <c r="AD56" s="71">
        <v>0</v>
      </c>
    </row>
    <row r="57" spans="1:30" hidden="1" outlineLevel="1" x14ac:dyDescent="0.45">
      <c r="B57" s="22" t="s">
        <v>47</v>
      </c>
      <c r="C57" s="72"/>
      <c r="D57" s="71">
        <f t="shared" si="19"/>
        <v>0</v>
      </c>
      <c r="E57" s="71">
        <v>0</v>
      </c>
      <c r="F57" s="71">
        <v>0</v>
      </c>
      <c r="G57" s="71">
        <v>0</v>
      </c>
      <c r="H57" s="71">
        <v>0</v>
      </c>
      <c r="I57" s="71">
        <v>0</v>
      </c>
      <c r="J57" s="71">
        <v>0</v>
      </c>
      <c r="K57" s="71">
        <v>0</v>
      </c>
      <c r="L57" s="71">
        <v>0</v>
      </c>
      <c r="M57" s="71">
        <v>0</v>
      </c>
      <c r="N57" s="71">
        <v>0</v>
      </c>
      <c r="O57" s="71">
        <v>0</v>
      </c>
      <c r="P57" s="71">
        <v>0</v>
      </c>
      <c r="Q57" s="40"/>
      <c r="R57" s="71">
        <f t="shared" si="20"/>
        <v>0</v>
      </c>
      <c r="S57" s="71">
        <v>0</v>
      </c>
      <c r="T57" s="71">
        <v>0</v>
      </c>
      <c r="U57" s="71">
        <v>0</v>
      </c>
      <c r="V57" s="71">
        <v>0</v>
      </c>
      <c r="W57" s="71">
        <v>0</v>
      </c>
      <c r="X57" s="71">
        <v>0</v>
      </c>
      <c r="Y57" s="71">
        <v>0</v>
      </c>
      <c r="Z57" s="71">
        <v>0</v>
      </c>
      <c r="AA57" s="71">
        <v>0</v>
      </c>
      <c r="AB57" s="71">
        <v>0</v>
      </c>
      <c r="AC57" s="71">
        <v>0</v>
      </c>
      <c r="AD57" s="71">
        <v>0</v>
      </c>
    </row>
    <row r="58" spans="1:30" hidden="1" outlineLevel="1" x14ac:dyDescent="0.45">
      <c r="B58" s="22" t="s">
        <v>48</v>
      </c>
      <c r="C58" s="72"/>
      <c r="D58" s="71">
        <f t="shared" si="19"/>
        <v>12017.76</v>
      </c>
      <c r="E58" s="71">
        <v>1379.63</v>
      </c>
      <c r="F58" s="71">
        <v>1024.98</v>
      </c>
      <c r="G58" s="71">
        <v>1012.63</v>
      </c>
      <c r="H58" s="71">
        <v>1012.61</v>
      </c>
      <c r="I58" s="71">
        <v>1012.63</v>
      </c>
      <c r="J58" s="71">
        <v>1018.63</v>
      </c>
      <c r="K58" s="71">
        <v>1012.6099999999997</v>
      </c>
      <c r="L58" s="71">
        <v>1012.6300000000001</v>
      </c>
      <c r="M58" s="71">
        <v>2025.2399999999998</v>
      </c>
      <c r="N58" s="71">
        <v>706.17000000000007</v>
      </c>
      <c r="O58" s="71">
        <v>0</v>
      </c>
      <c r="P58" s="71">
        <v>800</v>
      </c>
      <c r="Q58" s="40"/>
      <c r="R58" s="71">
        <f t="shared" si="20"/>
        <v>0</v>
      </c>
      <c r="S58" s="71">
        <v>0</v>
      </c>
      <c r="T58" s="71">
        <v>0</v>
      </c>
      <c r="U58" s="71">
        <v>0</v>
      </c>
      <c r="V58" s="71">
        <v>0</v>
      </c>
      <c r="W58" s="71">
        <v>0</v>
      </c>
      <c r="X58" s="71">
        <v>0</v>
      </c>
      <c r="Y58" s="71">
        <v>0</v>
      </c>
      <c r="Z58" s="71">
        <v>0</v>
      </c>
      <c r="AA58" s="71">
        <v>0</v>
      </c>
      <c r="AB58" s="71">
        <v>0</v>
      </c>
      <c r="AC58" s="71">
        <v>0</v>
      </c>
      <c r="AD58" s="71">
        <v>0</v>
      </c>
    </row>
    <row r="59" spans="1:30" hidden="1" outlineLevel="1" x14ac:dyDescent="0.45">
      <c r="B59" s="22" t="s">
        <v>49</v>
      </c>
      <c r="C59" s="72"/>
      <c r="D59" s="71">
        <f t="shared" si="19"/>
        <v>0</v>
      </c>
      <c r="E59" s="71">
        <v>0</v>
      </c>
      <c r="F59" s="71">
        <v>0</v>
      </c>
      <c r="G59" s="71">
        <v>0</v>
      </c>
      <c r="H59" s="71">
        <v>0</v>
      </c>
      <c r="I59" s="71">
        <v>0</v>
      </c>
      <c r="J59" s="71">
        <v>0</v>
      </c>
      <c r="K59" s="71">
        <v>0</v>
      </c>
      <c r="L59" s="71">
        <v>0</v>
      </c>
      <c r="M59" s="71">
        <v>0</v>
      </c>
      <c r="N59" s="71">
        <v>0</v>
      </c>
      <c r="O59" s="71">
        <v>0</v>
      </c>
      <c r="P59" s="71">
        <v>0</v>
      </c>
      <c r="Q59" s="40"/>
      <c r="R59" s="71">
        <f t="shared" si="20"/>
        <v>0</v>
      </c>
      <c r="S59" s="71">
        <v>0</v>
      </c>
      <c r="T59" s="71">
        <v>0</v>
      </c>
      <c r="U59" s="71">
        <v>0</v>
      </c>
      <c r="V59" s="71">
        <v>0</v>
      </c>
      <c r="W59" s="71">
        <v>0</v>
      </c>
      <c r="X59" s="71">
        <v>0</v>
      </c>
      <c r="Y59" s="71">
        <v>0</v>
      </c>
      <c r="Z59" s="71">
        <v>0</v>
      </c>
      <c r="AA59" s="71">
        <v>0</v>
      </c>
      <c r="AB59" s="71">
        <v>0</v>
      </c>
      <c r="AC59" s="71">
        <v>0</v>
      </c>
      <c r="AD59" s="71">
        <v>0</v>
      </c>
    </row>
    <row r="60" spans="1:30" hidden="1" outlineLevel="1" x14ac:dyDescent="0.45">
      <c r="B60" s="22" t="s">
        <v>50</v>
      </c>
      <c r="C60" s="72"/>
      <c r="D60" s="71">
        <f t="shared" si="19"/>
        <v>69221.010000000009</v>
      </c>
      <c r="E60" s="71">
        <v>4648.01</v>
      </c>
      <c r="F60" s="71">
        <v>6941.52</v>
      </c>
      <c r="G60" s="71">
        <v>6951.52</v>
      </c>
      <c r="H60" s="71">
        <v>6951.52</v>
      </c>
      <c r="I60" s="71">
        <v>8217.59</v>
      </c>
      <c r="J60" s="71">
        <v>8089.85</v>
      </c>
      <c r="K60" s="71">
        <v>15740.2</v>
      </c>
      <c r="L60" s="71">
        <v>10928.48</v>
      </c>
      <c r="M60" s="71">
        <v>0</v>
      </c>
      <c r="N60" s="71">
        <v>752.32</v>
      </c>
      <c r="O60" s="71">
        <v>0</v>
      </c>
      <c r="P60" s="71">
        <v>0</v>
      </c>
      <c r="Q60" s="40"/>
      <c r="R60" s="71">
        <f t="shared" si="20"/>
        <v>307.82000000000005</v>
      </c>
      <c r="S60" s="71">
        <v>142.80000000000001</v>
      </c>
      <c r="T60" s="71">
        <v>165.02</v>
      </c>
      <c r="U60" s="71">
        <v>0</v>
      </c>
      <c r="V60" s="71">
        <v>0</v>
      </c>
      <c r="W60" s="71">
        <v>0</v>
      </c>
      <c r="X60" s="71">
        <v>0</v>
      </c>
      <c r="Y60" s="71">
        <v>0</v>
      </c>
      <c r="Z60" s="71">
        <v>0</v>
      </c>
      <c r="AA60" s="71">
        <v>0</v>
      </c>
      <c r="AB60" s="71">
        <v>0</v>
      </c>
      <c r="AC60" s="71">
        <v>0</v>
      </c>
      <c r="AD60" s="71">
        <v>0</v>
      </c>
    </row>
    <row r="61" spans="1:30" hidden="1" outlineLevel="1" x14ac:dyDescent="0.45">
      <c r="B61" s="22" t="s">
        <v>51</v>
      </c>
      <c r="C61" s="72"/>
      <c r="D61" s="71">
        <f t="shared" si="19"/>
        <v>0</v>
      </c>
      <c r="E61" s="71">
        <v>0</v>
      </c>
      <c r="F61" s="71">
        <v>0</v>
      </c>
      <c r="G61" s="71">
        <v>0</v>
      </c>
      <c r="H61" s="71">
        <v>0</v>
      </c>
      <c r="I61" s="71">
        <v>0</v>
      </c>
      <c r="J61" s="71">
        <v>0</v>
      </c>
      <c r="K61" s="71">
        <v>0</v>
      </c>
      <c r="L61" s="71">
        <v>0</v>
      </c>
      <c r="M61" s="71">
        <v>0</v>
      </c>
      <c r="N61" s="71">
        <v>0</v>
      </c>
      <c r="O61" s="71">
        <v>0</v>
      </c>
      <c r="P61" s="71">
        <v>0</v>
      </c>
      <c r="Q61" s="40"/>
      <c r="R61" s="71">
        <f t="shared" si="20"/>
        <v>0</v>
      </c>
      <c r="S61" s="71">
        <v>0</v>
      </c>
      <c r="T61" s="71">
        <v>0</v>
      </c>
      <c r="U61" s="71">
        <v>0</v>
      </c>
      <c r="V61" s="71">
        <v>0</v>
      </c>
      <c r="W61" s="71">
        <v>0</v>
      </c>
      <c r="X61" s="71">
        <v>0</v>
      </c>
      <c r="Y61" s="71">
        <v>0</v>
      </c>
      <c r="Z61" s="71">
        <v>0</v>
      </c>
      <c r="AA61" s="71">
        <v>0</v>
      </c>
      <c r="AB61" s="71">
        <v>0</v>
      </c>
      <c r="AC61" s="71">
        <v>0</v>
      </c>
      <c r="AD61" s="71">
        <v>0</v>
      </c>
    </row>
    <row r="62" spans="1:30" hidden="1" outlineLevel="1" x14ac:dyDescent="0.45">
      <c r="B62" s="22" t="s">
        <v>52</v>
      </c>
      <c r="C62" s="72"/>
      <c r="D62" s="71">
        <f t="shared" si="19"/>
        <v>15637</v>
      </c>
      <c r="E62" s="71">
        <f>345+154</f>
        <v>499</v>
      </c>
      <c r="F62" s="71">
        <v>0</v>
      </c>
      <c r="G62" s="71">
        <v>0</v>
      </c>
      <c r="H62" s="71">
        <v>0</v>
      </c>
      <c r="I62" s="71">
        <v>2650</v>
      </c>
      <c r="J62" s="71">
        <v>6488</v>
      </c>
      <c r="K62" s="71">
        <v>0</v>
      </c>
      <c r="L62" s="71">
        <v>0</v>
      </c>
      <c r="M62" s="71">
        <v>0</v>
      </c>
      <c r="N62" s="71">
        <v>0</v>
      </c>
      <c r="O62" s="71">
        <v>0</v>
      </c>
      <c r="P62" s="71">
        <v>6000</v>
      </c>
      <c r="Q62" s="40"/>
      <c r="R62" s="71">
        <f t="shared" si="20"/>
        <v>19064.440000000002</v>
      </c>
      <c r="S62" s="71">
        <f>200+457</f>
        <v>657</v>
      </c>
      <c r="T62" s="71">
        <v>0</v>
      </c>
      <c r="U62" s="71">
        <v>10830.92</v>
      </c>
      <c r="V62" s="71">
        <v>5576.52</v>
      </c>
      <c r="W62" s="71">
        <v>0</v>
      </c>
      <c r="X62" s="71">
        <v>2000</v>
      </c>
      <c r="Y62" s="71">
        <v>0</v>
      </c>
      <c r="Z62" s="71">
        <v>0</v>
      </c>
      <c r="AA62" s="71">
        <v>0</v>
      </c>
      <c r="AB62" s="71">
        <v>0</v>
      </c>
      <c r="AC62" s="71">
        <v>0</v>
      </c>
      <c r="AD62" s="71">
        <v>0</v>
      </c>
    </row>
    <row r="63" spans="1:30" hidden="1" outlineLevel="1" x14ac:dyDescent="0.45">
      <c r="B63" s="22" t="s">
        <v>53</v>
      </c>
      <c r="C63" s="72"/>
      <c r="D63" s="71">
        <f t="shared" si="19"/>
        <v>33766.6</v>
      </c>
      <c r="E63" s="71">
        <v>0</v>
      </c>
      <c r="F63" s="71">
        <v>0</v>
      </c>
      <c r="G63" s="71">
        <v>4509.6000000000004</v>
      </c>
      <c r="H63" s="71">
        <v>0</v>
      </c>
      <c r="I63" s="71">
        <v>0</v>
      </c>
      <c r="J63" s="71">
        <v>0</v>
      </c>
      <c r="K63" s="71">
        <v>14688</v>
      </c>
      <c r="L63" s="71">
        <v>0</v>
      </c>
      <c r="M63" s="71">
        <v>14569</v>
      </c>
      <c r="N63" s="71">
        <v>0</v>
      </c>
      <c r="O63" s="71">
        <v>0</v>
      </c>
      <c r="P63" s="71">
        <v>0</v>
      </c>
      <c r="Q63" s="40"/>
      <c r="R63" s="71">
        <f t="shared" si="20"/>
        <v>0</v>
      </c>
      <c r="S63" s="71">
        <v>0</v>
      </c>
      <c r="T63" s="71">
        <v>0</v>
      </c>
      <c r="U63" s="71">
        <v>0</v>
      </c>
      <c r="V63" s="71">
        <v>0</v>
      </c>
      <c r="W63" s="71">
        <v>0</v>
      </c>
      <c r="X63" s="71">
        <v>0</v>
      </c>
      <c r="Y63" s="71">
        <v>0</v>
      </c>
      <c r="Z63" s="71">
        <v>0</v>
      </c>
      <c r="AA63" s="71">
        <v>0</v>
      </c>
      <c r="AB63" s="71">
        <v>0</v>
      </c>
      <c r="AC63" s="71">
        <v>0</v>
      </c>
      <c r="AD63" s="71">
        <v>0</v>
      </c>
    </row>
    <row r="64" spans="1:30" hidden="1" outlineLevel="1" x14ac:dyDescent="0.45">
      <c r="B64" s="22" t="s">
        <v>54</v>
      </c>
      <c r="C64" s="72"/>
      <c r="D64" s="71">
        <f t="shared" si="19"/>
        <v>1577341.8199999998</v>
      </c>
      <c r="E64" s="71">
        <v>232738.12</v>
      </c>
      <c r="F64" s="71">
        <v>193509.84999999998</v>
      </c>
      <c r="G64" s="71">
        <v>182989.66999999998</v>
      </c>
      <c r="H64" s="71">
        <v>190692.05</v>
      </c>
      <c r="I64" s="71">
        <v>176969.07</v>
      </c>
      <c r="J64" s="71">
        <v>107962.97</v>
      </c>
      <c r="K64" s="71">
        <v>98880.799999999974</v>
      </c>
      <c r="L64" s="71">
        <v>89547.48</v>
      </c>
      <c r="M64" s="71">
        <v>76995.72</v>
      </c>
      <c r="N64" s="71">
        <v>75951.44</v>
      </c>
      <c r="O64" s="71">
        <v>63991.18</v>
      </c>
      <c r="P64" s="71">
        <v>87113.47</v>
      </c>
      <c r="Q64" s="40"/>
      <c r="R64" s="71">
        <f t="shared" si="20"/>
        <v>25290.760000000002</v>
      </c>
      <c r="S64" s="71">
        <v>13290.76</v>
      </c>
      <c r="T64" s="71">
        <v>4000</v>
      </c>
      <c r="U64" s="71">
        <v>4000</v>
      </c>
      <c r="V64" s="71">
        <v>4000</v>
      </c>
      <c r="W64" s="71">
        <v>0</v>
      </c>
      <c r="X64" s="71">
        <v>0</v>
      </c>
      <c r="Y64" s="71">
        <v>0</v>
      </c>
      <c r="Z64" s="71">
        <v>0</v>
      </c>
      <c r="AA64" s="71">
        <v>0</v>
      </c>
      <c r="AB64" s="71">
        <v>0</v>
      </c>
      <c r="AC64" s="71">
        <v>0</v>
      </c>
      <c r="AD64" s="71">
        <v>0</v>
      </c>
    </row>
    <row r="65" spans="1:30" hidden="1" outlineLevel="1" x14ac:dyDescent="0.45">
      <c r="B65" s="22" t="s">
        <v>55</v>
      </c>
      <c r="C65" s="72"/>
      <c r="D65" s="71">
        <f t="shared" si="19"/>
        <v>0</v>
      </c>
      <c r="E65" s="71">
        <v>0</v>
      </c>
      <c r="F65" s="71">
        <v>0</v>
      </c>
      <c r="G65" s="71">
        <v>0</v>
      </c>
      <c r="H65" s="71">
        <v>0</v>
      </c>
      <c r="I65" s="71">
        <v>0</v>
      </c>
      <c r="J65" s="71">
        <v>0</v>
      </c>
      <c r="K65" s="71">
        <v>0</v>
      </c>
      <c r="L65" s="71">
        <v>0</v>
      </c>
      <c r="M65" s="71">
        <v>0</v>
      </c>
      <c r="N65" s="71">
        <v>0</v>
      </c>
      <c r="O65" s="71">
        <v>0</v>
      </c>
      <c r="P65" s="71">
        <v>0</v>
      </c>
      <c r="Q65" s="40"/>
      <c r="R65" s="71">
        <f t="shared" si="20"/>
        <v>9000</v>
      </c>
      <c r="S65" s="71">
        <v>0</v>
      </c>
      <c r="T65" s="71">
        <v>3000</v>
      </c>
      <c r="U65" s="71">
        <v>3000</v>
      </c>
      <c r="V65" s="71">
        <v>3000</v>
      </c>
      <c r="W65" s="71">
        <v>0</v>
      </c>
      <c r="X65" s="71">
        <v>0</v>
      </c>
      <c r="Y65" s="71">
        <v>0</v>
      </c>
      <c r="Z65" s="71">
        <v>0</v>
      </c>
      <c r="AA65" s="71">
        <v>0</v>
      </c>
      <c r="AB65" s="71">
        <v>0</v>
      </c>
      <c r="AC65" s="71">
        <v>0</v>
      </c>
      <c r="AD65" s="71">
        <v>0</v>
      </c>
    </row>
    <row r="66" spans="1:30" hidden="1" outlineLevel="1" x14ac:dyDescent="0.45">
      <c r="B66" s="22" t="s">
        <v>56</v>
      </c>
      <c r="C66" s="72"/>
      <c r="D66" s="71">
        <f t="shared" si="19"/>
        <v>0</v>
      </c>
      <c r="E66" s="71">
        <v>0</v>
      </c>
      <c r="F66" s="71">
        <v>0</v>
      </c>
      <c r="G66" s="71">
        <v>0</v>
      </c>
      <c r="H66" s="71">
        <v>0</v>
      </c>
      <c r="I66" s="71">
        <v>0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0</v>
      </c>
      <c r="Q66" s="40"/>
      <c r="R66" s="71">
        <f t="shared" si="20"/>
        <v>0</v>
      </c>
      <c r="S66" s="71">
        <v>0</v>
      </c>
      <c r="T66" s="71">
        <v>0</v>
      </c>
      <c r="U66" s="71">
        <v>0</v>
      </c>
      <c r="V66" s="71">
        <v>0</v>
      </c>
      <c r="W66" s="71">
        <v>0</v>
      </c>
      <c r="X66" s="71">
        <v>0</v>
      </c>
      <c r="Y66" s="71">
        <v>0</v>
      </c>
      <c r="Z66" s="71">
        <v>0</v>
      </c>
      <c r="AA66" s="71">
        <v>0</v>
      </c>
      <c r="AB66" s="71">
        <v>0</v>
      </c>
      <c r="AC66" s="71">
        <v>0</v>
      </c>
      <c r="AD66" s="71">
        <v>0</v>
      </c>
    </row>
    <row r="67" spans="1:30" hidden="1" outlineLevel="1" x14ac:dyDescent="0.45">
      <c r="B67" s="22" t="s">
        <v>57</v>
      </c>
      <c r="C67" s="72"/>
      <c r="D67" s="71">
        <f t="shared" si="19"/>
        <v>0</v>
      </c>
      <c r="E67" s="71">
        <v>0</v>
      </c>
      <c r="F67" s="71">
        <v>0</v>
      </c>
      <c r="G67" s="71">
        <v>0</v>
      </c>
      <c r="H67" s="71">
        <v>0</v>
      </c>
      <c r="I67" s="71">
        <v>0</v>
      </c>
      <c r="J67" s="71">
        <v>0</v>
      </c>
      <c r="K67" s="71">
        <v>0</v>
      </c>
      <c r="L67" s="71">
        <v>0</v>
      </c>
      <c r="M67" s="71">
        <v>0</v>
      </c>
      <c r="N67" s="71">
        <v>0</v>
      </c>
      <c r="O67" s="71">
        <v>0</v>
      </c>
      <c r="P67" s="71">
        <v>0</v>
      </c>
      <c r="Q67" s="40"/>
      <c r="R67" s="71">
        <f t="shared" si="20"/>
        <v>1500</v>
      </c>
      <c r="S67" s="71">
        <v>0</v>
      </c>
      <c r="T67" s="71">
        <v>500</v>
      </c>
      <c r="U67" s="71">
        <v>500</v>
      </c>
      <c r="V67" s="71">
        <v>500</v>
      </c>
      <c r="W67" s="71">
        <v>0</v>
      </c>
      <c r="X67" s="71">
        <v>0</v>
      </c>
      <c r="Y67" s="71">
        <v>0</v>
      </c>
      <c r="Z67" s="71">
        <v>0</v>
      </c>
      <c r="AA67" s="71">
        <v>0</v>
      </c>
      <c r="AB67" s="71">
        <v>0</v>
      </c>
      <c r="AC67" s="71">
        <v>0</v>
      </c>
      <c r="AD67" s="71">
        <v>0</v>
      </c>
    </row>
    <row r="68" spans="1:30" hidden="1" outlineLevel="1" x14ac:dyDescent="0.45">
      <c r="B68" s="22" t="s">
        <v>58</v>
      </c>
      <c r="C68" s="72"/>
      <c r="D68" s="71">
        <f t="shared" si="19"/>
        <v>33407</v>
      </c>
      <c r="E68" s="71">
        <v>33407</v>
      </c>
      <c r="F68" s="71">
        <v>0</v>
      </c>
      <c r="G68" s="71">
        <v>0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40"/>
      <c r="R68" s="71">
        <f t="shared" si="20"/>
        <v>0</v>
      </c>
      <c r="S68" s="71">
        <v>0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</row>
    <row r="69" spans="1:30" hidden="1" outlineLevel="1" x14ac:dyDescent="0.45">
      <c r="B69" s="22" t="s">
        <v>59</v>
      </c>
      <c r="C69" s="72"/>
      <c r="D69" s="71">
        <f t="shared" si="19"/>
        <v>0</v>
      </c>
      <c r="E69" s="71">
        <v>0</v>
      </c>
      <c r="F69" s="71">
        <v>0</v>
      </c>
      <c r="G69" s="71">
        <v>0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/>
      <c r="O69" s="71"/>
      <c r="P69" s="71"/>
      <c r="Q69" s="40"/>
      <c r="R69" s="71">
        <f t="shared" si="20"/>
        <v>0</v>
      </c>
      <c r="S69" s="71">
        <v>0</v>
      </c>
      <c r="T69" s="71">
        <v>0</v>
      </c>
      <c r="U69" s="71">
        <v>0</v>
      </c>
      <c r="V69" s="71">
        <v>0</v>
      </c>
      <c r="W69" s="71">
        <v>0</v>
      </c>
      <c r="X69" s="71">
        <v>0</v>
      </c>
      <c r="Y69" s="71">
        <v>0</v>
      </c>
      <c r="Z69" s="71">
        <v>0</v>
      </c>
      <c r="AA69" s="71">
        <v>0</v>
      </c>
      <c r="AB69" s="71">
        <v>0</v>
      </c>
      <c r="AC69" s="71">
        <v>0</v>
      </c>
      <c r="AD69" s="71">
        <v>0</v>
      </c>
    </row>
    <row r="70" spans="1:30" s="15" customFormat="1" collapsed="1" x14ac:dyDescent="0.45">
      <c r="A70" s="19"/>
      <c r="B70" s="20" t="s">
        <v>60</v>
      </c>
      <c r="C70" s="74"/>
      <c r="D70" s="73">
        <f>+D52+D48+D44+D34+D16</f>
        <v>3147057.9340277775</v>
      </c>
      <c r="E70" s="73">
        <f t="shared" ref="E70:P70" si="21">+E52+E48+E44+E34+E16</f>
        <v>707266.22</v>
      </c>
      <c r="F70" s="73">
        <f t="shared" si="21"/>
        <v>361775.72</v>
      </c>
      <c r="G70" s="73">
        <f t="shared" si="21"/>
        <v>317016.26</v>
      </c>
      <c r="H70" s="73">
        <f t="shared" si="21"/>
        <v>280391.46513888892</v>
      </c>
      <c r="I70" s="73">
        <f t="shared" si="21"/>
        <v>307314.9484722222</v>
      </c>
      <c r="J70" s="73">
        <f t="shared" si="21"/>
        <v>250589.79041666666</v>
      </c>
      <c r="K70" s="73">
        <f t="shared" si="21"/>
        <v>193312.07999999996</v>
      </c>
      <c r="L70" s="73">
        <f t="shared" si="21"/>
        <v>195526.73</v>
      </c>
      <c r="M70" s="73">
        <f t="shared" si="21"/>
        <v>153890.43</v>
      </c>
      <c r="N70" s="73">
        <f t="shared" si="21"/>
        <v>130181.32</v>
      </c>
      <c r="O70" s="73">
        <f t="shared" si="21"/>
        <v>115517.47999999998</v>
      </c>
      <c r="P70" s="73">
        <f t="shared" si="21"/>
        <v>134275.49</v>
      </c>
      <c r="Q70" s="29"/>
      <c r="R70" s="73">
        <f>+R52+R48+R44+R34+R16</f>
        <v>374284.36</v>
      </c>
      <c r="S70" s="73">
        <f t="shared" ref="S70:AD70" si="22">+S52+S48+S44+S34+S16</f>
        <v>74747.899999999994</v>
      </c>
      <c r="T70" s="73">
        <f t="shared" si="22"/>
        <v>34324.049999999996</v>
      </c>
      <c r="U70" s="73">
        <f t="shared" si="22"/>
        <v>74791.06</v>
      </c>
      <c r="V70" s="73">
        <f t="shared" si="22"/>
        <v>64204.670000000006</v>
      </c>
      <c r="W70" s="73">
        <f t="shared" si="22"/>
        <v>9380.130000000001</v>
      </c>
      <c r="X70" s="73">
        <f t="shared" si="22"/>
        <v>39242.78</v>
      </c>
      <c r="Y70" s="73">
        <f t="shared" si="22"/>
        <v>42021.86</v>
      </c>
      <c r="Z70" s="73">
        <f t="shared" si="22"/>
        <v>29717.37</v>
      </c>
      <c r="AA70" s="73">
        <f t="shared" si="22"/>
        <v>1414.96</v>
      </c>
      <c r="AB70" s="73">
        <f t="shared" si="22"/>
        <v>4049.5199999999995</v>
      </c>
      <c r="AC70" s="73">
        <f t="shared" si="22"/>
        <v>24.7</v>
      </c>
      <c r="AD70" s="73">
        <f t="shared" si="22"/>
        <v>365.36</v>
      </c>
    </row>
    <row r="71" spans="1:30" x14ac:dyDescent="0.45">
      <c r="B71" s="23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40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</row>
    <row r="72" spans="1:30" x14ac:dyDescent="0.45">
      <c r="B72" s="23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40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</row>
    <row r="73" spans="1:30" x14ac:dyDescent="0.45">
      <c r="B73" s="18" t="s">
        <v>61</v>
      </c>
      <c r="C73" s="56"/>
      <c r="D73" s="71">
        <f>+D14-D70</f>
        <v>1841760.765972232</v>
      </c>
      <c r="E73" s="71">
        <f t="shared" ref="E73:P73" si="23">+E14-E70</f>
        <v>351050.93000000087</v>
      </c>
      <c r="F73" s="71">
        <f t="shared" si="23"/>
        <v>439608.77999999968</v>
      </c>
      <c r="G73" s="71">
        <f t="shared" si="23"/>
        <v>22736.000000000291</v>
      </c>
      <c r="H73" s="71">
        <f t="shared" si="23"/>
        <v>137071.03486111108</v>
      </c>
      <c r="I73" s="71">
        <f t="shared" si="23"/>
        <v>225433.23152777844</v>
      </c>
      <c r="J73" s="71">
        <f t="shared" si="23"/>
        <v>61314.609583333717</v>
      </c>
      <c r="K73" s="71">
        <f t="shared" si="23"/>
        <v>204123.41000000492</v>
      </c>
      <c r="L73" s="71">
        <f t="shared" si="23"/>
        <v>-56320.690000002767</v>
      </c>
      <c r="M73" s="71">
        <f t="shared" si="23"/>
        <v>156325.27999999997</v>
      </c>
      <c r="N73" s="71">
        <f t="shared" si="23"/>
        <v>76148.279999998689</v>
      </c>
      <c r="O73" s="71">
        <f t="shared" si="23"/>
        <v>144269.81000000006</v>
      </c>
      <c r="P73" s="71">
        <f t="shared" si="23"/>
        <v>80000.090000000084</v>
      </c>
      <c r="Q73" s="40"/>
      <c r="R73" s="71">
        <f>+R14-R70</f>
        <v>584302.23999999964</v>
      </c>
      <c r="S73" s="71">
        <f t="shared" ref="S73:AD73" si="24">+S14-S70</f>
        <v>276775.5199999999</v>
      </c>
      <c r="T73" s="71">
        <f t="shared" si="24"/>
        <v>68064.399999999965</v>
      </c>
      <c r="U73" s="71">
        <f t="shared" si="24"/>
        <v>25616.940000000002</v>
      </c>
      <c r="V73" s="71">
        <f t="shared" si="24"/>
        <v>2260273.0499999998</v>
      </c>
      <c r="W73" s="71">
        <f t="shared" si="24"/>
        <v>-561293.73</v>
      </c>
      <c r="X73" s="71">
        <f t="shared" si="24"/>
        <v>-387500.92000000004</v>
      </c>
      <c r="Y73" s="71">
        <f t="shared" si="24"/>
        <v>-645471.86</v>
      </c>
      <c r="Z73" s="71">
        <f t="shared" si="24"/>
        <v>159393.38</v>
      </c>
      <c r="AA73" s="71">
        <f t="shared" si="24"/>
        <v>-607114.96</v>
      </c>
      <c r="AB73" s="71">
        <f t="shared" si="24"/>
        <v>-4049.5199999999995</v>
      </c>
      <c r="AC73" s="71">
        <f t="shared" si="24"/>
        <v>-24.7</v>
      </c>
      <c r="AD73" s="71">
        <f t="shared" si="24"/>
        <v>-365.36</v>
      </c>
    </row>
    <row r="74" spans="1:30" x14ac:dyDescent="0.45">
      <c r="B74" s="23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40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</row>
    <row r="75" spans="1:30" s="15" customFormat="1" x14ac:dyDescent="0.45">
      <c r="A75" s="19"/>
      <c r="B75" s="20" t="s">
        <v>62</v>
      </c>
      <c r="C75" s="74"/>
      <c r="D75" s="73">
        <f>SUM(D76:D81)</f>
        <v>1754342.0653691629</v>
      </c>
      <c r="E75" s="73">
        <f t="shared" ref="E75:P75" si="25">SUM(E76:E81)</f>
        <v>879868.52</v>
      </c>
      <c r="F75" s="73">
        <f t="shared" si="25"/>
        <v>35744.379999999997</v>
      </c>
      <c r="G75" s="73">
        <f t="shared" si="25"/>
        <v>37501.15</v>
      </c>
      <c r="H75" s="73">
        <f t="shared" si="25"/>
        <v>263611.19</v>
      </c>
      <c r="I75" s="73">
        <f t="shared" si="25"/>
        <v>40922.660000000003</v>
      </c>
      <c r="J75" s="73">
        <f t="shared" si="25"/>
        <v>50414.559999999998</v>
      </c>
      <c r="K75" s="73">
        <f t="shared" si="25"/>
        <v>170351.46</v>
      </c>
      <c r="L75" s="73">
        <f t="shared" si="25"/>
        <v>17723.379999999997</v>
      </c>
      <c r="M75" s="73">
        <f t="shared" si="25"/>
        <v>17129</v>
      </c>
      <c r="N75" s="73">
        <f t="shared" si="25"/>
        <v>203920.52536916302</v>
      </c>
      <c r="O75" s="73">
        <f t="shared" si="25"/>
        <v>34981.33</v>
      </c>
      <c r="P75" s="73">
        <f t="shared" si="25"/>
        <v>2173.91</v>
      </c>
      <c r="Q75" s="29"/>
      <c r="R75" s="73">
        <f>SUM(R76:R81)</f>
        <v>372064.48000000004</v>
      </c>
      <c r="S75" s="73">
        <f t="shared" ref="S75:AD75" si="26">SUM(S76:S81)</f>
        <v>-39554.050000000003</v>
      </c>
      <c r="T75" s="73">
        <f t="shared" si="26"/>
        <v>68809.52</v>
      </c>
      <c r="U75" s="73">
        <f t="shared" si="26"/>
        <v>68141.440000000002</v>
      </c>
      <c r="V75" s="73">
        <f t="shared" si="26"/>
        <v>264976.37</v>
      </c>
      <c r="W75" s="73">
        <f t="shared" si="26"/>
        <v>0</v>
      </c>
      <c r="X75" s="73">
        <f t="shared" si="26"/>
        <v>0</v>
      </c>
      <c r="Y75" s="73">
        <f t="shared" si="26"/>
        <v>9691.2000000000007</v>
      </c>
      <c r="Z75" s="73">
        <f t="shared" si="26"/>
        <v>0</v>
      </c>
      <c r="AA75" s="73">
        <f t="shared" si="26"/>
        <v>0</v>
      </c>
      <c r="AB75" s="73">
        <f t="shared" si="26"/>
        <v>0</v>
      </c>
      <c r="AC75" s="73">
        <f t="shared" si="26"/>
        <v>0</v>
      </c>
      <c r="AD75" s="73">
        <f t="shared" si="26"/>
        <v>0</v>
      </c>
    </row>
    <row r="76" spans="1:30" hidden="1" outlineLevel="1" x14ac:dyDescent="0.45">
      <c r="B76" s="22" t="s">
        <v>63</v>
      </c>
      <c r="C76" s="56"/>
      <c r="D76" s="71">
        <f t="shared" ref="D76:D85" si="27">SUM(E76:P76)</f>
        <v>1411945.925369163</v>
      </c>
      <c r="E76" s="71">
        <f>310231.32+535681</f>
        <v>845912.32000000007</v>
      </c>
      <c r="F76" s="71">
        <v>0</v>
      </c>
      <c r="G76" s="71">
        <v>0</v>
      </c>
      <c r="H76" s="71">
        <v>224384.12</v>
      </c>
      <c r="I76" s="71">
        <v>0</v>
      </c>
      <c r="J76" s="71">
        <v>0</v>
      </c>
      <c r="K76" s="71">
        <v>156409.78</v>
      </c>
      <c r="L76" s="71">
        <v>0</v>
      </c>
      <c r="M76" s="71">
        <v>0</v>
      </c>
      <c r="N76" s="71">
        <v>185239.70536916301</v>
      </c>
      <c r="O76" s="71">
        <v>0</v>
      </c>
      <c r="P76" s="71">
        <v>0</v>
      </c>
      <c r="Q76" s="40"/>
      <c r="R76" s="71">
        <f t="shared" ref="R76:R85" si="28">SUM(S76:AD76)</f>
        <v>372064.48000000004</v>
      </c>
      <c r="S76" s="71">
        <v>-39554.050000000003</v>
      </c>
      <c r="T76" s="71">
        <v>68809.52</v>
      </c>
      <c r="U76" s="71">
        <v>68141.440000000002</v>
      </c>
      <c r="V76" s="71">
        <v>264976.37</v>
      </c>
      <c r="W76" s="71">
        <v>0</v>
      </c>
      <c r="X76" s="71">
        <v>0</v>
      </c>
      <c r="Y76" s="71">
        <v>9691.2000000000007</v>
      </c>
      <c r="Z76" s="71">
        <v>0</v>
      </c>
      <c r="AA76" s="71">
        <v>0</v>
      </c>
      <c r="AB76" s="71">
        <v>0</v>
      </c>
      <c r="AC76" s="71">
        <v>0</v>
      </c>
      <c r="AD76" s="71">
        <v>0</v>
      </c>
    </row>
    <row r="77" spans="1:30" hidden="1" outlineLevel="1" x14ac:dyDescent="0.45">
      <c r="B77" s="22" t="s">
        <v>64</v>
      </c>
      <c r="C77" s="56"/>
      <c r="D77" s="71">
        <f t="shared" si="27"/>
        <v>315446.25999999995</v>
      </c>
      <c r="E77" s="71">
        <v>33956.199999999997</v>
      </c>
      <c r="F77" s="71">
        <v>35744.379999999997</v>
      </c>
      <c r="G77" s="71">
        <v>37501.15</v>
      </c>
      <c r="H77" s="71">
        <v>39227.07</v>
      </c>
      <c r="I77" s="71">
        <v>40922.660000000003</v>
      </c>
      <c r="J77" s="71">
        <v>42588.47</v>
      </c>
      <c r="K77" s="71">
        <v>13941.68</v>
      </c>
      <c r="L77" s="71">
        <v>15549.47</v>
      </c>
      <c r="M77" s="71">
        <v>17129</v>
      </c>
      <c r="N77" s="71">
        <v>18680.82</v>
      </c>
      <c r="O77" s="71">
        <v>20205.36</v>
      </c>
      <c r="P77" s="71">
        <v>0</v>
      </c>
      <c r="Q77" s="40"/>
      <c r="R77" s="71">
        <f t="shared" si="28"/>
        <v>0</v>
      </c>
      <c r="S77" s="71">
        <v>0</v>
      </c>
      <c r="T77" s="71">
        <v>0</v>
      </c>
      <c r="U77" s="71">
        <v>0</v>
      </c>
      <c r="V77" s="71">
        <v>0</v>
      </c>
      <c r="W77" s="71">
        <v>0</v>
      </c>
      <c r="X77" s="71">
        <v>0</v>
      </c>
      <c r="Y77" s="71">
        <v>0</v>
      </c>
      <c r="Z77" s="71">
        <v>0</v>
      </c>
      <c r="AA77" s="71">
        <v>0</v>
      </c>
      <c r="AB77" s="71">
        <v>0</v>
      </c>
      <c r="AC77" s="71">
        <v>0</v>
      </c>
      <c r="AD77" s="71">
        <v>0</v>
      </c>
    </row>
    <row r="78" spans="1:30" hidden="1" outlineLevel="1" x14ac:dyDescent="0.45">
      <c r="B78" s="22" t="s">
        <v>65</v>
      </c>
      <c r="C78" s="40"/>
      <c r="D78" s="71">
        <f t="shared" si="27"/>
        <v>0</v>
      </c>
      <c r="E78" s="71">
        <v>0</v>
      </c>
      <c r="F78" s="71">
        <v>0</v>
      </c>
      <c r="G78" s="71">
        <v>0</v>
      </c>
      <c r="H78" s="71">
        <v>0</v>
      </c>
      <c r="I78" s="71">
        <v>0</v>
      </c>
      <c r="J78" s="71">
        <v>0</v>
      </c>
      <c r="K78" s="71">
        <v>0</v>
      </c>
      <c r="L78" s="71">
        <v>0</v>
      </c>
      <c r="M78" s="71">
        <v>0</v>
      </c>
      <c r="N78" s="71">
        <v>0</v>
      </c>
      <c r="O78" s="71">
        <v>0</v>
      </c>
      <c r="P78" s="71">
        <v>0</v>
      </c>
      <c r="Q78" s="40"/>
      <c r="R78" s="71">
        <f t="shared" si="28"/>
        <v>0</v>
      </c>
      <c r="S78" s="71">
        <v>0</v>
      </c>
      <c r="T78" s="71">
        <v>0</v>
      </c>
      <c r="U78" s="71">
        <v>0</v>
      </c>
      <c r="V78" s="71">
        <v>0</v>
      </c>
      <c r="W78" s="71">
        <v>0</v>
      </c>
      <c r="X78" s="71">
        <v>0</v>
      </c>
      <c r="Y78" s="71">
        <v>0</v>
      </c>
      <c r="Z78" s="71">
        <v>0</v>
      </c>
      <c r="AA78" s="71">
        <v>0</v>
      </c>
      <c r="AB78" s="71">
        <v>0</v>
      </c>
      <c r="AC78" s="71">
        <v>0</v>
      </c>
      <c r="AD78" s="71">
        <v>0</v>
      </c>
    </row>
    <row r="79" spans="1:30" hidden="1" outlineLevel="1" x14ac:dyDescent="0.45">
      <c r="B79" s="22" t="s">
        <v>66</v>
      </c>
      <c r="C79" s="40"/>
      <c r="D79" s="71">
        <f t="shared" si="27"/>
        <v>0</v>
      </c>
      <c r="E79" s="71">
        <v>0</v>
      </c>
      <c r="F79" s="71">
        <v>0</v>
      </c>
      <c r="G79" s="71">
        <v>0</v>
      </c>
      <c r="H79" s="71">
        <v>0</v>
      </c>
      <c r="I79" s="71">
        <v>0</v>
      </c>
      <c r="J79" s="71">
        <v>0</v>
      </c>
      <c r="K79" s="71">
        <v>0</v>
      </c>
      <c r="L79" s="71">
        <v>0</v>
      </c>
      <c r="M79" s="71">
        <v>0</v>
      </c>
      <c r="N79" s="71">
        <v>0</v>
      </c>
      <c r="O79" s="71">
        <v>0</v>
      </c>
      <c r="P79" s="71">
        <v>0</v>
      </c>
      <c r="Q79" s="40"/>
      <c r="R79" s="71">
        <f t="shared" si="28"/>
        <v>0</v>
      </c>
      <c r="S79" s="71">
        <v>0</v>
      </c>
      <c r="T79" s="71">
        <v>0</v>
      </c>
      <c r="U79" s="71">
        <v>0</v>
      </c>
      <c r="V79" s="71">
        <v>0</v>
      </c>
      <c r="W79" s="71">
        <v>0</v>
      </c>
      <c r="X79" s="71">
        <v>0</v>
      </c>
      <c r="Y79" s="71">
        <v>0</v>
      </c>
      <c r="Z79" s="71">
        <v>0</v>
      </c>
      <c r="AA79" s="71">
        <v>0</v>
      </c>
      <c r="AB79" s="71">
        <v>0</v>
      </c>
      <c r="AC79" s="71">
        <v>0</v>
      </c>
      <c r="AD79" s="71">
        <v>0</v>
      </c>
    </row>
    <row r="80" spans="1:30" hidden="1" outlineLevel="1" x14ac:dyDescent="0.45">
      <c r="B80" s="22" t="s">
        <v>67</v>
      </c>
      <c r="C80" s="40"/>
      <c r="D80" s="71">
        <f t="shared" si="27"/>
        <v>26949.88</v>
      </c>
      <c r="E80" s="71">
        <v>0</v>
      </c>
      <c r="F80" s="71">
        <v>0</v>
      </c>
      <c r="G80" s="71">
        <v>0</v>
      </c>
      <c r="H80" s="71">
        <v>0</v>
      </c>
      <c r="I80" s="71">
        <v>0</v>
      </c>
      <c r="J80" s="71">
        <v>7826.09</v>
      </c>
      <c r="K80" s="71">
        <v>0</v>
      </c>
      <c r="L80" s="71">
        <v>2173.91</v>
      </c>
      <c r="M80" s="71">
        <v>0</v>
      </c>
      <c r="N80" s="71">
        <v>0</v>
      </c>
      <c r="O80" s="71">
        <v>14775.97</v>
      </c>
      <c r="P80" s="71">
        <v>2173.91</v>
      </c>
      <c r="Q80" s="40"/>
      <c r="R80" s="71">
        <f t="shared" si="28"/>
        <v>0</v>
      </c>
      <c r="S80" s="71">
        <v>0</v>
      </c>
      <c r="T80" s="71">
        <v>0</v>
      </c>
      <c r="U80" s="71">
        <v>0</v>
      </c>
      <c r="V80" s="71">
        <v>0</v>
      </c>
      <c r="W80" s="71">
        <v>0</v>
      </c>
      <c r="X80" s="71">
        <v>0</v>
      </c>
      <c r="Y80" s="71">
        <v>0</v>
      </c>
      <c r="Z80" s="71">
        <v>0</v>
      </c>
      <c r="AA80" s="71">
        <v>0</v>
      </c>
      <c r="AB80" s="71">
        <v>0</v>
      </c>
      <c r="AC80" s="71">
        <v>0</v>
      </c>
      <c r="AD80" s="71">
        <v>0</v>
      </c>
    </row>
    <row r="81" spans="2:30" hidden="1" outlineLevel="1" x14ac:dyDescent="0.45">
      <c r="B81" s="22" t="s">
        <v>68</v>
      </c>
      <c r="C81" s="56"/>
      <c r="D81" s="71">
        <f t="shared" si="27"/>
        <v>0</v>
      </c>
      <c r="E81" s="71">
        <v>0</v>
      </c>
      <c r="F81" s="71">
        <v>0</v>
      </c>
      <c r="G81" s="71">
        <v>0</v>
      </c>
      <c r="H81" s="71">
        <v>0</v>
      </c>
      <c r="I81" s="71">
        <v>0</v>
      </c>
      <c r="J81" s="71">
        <v>0</v>
      </c>
      <c r="K81" s="71">
        <v>0</v>
      </c>
      <c r="L81" s="71">
        <v>0</v>
      </c>
      <c r="M81" s="71">
        <v>0</v>
      </c>
      <c r="N81" s="71">
        <v>0</v>
      </c>
      <c r="O81" s="71">
        <v>0</v>
      </c>
      <c r="P81" s="71">
        <v>0</v>
      </c>
      <c r="Q81" s="40"/>
      <c r="R81" s="71">
        <f t="shared" si="28"/>
        <v>0</v>
      </c>
      <c r="S81" s="71">
        <v>0</v>
      </c>
      <c r="T81" s="71">
        <v>0</v>
      </c>
      <c r="U81" s="71">
        <v>0</v>
      </c>
      <c r="V81" s="71">
        <v>0</v>
      </c>
      <c r="W81" s="71">
        <v>0</v>
      </c>
      <c r="X81" s="71">
        <v>0</v>
      </c>
      <c r="Y81" s="71">
        <v>0</v>
      </c>
      <c r="Z81" s="71">
        <v>0</v>
      </c>
      <c r="AA81" s="71">
        <v>0</v>
      </c>
      <c r="AB81" s="71">
        <v>0</v>
      </c>
      <c r="AC81" s="71">
        <v>0</v>
      </c>
      <c r="AD81" s="71">
        <v>0</v>
      </c>
    </row>
    <row r="82" spans="2:30" collapsed="1" x14ac:dyDescent="0.45">
      <c r="B82" s="23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40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</row>
    <row r="83" spans="2:30" x14ac:dyDescent="0.45">
      <c r="B83" s="18" t="s">
        <v>69</v>
      </c>
      <c r="C83" s="56"/>
      <c r="D83" s="71">
        <f t="shared" si="27"/>
        <v>-127.03999999900043</v>
      </c>
      <c r="E83" s="71">
        <v>13652.620000000999</v>
      </c>
      <c r="F83" s="71">
        <v>-13779.66</v>
      </c>
      <c r="G83" s="71">
        <v>0</v>
      </c>
      <c r="H83" s="71">
        <v>0</v>
      </c>
      <c r="I83" s="71">
        <v>0</v>
      </c>
      <c r="J83" s="71">
        <v>0</v>
      </c>
      <c r="K83" s="71">
        <v>0</v>
      </c>
      <c r="L83" s="71">
        <v>0</v>
      </c>
      <c r="M83" s="71">
        <v>0</v>
      </c>
      <c r="N83" s="71">
        <v>0</v>
      </c>
      <c r="O83" s="71">
        <v>0</v>
      </c>
      <c r="P83" s="71">
        <v>0</v>
      </c>
      <c r="Q83" s="40"/>
      <c r="R83" s="71">
        <f t="shared" si="28"/>
        <v>0</v>
      </c>
      <c r="S83" s="71">
        <v>0</v>
      </c>
      <c r="T83" s="71">
        <v>0</v>
      </c>
      <c r="U83" s="71">
        <v>0</v>
      </c>
      <c r="V83" s="71">
        <v>0</v>
      </c>
      <c r="W83" s="71">
        <v>0</v>
      </c>
      <c r="X83" s="71">
        <v>0</v>
      </c>
      <c r="Y83" s="71">
        <v>0</v>
      </c>
      <c r="Z83" s="71">
        <v>0</v>
      </c>
      <c r="AA83" s="71">
        <v>0</v>
      </c>
      <c r="AB83" s="71">
        <v>0</v>
      </c>
      <c r="AC83" s="71">
        <v>0</v>
      </c>
      <c r="AD83" s="71">
        <v>0</v>
      </c>
    </row>
    <row r="84" spans="2:30" x14ac:dyDescent="0.45">
      <c r="B84" s="23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40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</row>
    <row r="85" spans="2:30" x14ac:dyDescent="0.45">
      <c r="B85" s="18" t="s">
        <v>70</v>
      </c>
      <c r="C85" s="56"/>
      <c r="D85" s="71">
        <f t="shared" si="27"/>
        <v>53144</v>
      </c>
      <c r="E85" s="71">
        <f>75000-21856</f>
        <v>53144</v>
      </c>
      <c r="F85" s="71">
        <v>0</v>
      </c>
      <c r="G85" s="71">
        <v>0</v>
      </c>
      <c r="H85" s="71">
        <v>0</v>
      </c>
      <c r="I85" s="71">
        <v>0</v>
      </c>
      <c r="J85" s="71">
        <v>0</v>
      </c>
      <c r="K85" s="71">
        <v>0</v>
      </c>
      <c r="L85" s="71">
        <v>0</v>
      </c>
      <c r="M85" s="71">
        <v>0</v>
      </c>
      <c r="N85" s="71">
        <v>0</v>
      </c>
      <c r="O85" s="71">
        <v>0</v>
      </c>
      <c r="P85" s="71">
        <v>0</v>
      </c>
      <c r="Q85" s="40"/>
      <c r="R85" s="71">
        <f t="shared" si="28"/>
        <v>17141</v>
      </c>
      <c r="S85" s="71">
        <v>17141</v>
      </c>
      <c r="T85" s="71">
        <v>0</v>
      </c>
      <c r="U85" s="71">
        <v>0</v>
      </c>
      <c r="V85" s="71">
        <v>0</v>
      </c>
      <c r="W85" s="71">
        <v>0</v>
      </c>
      <c r="X85" s="71">
        <v>0</v>
      </c>
      <c r="Y85" s="71">
        <v>0</v>
      </c>
      <c r="Z85" s="71">
        <v>0</v>
      </c>
      <c r="AA85" s="71">
        <v>0</v>
      </c>
      <c r="AB85" s="71">
        <v>0</v>
      </c>
      <c r="AC85" s="71">
        <v>0</v>
      </c>
      <c r="AD85" s="71">
        <v>0</v>
      </c>
    </row>
    <row r="86" spans="2:30" x14ac:dyDescent="0.45">
      <c r="B86" s="23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40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</row>
    <row r="87" spans="2:30" x14ac:dyDescent="0.45">
      <c r="B87" s="20" t="s">
        <v>71</v>
      </c>
      <c r="C87" s="74"/>
      <c r="D87" s="73">
        <f>+D73-D75-D83-D85</f>
        <v>34401.740603068043</v>
      </c>
      <c r="E87" s="73">
        <f>+E73-E75-E83-E85</f>
        <v>-595614.2100000002</v>
      </c>
      <c r="F87" s="73">
        <f t="shared" ref="F87:P87" si="29">+F73-F75-F83-F85</f>
        <v>417644.05999999965</v>
      </c>
      <c r="G87" s="73">
        <f t="shared" si="29"/>
        <v>-14765.14999999971</v>
      </c>
      <c r="H87" s="73">
        <f t="shared" si="29"/>
        <v>-126540.15513888892</v>
      </c>
      <c r="I87" s="73">
        <f t="shared" si="29"/>
        <v>184510.57152777843</v>
      </c>
      <c r="J87" s="73">
        <f t="shared" si="29"/>
        <v>10900.049583333719</v>
      </c>
      <c r="K87" s="73">
        <f t="shared" si="29"/>
        <v>33771.95000000493</v>
      </c>
      <c r="L87" s="73">
        <f t="shared" si="29"/>
        <v>-74044.070000002772</v>
      </c>
      <c r="M87" s="73">
        <f t="shared" si="29"/>
        <v>139196.27999999997</v>
      </c>
      <c r="N87" s="73">
        <f t="shared" si="29"/>
        <v>-127772.24536916433</v>
      </c>
      <c r="O87" s="73">
        <f t="shared" si="29"/>
        <v>109288.48000000005</v>
      </c>
      <c r="P87" s="73">
        <f t="shared" si="29"/>
        <v>77826.18000000008</v>
      </c>
      <c r="Q87" s="40"/>
      <c r="R87" s="73">
        <f>+R73-R75-R83-R85</f>
        <v>195096.7599999996</v>
      </c>
      <c r="S87" s="73">
        <f>+S73-S75-S83-S85</f>
        <v>299188.56999999989</v>
      </c>
      <c r="T87" s="73">
        <f t="shared" ref="T87:AD87" si="30">+T73-T75-T83-T85</f>
        <v>-745.120000000039</v>
      </c>
      <c r="U87" s="73">
        <f t="shared" si="30"/>
        <v>-42524.5</v>
      </c>
      <c r="V87" s="73">
        <f t="shared" si="30"/>
        <v>1995296.6799999997</v>
      </c>
      <c r="W87" s="73">
        <f t="shared" si="30"/>
        <v>-561293.73</v>
      </c>
      <c r="X87" s="73">
        <f t="shared" si="30"/>
        <v>-387500.92000000004</v>
      </c>
      <c r="Y87" s="73">
        <f t="shared" si="30"/>
        <v>-655163.05999999994</v>
      </c>
      <c r="Z87" s="73">
        <f t="shared" si="30"/>
        <v>159393.38</v>
      </c>
      <c r="AA87" s="73">
        <f t="shared" si="30"/>
        <v>-607114.96</v>
      </c>
      <c r="AB87" s="73">
        <f t="shared" si="30"/>
        <v>-4049.5199999999995</v>
      </c>
      <c r="AC87" s="73">
        <f t="shared" si="30"/>
        <v>-24.7</v>
      </c>
      <c r="AD87" s="73">
        <f t="shared" si="30"/>
        <v>-365.36</v>
      </c>
    </row>
    <row r="88" spans="2:30" x14ac:dyDescent="0.45">
      <c r="B88" s="24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2:30" x14ac:dyDescent="0.45">
      <c r="D89" s="25"/>
    </row>
    <row r="90" spans="2:30" x14ac:dyDescent="0.45">
      <c r="C90" s="3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</row>
    <row r="91" spans="2:30" x14ac:dyDescent="0.45"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</row>
  </sheetData>
  <conditionalFormatting sqref="C88:P88">
    <cfRule type="cellIs" dxfId="1" priority="5" operator="equal">
      <formula>0</formula>
    </cfRule>
  </conditionalFormatting>
  <conditionalFormatting sqref="R88:AD88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ignoredErrors>
    <ignoredError sqref="C10:R84 C86:R86 C85:R85 C87:R87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A845-171C-4CC8-BB4B-5E110BB0766F}">
  <dimension ref="A5:AB175"/>
  <sheetViews>
    <sheetView showGridLines="0" zoomScale="80" zoomScaleNormal="80" workbookViewId="0">
      <pane xSplit="2" ySplit="10" topLeftCell="C26" activePane="bottomRight" state="frozen"/>
      <selection pane="topRight" activeCell="C8" sqref="C8"/>
      <selection pane="bottomLeft" activeCell="C8" sqref="C8"/>
      <selection pane="bottomRight"/>
    </sheetView>
  </sheetViews>
  <sheetFormatPr defaultColWidth="8.796875" defaultRowHeight="14.25" outlineLevelRow="1" x14ac:dyDescent="0.45"/>
  <cols>
    <col min="1" max="1" width="5.53125" style="1" customWidth="1"/>
    <col min="2" max="2" width="60" bestFit="1" customWidth="1"/>
    <col min="3" max="3" width="4.46484375" customWidth="1"/>
    <col min="4" max="15" width="14.46484375" bestFit="1" customWidth="1"/>
    <col min="17" max="18" width="14.46484375" bestFit="1" customWidth="1"/>
    <col min="19" max="20" width="13.46484375" bestFit="1" customWidth="1"/>
    <col min="21" max="21" width="13.73046875" bestFit="1" customWidth="1"/>
    <col min="22" max="23" width="14.19921875" bestFit="1" customWidth="1"/>
    <col min="24" max="25" width="13.46484375" bestFit="1" customWidth="1"/>
    <col min="26" max="26" width="10.53125" bestFit="1" customWidth="1"/>
    <col min="27" max="27" width="10.265625" bestFit="1" customWidth="1"/>
    <col min="28" max="28" width="9.796875" bestFit="1" customWidth="1"/>
  </cols>
  <sheetData>
    <row r="5" spans="1:28" s="10" customFormat="1" ht="14.65" thickBot="1" x14ac:dyDescent="0.5">
      <c r="A5" s="7"/>
      <c r="B5" s="27"/>
    </row>
    <row r="6" spans="1:28" ht="14.65" thickBot="1" x14ac:dyDescent="0.5">
      <c r="B6" s="12" t="s">
        <v>72</v>
      </c>
      <c r="D6" s="28">
        <v>45290</v>
      </c>
      <c r="E6" s="28">
        <v>45260</v>
      </c>
      <c r="F6" s="28">
        <v>45230</v>
      </c>
      <c r="G6" s="28">
        <v>45199</v>
      </c>
      <c r="H6" s="28">
        <v>45169</v>
      </c>
      <c r="I6" s="28">
        <v>45138</v>
      </c>
      <c r="J6" s="28">
        <v>45107</v>
      </c>
      <c r="K6" s="28">
        <v>45077</v>
      </c>
      <c r="L6" s="28">
        <v>45046</v>
      </c>
      <c r="M6" s="28">
        <v>45016</v>
      </c>
      <c r="N6" s="28">
        <v>44985</v>
      </c>
      <c r="O6" s="28">
        <v>44957</v>
      </c>
      <c r="Q6" s="28">
        <v>44925</v>
      </c>
      <c r="R6" s="28">
        <v>44895</v>
      </c>
      <c r="S6" s="28">
        <v>44865</v>
      </c>
      <c r="T6" s="28">
        <v>44834</v>
      </c>
      <c r="U6" s="28">
        <v>44804</v>
      </c>
      <c r="V6" s="28">
        <v>44773</v>
      </c>
      <c r="W6" s="28">
        <v>44742</v>
      </c>
      <c r="X6" s="28">
        <v>44712</v>
      </c>
      <c r="Y6" s="28">
        <v>44681</v>
      </c>
      <c r="Z6" s="28">
        <v>44651</v>
      </c>
      <c r="AA6" s="28">
        <v>44620</v>
      </c>
      <c r="AB6" s="28">
        <v>44592</v>
      </c>
    </row>
    <row r="7" spans="1:28" x14ac:dyDescent="0.45">
      <c r="B7" s="15" t="s">
        <v>73</v>
      </c>
    </row>
    <row r="8" spans="1:28" ht="14.65" thickBot="1" x14ac:dyDescent="0.5">
      <c r="B8" s="30" t="s">
        <v>74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</row>
    <row r="9" spans="1:28" x14ac:dyDescent="0.45">
      <c r="B9" s="16"/>
    </row>
    <row r="10" spans="1:28" x14ac:dyDescent="0.45">
      <c r="B10" s="32" t="s">
        <v>75</v>
      </c>
      <c r="C10" s="40"/>
      <c r="D10" s="53">
        <f t="shared" ref="D10:M10" si="0">SUM(D11:D25)</f>
        <v>10523351.529999999</v>
      </c>
      <c r="E10" s="53">
        <f t="shared" si="0"/>
        <v>15482869.050000001</v>
      </c>
      <c r="F10" s="54">
        <f t="shared" si="0"/>
        <v>4019166.0600000005</v>
      </c>
      <c r="G10" s="54">
        <f t="shared" si="0"/>
        <v>2559466.9299999997</v>
      </c>
      <c r="H10" s="54">
        <f>SUM(H11:H25)</f>
        <v>2599806.62</v>
      </c>
      <c r="I10" s="54">
        <f t="shared" si="0"/>
        <v>4324448.08</v>
      </c>
      <c r="J10" s="54">
        <f t="shared" si="0"/>
        <v>2209988.4300000002</v>
      </c>
      <c r="K10" s="54">
        <f t="shared" si="0"/>
        <v>4067119.4599999995</v>
      </c>
      <c r="L10" s="54">
        <f t="shared" si="0"/>
        <v>2115338.46</v>
      </c>
      <c r="M10" s="54">
        <f t="shared" si="0"/>
        <v>2867551.3299999996</v>
      </c>
      <c r="N10" s="54">
        <f>SUM(N11:N25)</f>
        <v>1960170.4099999997</v>
      </c>
      <c r="O10" s="54">
        <f>SUM(O11:O25)</f>
        <v>1849193.53</v>
      </c>
      <c r="P10" s="40"/>
      <c r="Q10" s="53">
        <f t="shared" ref="Q10:Z10" si="1">SUM(Q11:Q25)</f>
        <v>1841669.75</v>
      </c>
      <c r="R10" s="53">
        <f t="shared" si="1"/>
        <v>2210824.9000000004</v>
      </c>
      <c r="S10" s="54">
        <f t="shared" si="1"/>
        <v>653840.24</v>
      </c>
      <c r="T10" s="54">
        <f t="shared" si="1"/>
        <v>1224068.1300000001</v>
      </c>
      <c r="U10" s="54">
        <f>SUM(U11:U25)</f>
        <v>1329236.6600000001</v>
      </c>
      <c r="V10" s="54">
        <f t="shared" si="1"/>
        <v>836218.58000000007</v>
      </c>
      <c r="W10" s="54">
        <f t="shared" si="1"/>
        <v>1739626.06</v>
      </c>
      <c r="X10" s="54">
        <f t="shared" si="1"/>
        <v>2492927.38</v>
      </c>
      <c r="Y10" s="54">
        <f t="shared" si="1"/>
        <v>2303439.25</v>
      </c>
      <c r="Z10" s="54">
        <f t="shared" si="1"/>
        <v>0</v>
      </c>
      <c r="AA10" s="54">
        <f>SUM(AA11:AA25)</f>
        <v>0</v>
      </c>
      <c r="AB10" s="54">
        <f>SUM(AB11:AB25)</f>
        <v>0</v>
      </c>
    </row>
    <row r="11" spans="1:28" hidden="1" outlineLevel="1" x14ac:dyDescent="0.45">
      <c r="B11" s="34" t="s">
        <v>76</v>
      </c>
      <c r="C11" s="40"/>
      <c r="D11" s="40">
        <v>0</v>
      </c>
      <c r="E11" s="40">
        <v>19805.330000000002</v>
      </c>
      <c r="F11" s="40">
        <v>147222.49</v>
      </c>
      <c r="G11" s="40">
        <v>95167.97</v>
      </c>
      <c r="H11" s="40">
        <v>68203.03</v>
      </c>
      <c r="I11" s="40">
        <v>29626.639999999999</v>
      </c>
      <c r="J11" s="40">
        <v>16237.04</v>
      </c>
      <c r="K11" s="40">
        <v>183881.32</v>
      </c>
      <c r="L11" s="40">
        <v>149716.88</v>
      </c>
      <c r="M11" s="40">
        <v>123005.28</v>
      </c>
      <c r="N11" s="40">
        <v>103071.57</v>
      </c>
      <c r="O11" s="40">
        <v>92540.02</v>
      </c>
      <c r="P11" s="40"/>
      <c r="Q11" s="40">
        <v>80051.22</v>
      </c>
      <c r="R11" s="40">
        <v>57550.77</v>
      </c>
      <c r="S11" s="40">
        <v>41036.19</v>
      </c>
      <c r="T11" s="40">
        <v>29082.1</v>
      </c>
      <c r="U11" s="40">
        <v>16439.099999999999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</row>
    <row r="12" spans="1:28" hidden="1" outlineLevel="1" x14ac:dyDescent="0.45">
      <c r="B12" s="34" t="s">
        <v>77</v>
      </c>
      <c r="C12" s="40"/>
      <c r="D12" s="40">
        <v>0</v>
      </c>
      <c r="E12" s="40">
        <v>33628.559999999998</v>
      </c>
      <c r="F12" s="40">
        <v>522033.06</v>
      </c>
      <c r="G12" s="40">
        <v>348134.21</v>
      </c>
      <c r="H12" s="40">
        <v>201753.46</v>
      </c>
      <c r="I12" s="40">
        <v>151475.12</v>
      </c>
      <c r="J12" s="40">
        <v>19484.46</v>
      </c>
      <c r="K12" s="40">
        <v>317770.3</v>
      </c>
      <c r="L12" s="40">
        <v>273567.92</v>
      </c>
      <c r="M12" s="40">
        <v>242441.23</v>
      </c>
      <c r="N12" s="40">
        <v>115040.59</v>
      </c>
      <c r="O12" s="40">
        <v>102904.63</v>
      </c>
      <c r="P12" s="40"/>
      <c r="Q12" s="40">
        <v>90367.55</v>
      </c>
      <c r="R12" s="40">
        <v>60551.29</v>
      </c>
      <c r="S12" s="40">
        <v>41438.11</v>
      </c>
      <c r="T12" s="40">
        <v>28313.88</v>
      </c>
      <c r="U12" s="40">
        <v>13142.28</v>
      </c>
      <c r="V12" s="40">
        <v>2422.8000000000002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</row>
    <row r="13" spans="1:28" hidden="1" outlineLevel="1" x14ac:dyDescent="0.45">
      <c r="B13" s="34" t="s">
        <v>78</v>
      </c>
      <c r="C13" s="40"/>
      <c r="D13" s="40">
        <v>668024.87</v>
      </c>
      <c r="E13" s="40">
        <v>398878.93</v>
      </c>
      <c r="F13" s="40">
        <v>265758.03000000003</v>
      </c>
      <c r="G13" s="40">
        <v>401564.63</v>
      </c>
      <c r="H13" s="40">
        <v>236041.65</v>
      </c>
      <c r="I13" s="40">
        <v>34928.33</v>
      </c>
      <c r="J13" s="40">
        <v>393044.59</v>
      </c>
      <c r="K13" s="40">
        <v>498326.68</v>
      </c>
      <c r="L13" s="40">
        <v>321517.18</v>
      </c>
      <c r="M13" s="40">
        <v>197010.44</v>
      </c>
      <c r="N13" s="40">
        <v>346906.84</v>
      </c>
      <c r="O13" s="40">
        <v>298363</v>
      </c>
      <c r="P13" s="40"/>
      <c r="Q13" s="40">
        <v>248214.68</v>
      </c>
      <c r="R13" s="40">
        <v>128949.64</v>
      </c>
      <c r="S13" s="40">
        <v>52496.9</v>
      </c>
      <c r="T13" s="40">
        <v>113255.53</v>
      </c>
      <c r="U13" s="40">
        <v>52569.13</v>
      </c>
      <c r="V13" s="40">
        <v>9691.2000000000007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</row>
    <row r="14" spans="1:28" hidden="1" outlineLevel="1" x14ac:dyDescent="0.45">
      <c r="B14" s="34" t="s">
        <v>79</v>
      </c>
      <c r="C14" s="40"/>
      <c r="D14" s="40">
        <v>0</v>
      </c>
      <c r="E14" s="40">
        <v>0</v>
      </c>
      <c r="F14" s="40">
        <v>105000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/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</row>
    <row r="15" spans="1:28" hidden="1" outlineLevel="1" x14ac:dyDescent="0.45">
      <c r="B15" s="34" t="s">
        <v>80</v>
      </c>
      <c r="C15" s="40"/>
      <c r="D15" s="40">
        <v>43532.61</v>
      </c>
      <c r="E15" s="40">
        <v>19565.22</v>
      </c>
      <c r="F15" s="40">
        <v>15750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/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</row>
    <row r="16" spans="1:28" hidden="1" outlineLevel="1" x14ac:dyDescent="0.45">
      <c r="B16" s="34" t="s">
        <v>81</v>
      </c>
      <c r="C16" s="40"/>
      <c r="D16" s="40">
        <v>767889.5</v>
      </c>
      <c r="E16" s="40">
        <v>7880256.5700000003</v>
      </c>
      <c r="F16" s="40">
        <v>174950.81</v>
      </c>
      <c r="G16" s="40">
        <v>319331.36</v>
      </c>
      <c r="H16" s="40">
        <v>529401.41</v>
      </c>
      <c r="I16" s="40">
        <v>187564.15</v>
      </c>
      <c r="J16" s="40">
        <v>526146.09</v>
      </c>
      <c r="K16" s="40">
        <v>78171.92</v>
      </c>
      <c r="L16" s="40">
        <v>275392.84000000003</v>
      </c>
      <c r="M16" s="40">
        <v>471555.1</v>
      </c>
      <c r="N16" s="40">
        <v>648360.09</v>
      </c>
      <c r="O16" s="40">
        <v>745902.82</v>
      </c>
      <c r="P16" s="40"/>
      <c r="Q16" s="40">
        <v>781716.12</v>
      </c>
      <c r="R16" s="40">
        <v>312976.14</v>
      </c>
      <c r="S16" s="40">
        <v>516970.29</v>
      </c>
      <c r="T16" s="40">
        <v>1004857.04</v>
      </c>
      <c r="U16" s="40">
        <v>1197593.08</v>
      </c>
      <c r="V16" s="40">
        <v>40102.17</v>
      </c>
      <c r="W16" s="40">
        <v>1739626.06</v>
      </c>
      <c r="X16" s="40">
        <v>2492927.38</v>
      </c>
      <c r="Y16" s="40">
        <v>2303439.25</v>
      </c>
      <c r="Z16" s="40">
        <v>0</v>
      </c>
      <c r="AA16" s="40">
        <v>0</v>
      </c>
      <c r="AB16" s="40">
        <v>0</v>
      </c>
    </row>
    <row r="17" spans="1:28" hidden="1" outlineLevel="1" x14ac:dyDescent="0.45">
      <c r="B17" s="34" t="s">
        <v>82</v>
      </c>
      <c r="C17" s="40"/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/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</row>
    <row r="18" spans="1:28" hidden="1" outlineLevel="1" x14ac:dyDescent="0.45">
      <c r="B18" s="34" t="s">
        <v>83</v>
      </c>
      <c r="C18" s="40"/>
      <c r="D18" s="40">
        <v>90759.56</v>
      </c>
      <c r="E18" s="40">
        <v>30452.06</v>
      </c>
      <c r="F18" s="40">
        <v>68676.83</v>
      </c>
      <c r="G18" s="40">
        <v>95040.71</v>
      </c>
      <c r="H18" s="40">
        <v>44210.41</v>
      </c>
      <c r="I18" s="40">
        <v>715.2</v>
      </c>
      <c r="J18" s="40">
        <v>26834.25</v>
      </c>
      <c r="K18" s="40">
        <v>38276.44</v>
      </c>
      <c r="L18" s="40">
        <v>0</v>
      </c>
      <c r="M18" s="40">
        <v>30917.51</v>
      </c>
      <c r="N18" s="40">
        <v>9491.23</v>
      </c>
      <c r="O18" s="40">
        <v>0.02</v>
      </c>
      <c r="P18" s="40"/>
      <c r="Q18" s="40">
        <v>37284.9</v>
      </c>
      <c r="R18" s="40">
        <v>11547.63</v>
      </c>
      <c r="S18" s="40">
        <v>0</v>
      </c>
      <c r="T18" s="40">
        <v>25597.74</v>
      </c>
      <c r="U18" s="40">
        <v>12322.59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</row>
    <row r="19" spans="1:28" hidden="1" outlineLevel="1" x14ac:dyDescent="0.45">
      <c r="B19" s="34" t="s">
        <v>84</v>
      </c>
      <c r="C19" s="40"/>
      <c r="D19" s="40">
        <v>2381669.2599999998</v>
      </c>
      <c r="E19" s="40">
        <v>351255.86</v>
      </c>
      <c r="F19" s="40">
        <v>1132722.3400000001</v>
      </c>
      <c r="G19" s="40">
        <v>910272.09</v>
      </c>
      <c r="H19" s="40">
        <v>1118933.71</v>
      </c>
      <c r="I19" s="40">
        <v>572576.32999999996</v>
      </c>
      <c r="J19" s="40">
        <v>1149262.98</v>
      </c>
      <c r="K19" s="40">
        <v>2794848.53</v>
      </c>
      <c r="L19" s="40">
        <v>894045.33</v>
      </c>
      <c r="M19" s="40">
        <v>1651175.18</v>
      </c>
      <c r="N19" s="40">
        <v>555963.67000000004</v>
      </c>
      <c r="O19" s="40">
        <v>498164.96</v>
      </c>
      <c r="P19" s="40"/>
      <c r="Q19" s="40">
        <v>447091.25</v>
      </c>
      <c r="R19" s="40">
        <v>1515857.02</v>
      </c>
      <c r="S19" s="40">
        <v>8.0500000000000007</v>
      </c>
      <c r="T19" s="40">
        <v>0</v>
      </c>
      <c r="U19" s="40">
        <v>2545.35</v>
      </c>
      <c r="V19" s="40">
        <v>784002.41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</row>
    <row r="20" spans="1:28" hidden="1" outlineLevel="1" x14ac:dyDescent="0.45">
      <c r="B20" s="34" t="s">
        <v>85</v>
      </c>
      <c r="C20" s="40"/>
      <c r="D20" s="40">
        <v>6</v>
      </c>
      <c r="E20" s="40">
        <v>6</v>
      </c>
      <c r="F20" s="40">
        <v>6</v>
      </c>
      <c r="G20" s="40">
        <v>1</v>
      </c>
      <c r="H20" s="40">
        <v>1</v>
      </c>
      <c r="I20" s="40">
        <v>1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/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</row>
    <row r="21" spans="1:28" hidden="1" outlineLevel="1" x14ac:dyDescent="0.45">
      <c r="B21" s="34" t="s">
        <v>86</v>
      </c>
      <c r="C21" s="40"/>
      <c r="D21" s="40">
        <v>6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 s="40"/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</row>
    <row r="22" spans="1:28" hidden="1" outlineLevel="1" x14ac:dyDescent="0.45">
      <c r="B22" s="34" t="s">
        <v>87</v>
      </c>
      <c r="C22" s="40"/>
      <c r="D22" s="40">
        <v>6563732.6699999999</v>
      </c>
      <c r="E22" s="40">
        <v>6743125.7199999997</v>
      </c>
      <c r="F22" s="40">
        <v>1581151.7</v>
      </c>
      <c r="G22" s="40">
        <v>384145.96</v>
      </c>
      <c r="H22" s="40">
        <v>395452.95</v>
      </c>
      <c r="I22" s="40">
        <v>3341752.31</v>
      </c>
      <c r="J22" s="40">
        <v>77169.02</v>
      </c>
      <c r="K22" s="40">
        <v>153834.26999999999</v>
      </c>
      <c r="L22" s="40">
        <v>201098.31</v>
      </c>
      <c r="M22" s="40">
        <v>151446.59</v>
      </c>
      <c r="N22" s="40">
        <v>181336.42</v>
      </c>
      <c r="O22" s="40">
        <v>111318.08</v>
      </c>
      <c r="P22" s="40"/>
      <c r="Q22" s="40">
        <v>156944.03</v>
      </c>
      <c r="R22" s="40">
        <v>123392.41</v>
      </c>
      <c r="S22" s="40">
        <v>1890.7</v>
      </c>
      <c r="T22" s="40">
        <v>22961.84</v>
      </c>
      <c r="U22" s="40">
        <v>34625.129999999997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</row>
    <row r="23" spans="1:28" hidden="1" outlineLevel="1" x14ac:dyDescent="0.45">
      <c r="B23" s="34" t="s">
        <v>88</v>
      </c>
      <c r="C23" s="40"/>
      <c r="D23" s="40">
        <v>94.8</v>
      </c>
      <c r="E23" s="40">
        <v>94.8</v>
      </c>
      <c r="F23" s="40">
        <v>94.8</v>
      </c>
      <c r="G23" s="40">
        <v>9</v>
      </c>
      <c r="H23" s="40">
        <v>9</v>
      </c>
      <c r="I23" s="40">
        <v>9</v>
      </c>
      <c r="J23" s="40">
        <v>10</v>
      </c>
      <c r="K23" s="40">
        <v>10</v>
      </c>
      <c r="L23" s="40">
        <v>0</v>
      </c>
      <c r="M23" s="40">
        <v>0</v>
      </c>
      <c r="N23" s="40">
        <v>0</v>
      </c>
      <c r="O23" s="40">
        <v>0</v>
      </c>
      <c r="P23" s="40"/>
      <c r="Q23" s="40">
        <v>0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0</v>
      </c>
    </row>
    <row r="24" spans="1:28" hidden="1" outlineLevel="1" x14ac:dyDescent="0.45">
      <c r="B24" s="34" t="s">
        <v>89</v>
      </c>
      <c r="C24" s="40"/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/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0</v>
      </c>
    </row>
    <row r="25" spans="1:28" hidden="1" outlineLevel="1" x14ac:dyDescent="0.45">
      <c r="B25" s="34" t="s">
        <v>90</v>
      </c>
      <c r="C25" s="40"/>
      <c r="D25" s="40">
        <v>7636.26</v>
      </c>
      <c r="E25" s="40">
        <v>5800</v>
      </c>
      <c r="F25" s="40">
        <v>5800</v>
      </c>
      <c r="G25" s="40">
        <v>5800</v>
      </c>
      <c r="H25" s="40">
        <v>5800</v>
      </c>
      <c r="I25" s="40">
        <v>5800</v>
      </c>
      <c r="J25" s="40">
        <v>1800</v>
      </c>
      <c r="K25" s="40">
        <v>2000</v>
      </c>
      <c r="L25" s="40">
        <v>0</v>
      </c>
      <c r="M25" s="40">
        <v>0</v>
      </c>
      <c r="N25" s="40">
        <v>0</v>
      </c>
      <c r="O25" s="40">
        <v>0</v>
      </c>
      <c r="P25" s="40"/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</row>
    <row r="26" spans="1:28" collapsed="1" x14ac:dyDescent="0.45">
      <c r="B26" s="23"/>
      <c r="C26" s="40"/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/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</row>
    <row r="27" spans="1:28" x14ac:dyDescent="0.45">
      <c r="B27" s="32" t="s">
        <v>91</v>
      </c>
      <c r="C27" s="40"/>
      <c r="D27" s="54">
        <f t="shared" ref="D27:AB27" si="2">SUM(D28:D29)</f>
        <v>25749578.460000001</v>
      </c>
      <c r="E27" s="54">
        <f t="shared" si="2"/>
        <v>20138759.350000001</v>
      </c>
      <c r="F27" s="54">
        <f t="shared" si="2"/>
        <v>16376659.52</v>
      </c>
      <c r="G27" s="54">
        <f t="shared" si="2"/>
        <v>16635258.15</v>
      </c>
      <c r="H27" s="54">
        <f t="shared" si="2"/>
        <v>16399950.189999999</v>
      </c>
      <c r="I27" s="54">
        <f t="shared" si="2"/>
        <v>14235938.85</v>
      </c>
      <c r="J27" s="54">
        <f t="shared" si="2"/>
        <v>11340313.6</v>
      </c>
      <c r="K27" s="54">
        <f t="shared" si="2"/>
        <v>9531889.2400000002</v>
      </c>
      <c r="L27" s="54">
        <f t="shared" si="2"/>
        <v>9150492.9199999999</v>
      </c>
      <c r="M27" s="54">
        <f t="shared" si="2"/>
        <v>8353455.9800000004</v>
      </c>
      <c r="N27" s="54">
        <f t="shared" si="2"/>
        <v>9493743.3900000006</v>
      </c>
      <c r="O27" s="54">
        <f t="shared" si="2"/>
        <v>6261322.6900000004</v>
      </c>
      <c r="P27" s="40"/>
      <c r="Q27" s="54">
        <f t="shared" si="2"/>
        <v>4893766.53</v>
      </c>
      <c r="R27" s="54">
        <f t="shared" si="2"/>
        <v>4307533.1100000003</v>
      </c>
      <c r="S27" s="54">
        <f t="shared" si="2"/>
        <v>4334552.41</v>
      </c>
      <c r="T27" s="54">
        <f t="shared" si="2"/>
        <v>3931427.07</v>
      </c>
      <c r="U27" s="54">
        <f t="shared" si="2"/>
        <v>614327.13</v>
      </c>
      <c r="V27" s="54">
        <f t="shared" si="2"/>
        <v>528475.14</v>
      </c>
      <c r="W27" s="54">
        <f t="shared" si="2"/>
        <v>0</v>
      </c>
      <c r="X27" s="54">
        <f t="shared" si="2"/>
        <v>0</v>
      </c>
      <c r="Y27" s="54">
        <f t="shared" si="2"/>
        <v>0</v>
      </c>
      <c r="Z27" s="54">
        <f t="shared" si="2"/>
        <v>0</v>
      </c>
      <c r="AA27" s="54">
        <f t="shared" si="2"/>
        <v>0</v>
      </c>
      <c r="AB27" s="54">
        <f t="shared" si="2"/>
        <v>0</v>
      </c>
    </row>
    <row r="28" spans="1:28" hidden="1" outlineLevel="1" x14ac:dyDescent="0.45">
      <c r="B28" s="34" t="s">
        <v>92</v>
      </c>
      <c r="C28" s="40"/>
      <c r="D28" s="40">
        <v>25749578.460000001</v>
      </c>
      <c r="E28" s="40">
        <v>20138759.350000001</v>
      </c>
      <c r="F28" s="40">
        <v>16376659.52</v>
      </c>
      <c r="G28" s="40">
        <v>16635258.15</v>
      </c>
      <c r="H28" s="40">
        <v>16399950.189999999</v>
      </c>
      <c r="I28" s="40">
        <v>14235938.85</v>
      </c>
      <c r="J28" s="40">
        <v>11340313.6</v>
      </c>
      <c r="K28" s="40">
        <v>9531889.2400000002</v>
      </c>
      <c r="L28" s="40">
        <v>9150492.9199999999</v>
      </c>
      <c r="M28" s="40">
        <v>8353455.9800000004</v>
      </c>
      <c r="N28" s="40">
        <v>9493743.3900000006</v>
      </c>
      <c r="O28" s="40">
        <v>6261322.6900000004</v>
      </c>
      <c r="P28" s="40"/>
      <c r="Q28" s="40">
        <v>4893766.53</v>
      </c>
      <c r="R28" s="40">
        <v>4307533.1100000003</v>
      </c>
      <c r="S28" s="40">
        <v>4334552.41</v>
      </c>
      <c r="T28" s="40">
        <v>3931427.07</v>
      </c>
      <c r="U28" s="40">
        <v>614327.13</v>
      </c>
      <c r="V28" s="40">
        <v>528475.14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</row>
    <row r="29" spans="1:28" hidden="1" outlineLevel="1" x14ac:dyDescent="0.45">
      <c r="B29" s="34" t="s">
        <v>93</v>
      </c>
      <c r="C29" s="40"/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/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</row>
    <row r="30" spans="1:28" collapsed="1" x14ac:dyDescent="0.45">
      <c r="B30" s="23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spans="1:28" x14ac:dyDescent="0.45">
      <c r="B31" s="32" t="s">
        <v>94</v>
      </c>
      <c r="C31" s="40"/>
      <c r="D31" s="54">
        <f t="shared" ref="D31:AB31" si="3">SUM(D32:D42)</f>
        <v>288133.90999999997</v>
      </c>
      <c r="E31" s="54">
        <f t="shared" si="3"/>
        <v>2377743.86</v>
      </c>
      <c r="F31" s="54">
        <f t="shared" si="3"/>
        <v>861399.74</v>
      </c>
      <c r="G31" s="54">
        <f t="shared" si="3"/>
        <v>255677.43</v>
      </c>
      <c r="H31" s="54">
        <f t="shared" si="3"/>
        <v>1609259.78</v>
      </c>
      <c r="I31" s="54">
        <f t="shared" si="3"/>
        <v>703899.15</v>
      </c>
      <c r="J31" s="54">
        <f t="shared" si="3"/>
        <v>168126.27000000002</v>
      </c>
      <c r="K31" s="54">
        <f t="shared" si="3"/>
        <v>1161718.93</v>
      </c>
      <c r="L31" s="54">
        <f t="shared" si="3"/>
        <v>550884.12</v>
      </c>
      <c r="M31" s="54">
        <f t="shared" si="3"/>
        <v>159811.66</v>
      </c>
      <c r="N31" s="54">
        <f t="shared" si="3"/>
        <v>1226577.23</v>
      </c>
      <c r="O31" s="54">
        <f t="shared" si="3"/>
        <v>527510.41999999993</v>
      </c>
      <c r="P31" s="40"/>
      <c r="Q31" s="54">
        <f t="shared" si="3"/>
        <v>315891.99</v>
      </c>
      <c r="R31" s="54">
        <f t="shared" si="3"/>
        <v>543628.80000000005</v>
      </c>
      <c r="S31" s="54">
        <f t="shared" si="3"/>
        <v>307660.54000000004</v>
      </c>
      <c r="T31" s="54">
        <f t="shared" si="3"/>
        <v>86902.2</v>
      </c>
      <c r="U31" s="54">
        <f t="shared" si="3"/>
        <v>956518.89999999991</v>
      </c>
      <c r="V31" s="54">
        <f t="shared" si="3"/>
        <v>566526.78</v>
      </c>
      <c r="W31" s="54">
        <f t="shared" si="3"/>
        <v>282586.46999999997</v>
      </c>
      <c r="X31" s="54">
        <f t="shared" si="3"/>
        <v>170841.2</v>
      </c>
      <c r="Y31" s="54">
        <f t="shared" si="3"/>
        <v>101978.04000000001</v>
      </c>
      <c r="Z31" s="54">
        <f t="shared" si="3"/>
        <v>10910.79</v>
      </c>
      <c r="AA31" s="54">
        <f t="shared" si="3"/>
        <v>0</v>
      </c>
      <c r="AB31" s="54">
        <f t="shared" si="3"/>
        <v>0</v>
      </c>
    </row>
    <row r="32" spans="1:28" hidden="1" outlineLevel="1" x14ac:dyDescent="0.45">
      <c r="A32" s="35"/>
      <c r="B32" s="34" t="s">
        <v>95</v>
      </c>
      <c r="C32" s="40"/>
      <c r="D32" s="40">
        <v>-8.0500000000000007</v>
      </c>
      <c r="E32" s="40">
        <v>529891.94999999995</v>
      </c>
      <c r="F32" s="40">
        <v>2981.95</v>
      </c>
      <c r="G32" s="40">
        <v>-8.0500000000000007</v>
      </c>
      <c r="H32" s="40">
        <v>-8.0500000000000007</v>
      </c>
      <c r="I32" s="40">
        <v>-8.0500000000000007</v>
      </c>
      <c r="J32" s="40">
        <v>-8.0500000000000007</v>
      </c>
      <c r="K32" s="40">
        <v>-8.0500000000000007</v>
      </c>
      <c r="L32" s="40">
        <v>-8.0500000000000007</v>
      </c>
      <c r="M32" s="40">
        <v>-8.0500000000000007</v>
      </c>
      <c r="N32" s="40">
        <v>-8.0500000000000007</v>
      </c>
      <c r="O32" s="40">
        <v>-8.0500000000000007</v>
      </c>
      <c r="P32" s="40"/>
      <c r="Q32" s="40">
        <v>258741.95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</row>
    <row r="33" spans="1:28" hidden="1" outlineLevel="1" x14ac:dyDescent="0.45">
      <c r="A33" s="35"/>
      <c r="B33" s="34" t="s">
        <v>96</v>
      </c>
      <c r="C33" s="40"/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/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</row>
    <row r="34" spans="1:28" hidden="1" outlineLevel="1" x14ac:dyDescent="0.45">
      <c r="A34" s="35"/>
      <c r="B34" s="34" t="s">
        <v>97</v>
      </c>
      <c r="C34" s="40"/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/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</row>
    <row r="35" spans="1:28" hidden="1" outlineLevel="1" x14ac:dyDescent="0.45">
      <c r="A35" s="35"/>
      <c r="B35" s="34" t="s">
        <v>98</v>
      </c>
      <c r="C35" s="40"/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/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</row>
    <row r="36" spans="1:28" hidden="1" outlineLevel="1" x14ac:dyDescent="0.45">
      <c r="A36" s="35"/>
      <c r="B36" s="34" t="s">
        <v>99</v>
      </c>
      <c r="C36" s="40"/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/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</row>
    <row r="37" spans="1:28" hidden="1" outlineLevel="1" x14ac:dyDescent="0.45">
      <c r="A37" s="35"/>
      <c r="B37" s="34" t="s">
        <v>100</v>
      </c>
      <c r="C37" s="40"/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/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</row>
    <row r="38" spans="1:28" hidden="1" outlineLevel="1" x14ac:dyDescent="0.45">
      <c r="A38" s="35"/>
      <c r="B38" s="34" t="s">
        <v>101</v>
      </c>
      <c r="C38" s="40"/>
      <c r="D38" s="40">
        <v>71234.03</v>
      </c>
      <c r="E38" s="40">
        <v>87926.87</v>
      </c>
      <c r="F38" s="40">
        <v>85838.81</v>
      </c>
      <c r="G38" s="40">
        <v>103010.61</v>
      </c>
      <c r="H38" s="40">
        <v>104260.41</v>
      </c>
      <c r="I38" s="40">
        <v>54698.71</v>
      </c>
      <c r="J38" s="40">
        <v>29286.04</v>
      </c>
      <c r="K38" s="40">
        <v>39341.4</v>
      </c>
      <c r="L38" s="40">
        <v>49033.56</v>
      </c>
      <c r="M38" s="40">
        <v>25899.72</v>
      </c>
      <c r="N38" s="40">
        <v>34873.050000000003</v>
      </c>
      <c r="O38" s="40">
        <v>44755.61</v>
      </c>
      <c r="P38" s="40"/>
      <c r="Q38" s="40">
        <v>42214.17</v>
      </c>
      <c r="R38" s="40">
        <v>52299.93</v>
      </c>
      <c r="S38" s="40">
        <v>62385.69</v>
      </c>
      <c r="T38" s="40">
        <v>72471.45</v>
      </c>
      <c r="U38" s="40">
        <v>299869.71000000002</v>
      </c>
      <c r="V38" s="40">
        <v>101488.96000000001</v>
      </c>
      <c r="W38" s="40">
        <v>24350.79</v>
      </c>
      <c r="X38" s="40">
        <v>10910.79</v>
      </c>
      <c r="Y38" s="40">
        <v>10910.79</v>
      </c>
      <c r="Z38" s="40">
        <v>10910.79</v>
      </c>
      <c r="AA38" s="40">
        <v>0</v>
      </c>
      <c r="AB38" s="40">
        <v>0</v>
      </c>
    </row>
    <row r="39" spans="1:28" hidden="1" outlineLevel="1" x14ac:dyDescent="0.45">
      <c r="A39" s="35"/>
      <c r="B39" s="34" t="s">
        <v>102</v>
      </c>
      <c r="C39" s="40"/>
      <c r="D39" s="40">
        <v>57592.47</v>
      </c>
      <c r="E39" s="40">
        <v>37592.47</v>
      </c>
      <c r="F39" s="40">
        <v>434.47</v>
      </c>
      <c r="G39" s="40">
        <v>2934.47</v>
      </c>
      <c r="H39" s="40">
        <v>434.47</v>
      </c>
      <c r="I39" s="40">
        <v>3885.63</v>
      </c>
      <c r="J39" s="40">
        <v>0</v>
      </c>
      <c r="K39" s="40">
        <v>16</v>
      </c>
      <c r="L39" s="40">
        <v>16</v>
      </c>
      <c r="M39" s="40">
        <v>0</v>
      </c>
      <c r="N39" s="40">
        <v>0</v>
      </c>
      <c r="O39" s="40">
        <v>0</v>
      </c>
      <c r="P39" s="40"/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</row>
    <row r="40" spans="1:28" hidden="1" outlineLevel="1" x14ac:dyDescent="0.45">
      <c r="A40" s="35"/>
      <c r="B40" s="34" t="s">
        <v>103</v>
      </c>
      <c r="C40" s="40"/>
      <c r="D40" s="40">
        <v>1500</v>
      </c>
      <c r="E40" s="40">
        <v>1500</v>
      </c>
      <c r="F40" s="40">
        <v>1500</v>
      </c>
      <c r="G40" s="40">
        <v>1500</v>
      </c>
      <c r="H40" s="40">
        <v>1500</v>
      </c>
      <c r="I40" s="40">
        <v>1500</v>
      </c>
      <c r="J40" s="40">
        <v>1500</v>
      </c>
      <c r="K40" s="40">
        <v>1500</v>
      </c>
      <c r="L40" s="40">
        <v>1500</v>
      </c>
      <c r="M40" s="40">
        <v>1500</v>
      </c>
      <c r="N40" s="40">
        <v>1500</v>
      </c>
      <c r="O40" s="40">
        <v>1500</v>
      </c>
      <c r="P40" s="40"/>
      <c r="Q40" s="40">
        <v>1500</v>
      </c>
      <c r="R40" s="40">
        <v>1500</v>
      </c>
      <c r="S40" s="40">
        <v>1500</v>
      </c>
      <c r="T40" s="40">
        <v>1500</v>
      </c>
      <c r="U40" s="40">
        <v>1500</v>
      </c>
      <c r="V40" s="40">
        <v>1500</v>
      </c>
      <c r="W40" s="40">
        <v>1500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</row>
    <row r="41" spans="1:28" hidden="1" outlineLevel="1" x14ac:dyDescent="0.45">
      <c r="A41" s="35"/>
      <c r="B41" s="34" t="s">
        <v>104</v>
      </c>
      <c r="C41" s="40"/>
      <c r="D41" s="40">
        <v>112999.2</v>
      </c>
      <c r="E41" s="40">
        <v>112999.2</v>
      </c>
      <c r="F41" s="40">
        <v>112999.2</v>
      </c>
      <c r="G41" s="40">
        <v>112999.2</v>
      </c>
      <c r="H41" s="40">
        <v>112999.2</v>
      </c>
      <c r="I41" s="40">
        <v>112999.2</v>
      </c>
      <c r="J41" s="40">
        <v>112999.2</v>
      </c>
      <c r="K41" s="40">
        <v>112999.2</v>
      </c>
      <c r="L41" s="40">
        <v>112999.2</v>
      </c>
      <c r="M41" s="40">
        <v>112999.2</v>
      </c>
      <c r="N41" s="40">
        <v>112999.2</v>
      </c>
      <c r="O41" s="40">
        <v>0</v>
      </c>
      <c r="P41" s="40"/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</row>
    <row r="42" spans="1:28" hidden="1" outlineLevel="1" x14ac:dyDescent="0.45">
      <c r="A42" s="35"/>
      <c r="B42" s="34" t="s">
        <v>105</v>
      </c>
      <c r="C42" s="40"/>
      <c r="D42" s="40">
        <v>44816.26</v>
      </c>
      <c r="E42" s="40">
        <v>1607833.37</v>
      </c>
      <c r="F42" s="40">
        <v>657645.31000000006</v>
      </c>
      <c r="G42" s="40">
        <v>35241.199999999997</v>
      </c>
      <c r="H42" s="40">
        <v>1390073.75</v>
      </c>
      <c r="I42" s="40">
        <v>530823.66</v>
      </c>
      <c r="J42" s="40">
        <v>24349.08</v>
      </c>
      <c r="K42" s="40">
        <v>1007870.38</v>
      </c>
      <c r="L42" s="40">
        <v>387343.41</v>
      </c>
      <c r="M42" s="40">
        <v>19420.79</v>
      </c>
      <c r="N42" s="40">
        <v>1077213.03</v>
      </c>
      <c r="O42" s="40">
        <v>481262.86</v>
      </c>
      <c r="P42" s="40"/>
      <c r="Q42" s="40">
        <v>13435.87</v>
      </c>
      <c r="R42" s="40">
        <v>489828.87</v>
      </c>
      <c r="S42" s="40">
        <v>243774.85</v>
      </c>
      <c r="T42" s="40">
        <v>12930.75</v>
      </c>
      <c r="U42" s="40">
        <v>655149.18999999994</v>
      </c>
      <c r="V42" s="40">
        <v>463537.82</v>
      </c>
      <c r="W42" s="40">
        <v>256735.68</v>
      </c>
      <c r="X42" s="40">
        <v>159930.41</v>
      </c>
      <c r="Y42" s="40">
        <v>91067.25</v>
      </c>
      <c r="Z42" s="40">
        <v>0</v>
      </c>
      <c r="AA42" s="40">
        <v>0</v>
      </c>
      <c r="AB42" s="40">
        <v>0</v>
      </c>
    </row>
    <row r="43" spans="1:28" hidden="1" outlineLevel="1" x14ac:dyDescent="0.45">
      <c r="A43" s="35"/>
      <c r="B43" s="34" t="s">
        <v>106</v>
      </c>
      <c r="C43" s="40"/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 s="40"/>
      <c r="Q43" s="40">
        <v>0</v>
      </c>
      <c r="R43" s="40">
        <v>0</v>
      </c>
      <c r="S43" s="40">
        <v>0</v>
      </c>
      <c r="T43" s="40">
        <v>0</v>
      </c>
      <c r="U43" s="40">
        <v>0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</row>
    <row r="44" spans="1:28" collapsed="1" x14ac:dyDescent="0.45">
      <c r="B44" s="23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</row>
    <row r="45" spans="1:28" x14ac:dyDescent="0.45">
      <c r="B45" s="36" t="s">
        <v>107</v>
      </c>
      <c r="C45" s="40"/>
      <c r="D45" s="57">
        <f t="shared" ref="D45:AB45" si="4">+D31+D10+D27</f>
        <v>36561063.899999999</v>
      </c>
      <c r="E45" s="57">
        <f t="shared" si="4"/>
        <v>37999372.260000005</v>
      </c>
      <c r="F45" s="57">
        <f t="shared" si="4"/>
        <v>21257225.32</v>
      </c>
      <c r="G45" s="57">
        <f t="shared" si="4"/>
        <v>19450402.510000002</v>
      </c>
      <c r="H45" s="57">
        <f t="shared" si="4"/>
        <v>20609016.59</v>
      </c>
      <c r="I45" s="57">
        <f t="shared" si="4"/>
        <v>19264286.079999998</v>
      </c>
      <c r="J45" s="57">
        <f t="shared" si="4"/>
        <v>13718428.300000001</v>
      </c>
      <c r="K45" s="57">
        <f t="shared" si="4"/>
        <v>14760727.629999999</v>
      </c>
      <c r="L45" s="57">
        <f t="shared" si="4"/>
        <v>11816715.5</v>
      </c>
      <c r="M45" s="57">
        <f t="shared" si="4"/>
        <v>11380818.970000001</v>
      </c>
      <c r="N45" s="57">
        <f t="shared" si="4"/>
        <v>12680491.030000001</v>
      </c>
      <c r="O45" s="57">
        <f t="shared" si="4"/>
        <v>8638026.6400000006</v>
      </c>
      <c r="P45" s="40"/>
      <c r="Q45" s="57">
        <f t="shared" si="4"/>
        <v>7051328.2700000005</v>
      </c>
      <c r="R45" s="57">
        <f t="shared" si="4"/>
        <v>7061986.8100000005</v>
      </c>
      <c r="S45" s="57">
        <f t="shared" si="4"/>
        <v>5296053.1900000004</v>
      </c>
      <c r="T45" s="57">
        <f t="shared" si="4"/>
        <v>5242397.4000000004</v>
      </c>
      <c r="U45" s="57">
        <f t="shared" si="4"/>
        <v>2900082.69</v>
      </c>
      <c r="V45" s="57">
        <f t="shared" si="4"/>
        <v>1931220.5</v>
      </c>
      <c r="W45" s="57">
        <f t="shared" si="4"/>
        <v>2022212.53</v>
      </c>
      <c r="X45" s="57">
        <f t="shared" si="4"/>
        <v>2663768.58</v>
      </c>
      <c r="Y45" s="57">
        <f t="shared" si="4"/>
        <v>2405417.29</v>
      </c>
      <c r="Z45" s="57">
        <f t="shared" si="4"/>
        <v>10910.79</v>
      </c>
      <c r="AA45" s="57">
        <f t="shared" si="4"/>
        <v>0</v>
      </c>
      <c r="AB45" s="57">
        <f t="shared" si="4"/>
        <v>0</v>
      </c>
    </row>
    <row r="46" spans="1:28" x14ac:dyDescent="0.45">
      <c r="B46" s="23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</row>
    <row r="47" spans="1:28" x14ac:dyDescent="0.45">
      <c r="B47" s="23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spans="1:28" x14ac:dyDescent="0.45">
      <c r="B48" s="32" t="s">
        <v>108</v>
      </c>
      <c r="C48" s="40"/>
      <c r="D48" s="54">
        <f t="shared" ref="D48:AB48" si="5">SUM(D49:D55)</f>
        <v>128828.72</v>
      </c>
      <c r="E48" s="54">
        <f t="shared" si="5"/>
        <v>134583.6</v>
      </c>
      <c r="F48" s="54">
        <f t="shared" si="5"/>
        <v>133961.85</v>
      </c>
      <c r="G48" s="54">
        <f t="shared" si="5"/>
        <v>135571.29999999999</v>
      </c>
      <c r="H48" s="54">
        <f t="shared" si="5"/>
        <v>137429.91</v>
      </c>
      <c r="I48" s="54">
        <f t="shared" si="5"/>
        <v>142328.81</v>
      </c>
      <c r="J48" s="54">
        <f t="shared" si="5"/>
        <v>135508.78</v>
      </c>
      <c r="K48" s="54">
        <f t="shared" si="5"/>
        <v>138508.21</v>
      </c>
      <c r="L48" s="54">
        <f t="shared" si="5"/>
        <v>93724.13</v>
      </c>
      <c r="M48" s="54">
        <f t="shared" si="5"/>
        <v>91632.18</v>
      </c>
      <c r="N48" s="54">
        <f t="shared" si="5"/>
        <v>72582.599999999991</v>
      </c>
      <c r="O48" s="54">
        <f t="shared" si="5"/>
        <v>73755.569999999992</v>
      </c>
      <c r="P48" s="40"/>
      <c r="Q48" s="54">
        <f t="shared" si="5"/>
        <v>72429.399999999994</v>
      </c>
      <c r="R48" s="54">
        <f t="shared" si="5"/>
        <v>21746.49</v>
      </c>
      <c r="S48" s="54">
        <f t="shared" si="5"/>
        <v>5090.12</v>
      </c>
      <c r="T48" s="54">
        <f t="shared" si="5"/>
        <v>4233.3399999999992</v>
      </c>
      <c r="U48" s="54">
        <f t="shared" si="5"/>
        <v>0</v>
      </c>
      <c r="V48" s="54">
        <f t="shared" si="5"/>
        <v>0</v>
      </c>
      <c r="W48" s="54">
        <f t="shared" si="5"/>
        <v>0</v>
      </c>
      <c r="X48" s="54">
        <f t="shared" si="5"/>
        <v>0</v>
      </c>
      <c r="Y48" s="54">
        <f t="shared" si="5"/>
        <v>0</v>
      </c>
      <c r="Z48" s="54">
        <f t="shared" si="5"/>
        <v>0</v>
      </c>
      <c r="AA48" s="54">
        <f t="shared" si="5"/>
        <v>0</v>
      </c>
      <c r="AB48" s="54">
        <f t="shared" si="5"/>
        <v>0</v>
      </c>
    </row>
    <row r="49" spans="2:28" hidden="1" outlineLevel="1" x14ac:dyDescent="0.45">
      <c r="B49" s="34" t="s">
        <v>109</v>
      </c>
      <c r="C49" s="40"/>
      <c r="D49" s="40">
        <v>-8619.7900000000009</v>
      </c>
      <c r="E49" s="40">
        <v>-7384.16</v>
      </c>
      <c r="F49" s="40">
        <v>-6148.53</v>
      </c>
      <c r="G49" s="40">
        <v>-5057.3500000000004</v>
      </c>
      <c r="H49" s="40">
        <v>-3966.17</v>
      </c>
      <c r="I49" s="40">
        <v>-2916.66</v>
      </c>
      <c r="J49" s="40">
        <v>-1944.44</v>
      </c>
      <c r="K49" s="40">
        <v>-972.22</v>
      </c>
      <c r="L49" s="40">
        <v>0</v>
      </c>
      <c r="M49" s="40">
        <v>0</v>
      </c>
      <c r="N49" s="40">
        <v>0</v>
      </c>
      <c r="O49" s="40">
        <v>0</v>
      </c>
      <c r="P49" s="40"/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</row>
    <row r="50" spans="2:28" hidden="1" outlineLevel="1" x14ac:dyDescent="0.45">
      <c r="B50" s="34" t="s">
        <v>110</v>
      </c>
      <c r="C50" s="40"/>
      <c r="D50" s="40">
        <v>-11379.68</v>
      </c>
      <c r="E50" s="40">
        <v>-10504.32</v>
      </c>
      <c r="F50" s="40">
        <v>-9628.9599999999991</v>
      </c>
      <c r="G50" s="40">
        <v>-8753.6</v>
      </c>
      <c r="H50" s="40">
        <v>-7878.24</v>
      </c>
      <c r="I50" s="40">
        <v>-7002.88</v>
      </c>
      <c r="J50" s="40">
        <v>-6127.52</v>
      </c>
      <c r="K50" s="40">
        <v>-5252.16</v>
      </c>
      <c r="L50" s="40">
        <v>-4376.8</v>
      </c>
      <c r="M50" s="40">
        <v>-3501.44</v>
      </c>
      <c r="N50" s="40">
        <v>-2626.08</v>
      </c>
      <c r="O50" s="40">
        <v>-1750.72</v>
      </c>
      <c r="P50" s="40"/>
      <c r="Q50" s="40">
        <v>-875.36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</row>
    <row r="51" spans="2:28" hidden="1" outlineLevel="1" x14ac:dyDescent="0.45">
      <c r="B51" s="34" t="s">
        <v>111</v>
      </c>
      <c r="C51" s="40"/>
      <c r="D51" s="40">
        <v>-35629.4</v>
      </c>
      <c r="E51" s="40">
        <v>-31985.51</v>
      </c>
      <c r="F51" s="40">
        <v>-28388.69</v>
      </c>
      <c r="G51" s="40">
        <v>-24791.87</v>
      </c>
      <c r="H51" s="40">
        <v>-21359.8</v>
      </c>
      <c r="I51" s="40">
        <v>-18012.73</v>
      </c>
      <c r="J51" s="40">
        <v>-14681.2</v>
      </c>
      <c r="K51" s="40">
        <v>-11733.69</v>
      </c>
      <c r="L51" s="40">
        <v>-8861</v>
      </c>
      <c r="M51" s="40">
        <v>-6592.66</v>
      </c>
      <c r="N51" s="40">
        <v>-4542.47</v>
      </c>
      <c r="O51" s="40">
        <v>-3441.39</v>
      </c>
      <c r="P51" s="40"/>
      <c r="Q51" s="40">
        <v>-2340.31</v>
      </c>
      <c r="R51" s="40">
        <v>-1376.84</v>
      </c>
      <c r="S51" s="40">
        <v>-413.37</v>
      </c>
      <c r="T51" s="40">
        <v>-184.06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</row>
    <row r="52" spans="2:28" hidden="1" outlineLevel="1" x14ac:dyDescent="0.45">
      <c r="B52" s="34" t="s">
        <v>112</v>
      </c>
      <c r="C52" s="40"/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/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</row>
    <row r="53" spans="2:28" hidden="1" outlineLevel="1" x14ac:dyDescent="0.45">
      <c r="B53" s="34" t="s">
        <v>113</v>
      </c>
      <c r="C53" s="40"/>
      <c r="D53" s="40">
        <v>52521.74</v>
      </c>
      <c r="E53" s="40">
        <v>52521.74</v>
      </c>
      <c r="F53" s="40">
        <v>52521.74</v>
      </c>
      <c r="G53" s="40">
        <v>52521.74</v>
      </c>
      <c r="H53" s="40">
        <v>52521.74</v>
      </c>
      <c r="I53" s="40">
        <v>52521.74</v>
      </c>
      <c r="J53" s="40">
        <v>52521.74</v>
      </c>
      <c r="K53" s="40">
        <v>52521.74</v>
      </c>
      <c r="L53" s="40">
        <v>52521.74</v>
      </c>
      <c r="M53" s="40">
        <v>52521.74</v>
      </c>
      <c r="N53" s="40">
        <v>52521.74</v>
      </c>
      <c r="O53" s="40">
        <v>52521.74</v>
      </c>
      <c r="P53" s="40"/>
      <c r="Q53" s="40">
        <v>52521.74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</row>
    <row r="54" spans="2:28" hidden="1" outlineLevel="1" x14ac:dyDescent="0.45">
      <c r="B54" s="34" t="s">
        <v>114</v>
      </c>
      <c r="C54" s="40"/>
      <c r="D54" s="40">
        <v>44482.61</v>
      </c>
      <c r="E54" s="40">
        <v>44482.61</v>
      </c>
      <c r="F54" s="40">
        <v>39282.61</v>
      </c>
      <c r="G54" s="40">
        <v>39282.61</v>
      </c>
      <c r="H54" s="40">
        <v>37782.61</v>
      </c>
      <c r="I54" s="40">
        <v>37782.61</v>
      </c>
      <c r="J54" s="40">
        <v>35000</v>
      </c>
      <c r="K54" s="40">
        <v>35000</v>
      </c>
      <c r="L54" s="40">
        <v>0</v>
      </c>
      <c r="M54" s="40">
        <v>0</v>
      </c>
      <c r="N54" s="40">
        <v>0</v>
      </c>
      <c r="O54" s="40">
        <v>0</v>
      </c>
      <c r="P54" s="40"/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</row>
    <row r="55" spans="2:28" collapsed="1" x14ac:dyDescent="0.45">
      <c r="B55" s="34" t="s">
        <v>115</v>
      </c>
      <c r="C55" s="40"/>
      <c r="D55" s="40">
        <v>87453.24</v>
      </c>
      <c r="E55" s="40">
        <v>87453.24</v>
      </c>
      <c r="F55" s="40">
        <v>86323.68</v>
      </c>
      <c r="G55" s="40">
        <v>82369.77</v>
      </c>
      <c r="H55" s="40">
        <v>80329.77</v>
      </c>
      <c r="I55" s="40">
        <v>79956.73</v>
      </c>
      <c r="J55" s="40">
        <v>70740.2</v>
      </c>
      <c r="K55" s="40">
        <v>68944.539999999994</v>
      </c>
      <c r="L55" s="40">
        <v>54440.19</v>
      </c>
      <c r="M55" s="40">
        <v>49204.54</v>
      </c>
      <c r="N55" s="40">
        <v>27229.41</v>
      </c>
      <c r="O55" s="40">
        <v>26425.94</v>
      </c>
      <c r="P55" s="40"/>
      <c r="Q55" s="40">
        <v>23123.33</v>
      </c>
      <c r="R55" s="40">
        <v>23123.33</v>
      </c>
      <c r="S55" s="40">
        <v>5503.49</v>
      </c>
      <c r="T55" s="40">
        <v>4417.3999999999996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</row>
    <row r="56" spans="2:28" x14ac:dyDescent="0.45">
      <c r="B56" s="23"/>
      <c r="C56" s="40"/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</row>
    <row r="57" spans="2:28" x14ac:dyDescent="0.45">
      <c r="B57" s="32" t="s">
        <v>116</v>
      </c>
      <c r="C57" s="40"/>
      <c r="D57" s="54">
        <f t="shared" ref="D57:AB57" si="6">+D58</f>
        <v>17348137.66</v>
      </c>
      <c r="E57" s="54">
        <f t="shared" si="6"/>
        <v>17348137.66</v>
      </c>
      <c r="F57" s="54">
        <f t="shared" si="6"/>
        <v>7577270.0199999996</v>
      </c>
      <c r="G57" s="54">
        <f t="shared" si="6"/>
        <v>7577270.0199999996</v>
      </c>
      <c r="H57" s="54">
        <f t="shared" si="6"/>
        <v>7577270.0199999996</v>
      </c>
      <c r="I57" s="54">
        <f t="shared" si="6"/>
        <v>4289020.0199999996</v>
      </c>
      <c r="J57" s="54">
        <f t="shared" si="6"/>
        <v>3725320.02</v>
      </c>
      <c r="K57" s="54">
        <f t="shared" si="6"/>
        <v>3725320.02</v>
      </c>
      <c r="L57" s="54">
        <f t="shared" si="6"/>
        <v>3725320.02</v>
      </c>
      <c r="M57" s="54">
        <f t="shared" si="6"/>
        <v>3725320.02</v>
      </c>
      <c r="N57" s="54">
        <f t="shared" si="6"/>
        <v>3725320.02</v>
      </c>
      <c r="O57" s="54">
        <f t="shared" si="6"/>
        <v>3725320.02</v>
      </c>
      <c r="P57" s="40"/>
      <c r="Q57" s="54">
        <f t="shared" si="6"/>
        <v>3725320.02</v>
      </c>
      <c r="R57" s="54">
        <f t="shared" si="6"/>
        <v>3275000.02</v>
      </c>
      <c r="S57" s="54">
        <f t="shared" si="6"/>
        <v>1975000.04</v>
      </c>
      <c r="T57" s="54">
        <f t="shared" si="6"/>
        <v>1925000.04</v>
      </c>
      <c r="U57" s="54">
        <f t="shared" si="6"/>
        <v>1550000.04</v>
      </c>
      <c r="V57" s="54">
        <f t="shared" si="6"/>
        <v>150000</v>
      </c>
      <c r="W57" s="54">
        <f t="shared" si="6"/>
        <v>0</v>
      </c>
      <c r="X57" s="54">
        <f t="shared" si="6"/>
        <v>0</v>
      </c>
      <c r="Y57" s="54">
        <f t="shared" si="6"/>
        <v>0</v>
      </c>
      <c r="Z57" s="54">
        <f t="shared" si="6"/>
        <v>0</v>
      </c>
      <c r="AA57" s="54">
        <f t="shared" si="6"/>
        <v>0</v>
      </c>
      <c r="AB57" s="54">
        <f t="shared" si="6"/>
        <v>0</v>
      </c>
    </row>
    <row r="58" spans="2:28" x14ac:dyDescent="0.45">
      <c r="B58" s="34" t="s">
        <v>117</v>
      </c>
      <c r="C58" s="40"/>
      <c r="D58" s="40">
        <v>17348137.66</v>
      </c>
      <c r="E58" s="40">
        <v>17348137.66</v>
      </c>
      <c r="F58" s="40">
        <v>7577270.0199999996</v>
      </c>
      <c r="G58" s="40">
        <v>7577270.0199999996</v>
      </c>
      <c r="H58" s="40">
        <v>7577270.0199999996</v>
      </c>
      <c r="I58" s="40">
        <v>4289020.0199999996</v>
      </c>
      <c r="J58" s="40">
        <v>3725320.02</v>
      </c>
      <c r="K58" s="40">
        <v>3725320.02</v>
      </c>
      <c r="L58" s="40">
        <v>3725320.02</v>
      </c>
      <c r="M58" s="40">
        <v>3725320.02</v>
      </c>
      <c r="N58" s="40">
        <v>3725320.02</v>
      </c>
      <c r="O58" s="40">
        <v>3725320.02</v>
      </c>
      <c r="P58" s="40"/>
      <c r="Q58" s="40">
        <v>3725320.02</v>
      </c>
      <c r="R58" s="40">
        <v>3275000.02</v>
      </c>
      <c r="S58" s="40">
        <v>1975000.04</v>
      </c>
      <c r="T58" s="40">
        <v>1925000.04</v>
      </c>
      <c r="U58" s="40">
        <v>1550000.04</v>
      </c>
      <c r="V58" s="40">
        <v>150000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</row>
    <row r="59" spans="2:28" x14ac:dyDescent="0.45"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</row>
    <row r="60" spans="2:28" x14ac:dyDescent="0.45">
      <c r="B60" s="23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</row>
    <row r="61" spans="2:28" x14ac:dyDescent="0.45">
      <c r="B61" s="23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</row>
    <row r="62" spans="2:28" x14ac:dyDescent="0.45">
      <c r="B62" s="36" t="s">
        <v>118</v>
      </c>
      <c r="C62" s="40"/>
      <c r="D62" s="57">
        <f t="shared" ref="D62:AB62" si="7">+D57+D48</f>
        <v>17476966.379999999</v>
      </c>
      <c r="E62" s="57">
        <f t="shared" si="7"/>
        <v>17482721.260000002</v>
      </c>
      <c r="F62" s="57">
        <f t="shared" si="7"/>
        <v>7711231.8699999992</v>
      </c>
      <c r="G62" s="57">
        <f t="shared" si="7"/>
        <v>7712841.3199999994</v>
      </c>
      <c r="H62" s="57">
        <f t="shared" si="7"/>
        <v>7714699.9299999997</v>
      </c>
      <c r="I62" s="57">
        <f t="shared" si="7"/>
        <v>4431348.8299999991</v>
      </c>
      <c r="J62" s="57">
        <f t="shared" si="7"/>
        <v>3860828.8</v>
      </c>
      <c r="K62" s="57">
        <f t="shared" si="7"/>
        <v>3863828.23</v>
      </c>
      <c r="L62" s="57">
        <f t="shared" si="7"/>
        <v>3819044.15</v>
      </c>
      <c r="M62" s="57">
        <f t="shared" si="7"/>
        <v>3816952.2</v>
      </c>
      <c r="N62" s="57">
        <f t="shared" si="7"/>
        <v>3797902.62</v>
      </c>
      <c r="O62" s="57">
        <f t="shared" si="7"/>
        <v>3799075.59</v>
      </c>
      <c r="P62" s="40"/>
      <c r="Q62" s="57">
        <f t="shared" si="7"/>
        <v>3797749.42</v>
      </c>
      <c r="R62" s="57">
        <f t="shared" si="7"/>
        <v>3296746.5100000002</v>
      </c>
      <c r="S62" s="57">
        <f t="shared" si="7"/>
        <v>1980090.1600000001</v>
      </c>
      <c r="T62" s="57">
        <f t="shared" si="7"/>
        <v>1929233.3800000001</v>
      </c>
      <c r="U62" s="57">
        <f t="shared" si="7"/>
        <v>1550000.04</v>
      </c>
      <c r="V62" s="57">
        <f t="shared" si="7"/>
        <v>150000</v>
      </c>
      <c r="W62" s="57">
        <f t="shared" si="7"/>
        <v>0</v>
      </c>
      <c r="X62" s="57">
        <f t="shared" si="7"/>
        <v>0</v>
      </c>
      <c r="Y62" s="57">
        <f t="shared" si="7"/>
        <v>0</v>
      </c>
      <c r="Z62" s="57">
        <f t="shared" si="7"/>
        <v>0</v>
      </c>
      <c r="AA62" s="57">
        <f t="shared" si="7"/>
        <v>0</v>
      </c>
      <c r="AB62" s="57">
        <f t="shared" si="7"/>
        <v>0</v>
      </c>
    </row>
    <row r="63" spans="2:28" x14ac:dyDescent="0.45">
      <c r="B63" s="23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</row>
    <row r="64" spans="2:28" x14ac:dyDescent="0.45">
      <c r="B64" s="23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</row>
    <row r="65" spans="2:28" x14ac:dyDescent="0.45">
      <c r="B65" s="36" t="s">
        <v>119</v>
      </c>
      <c r="C65" s="40"/>
      <c r="D65" s="57">
        <f t="shared" ref="D65:AB65" si="8">+D62+D45</f>
        <v>54038030.280000001</v>
      </c>
      <c r="E65" s="57">
        <f t="shared" si="8"/>
        <v>55482093.520000011</v>
      </c>
      <c r="F65" s="57">
        <f t="shared" si="8"/>
        <v>28968457.189999998</v>
      </c>
      <c r="G65" s="57">
        <f t="shared" si="8"/>
        <v>27163243.830000002</v>
      </c>
      <c r="H65" s="57">
        <f t="shared" si="8"/>
        <v>28323716.52</v>
      </c>
      <c r="I65" s="57">
        <f t="shared" si="8"/>
        <v>23695634.909999996</v>
      </c>
      <c r="J65" s="57">
        <f t="shared" si="8"/>
        <v>17579257.100000001</v>
      </c>
      <c r="K65" s="57">
        <f t="shared" si="8"/>
        <v>18624555.859999999</v>
      </c>
      <c r="L65" s="57">
        <f t="shared" si="8"/>
        <v>15635759.65</v>
      </c>
      <c r="M65" s="57">
        <f t="shared" si="8"/>
        <v>15197771.170000002</v>
      </c>
      <c r="N65" s="57">
        <f t="shared" si="8"/>
        <v>16478393.650000002</v>
      </c>
      <c r="O65" s="57">
        <f t="shared" si="8"/>
        <v>12437102.23</v>
      </c>
      <c r="P65" s="40"/>
      <c r="Q65" s="57">
        <f t="shared" si="8"/>
        <v>10849077.690000001</v>
      </c>
      <c r="R65" s="57">
        <f t="shared" si="8"/>
        <v>10358733.32</v>
      </c>
      <c r="S65" s="57">
        <f t="shared" si="8"/>
        <v>7276143.3500000006</v>
      </c>
      <c r="T65" s="57">
        <f t="shared" si="8"/>
        <v>7171630.7800000003</v>
      </c>
      <c r="U65" s="57">
        <f t="shared" si="8"/>
        <v>4450082.7300000004</v>
      </c>
      <c r="V65" s="57">
        <f t="shared" si="8"/>
        <v>2081220.5</v>
      </c>
      <c r="W65" s="57">
        <f t="shared" si="8"/>
        <v>2022212.53</v>
      </c>
      <c r="X65" s="57">
        <f t="shared" si="8"/>
        <v>2663768.58</v>
      </c>
      <c r="Y65" s="57">
        <f t="shared" si="8"/>
        <v>2405417.29</v>
      </c>
      <c r="Z65" s="57">
        <f t="shared" si="8"/>
        <v>10910.79</v>
      </c>
      <c r="AA65" s="57">
        <f t="shared" si="8"/>
        <v>0</v>
      </c>
      <c r="AB65" s="57">
        <f t="shared" si="8"/>
        <v>0</v>
      </c>
    </row>
    <row r="66" spans="2:28" x14ac:dyDescent="0.45">
      <c r="B66" s="23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</row>
    <row r="67" spans="2:28" x14ac:dyDescent="0.45">
      <c r="B67" s="23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</row>
    <row r="68" spans="2:28" ht="14.65" thickBot="1" x14ac:dyDescent="0.5">
      <c r="B68" s="37"/>
      <c r="C68" s="40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40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</row>
    <row r="69" spans="2:28" x14ac:dyDescent="0.45">
      <c r="B69" s="38"/>
      <c r="C69" s="40"/>
      <c r="D69" s="55">
        <v>0</v>
      </c>
      <c r="E69" s="55">
        <v>0</v>
      </c>
      <c r="F69" s="55">
        <v>0</v>
      </c>
      <c r="G69" s="55">
        <v>0</v>
      </c>
      <c r="H69" s="55">
        <v>0</v>
      </c>
      <c r="I69" s="55">
        <v>0</v>
      </c>
      <c r="J69" s="55">
        <v>0</v>
      </c>
      <c r="K69" s="55">
        <v>0</v>
      </c>
      <c r="L69" s="55">
        <v>0</v>
      </c>
      <c r="M69" s="55">
        <v>0</v>
      </c>
      <c r="N69" s="55">
        <v>0</v>
      </c>
      <c r="O69" s="55">
        <v>0</v>
      </c>
      <c r="P69" s="40"/>
      <c r="Q69" s="55">
        <v>0</v>
      </c>
      <c r="R69" s="55">
        <v>0</v>
      </c>
      <c r="S69" s="55">
        <v>0</v>
      </c>
      <c r="T69" s="55">
        <v>0</v>
      </c>
      <c r="U69" s="55">
        <v>0</v>
      </c>
      <c r="V69" s="55">
        <v>0</v>
      </c>
      <c r="W69" s="55">
        <v>0</v>
      </c>
      <c r="X69" s="55">
        <v>0</v>
      </c>
      <c r="Y69" s="55">
        <v>0</v>
      </c>
      <c r="Z69" s="55">
        <v>0</v>
      </c>
      <c r="AA69" s="55">
        <v>0</v>
      </c>
      <c r="AB69" s="55">
        <v>0</v>
      </c>
    </row>
    <row r="70" spans="2:28" x14ac:dyDescent="0.45">
      <c r="B70" s="32" t="s">
        <v>120</v>
      </c>
      <c r="C70" s="40"/>
      <c r="D70" s="54">
        <f t="shared" ref="D70:O70" si="9">SUM(D71:D87)</f>
        <v>1785461.79</v>
      </c>
      <c r="E70" s="54">
        <f t="shared" si="9"/>
        <v>2604388.56</v>
      </c>
      <c r="F70" s="54">
        <f t="shared" si="9"/>
        <v>1174733.81</v>
      </c>
      <c r="G70" s="54">
        <f t="shared" si="9"/>
        <v>575196.85000000009</v>
      </c>
      <c r="H70" s="54">
        <f t="shared" si="9"/>
        <v>1511701.62</v>
      </c>
      <c r="I70" s="54">
        <f t="shared" si="9"/>
        <v>906892.98999999987</v>
      </c>
      <c r="J70" s="54">
        <f t="shared" si="9"/>
        <v>956938.83999999973</v>
      </c>
      <c r="K70" s="54">
        <f t="shared" si="9"/>
        <v>1944485.21</v>
      </c>
      <c r="L70" s="54">
        <f t="shared" si="9"/>
        <v>791728.12</v>
      </c>
      <c r="M70" s="54">
        <f t="shared" si="9"/>
        <v>498348.93999999994</v>
      </c>
      <c r="N70" s="54">
        <f t="shared" si="9"/>
        <v>1564414.0699999998</v>
      </c>
      <c r="O70" s="54">
        <f t="shared" si="9"/>
        <v>876358.49</v>
      </c>
      <c r="P70" s="40"/>
      <c r="Q70" s="54">
        <f t="shared" ref="Q70:AB70" si="10">SUM(Q71:Q87)</f>
        <v>366160.13999999996</v>
      </c>
      <c r="R70" s="54">
        <f t="shared" si="10"/>
        <v>850164.34</v>
      </c>
      <c r="S70" s="54">
        <f t="shared" si="10"/>
        <v>491989.83999999997</v>
      </c>
      <c r="T70" s="54">
        <f t="shared" si="10"/>
        <v>344952.93000000005</v>
      </c>
      <c r="U70" s="54">
        <f t="shared" si="10"/>
        <v>368701.56000000006</v>
      </c>
      <c r="V70" s="54">
        <f t="shared" si="10"/>
        <v>276045.64</v>
      </c>
      <c r="W70" s="54">
        <f t="shared" si="10"/>
        <v>129536.74999999999</v>
      </c>
      <c r="X70" s="54">
        <f t="shared" si="10"/>
        <v>115929.73999999999</v>
      </c>
      <c r="Y70" s="54">
        <f t="shared" si="10"/>
        <v>16971.830000000002</v>
      </c>
      <c r="Z70" s="54">
        <f t="shared" si="10"/>
        <v>15350.37</v>
      </c>
      <c r="AA70" s="54">
        <f t="shared" si="10"/>
        <v>390.06</v>
      </c>
      <c r="AB70" s="54">
        <f t="shared" si="10"/>
        <v>365.36</v>
      </c>
    </row>
    <row r="71" spans="2:28" hidden="1" outlineLevel="1" x14ac:dyDescent="0.45">
      <c r="B71" s="34" t="s">
        <v>121</v>
      </c>
      <c r="C71" s="40"/>
      <c r="D71" s="40">
        <v>39481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17141.48</v>
      </c>
      <c r="L71" s="40">
        <v>17141.48</v>
      </c>
      <c r="M71" s="40">
        <v>17141.48</v>
      </c>
      <c r="N71" s="40">
        <v>17141.48</v>
      </c>
      <c r="O71" s="40">
        <v>17141.48</v>
      </c>
      <c r="P71" s="40"/>
      <c r="Q71" s="40">
        <v>17141.48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</row>
    <row r="72" spans="2:28" hidden="1" outlineLevel="1" x14ac:dyDescent="0.45">
      <c r="B72" s="34" t="s">
        <v>122</v>
      </c>
      <c r="C72" s="40"/>
      <c r="D72" s="40">
        <v>158987.5</v>
      </c>
      <c r="E72" s="40">
        <v>158987.5</v>
      </c>
      <c r="F72" s="40">
        <v>158987.5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/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</row>
    <row r="73" spans="2:28" hidden="1" outlineLevel="1" x14ac:dyDescent="0.45">
      <c r="B73" s="34" t="s">
        <v>123</v>
      </c>
      <c r="C73" s="40"/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0</v>
      </c>
      <c r="P73" s="40"/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</row>
    <row r="74" spans="2:28" hidden="1" outlineLevel="1" x14ac:dyDescent="0.45">
      <c r="B74" s="34" t="s">
        <v>124</v>
      </c>
      <c r="C74" s="40"/>
      <c r="D74" s="40">
        <v>18.82</v>
      </c>
      <c r="E74" s="40">
        <v>18.82</v>
      </c>
      <c r="F74" s="40">
        <v>18.82</v>
      </c>
      <c r="G74" s="40">
        <v>19.03</v>
      </c>
      <c r="H74" s="40">
        <v>0.35</v>
      </c>
      <c r="I74" s="40">
        <v>0.35</v>
      </c>
      <c r="J74" s="40">
        <v>0.35</v>
      </c>
      <c r="K74" s="40">
        <v>0.35</v>
      </c>
      <c r="L74" s="40">
        <v>0.09</v>
      </c>
      <c r="M74" s="40">
        <v>0</v>
      </c>
      <c r="N74" s="40">
        <v>0</v>
      </c>
      <c r="O74" s="40">
        <v>0</v>
      </c>
      <c r="P74" s="40"/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</row>
    <row r="75" spans="2:28" hidden="1" outlineLevel="1" x14ac:dyDescent="0.45">
      <c r="B75" s="34" t="s">
        <v>125</v>
      </c>
      <c r="C75" s="40"/>
      <c r="D75" s="40">
        <v>616.48</v>
      </c>
      <c r="E75" s="40">
        <f>-83.5-7</f>
        <v>-90.5</v>
      </c>
      <c r="F75" s="40">
        <v>-83.5</v>
      </c>
      <c r="G75" s="40">
        <v>-83.5</v>
      </c>
      <c r="H75" s="40">
        <v>-83.5</v>
      </c>
      <c r="I75" s="40">
        <v>-83.5</v>
      </c>
      <c r="J75" s="40">
        <v>-83.5</v>
      </c>
      <c r="K75" s="40">
        <v>-83.5</v>
      </c>
      <c r="L75" s="40">
        <v>-83.5</v>
      </c>
      <c r="M75" s="40">
        <v>-83.5</v>
      </c>
      <c r="N75" s="40">
        <v>-83.5</v>
      </c>
      <c r="O75" s="40">
        <v>26968.25</v>
      </c>
      <c r="P75" s="40"/>
      <c r="Q75" s="40">
        <v>26968.25</v>
      </c>
      <c r="R75" s="40">
        <v>26405.65</v>
      </c>
      <c r="S75" s="40">
        <v>5676.99</v>
      </c>
      <c r="T75" s="40">
        <v>7356.15</v>
      </c>
      <c r="U75" s="40">
        <v>7356.15</v>
      </c>
      <c r="V75" s="40">
        <v>23421.62</v>
      </c>
      <c r="W75" s="40">
        <v>18992.099999999999</v>
      </c>
      <c r="X75" s="40">
        <v>18617.509999999998</v>
      </c>
      <c r="Y75" s="40">
        <v>16760.330000000002</v>
      </c>
      <c r="Z75" s="40">
        <v>15350.37</v>
      </c>
      <c r="AA75" s="40">
        <v>390.06</v>
      </c>
      <c r="AB75" s="40">
        <v>365.36</v>
      </c>
    </row>
    <row r="76" spans="2:28" hidden="1" outlineLevel="1" x14ac:dyDescent="0.45">
      <c r="B76" s="34" t="s">
        <v>126</v>
      </c>
      <c r="C76" s="40"/>
      <c r="D76" s="40">
        <v>0.56999999999999995</v>
      </c>
      <c r="E76" s="40">
        <v>586797.06999999995</v>
      </c>
      <c r="F76" s="40">
        <v>36511.97</v>
      </c>
      <c r="G76" s="40">
        <v>43262.47</v>
      </c>
      <c r="H76" s="40">
        <v>12071.43</v>
      </c>
      <c r="I76" s="40">
        <v>295799.57</v>
      </c>
      <c r="J76" s="40">
        <v>543720.56999999995</v>
      </c>
      <c r="K76" s="40">
        <v>524487.48</v>
      </c>
      <c r="L76" s="40">
        <v>20492.009999999998</v>
      </c>
      <c r="M76" s="40">
        <v>40772.11</v>
      </c>
      <c r="N76" s="40">
        <v>73485.86</v>
      </c>
      <c r="O76" s="40">
        <v>-0.01</v>
      </c>
      <c r="P76" s="40"/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</row>
    <row r="77" spans="2:28" hidden="1" outlineLevel="1" x14ac:dyDescent="0.45">
      <c r="B77" s="34" t="s">
        <v>127</v>
      </c>
      <c r="C77" s="40"/>
      <c r="D77" s="40">
        <v>0</v>
      </c>
      <c r="E77" s="40">
        <v>0</v>
      </c>
      <c r="F77" s="40">
        <v>0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40">
        <v>0</v>
      </c>
      <c r="M77" s="40">
        <v>0</v>
      </c>
      <c r="N77" s="40">
        <v>0</v>
      </c>
      <c r="O77" s="40">
        <v>0</v>
      </c>
      <c r="P77" s="40"/>
      <c r="Q77" s="40">
        <v>0</v>
      </c>
      <c r="R77" s="40">
        <v>0</v>
      </c>
      <c r="S77" s="40">
        <v>0</v>
      </c>
      <c r="T77" s="40">
        <v>0</v>
      </c>
      <c r="U77" s="40">
        <v>0</v>
      </c>
      <c r="V77" s="40">
        <v>0</v>
      </c>
      <c r="W77" s="40">
        <v>0</v>
      </c>
      <c r="X77" s="40">
        <v>0</v>
      </c>
      <c r="Y77" s="40">
        <v>0</v>
      </c>
      <c r="Z77" s="40">
        <v>0</v>
      </c>
      <c r="AA77" s="40">
        <v>0</v>
      </c>
      <c r="AB77" s="40">
        <v>0</v>
      </c>
    </row>
    <row r="78" spans="2:28" hidden="1" outlineLevel="1" x14ac:dyDescent="0.45">
      <c r="B78" s="34" t="s">
        <v>128</v>
      </c>
      <c r="C78" s="40"/>
      <c r="D78" s="40">
        <v>317117.71000000002</v>
      </c>
      <c r="E78" s="40">
        <v>7.0000000000000007E-2</v>
      </c>
      <c r="F78" s="40">
        <v>137757.6</v>
      </c>
      <c r="G78" s="40">
        <v>137757.6</v>
      </c>
      <c r="H78" s="40">
        <v>7.0000000000000007E-2</v>
      </c>
      <c r="I78" s="40">
        <v>7.0000000000000007E-2</v>
      </c>
      <c r="J78" s="40">
        <v>108220.71</v>
      </c>
      <c r="K78" s="40">
        <v>0.04</v>
      </c>
      <c r="L78" s="40">
        <v>0.04</v>
      </c>
      <c r="M78" s="40">
        <v>96677.759999999995</v>
      </c>
      <c r="N78" s="40">
        <v>0.04</v>
      </c>
      <c r="O78" s="40">
        <v>0.04</v>
      </c>
      <c r="P78" s="40"/>
      <c r="Q78" s="40">
        <v>49751.54</v>
      </c>
      <c r="R78" s="40">
        <v>0.01</v>
      </c>
      <c r="S78" s="40">
        <v>0.01</v>
      </c>
      <c r="T78" s="40">
        <v>42498.46</v>
      </c>
      <c r="U78" s="40">
        <v>0</v>
      </c>
      <c r="V78" s="40">
        <v>0</v>
      </c>
      <c r="W78" s="40">
        <v>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</row>
    <row r="79" spans="2:28" hidden="1" outlineLevel="1" x14ac:dyDescent="0.45">
      <c r="B79" s="34" t="s">
        <v>129</v>
      </c>
      <c r="C79" s="40"/>
      <c r="D79" s="40">
        <v>845904.13</v>
      </c>
      <c r="E79" s="40">
        <v>-8.06</v>
      </c>
      <c r="F79" s="40">
        <v>-8.06</v>
      </c>
      <c r="G79" s="40">
        <v>-8.06</v>
      </c>
      <c r="H79" s="40">
        <v>-8.06</v>
      </c>
      <c r="I79" s="40">
        <v>-8.06</v>
      </c>
      <c r="J79" s="40">
        <v>-8.06</v>
      </c>
      <c r="K79" s="40">
        <v>298644.98</v>
      </c>
      <c r="L79" s="40">
        <v>298644.98</v>
      </c>
      <c r="M79" s="40">
        <v>298644.98</v>
      </c>
      <c r="N79" s="40">
        <v>113405.27</v>
      </c>
      <c r="O79" s="40">
        <v>258808.95</v>
      </c>
      <c r="P79" s="40"/>
      <c r="Q79" s="40">
        <v>258808.95</v>
      </c>
      <c r="R79" s="40">
        <v>298363</v>
      </c>
      <c r="S79" s="40">
        <v>229553.48</v>
      </c>
      <c r="T79" s="40">
        <v>161412.04</v>
      </c>
      <c r="U79" s="40">
        <v>0</v>
      </c>
      <c r="V79" s="40">
        <v>0</v>
      </c>
      <c r="W79" s="40">
        <v>0</v>
      </c>
      <c r="X79" s="40">
        <v>-9691.2000000000007</v>
      </c>
      <c r="Y79" s="40">
        <v>0</v>
      </c>
      <c r="Z79" s="40">
        <v>0</v>
      </c>
      <c r="AA79" s="40">
        <v>0</v>
      </c>
      <c r="AB79" s="40">
        <v>0</v>
      </c>
    </row>
    <row r="80" spans="2:28" hidden="1" outlineLevel="1" x14ac:dyDescent="0.45">
      <c r="B80" s="34" t="s">
        <v>130</v>
      </c>
      <c r="C80" s="40"/>
      <c r="D80" s="40">
        <v>0</v>
      </c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/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40">
        <v>0</v>
      </c>
      <c r="W80" s="40">
        <v>0</v>
      </c>
      <c r="X80" s="40">
        <v>0</v>
      </c>
      <c r="Y80" s="40">
        <v>0</v>
      </c>
      <c r="Z80" s="40">
        <v>0</v>
      </c>
      <c r="AA80" s="40">
        <v>0</v>
      </c>
      <c r="AB80" s="40">
        <v>0</v>
      </c>
    </row>
    <row r="81" spans="2:28" hidden="1" outlineLevel="1" x14ac:dyDescent="0.45">
      <c r="B81" s="34" t="s">
        <v>131</v>
      </c>
      <c r="C81" s="40"/>
      <c r="D81" s="40">
        <v>0</v>
      </c>
      <c r="E81" s="40">
        <v>0</v>
      </c>
      <c r="F81" s="40">
        <v>0</v>
      </c>
      <c r="G81" s="40">
        <v>0</v>
      </c>
      <c r="H81" s="40">
        <v>0</v>
      </c>
      <c r="I81" s="40">
        <v>0</v>
      </c>
      <c r="J81" s="40">
        <v>0</v>
      </c>
      <c r="K81" s="40">
        <v>0</v>
      </c>
      <c r="L81" s="40">
        <v>0</v>
      </c>
      <c r="M81" s="40">
        <v>0</v>
      </c>
      <c r="N81" s="40">
        <v>0</v>
      </c>
      <c r="O81" s="40">
        <v>0</v>
      </c>
      <c r="P81" s="40"/>
      <c r="Q81" s="40">
        <v>0</v>
      </c>
      <c r="R81" s="40">
        <v>0</v>
      </c>
      <c r="S81" s="40">
        <v>0</v>
      </c>
      <c r="T81" s="40">
        <v>0</v>
      </c>
      <c r="U81" s="40">
        <v>0</v>
      </c>
      <c r="V81" s="40">
        <v>0</v>
      </c>
      <c r="W81" s="40">
        <v>0</v>
      </c>
      <c r="X81" s="40">
        <v>0</v>
      </c>
      <c r="Y81" s="40">
        <v>0</v>
      </c>
      <c r="Z81" s="40">
        <v>0</v>
      </c>
      <c r="AA81" s="40">
        <v>0</v>
      </c>
      <c r="AB81" s="40">
        <v>0</v>
      </c>
    </row>
    <row r="82" spans="2:28" hidden="1" outlineLevel="1" x14ac:dyDescent="0.45">
      <c r="B82" s="34" t="s">
        <v>132</v>
      </c>
      <c r="C82" s="40"/>
      <c r="D82" s="40">
        <v>113292.74</v>
      </c>
      <c r="E82" s="40">
        <v>106650.18</v>
      </c>
      <c r="F82" s="40">
        <v>0</v>
      </c>
      <c r="G82" s="40">
        <v>200.5</v>
      </c>
      <c r="H82" s="40">
        <v>200.5</v>
      </c>
      <c r="I82" s="40">
        <v>5437.5</v>
      </c>
      <c r="J82" s="40">
        <v>200</v>
      </c>
      <c r="K82" s="40">
        <v>9871.77</v>
      </c>
      <c r="L82" s="40">
        <v>237.5</v>
      </c>
      <c r="M82" s="40">
        <v>0</v>
      </c>
      <c r="N82" s="40">
        <v>43000</v>
      </c>
      <c r="O82" s="40">
        <v>34000</v>
      </c>
      <c r="P82" s="40"/>
      <c r="Q82" s="40">
        <v>0</v>
      </c>
      <c r="R82" s="40">
        <v>7500</v>
      </c>
      <c r="S82" s="40">
        <v>0</v>
      </c>
      <c r="T82" s="40">
        <v>7500</v>
      </c>
      <c r="U82" s="40">
        <v>0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</row>
    <row r="83" spans="2:28" hidden="1" outlineLevel="1" x14ac:dyDescent="0.45">
      <c r="B83" s="34" t="s">
        <v>133</v>
      </c>
      <c r="C83" s="40"/>
      <c r="D83" s="40">
        <v>34513.449999999997</v>
      </c>
      <c r="E83" s="40">
        <v>34513.449999999997</v>
      </c>
      <c r="F83" s="40">
        <v>106001.07</v>
      </c>
      <c r="G83" s="40">
        <v>104999.73</v>
      </c>
      <c r="H83" s="40">
        <v>1822.03</v>
      </c>
      <c r="I83" s="40">
        <v>33494.76</v>
      </c>
      <c r="J83" s="40">
        <v>4840.38</v>
      </c>
      <c r="K83" s="40">
        <v>38726.51</v>
      </c>
      <c r="L83" s="40">
        <v>30514.77</v>
      </c>
      <c r="M83" s="40">
        <v>27997.200000000001</v>
      </c>
      <c r="N83" s="40">
        <v>27894.6</v>
      </c>
      <c r="O83" s="40">
        <v>27245.5</v>
      </c>
      <c r="P83" s="40"/>
      <c r="Q83" s="40">
        <v>0</v>
      </c>
      <c r="R83" s="40">
        <v>0</v>
      </c>
      <c r="S83" s="40">
        <v>0</v>
      </c>
      <c r="T83" s="40">
        <v>0</v>
      </c>
      <c r="U83" s="40">
        <v>0</v>
      </c>
      <c r="V83" s="40">
        <v>0</v>
      </c>
      <c r="W83" s="40">
        <v>0</v>
      </c>
      <c r="X83" s="40">
        <v>0</v>
      </c>
      <c r="Y83" s="40">
        <v>0</v>
      </c>
      <c r="Z83" s="40">
        <v>0</v>
      </c>
      <c r="AA83" s="40">
        <v>0</v>
      </c>
      <c r="AB83" s="40">
        <v>0</v>
      </c>
    </row>
    <row r="84" spans="2:28" hidden="1" outlineLevel="1" x14ac:dyDescent="0.45">
      <c r="B84" s="34" t="s">
        <v>134</v>
      </c>
      <c r="C84" s="40"/>
      <c r="D84" s="40">
        <v>65677.87</v>
      </c>
      <c r="E84" s="40">
        <v>1710578.51</v>
      </c>
      <c r="F84" s="40">
        <v>728596.89</v>
      </c>
      <c r="G84" s="40">
        <v>57713.440000000002</v>
      </c>
      <c r="H84" s="40">
        <v>1489481.21</v>
      </c>
      <c r="I84" s="40">
        <v>564162.44999999995</v>
      </c>
      <c r="J84" s="40">
        <v>22187.69</v>
      </c>
      <c r="K84" s="40">
        <v>1055696.1000000001</v>
      </c>
      <c r="L84" s="40">
        <v>424780.75</v>
      </c>
      <c r="M84" s="40">
        <v>17198.91</v>
      </c>
      <c r="N84" s="40">
        <v>1144166.6399999999</v>
      </c>
      <c r="O84" s="40">
        <v>512194.28</v>
      </c>
      <c r="P84" s="40"/>
      <c r="Q84" s="40">
        <v>13489.92</v>
      </c>
      <c r="R84" s="40">
        <v>517895.67999999999</v>
      </c>
      <c r="S84" s="40">
        <v>256759.36</v>
      </c>
      <c r="T84" s="40">
        <v>12930.75</v>
      </c>
      <c r="U84" s="40">
        <v>351654.21</v>
      </c>
      <c r="V84" s="40">
        <v>242932.82</v>
      </c>
      <c r="W84" s="40">
        <v>100853.45</v>
      </c>
      <c r="X84" s="40">
        <v>97312.23</v>
      </c>
      <c r="Y84" s="40">
        <v>211.5</v>
      </c>
      <c r="Z84" s="40">
        <v>0</v>
      </c>
      <c r="AA84" s="40">
        <v>0</v>
      </c>
      <c r="AB84" s="40">
        <v>0</v>
      </c>
    </row>
    <row r="85" spans="2:28" hidden="1" outlineLevel="1" x14ac:dyDescent="0.45">
      <c r="B85" s="34" t="s">
        <v>135</v>
      </c>
      <c r="C85" s="40"/>
      <c r="D85" s="40">
        <v>6851.52</v>
      </c>
      <c r="E85" s="40">
        <v>6941.52</v>
      </c>
      <c r="F85" s="40">
        <v>6951.52</v>
      </c>
      <c r="G85" s="40">
        <v>6951.52</v>
      </c>
      <c r="H85" s="40">
        <v>8217.59</v>
      </c>
      <c r="I85" s="40">
        <v>8089.85</v>
      </c>
      <c r="J85" s="40">
        <v>8037.59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40"/>
      <c r="Q85" s="40">
        <v>0</v>
      </c>
      <c r="R85" s="40">
        <v>0</v>
      </c>
      <c r="S85" s="40">
        <v>0</v>
      </c>
      <c r="T85" s="40">
        <v>0</v>
      </c>
      <c r="U85" s="40">
        <v>0</v>
      </c>
      <c r="V85" s="40">
        <v>0</v>
      </c>
      <c r="W85" s="40">
        <v>0</v>
      </c>
      <c r="X85" s="40">
        <v>0</v>
      </c>
      <c r="Y85" s="40">
        <v>0</v>
      </c>
      <c r="Z85" s="40">
        <v>0</v>
      </c>
      <c r="AA85" s="40">
        <v>0</v>
      </c>
      <c r="AB85" s="40">
        <v>0</v>
      </c>
    </row>
    <row r="86" spans="2:28" hidden="1" outlineLevel="1" x14ac:dyDescent="0.45">
      <c r="B86" s="34" t="s">
        <v>136</v>
      </c>
      <c r="C86" s="40"/>
      <c r="D86" s="40">
        <v>0</v>
      </c>
      <c r="E86" s="40">
        <v>0</v>
      </c>
      <c r="F86" s="40">
        <v>0</v>
      </c>
      <c r="G86" s="40">
        <v>224384.12</v>
      </c>
      <c r="H86" s="40">
        <v>0</v>
      </c>
      <c r="I86" s="40">
        <v>0</v>
      </c>
      <c r="J86" s="40">
        <v>269823.11</v>
      </c>
      <c r="K86" s="40">
        <v>0</v>
      </c>
      <c r="L86" s="40">
        <v>0</v>
      </c>
      <c r="M86" s="40">
        <v>0</v>
      </c>
      <c r="N86" s="40">
        <v>145403.68</v>
      </c>
      <c r="O86" s="40">
        <v>0</v>
      </c>
      <c r="P86" s="40"/>
      <c r="Q86" s="40">
        <v>0</v>
      </c>
      <c r="R86" s="40">
        <v>0</v>
      </c>
      <c r="S86" s="40">
        <v>0</v>
      </c>
      <c r="T86" s="40">
        <v>113255.53</v>
      </c>
      <c r="U86" s="40">
        <v>9691.2000000000007</v>
      </c>
      <c r="V86" s="40">
        <v>9691.2000000000007</v>
      </c>
      <c r="W86" s="40">
        <v>9691.2000000000007</v>
      </c>
      <c r="X86" s="40">
        <v>9691.2000000000007</v>
      </c>
      <c r="Y86" s="40">
        <v>0</v>
      </c>
      <c r="Z86" s="40">
        <v>0</v>
      </c>
      <c r="AA86" s="40">
        <v>0</v>
      </c>
      <c r="AB86" s="40">
        <v>0</v>
      </c>
    </row>
    <row r="87" spans="2:28" collapsed="1" x14ac:dyDescent="0.45">
      <c r="B87" s="34" t="s">
        <v>137</v>
      </c>
      <c r="C87" s="40"/>
      <c r="D87" s="40">
        <v>203000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  <c r="N87" s="40">
        <v>0</v>
      </c>
      <c r="O87" s="40">
        <v>0</v>
      </c>
      <c r="P87" s="40"/>
      <c r="Q87" s="40">
        <v>0</v>
      </c>
      <c r="R87" s="40">
        <v>0</v>
      </c>
      <c r="S87" s="40">
        <v>0</v>
      </c>
      <c r="T87" s="40">
        <v>0</v>
      </c>
      <c r="U87" s="40">
        <v>0</v>
      </c>
      <c r="V87" s="40">
        <v>0</v>
      </c>
      <c r="W87" s="40">
        <v>0</v>
      </c>
      <c r="X87" s="40">
        <v>0</v>
      </c>
      <c r="Y87" s="40">
        <v>0</v>
      </c>
      <c r="Z87" s="40">
        <v>0</v>
      </c>
      <c r="AA87" s="40">
        <v>0</v>
      </c>
      <c r="AB87" s="40">
        <v>0</v>
      </c>
    </row>
    <row r="88" spans="2:28" x14ac:dyDescent="0.45">
      <c r="B88" s="34" t="s">
        <v>138</v>
      </c>
      <c r="C88" s="40"/>
      <c r="D88" s="40">
        <v>0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/>
      <c r="Q88" s="40">
        <v>0</v>
      </c>
      <c r="R88" s="40">
        <v>0</v>
      </c>
      <c r="S88" s="40">
        <v>0</v>
      </c>
      <c r="T88" s="40">
        <v>0</v>
      </c>
      <c r="U88" s="40">
        <v>0</v>
      </c>
      <c r="V88" s="40">
        <v>0</v>
      </c>
      <c r="W88" s="40">
        <v>0</v>
      </c>
      <c r="X88" s="40">
        <v>0</v>
      </c>
      <c r="Y88" s="40">
        <v>0</v>
      </c>
      <c r="Z88" s="40">
        <v>0</v>
      </c>
      <c r="AA88" s="40">
        <v>0</v>
      </c>
      <c r="AB88" s="40">
        <v>0</v>
      </c>
    </row>
    <row r="89" spans="2:28" x14ac:dyDescent="0.45">
      <c r="B89" s="23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</row>
    <row r="90" spans="2:28" x14ac:dyDescent="0.45">
      <c r="B90" s="32" t="s">
        <v>139</v>
      </c>
      <c r="C90" s="40"/>
      <c r="D90" s="54">
        <f t="shared" ref="D90:O90" si="11">+D92+D91</f>
        <v>2239362.44</v>
      </c>
      <c r="E90" s="54">
        <f t="shared" si="11"/>
        <v>2341155.4899999998</v>
      </c>
      <c r="F90" s="54">
        <f t="shared" si="11"/>
        <v>2441160.3499999996</v>
      </c>
      <c r="G90" s="54">
        <f t="shared" si="11"/>
        <v>2539408.4499999997</v>
      </c>
      <c r="H90" s="54">
        <f t="shared" si="11"/>
        <v>2635930.6300000004</v>
      </c>
      <c r="I90" s="54">
        <f t="shared" si="11"/>
        <v>2730757.22</v>
      </c>
      <c r="J90" s="54">
        <f t="shared" si="11"/>
        <v>793634.67</v>
      </c>
      <c r="K90" s="54">
        <f t="shared" si="11"/>
        <v>885158.90999999992</v>
      </c>
      <c r="L90" s="54">
        <f t="shared" si="11"/>
        <v>975075.36</v>
      </c>
      <c r="M90" s="54">
        <f t="shared" si="11"/>
        <v>1063412.26</v>
      </c>
      <c r="N90" s="54">
        <f t="shared" si="11"/>
        <v>1150197.3600000001</v>
      </c>
      <c r="O90" s="54">
        <f t="shared" si="11"/>
        <v>0</v>
      </c>
      <c r="P90" s="40"/>
      <c r="Q90" s="54">
        <f t="shared" ref="Q90:AB90" si="12">+Q92+Q91</f>
        <v>0</v>
      </c>
      <c r="R90" s="54">
        <f t="shared" si="12"/>
        <v>0</v>
      </c>
      <c r="S90" s="54">
        <f t="shared" si="12"/>
        <v>0</v>
      </c>
      <c r="T90" s="54">
        <f t="shared" si="12"/>
        <v>0</v>
      </c>
      <c r="U90" s="54">
        <f t="shared" si="12"/>
        <v>0</v>
      </c>
      <c r="V90" s="54">
        <f t="shared" si="12"/>
        <v>0</v>
      </c>
      <c r="W90" s="54">
        <f t="shared" si="12"/>
        <v>0</v>
      </c>
      <c r="X90" s="54">
        <f t="shared" si="12"/>
        <v>0</v>
      </c>
      <c r="Y90" s="54">
        <f t="shared" si="12"/>
        <v>0</v>
      </c>
      <c r="Z90" s="54">
        <f t="shared" si="12"/>
        <v>0</v>
      </c>
      <c r="AA90" s="54">
        <f t="shared" si="12"/>
        <v>0</v>
      </c>
      <c r="AB90" s="54">
        <f t="shared" si="12"/>
        <v>0</v>
      </c>
    </row>
    <row r="91" spans="2:28" hidden="1" outlineLevel="1" x14ac:dyDescent="0.45">
      <c r="B91" s="34" t="s">
        <v>140</v>
      </c>
      <c r="C91" s="40"/>
      <c r="D91" s="40">
        <v>33956.18</v>
      </c>
      <c r="E91" s="40">
        <v>35744.36</v>
      </c>
      <c r="F91" s="40">
        <v>37501.129999999997</v>
      </c>
      <c r="G91" s="40">
        <v>39227.050000000003</v>
      </c>
      <c r="H91" s="40">
        <v>40922.639999999999</v>
      </c>
      <c r="I91" s="40">
        <v>42588.45</v>
      </c>
      <c r="J91" s="40">
        <v>13941.66</v>
      </c>
      <c r="K91" s="40">
        <v>15549.45</v>
      </c>
      <c r="L91" s="40">
        <v>17129</v>
      </c>
      <c r="M91" s="40">
        <v>18680.810000000001</v>
      </c>
      <c r="N91" s="40">
        <v>20205.36</v>
      </c>
      <c r="O91" s="40">
        <v>0</v>
      </c>
      <c r="P91" s="40"/>
      <c r="Q91" s="40">
        <v>0</v>
      </c>
      <c r="R91" s="40">
        <v>0</v>
      </c>
      <c r="S91" s="40">
        <v>0</v>
      </c>
      <c r="T91" s="40">
        <v>0</v>
      </c>
      <c r="U91" s="40">
        <v>0</v>
      </c>
      <c r="V91" s="40">
        <v>0</v>
      </c>
      <c r="W91" s="40">
        <v>0</v>
      </c>
      <c r="X91" s="40">
        <v>0</v>
      </c>
      <c r="Y91" s="40">
        <v>0</v>
      </c>
      <c r="Z91" s="40">
        <v>0</v>
      </c>
      <c r="AA91" s="40">
        <v>0</v>
      </c>
      <c r="AB91" s="40">
        <v>0</v>
      </c>
    </row>
    <row r="92" spans="2:28" hidden="1" outlineLevel="1" x14ac:dyDescent="0.45">
      <c r="B92" s="34" t="s">
        <v>141</v>
      </c>
      <c r="C92" s="40"/>
      <c r="D92" s="40">
        <v>2205406.2599999998</v>
      </c>
      <c r="E92" s="40">
        <v>2305411.13</v>
      </c>
      <c r="F92" s="40">
        <v>2403659.2199999997</v>
      </c>
      <c r="G92" s="40">
        <v>2500181.4</v>
      </c>
      <c r="H92" s="40">
        <v>2595007.9900000002</v>
      </c>
      <c r="I92" s="40">
        <v>2688168.77</v>
      </c>
      <c r="J92" s="40">
        <v>779693.01</v>
      </c>
      <c r="K92" s="40">
        <v>869609.46</v>
      </c>
      <c r="L92" s="40">
        <v>957946.36</v>
      </c>
      <c r="M92" s="40">
        <v>1044731.45</v>
      </c>
      <c r="N92" s="40">
        <v>1129992</v>
      </c>
      <c r="O92" s="40">
        <v>0</v>
      </c>
      <c r="P92" s="40"/>
      <c r="Q92" s="40">
        <v>0</v>
      </c>
      <c r="R92" s="40">
        <v>0</v>
      </c>
      <c r="S92" s="40">
        <v>0</v>
      </c>
      <c r="T92" s="40">
        <v>0</v>
      </c>
      <c r="U92" s="40">
        <v>0</v>
      </c>
      <c r="V92" s="40">
        <v>0</v>
      </c>
      <c r="W92" s="40">
        <v>0</v>
      </c>
      <c r="X92" s="40">
        <v>0</v>
      </c>
      <c r="Y92" s="40">
        <v>0</v>
      </c>
      <c r="Z92" s="40">
        <v>0</v>
      </c>
      <c r="AA92" s="40">
        <v>0</v>
      </c>
      <c r="AB92" s="40">
        <v>0</v>
      </c>
    </row>
    <row r="93" spans="2:28" hidden="1" outlineLevel="1" x14ac:dyDescent="0.45">
      <c r="B93" s="34" t="s">
        <v>142</v>
      </c>
      <c r="C93" s="40"/>
      <c r="D93" s="40">
        <v>0</v>
      </c>
      <c r="E93" s="40">
        <v>0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0</v>
      </c>
      <c r="N93" s="40">
        <v>0</v>
      </c>
      <c r="O93" s="40">
        <v>0</v>
      </c>
      <c r="P93" s="40"/>
      <c r="Q93" s="40">
        <v>0</v>
      </c>
      <c r="R93" s="40">
        <v>0</v>
      </c>
      <c r="S93" s="40">
        <v>0</v>
      </c>
      <c r="T93" s="40">
        <v>0</v>
      </c>
      <c r="U93" s="40">
        <v>0</v>
      </c>
      <c r="V93" s="40">
        <v>0</v>
      </c>
      <c r="W93" s="40">
        <v>0</v>
      </c>
      <c r="X93" s="40">
        <v>0</v>
      </c>
      <c r="Y93" s="40">
        <v>0</v>
      </c>
      <c r="Z93" s="40">
        <v>0</v>
      </c>
      <c r="AA93" s="40">
        <v>0</v>
      </c>
      <c r="AB93" s="40">
        <v>0</v>
      </c>
    </row>
    <row r="94" spans="2:28" collapsed="1" x14ac:dyDescent="0.45">
      <c r="B94" s="23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</row>
    <row r="95" spans="2:28" x14ac:dyDescent="0.45">
      <c r="B95" s="23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spans="2:28" x14ac:dyDescent="0.45">
      <c r="B96" s="36" t="s">
        <v>143</v>
      </c>
      <c r="C96" s="40"/>
      <c r="D96" s="57">
        <f t="shared" ref="D96:O96" si="13">+D90+D70</f>
        <v>4024824.23</v>
      </c>
      <c r="E96" s="57">
        <f t="shared" si="13"/>
        <v>4945544.05</v>
      </c>
      <c r="F96" s="57">
        <f t="shared" si="13"/>
        <v>3615894.1599999997</v>
      </c>
      <c r="G96" s="57">
        <f t="shared" si="13"/>
        <v>3114605.3</v>
      </c>
      <c r="H96" s="57">
        <f t="shared" si="13"/>
        <v>4147632.2500000005</v>
      </c>
      <c r="I96" s="57">
        <f t="shared" si="13"/>
        <v>3637650.21</v>
      </c>
      <c r="J96" s="57">
        <f t="shared" si="13"/>
        <v>1750573.5099999998</v>
      </c>
      <c r="K96" s="57">
        <f t="shared" si="13"/>
        <v>2829644.12</v>
      </c>
      <c r="L96" s="57">
        <f t="shared" si="13"/>
        <v>1766803.48</v>
      </c>
      <c r="M96" s="57">
        <f t="shared" si="13"/>
        <v>1561761.2</v>
      </c>
      <c r="N96" s="57">
        <f t="shared" si="13"/>
        <v>2714611.4299999997</v>
      </c>
      <c r="O96" s="57">
        <f t="shared" si="13"/>
        <v>876358.49</v>
      </c>
      <c r="P96" s="40"/>
      <c r="Q96" s="57">
        <f t="shared" ref="Q96:AB96" si="14">+Q90+Q70</f>
        <v>366160.13999999996</v>
      </c>
      <c r="R96" s="57">
        <f t="shared" si="14"/>
        <v>850164.34</v>
      </c>
      <c r="S96" s="57">
        <f t="shared" si="14"/>
        <v>491989.83999999997</v>
      </c>
      <c r="T96" s="57">
        <f t="shared" si="14"/>
        <v>344952.93000000005</v>
      </c>
      <c r="U96" s="57">
        <f t="shared" si="14"/>
        <v>368701.56000000006</v>
      </c>
      <c r="V96" s="57">
        <f t="shared" si="14"/>
        <v>276045.64</v>
      </c>
      <c r="W96" s="57">
        <f t="shared" si="14"/>
        <v>129536.74999999999</v>
      </c>
      <c r="X96" s="57">
        <f t="shared" si="14"/>
        <v>115929.73999999999</v>
      </c>
      <c r="Y96" s="57">
        <f t="shared" si="14"/>
        <v>16971.830000000002</v>
      </c>
      <c r="Z96" s="57">
        <f t="shared" si="14"/>
        <v>15350.37</v>
      </c>
      <c r="AA96" s="57">
        <f t="shared" si="14"/>
        <v>390.06</v>
      </c>
      <c r="AB96" s="57">
        <f t="shared" si="14"/>
        <v>365.36</v>
      </c>
    </row>
    <row r="97" spans="2:28" x14ac:dyDescent="0.45">
      <c r="B97" s="23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spans="2:28" x14ac:dyDescent="0.45">
      <c r="B98" s="32" t="s">
        <v>144</v>
      </c>
      <c r="C98" s="40"/>
      <c r="D98" s="54">
        <v>25311738.010000002</v>
      </c>
      <c r="E98" s="54">
        <v>25298085.390000001</v>
      </c>
      <c r="F98" s="54">
        <v>15563685.390000001</v>
      </c>
      <c r="G98" s="54">
        <v>15563685.390000001</v>
      </c>
      <c r="H98" s="54">
        <v>15563685.390000001</v>
      </c>
      <c r="I98" s="54">
        <v>12099771.25</v>
      </c>
      <c r="J98" s="54">
        <v>11725320.35</v>
      </c>
      <c r="K98" s="54">
        <v>11725320.35</v>
      </c>
      <c r="L98" s="54">
        <v>9725320.3499999996</v>
      </c>
      <c r="M98" s="54">
        <v>9725320.3499999996</v>
      </c>
      <c r="N98" s="54">
        <v>9725320.3499999996</v>
      </c>
      <c r="O98" s="54">
        <v>7725320.3499999996</v>
      </c>
      <c r="P98" s="40"/>
      <c r="Q98" s="54">
        <v>6725320.3499999996</v>
      </c>
      <c r="R98" s="54">
        <v>3125160.35</v>
      </c>
      <c r="S98" s="54">
        <v>3000000</v>
      </c>
      <c r="T98" s="54">
        <v>3000000</v>
      </c>
      <c r="U98" s="54">
        <v>3000000</v>
      </c>
      <c r="V98" s="54">
        <v>3000000</v>
      </c>
      <c r="W98" s="54">
        <v>3000000</v>
      </c>
      <c r="X98" s="54">
        <v>3000000</v>
      </c>
      <c r="Y98" s="54">
        <v>3000000</v>
      </c>
      <c r="Z98" s="54">
        <v>0</v>
      </c>
      <c r="AA98" s="54">
        <v>0</v>
      </c>
      <c r="AB98" s="54">
        <v>0</v>
      </c>
    </row>
    <row r="99" spans="2:28" x14ac:dyDescent="0.45">
      <c r="B99" s="23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</row>
    <row r="100" spans="2:28" x14ac:dyDescent="0.45">
      <c r="B100" s="32" t="s">
        <v>145</v>
      </c>
      <c r="C100" s="40"/>
      <c r="D100" s="54">
        <v>0</v>
      </c>
      <c r="E100" s="54">
        <v>0</v>
      </c>
      <c r="F100" s="54">
        <v>0</v>
      </c>
      <c r="G100" s="54">
        <v>0</v>
      </c>
      <c r="H100" s="54">
        <v>0</v>
      </c>
      <c r="I100" s="54">
        <v>0</v>
      </c>
      <c r="J100" s="54">
        <v>0</v>
      </c>
      <c r="K100" s="54">
        <v>0</v>
      </c>
      <c r="L100" s="54">
        <v>0</v>
      </c>
      <c r="M100" s="54">
        <v>0</v>
      </c>
      <c r="N100" s="54">
        <v>0</v>
      </c>
      <c r="O100" s="54">
        <v>0</v>
      </c>
      <c r="P100" s="40"/>
      <c r="Q100" s="54">
        <v>0</v>
      </c>
      <c r="R100" s="54">
        <v>0</v>
      </c>
      <c r="S100" s="54">
        <v>0</v>
      </c>
      <c r="T100" s="54">
        <v>0</v>
      </c>
      <c r="U100" s="54">
        <v>0</v>
      </c>
      <c r="V100" s="54">
        <v>0</v>
      </c>
      <c r="W100" s="54">
        <v>0</v>
      </c>
      <c r="X100" s="54">
        <v>0</v>
      </c>
      <c r="Y100" s="54">
        <v>0</v>
      </c>
      <c r="Z100" s="54">
        <v>0</v>
      </c>
      <c r="AA100" s="54">
        <v>0</v>
      </c>
      <c r="AB100" s="54">
        <v>0</v>
      </c>
    </row>
    <row r="101" spans="2:28" x14ac:dyDescent="0.45">
      <c r="B101" s="23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</row>
    <row r="102" spans="2:28" x14ac:dyDescent="0.45">
      <c r="B102" s="32" t="s">
        <v>146</v>
      </c>
      <c r="C102" s="40"/>
      <c r="D102" s="54">
        <v>33407</v>
      </c>
      <c r="E102" s="54">
        <v>0</v>
      </c>
      <c r="F102" s="54">
        <v>0</v>
      </c>
      <c r="G102" s="54">
        <v>0</v>
      </c>
      <c r="H102" s="54">
        <v>0</v>
      </c>
      <c r="I102" s="54">
        <v>0</v>
      </c>
      <c r="J102" s="54">
        <v>0</v>
      </c>
      <c r="K102" s="54">
        <v>0</v>
      </c>
      <c r="L102" s="54">
        <v>0</v>
      </c>
      <c r="M102" s="54">
        <v>0</v>
      </c>
      <c r="N102" s="54">
        <v>0</v>
      </c>
      <c r="O102" s="54">
        <v>0</v>
      </c>
      <c r="P102" s="40"/>
      <c r="Q102" s="54">
        <v>0</v>
      </c>
      <c r="R102" s="54">
        <v>0</v>
      </c>
      <c r="S102" s="54">
        <v>0</v>
      </c>
      <c r="T102" s="54">
        <v>0</v>
      </c>
      <c r="U102" s="54">
        <v>0</v>
      </c>
      <c r="V102" s="54">
        <v>0</v>
      </c>
      <c r="W102" s="54">
        <v>0</v>
      </c>
      <c r="X102" s="54">
        <v>0</v>
      </c>
      <c r="Y102" s="54">
        <v>0</v>
      </c>
      <c r="Z102" s="54">
        <v>0</v>
      </c>
      <c r="AA102" s="54">
        <v>0</v>
      </c>
      <c r="AB102" s="54">
        <v>0</v>
      </c>
    </row>
    <row r="103" spans="2:28" x14ac:dyDescent="0.45">
      <c r="B103" s="23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</row>
    <row r="104" spans="2:28" x14ac:dyDescent="0.45">
      <c r="B104" s="36" t="s">
        <v>147</v>
      </c>
      <c r="C104" s="40"/>
      <c r="D104" s="57">
        <f t="shared" ref="D104:O104" si="15">+D102+D98</f>
        <v>25345145.010000002</v>
      </c>
      <c r="E104" s="57">
        <f t="shared" si="15"/>
        <v>25298085.390000001</v>
      </c>
      <c r="F104" s="57">
        <f t="shared" si="15"/>
        <v>15563685.390000001</v>
      </c>
      <c r="G104" s="57">
        <f t="shared" si="15"/>
        <v>15563685.390000001</v>
      </c>
      <c r="H104" s="57">
        <f t="shared" si="15"/>
        <v>15563685.390000001</v>
      </c>
      <c r="I104" s="57">
        <f t="shared" si="15"/>
        <v>12099771.25</v>
      </c>
      <c r="J104" s="57">
        <f t="shared" si="15"/>
        <v>11725320.35</v>
      </c>
      <c r="K104" s="57">
        <f t="shared" si="15"/>
        <v>11725320.35</v>
      </c>
      <c r="L104" s="57">
        <f t="shared" si="15"/>
        <v>9725320.3499999996</v>
      </c>
      <c r="M104" s="57">
        <f t="shared" si="15"/>
        <v>9725320.3499999996</v>
      </c>
      <c r="N104" s="57">
        <f t="shared" si="15"/>
        <v>9725320.3499999996</v>
      </c>
      <c r="O104" s="57">
        <f t="shared" si="15"/>
        <v>7725320.3499999996</v>
      </c>
      <c r="P104" s="40"/>
      <c r="Q104" s="57">
        <f t="shared" ref="Q104:AB104" si="16">+Q102+Q98</f>
        <v>6725320.3499999996</v>
      </c>
      <c r="R104" s="57">
        <f t="shared" si="16"/>
        <v>3125160.35</v>
      </c>
      <c r="S104" s="57">
        <f t="shared" si="16"/>
        <v>3000000</v>
      </c>
      <c r="T104" s="57">
        <f t="shared" si="16"/>
        <v>3000000</v>
      </c>
      <c r="U104" s="57">
        <f t="shared" si="16"/>
        <v>3000000</v>
      </c>
      <c r="V104" s="57">
        <f t="shared" si="16"/>
        <v>3000000</v>
      </c>
      <c r="W104" s="57">
        <f t="shared" si="16"/>
        <v>3000000</v>
      </c>
      <c r="X104" s="57">
        <f t="shared" si="16"/>
        <v>3000000</v>
      </c>
      <c r="Y104" s="57">
        <f t="shared" si="16"/>
        <v>3000000</v>
      </c>
      <c r="Z104" s="57">
        <f t="shared" si="16"/>
        <v>0</v>
      </c>
      <c r="AA104" s="57">
        <f t="shared" si="16"/>
        <v>0</v>
      </c>
      <c r="AB104" s="57">
        <f t="shared" si="16"/>
        <v>0</v>
      </c>
    </row>
    <row r="105" spans="2:28" x14ac:dyDescent="0.45">
      <c r="B105" s="23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</row>
    <row r="106" spans="2:28" x14ac:dyDescent="0.45">
      <c r="B106" s="23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</row>
    <row r="107" spans="2:28" x14ac:dyDescent="0.45">
      <c r="B107" s="32" t="s">
        <v>148</v>
      </c>
      <c r="C107" s="40"/>
      <c r="D107" s="54">
        <v>24413562.98</v>
      </c>
      <c r="E107" s="54">
        <v>24413562.98</v>
      </c>
      <c r="F107" s="54">
        <v>9381562.9800000004</v>
      </c>
      <c r="G107" s="54">
        <v>8063624.8599999994</v>
      </c>
      <c r="H107" s="54">
        <v>8063624.8599999994</v>
      </c>
      <c r="I107" s="54">
        <v>7593950.0199999996</v>
      </c>
      <c r="J107" s="54">
        <v>3750000.02</v>
      </c>
      <c r="K107" s="54">
        <v>3750000.02</v>
      </c>
      <c r="L107" s="54">
        <v>3750000.02</v>
      </c>
      <c r="M107" s="54">
        <v>3656250.02</v>
      </c>
      <c r="N107" s="54">
        <v>3656250.02</v>
      </c>
      <c r="O107" s="54">
        <v>3562500.02</v>
      </c>
      <c r="P107" s="40"/>
      <c r="Q107" s="54">
        <v>3562500.02</v>
      </c>
      <c r="R107" s="54">
        <v>3262500.02</v>
      </c>
      <c r="S107" s="54">
        <v>1962500.04</v>
      </c>
      <c r="T107" s="54">
        <v>1962500.04</v>
      </c>
      <c r="U107" s="54">
        <v>1587500.04</v>
      </c>
      <c r="V107" s="54">
        <v>150000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</row>
    <row r="108" spans="2:28" x14ac:dyDescent="0.45">
      <c r="B108" s="23"/>
      <c r="C108" s="40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40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</row>
    <row r="109" spans="2:28" x14ac:dyDescent="0.45">
      <c r="B109" s="32" t="s">
        <v>149</v>
      </c>
      <c r="C109" s="40"/>
      <c r="D109" s="54">
        <v>25000</v>
      </c>
      <c r="E109" s="54">
        <v>25000</v>
      </c>
      <c r="F109" s="54">
        <v>25000</v>
      </c>
      <c r="G109" s="54">
        <v>25000</v>
      </c>
      <c r="H109" s="54">
        <v>25000</v>
      </c>
      <c r="I109" s="54">
        <v>25000</v>
      </c>
      <c r="J109" s="54">
        <v>25000</v>
      </c>
      <c r="K109" s="54">
        <v>25000</v>
      </c>
      <c r="L109" s="54">
        <v>25000</v>
      </c>
      <c r="M109" s="54">
        <v>25000</v>
      </c>
      <c r="N109" s="54">
        <v>25000</v>
      </c>
      <c r="O109" s="54">
        <v>25000</v>
      </c>
      <c r="P109" s="40"/>
      <c r="Q109" s="54">
        <v>25000</v>
      </c>
      <c r="R109" s="54">
        <v>3225000</v>
      </c>
      <c r="S109" s="54">
        <v>1925000</v>
      </c>
      <c r="T109" s="54">
        <v>1925000</v>
      </c>
      <c r="U109" s="54">
        <v>1550000</v>
      </c>
      <c r="V109" s="54">
        <v>150000</v>
      </c>
      <c r="W109" s="54">
        <v>0</v>
      </c>
      <c r="X109" s="54">
        <v>0</v>
      </c>
      <c r="Y109" s="54">
        <v>0</v>
      </c>
      <c r="Z109" s="54">
        <v>0</v>
      </c>
      <c r="AA109" s="54">
        <v>0</v>
      </c>
      <c r="AB109" s="54">
        <v>0</v>
      </c>
    </row>
    <row r="110" spans="2:28" x14ac:dyDescent="0.45">
      <c r="B110" s="23"/>
      <c r="C110" s="40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40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</row>
    <row r="111" spans="2:28" x14ac:dyDescent="0.45">
      <c r="B111" s="32" t="s">
        <v>150</v>
      </c>
      <c r="C111" s="40"/>
      <c r="D111" s="54">
        <v>7500</v>
      </c>
      <c r="E111" s="54">
        <v>7500</v>
      </c>
      <c r="F111" s="54">
        <v>7500</v>
      </c>
      <c r="G111" s="54">
        <v>7500</v>
      </c>
      <c r="H111" s="54">
        <v>7500</v>
      </c>
      <c r="I111" s="54">
        <v>7500</v>
      </c>
      <c r="J111" s="54">
        <v>7500</v>
      </c>
      <c r="K111" s="54">
        <v>7500</v>
      </c>
      <c r="L111" s="54">
        <v>7500</v>
      </c>
      <c r="M111" s="54">
        <v>7500</v>
      </c>
      <c r="N111" s="54">
        <v>7500</v>
      </c>
      <c r="O111" s="54">
        <v>7500</v>
      </c>
      <c r="P111" s="40"/>
      <c r="Q111" s="54">
        <v>7500</v>
      </c>
      <c r="R111" s="54">
        <v>0</v>
      </c>
      <c r="S111" s="54">
        <v>0</v>
      </c>
      <c r="T111" s="54">
        <v>0</v>
      </c>
      <c r="U111" s="54">
        <v>0</v>
      </c>
      <c r="V111" s="54">
        <v>0</v>
      </c>
      <c r="W111" s="54">
        <v>0</v>
      </c>
      <c r="X111" s="54">
        <v>0</v>
      </c>
      <c r="Y111" s="54">
        <v>0</v>
      </c>
      <c r="Z111" s="54">
        <v>0</v>
      </c>
      <c r="AA111" s="54">
        <v>0</v>
      </c>
      <c r="AB111" s="54">
        <v>0</v>
      </c>
    </row>
    <row r="112" spans="2:28" x14ac:dyDescent="0.45">
      <c r="B112" s="23"/>
      <c r="C112" s="40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40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2:28" x14ac:dyDescent="0.45">
      <c r="B113" s="32" t="s">
        <v>151</v>
      </c>
      <c r="C113" s="40"/>
      <c r="D113" s="54">
        <v>34401.800000000003</v>
      </c>
      <c r="E113" s="54">
        <v>629803.67000000004</v>
      </c>
      <c r="F113" s="54">
        <v>212217.48</v>
      </c>
      <c r="G113" s="54">
        <v>226231.1</v>
      </c>
      <c r="H113" s="54">
        <v>353676.84</v>
      </c>
      <c r="I113" s="54">
        <v>169166.25</v>
      </c>
      <c r="J113" s="54">
        <v>158266.04</v>
      </c>
      <c r="K113" s="54">
        <v>124494.19</v>
      </c>
      <c r="L113" s="54">
        <v>198538.62</v>
      </c>
      <c r="M113" s="54">
        <v>59342.42</v>
      </c>
      <c r="N113" s="54">
        <v>187114.67</v>
      </c>
      <c r="O113" s="54">
        <v>77826.19</v>
      </c>
      <c r="P113" s="40"/>
      <c r="Q113" s="54">
        <v>195097.18</v>
      </c>
      <c r="R113" s="54">
        <v>-104091.39</v>
      </c>
      <c r="S113" s="54">
        <v>-103346.53</v>
      </c>
      <c r="T113" s="54">
        <v>-60822.19</v>
      </c>
      <c r="U113" s="54">
        <v>-2056118.87</v>
      </c>
      <c r="V113" s="54">
        <v>-1494825.14</v>
      </c>
      <c r="W113" s="54">
        <v>-1107324.22</v>
      </c>
      <c r="X113" s="54">
        <v>-452161.16</v>
      </c>
      <c r="Y113" s="54">
        <v>-611554.54</v>
      </c>
      <c r="Z113" s="54">
        <v>-4439.58</v>
      </c>
      <c r="AA113" s="54">
        <v>-390.06</v>
      </c>
      <c r="AB113" s="54">
        <v>-365.36</v>
      </c>
    </row>
    <row r="114" spans="2:28" x14ac:dyDescent="0.45">
      <c r="B114" s="23"/>
      <c r="C114" s="40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40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</row>
    <row r="115" spans="2:28" x14ac:dyDescent="0.45">
      <c r="B115" s="32" t="s">
        <v>152</v>
      </c>
      <c r="C115" s="40"/>
      <c r="D115" s="54">
        <v>187597.18</v>
      </c>
      <c r="E115" s="54">
        <v>162597.18</v>
      </c>
      <c r="F115" s="54">
        <v>162597.18</v>
      </c>
      <c r="G115" s="54">
        <v>162597.18</v>
      </c>
      <c r="H115" s="54">
        <v>162597.18</v>
      </c>
      <c r="I115" s="54">
        <v>162597.18</v>
      </c>
      <c r="J115" s="54">
        <v>162597.18</v>
      </c>
      <c r="K115" s="54">
        <v>162597.18</v>
      </c>
      <c r="L115" s="54">
        <v>162597.18</v>
      </c>
      <c r="M115" s="54">
        <v>162597.18</v>
      </c>
      <c r="N115" s="54">
        <v>162597.18</v>
      </c>
      <c r="O115" s="54">
        <v>162597.18</v>
      </c>
      <c r="P115" s="40"/>
      <c r="Q115" s="54">
        <v>-32500</v>
      </c>
      <c r="R115" s="54">
        <v>0</v>
      </c>
      <c r="S115" s="54">
        <v>0</v>
      </c>
      <c r="T115" s="54">
        <v>0</v>
      </c>
      <c r="U115" s="54">
        <v>0</v>
      </c>
      <c r="V115" s="54">
        <v>0</v>
      </c>
      <c r="W115" s="54">
        <v>0</v>
      </c>
      <c r="X115" s="54">
        <v>0</v>
      </c>
      <c r="Y115" s="54">
        <v>0</v>
      </c>
      <c r="Z115" s="54">
        <v>0</v>
      </c>
      <c r="AA115" s="54">
        <v>0</v>
      </c>
      <c r="AB115" s="54">
        <v>0</v>
      </c>
    </row>
    <row r="116" spans="2:28" x14ac:dyDescent="0.45">
      <c r="B116" s="23"/>
      <c r="C116" s="40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40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</row>
    <row r="117" spans="2:28" x14ac:dyDescent="0.45">
      <c r="B117" s="36" t="s">
        <v>153</v>
      </c>
      <c r="C117" s="40"/>
      <c r="D117" s="57">
        <f t="shared" ref="D117:O117" si="17">+D107+D111+D113+D115+D109</f>
        <v>24668061.960000001</v>
      </c>
      <c r="E117" s="57">
        <f t="shared" si="17"/>
        <v>25238463.830000002</v>
      </c>
      <c r="F117" s="57">
        <f t="shared" si="17"/>
        <v>9788877.6400000006</v>
      </c>
      <c r="G117" s="57">
        <f t="shared" si="17"/>
        <v>8484953.1399999987</v>
      </c>
      <c r="H117" s="57">
        <f t="shared" si="17"/>
        <v>8612398.879999999</v>
      </c>
      <c r="I117" s="57">
        <f t="shared" si="17"/>
        <v>7958213.4499999993</v>
      </c>
      <c r="J117" s="57">
        <f t="shared" si="17"/>
        <v>4103363.24</v>
      </c>
      <c r="K117" s="57">
        <f t="shared" si="17"/>
        <v>4069591.39</v>
      </c>
      <c r="L117" s="57">
        <f t="shared" si="17"/>
        <v>4143635.8200000003</v>
      </c>
      <c r="M117" s="57">
        <f t="shared" si="17"/>
        <v>3910689.62</v>
      </c>
      <c r="N117" s="57">
        <f t="shared" si="17"/>
        <v>4038461.87</v>
      </c>
      <c r="O117" s="57">
        <f t="shared" si="17"/>
        <v>3835423.39</v>
      </c>
      <c r="P117" s="40"/>
      <c r="Q117" s="57">
        <f t="shared" ref="Q117:AB117" si="18">+Q107+Q111+Q113+Q115+Q109</f>
        <v>3757597.2</v>
      </c>
      <c r="R117" s="57">
        <f t="shared" si="18"/>
        <v>6383408.6299999999</v>
      </c>
      <c r="S117" s="57">
        <f t="shared" si="18"/>
        <v>3784153.51</v>
      </c>
      <c r="T117" s="57">
        <f t="shared" si="18"/>
        <v>3826677.85</v>
      </c>
      <c r="U117" s="57">
        <f t="shared" si="18"/>
        <v>1081381.17</v>
      </c>
      <c r="V117" s="57">
        <f t="shared" si="18"/>
        <v>-1194825.1399999999</v>
      </c>
      <c r="W117" s="57">
        <f t="shared" si="18"/>
        <v>-1107324.22</v>
      </c>
      <c r="X117" s="57">
        <f t="shared" si="18"/>
        <v>-452161.16</v>
      </c>
      <c r="Y117" s="57">
        <f t="shared" si="18"/>
        <v>-611554.54</v>
      </c>
      <c r="Z117" s="57">
        <f t="shared" si="18"/>
        <v>-4439.58</v>
      </c>
      <c r="AA117" s="57">
        <f t="shared" si="18"/>
        <v>-390.06</v>
      </c>
      <c r="AB117" s="57">
        <f t="shared" si="18"/>
        <v>-365.36</v>
      </c>
    </row>
    <row r="118" spans="2:28" x14ac:dyDescent="0.45">
      <c r="B118" s="23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</row>
    <row r="119" spans="2:28" x14ac:dyDescent="0.45">
      <c r="B119" s="23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 spans="2:28" x14ac:dyDescent="0.45">
      <c r="B120" s="36" t="s">
        <v>154</v>
      </c>
      <c r="C120" s="40"/>
      <c r="D120" s="57">
        <f t="shared" ref="D120:AB120" si="19">+D117+D96+D104</f>
        <v>54038031.200000003</v>
      </c>
      <c r="E120" s="57">
        <f t="shared" si="19"/>
        <v>55482093.270000003</v>
      </c>
      <c r="F120" s="57">
        <f t="shared" si="19"/>
        <v>28968457.190000001</v>
      </c>
      <c r="G120" s="57">
        <f t="shared" si="19"/>
        <v>27163243.829999998</v>
      </c>
      <c r="H120" s="57">
        <f t="shared" si="19"/>
        <v>28323716.52</v>
      </c>
      <c r="I120" s="57">
        <f t="shared" si="19"/>
        <v>23695634.91</v>
      </c>
      <c r="J120" s="57">
        <f t="shared" si="19"/>
        <v>17579257.100000001</v>
      </c>
      <c r="K120" s="57">
        <f t="shared" si="19"/>
        <v>18624555.859999999</v>
      </c>
      <c r="L120" s="57">
        <f t="shared" si="19"/>
        <v>15635759.65</v>
      </c>
      <c r="M120" s="57">
        <f t="shared" si="19"/>
        <v>15197771.17</v>
      </c>
      <c r="N120" s="57">
        <f t="shared" si="19"/>
        <v>16478393.649999999</v>
      </c>
      <c r="O120" s="57">
        <f t="shared" si="19"/>
        <v>12437102.23</v>
      </c>
      <c r="P120" s="40"/>
      <c r="Q120" s="57">
        <f t="shared" si="19"/>
        <v>10849077.689999999</v>
      </c>
      <c r="R120" s="57">
        <f t="shared" si="19"/>
        <v>10358733.32</v>
      </c>
      <c r="S120" s="57">
        <f t="shared" si="19"/>
        <v>7276143.3499999996</v>
      </c>
      <c r="T120" s="57">
        <f t="shared" si="19"/>
        <v>7171630.7800000003</v>
      </c>
      <c r="U120" s="57">
        <f t="shared" si="19"/>
        <v>4450082.7300000004</v>
      </c>
      <c r="V120" s="57">
        <f t="shared" si="19"/>
        <v>2081220.5</v>
      </c>
      <c r="W120" s="57">
        <f t="shared" si="19"/>
        <v>2022212.53</v>
      </c>
      <c r="X120" s="57">
        <f t="shared" si="19"/>
        <v>2663768.58</v>
      </c>
      <c r="Y120" s="57">
        <f t="shared" si="19"/>
        <v>2405417.29</v>
      </c>
      <c r="Z120" s="57">
        <f t="shared" si="19"/>
        <v>10910.79</v>
      </c>
      <c r="AA120" s="57">
        <f>+AA117+AA96+AA104</f>
        <v>0</v>
      </c>
      <c r="AB120" s="57">
        <f t="shared" si="19"/>
        <v>0</v>
      </c>
    </row>
    <row r="121" spans="2:28" x14ac:dyDescent="0.45">
      <c r="B121" s="24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40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</row>
    <row r="122" spans="2:28" x14ac:dyDescent="0.45">
      <c r="B122" s="41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 spans="2:28" x14ac:dyDescent="0.45"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 spans="2:28" x14ac:dyDescent="0.45"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 spans="2:28" x14ac:dyDescent="0.45"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 spans="2:28" x14ac:dyDescent="0.45"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 spans="2:28" x14ac:dyDescent="0.45"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 spans="2:28" x14ac:dyDescent="0.45"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 spans="4:28" x14ac:dyDescent="0.45"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 spans="4:28" x14ac:dyDescent="0.45"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 spans="4:28" x14ac:dyDescent="0.45"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 spans="4:28" x14ac:dyDescent="0.45"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 spans="4:28" x14ac:dyDescent="0.45"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 spans="4:28" x14ac:dyDescent="0.45"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 spans="4:28" x14ac:dyDescent="0.45"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 spans="4:28" x14ac:dyDescent="0.45"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 spans="4:28" x14ac:dyDescent="0.45"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</row>
    <row r="138" spans="4:28" x14ac:dyDescent="0.45"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</row>
    <row r="139" spans="4:28" x14ac:dyDescent="0.45"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</row>
    <row r="140" spans="4:28" x14ac:dyDescent="0.45"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</row>
    <row r="141" spans="4:28" x14ac:dyDescent="0.45"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 spans="4:28" x14ac:dyDescent="0.45"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 spans="4:28" x14ac:dyDescent="0.45"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 spans="4:28" x14ac:dyDescent="0.45"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 spans="4:28" x14ac:dyDescent="0.45"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 spans="4:28" x14ac:dyDescent="0.45"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 spans="4:28" x14ac:dyDescent="0.45"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 spans="4:28" x14ac:dyDescent="0.45"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 spans="4:28" x14ac:dyDescent="0.45"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 spans="4:28" x14ac:dyDescent="0.45"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 spans="4:28" x14ac:dyDescent="0.45"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 spans="4:28" x14ac:dyDescent="0.45"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 spans="4:28" x14ac:dyDescent="0.45"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 spans="4:28" x14ac:dyDescent="0.45"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 spans="4:28" x14ac:dyDescent="0.45"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 spans="4:28" x14ac:dyDescent="0.45"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 spans="4:28" x14ac:dyDescent="0.45"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 spans="4:28" x14ac:dyDescent="0.45"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 spans="4:28" x14ac:dyDescent="0.45"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 spans="4:28" x14ac:dyDescent="0.45"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</row>
    <row r="161" spans="4:28" x14ac:dyDescent="0.45"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</row>
    <row r="162" spans="4:28" x14ac:dyDescent="0.45"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</row>
    <row r="163" spans="4:28" x14ac:dyDescent="0.45"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</row>
    <row r="164" spans="4:28" x14ac:dyDescent="0.45"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</row>
    <row r="165" spans="4:28" x14ac:dyDescent="0.45"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</row>
    <row r="166" spans="4:28" x14ac:dyDescent="0.45"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</row>
    <row r="167" spans="4:28" x14ac:dyDescent="0.45"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</row>
    <row r="168" spans="4:28" x14ac:dyDescent="0.45"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</row>
    <row r="169" spans="4:28" x14ac:dyDescent="0.45"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</row>
    <row r="170" spans="4:28" x14ac:dyDescent="0.45"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</row>
    <row r="171" spans="4:28" x14ac:dyDescent="0.45"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</row>
    <row r="172" spans="4:28" x14ac:dyDescent="0.45"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</row>
    <row r="173" spans="4:28" x14ac:dyDescent="0.45"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</row>
    <row r="174" spans="4:28" x14ac:dyDescent="0.45"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</row>
    <row r="175" spans="4:28" x14ac:dyDescent="0.45"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</row>
  </sheetData>
  <pageMargins left="0.7" right="0.7" top="0.75" bottom="0.75" header="0.3" footer="0.3"/>
  <pageSetup orientation="portrait" r:id="rId1"/>
  <ignoredErrors>
    <ignoredError sqref="C10:AB30 C32:AB55 C57:AB93 C56:P56 C96:AB119 C120:Z120 AB120" unlockedFormula="1"/>
    <ignoredError sqref="C31:AB31" formulaRange="1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4BFB-1280-450A-AF92-0510625087ED}">
  <dimension ref="B4:AB90"/>
  <sheetViews>
    <sheetView showGridLines="0" zoomScale="80" zoomScaleNormal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.25" outlineLevelRow="1" x14ac:dyDescent="0.45"/>
  <cols>
    <col min="1" max="1" width="3.796875" customWidth="1"/>
    <col min="2" max="2" width="44.53125" bestFit="1" customWidth="1"/>
    <col min="3" max="3" width="4" customWidth="1"/>
    <col min="4" max="5" width="15.53125" bestFit="1" customWidth="1"/>
    <col min="6" max="7" width="14.46484375" bestFit="1" customWidth="1"/>
    <col min="8" max="10" width="15.19921875" bestFit="1" customWidth="1"/>
    <col min="11" max="13" width="14.46484375" bestFit="1" customWidth="1"/>
    <col min="14" max="14" width="15.19921875" bestFit="1" customWidth="1"/>
    <col min="15" max="15" width="14.46484375" bestFit="1" customWidth="1"/>
    <col min="16" max="16" width="3.46484375" customWidth="1"/>
    <col min="17" max="17" width="14.46484375" bestFit="1" customWidth="1"/>
    <col min="18" max="18" width="15.19921875" bestFit="1" customWidth="1"/>
    <col min="19" max="20" width="14.46484375" bestFit="1" customWidth="1"/>
    <col min="21" max="22" width="15.19921875" bestFit="1" customWidth="1"/>
    <col min="23" max="25" width="14.46484375" bestFit="1" customWidth="1"/>
    <col min="26" max="27" width="11.46484375" bestFit="1" customWidth="1"/>
    <col min="28" max="28" width="10.796875" bestFit="1" customWidth="1"/>
  </cols>
  <sheetData>
    <row r="4" spans="2:28" ht="14.65" thickBot="1" x14ac:dyDescent="0.5"/>
    <row r="5" spans="2:28" s="44" customFormat="1" ht="15.75" x14ac:dyDescent="0.5">
      <c r="B5" s="50" t="s">
        <v>155</v>
      </c>
      <c r="D5" s="51">
        <v>45290</v>
      </c>
      <c r="E5" s="51">
        <v>45260</v>
      </c>
      <c r="F5" s="51">
        <v>45230</v>
      </c>
      <c r="G5" s="51">
        <v>45199</v>
      </c>
      <c r="H5" s="51">
        <v>45169</v>
      </c>
      <c r="I5" s="51">
        <v>45138</v>
      </c>
      <c r="J5" s="51">
        <v>45107</v>
      </c>
      <c r="K5" s="51">
        <v>45077</v>
      </c>
      <c r="L5" s="51">
        <v>45046</v>
      </c>
      <c r="M5" s="51">
        <v>45016</v>
      </c>
      <c r="N5" s="51">
        <v>44985</v>
      </c>
      <c r="O5" s="51">
        <v>44957</v>
      </c>
      <c r="Q5" s="51">
        <v>44925</v>
      </c>
      <c r="R5" s="51">
        <v>44895</v>
      </c>
      <c r="S5" s="51">
        <v>44865</v>
      </c>
      <c r="T5" s="51">
        <v>44834</v>
      </c>
      <c r="U5" s="51">
        <v>44804</v>
      </c>
      <c r="V5" s="51">
        <v>44773</v>
      </c>
      <c r="W5" s="51">
        <v>44742</v>
      </c>
      <c r="X5" s="51">
        <v>44712</v>
      </c>
      <c r="Y5" s="51">
        <v>44681</v>
      </c>
      <c r="Z5" s="51">
        <v>44651</v>
      </c>
      <c r="AA5" s="51">
        <v>44620</v>
      </c>
      <c r="AB5" s="51">
        <v>44592</v>
      </c>
    </row>
    <row r="6" spans="2:28" s="44" customFormat="1" ht="15.75" x14ac:dyDescent="0.5">
      <c r="B6" s="49" t="s">
        <v>156</v>
      </c>
      <c r="C6" s="61"/>
      <c r="D6" s="60">
        <v>15482875.800000001</v>
      </c>
      <c r="E6" s="60">
        <v>4019166.06</v>
      </c>
      <c r="F6" s="60">
        <v>2559466.9300000002</v>
      </c>
      <c r="G6" s="60">
        <v>2599806.62</v>
      </c>
      <c r="H6" s="60">
        <v>4324448.08</v>
      </c>
      <c r="I6" s="60">
        <v>2209988.4300000002</v>
      </c>
      <c r="J6" s="60">
        <v>4067119.46</v>
      </c>
      <c r="K6" s="60">
        <v>2115338.46</v>
      </c>
      <c r="L6" s="60">
        <v>2867551.33</v>
      </c>
      <c r="M6" s="60">
        <v>1960170.41</v>
      </c>
      <c r="N6" s="60">
        <v>1849193.53</v>
      </c>
      <c r="O6" s="60">
        <v>1841669.75</v>
      </c>
      <c r="P6" s="61"/>
      <c r="Q6" s="60">
        <v>2210824.9</v>
      </c>
      <c r="R6" s="60">
        <v>653840.24</v>
      </c>
      <c r="S6" s="60">
        <v>1224068.1299999999</v>
      </c>
      <c r="T6" s="60">
        <v>1329236.6599999999</v>
      </c>
      <c r="U6" s="60">
        <v>836218.58</v>
      </c>
      <c r="V6" s="60">
        <v>1739626.06</v>
      </c>
      <c r="W6" s="60">
        <v>2492927.38</v>
      </c>
      <c r="X6" s="60">
        <v>2303439.25</v>
      </c>
      <c r="Y6" s="60">
        <v>0</v>
      </c>
      <c r="Z6" s="60">
        <v>0</v>
      </c>
      <c r="AA6" s="60">
        <v>0</v>
      </c>
      <c r="AB6" s="60">
        <v>0</v>
      </c>
    </row>
    <row r="7" spans="2:28" x14ac:dyDescent="0.45">
      <c r="B7" s="43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</row>
    <row r="8" spans="2:28" x14ac:dyDescent="0.45">
      <c r="B8" s="47" t="s">
        <v>157</v>
      </c>
      <c r="C8" s="63"/>
      <c r="D8" s="63" t="s">
        <v>158</v>
      </c>
      <c r="E8" s="63" t="s">
        <v>158</v>
      </c>
      <c r="F8" s="63" t="s">
        <v>158</v>
      </c>
      <c r="G8" s="63" t="s">
        <v>158</v>
      </c>
      <c r="H8" s="63" t="s">
        <v>158</v>
      </c>
      <c r="I8" s="63" t="s">
        <v>158</v>
      </c>
      <c r="J8" s="63" t="s">
        <v>158</v>
      </c>
      <c r="K8" s="63" t="s">
        <v>158</v>
      </c>
      <c r="L8" s="63" t="s">
        <v>158</v>
      </c>
      <c r="M8" s="63" t="s">
        <v>158</v>
      </c>
      <c r="N8" s="63" t="s">
        <v>158</v>
      </c>
      <c r="O8" s="63" t="s">
        <v>158</v>
      </c>
      <c r="P8" s="63"/>
      <c r="Q8" s="63" t="s">
        <v>158</v>
      </c>
      <c r="R8" s="63" t="s">
        <v>158</v>
      </c>
      <c r="S8" s="63" t="s">
        <v>158</v>
      </c>
      <c r="T8" s="63" t="s">
        <v>158</v>
      </c>
      <c r="U8" s="63" t="s">
        <v>158</v>
      </c>
      <c r="V8" s="63" t="s">
        <v>158</v>
      </c>
      <c r="W8" s="63" t="s">
        <v>158</v>
      </c>
      <c r="X8" s="63" t="s">
        <v>158</v>
      </c>
      <c r="Y8" s="63" t="s">
        <v>158</v>
      </c>
      <c r="Z8" s="63" t="s">
        <v>158</v>
      </c>
      <c r="AA8" s="63" t="s">
        <v>158</v>
      </c>
      <c r="AB8" s="63" t="s">
        <v>158</v>
      </c>
    </row>
    <row r="9" spans="2:28" hidden="1" outlineLevel="1" x14ac:dyDescent="0.45">
      <c r="B9" s="48" t="s">
        <v>126</v>
      </c>
      <c r="C9" s="65"/>
      <c r="D9" s="64">
        <v>-586796.5</v>
      </c>
      <c r="E9" s="64">
        <v>550285.1</v>
      </c>
      <c r="F9" s="64">
        <v>-6750.5</v>
      </c>
      <c r="G9" s="64">
        <v>31191.040000000001</v>
      </c>
      <c r="H9" s="64">
        <v>-283728.14</v>
      </c>
      <c r="I9" s="64">
        <v>-247921</v>
      </c>
      <c r="J9" s="64">
        <v>19233.09</v>
      </c>
      <c r="K9" s="64">
        <v>503995.47</v>
      </c>
      <c r="L9" s="64">
        <v>-20280.099999999999</v>
      </c>
      <c r="M9" s="64">
        <v>-32713.75</v>
      </c>
      <c r="N9" s="64">
        <v>73485.87</v>
      </c>
      <c r="O9" s="64">
        <v>-0.01</v>
      </c>
      <c r="P9" s="65"/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>
        <v>0</v>
      </c>
      <c r="AA9" s="64">
        <v>0</v>
      </c>
      <c r="AB9" s="64">
        <v>0</v>
      </c>
    </row>
    <row r="10" spans="2:28" hidden="1" outlineLevel="1" x14ac:dyDescent="0.45">
      <c r="B10" s="48" t="s">
        <v>159</v>
      </c>
      <c r="C10" s="65"/>
      <c r="D10" s="64">
        <v>-5610819.1100000003</v>
      </c>
      <c r="E10" s="64">
        <v>-3762099.83</v>
      </c>
      <c r="F10" s="64">
        <v>258598.63</v>
      </c>
      <c r="G10" s="64">
        <v>-235307.96</v>
      </c>
      <c r="H10" s="64">
        <v>-2164011.34</v>
      </c>
      <c r="I10" s="64">
        <v>-2895625.25</v>
      </c>
      <c r="J10" s="64">
        <v>-1808424.36</v>
      </c>
      <c r="K10" s="64">
        <v>-381396.32</v>
      </c>
      <c r="L10" s="64">
        <v>-797036.94</v>
      </c>
      <c r="M10" s="64">
        <v>1140287.4099999999</v>
      </c>
      <c r="N10" s="64">
        <v>-3232420.7</v>
      </c>
      <c r="O10" s="64">
        <v>-1367556.16</v>
      </c>
      <c r="P10" s="65"/>
      <c r="Q10" s="64">
        <v>-586233.42000000004</v>
      </c>
      <c r="R10" s="64">
        <v>27019.3</v>
      </c>
      <c r="S10" s="64">
        <v>-403125.34</v>
      </c>
      <c r="T10" s="64">
        <v>-3317099.94</v>
      </c>
      <c r="U10" s="64">
        <v>-85851.99</v>
      </c>
      <c r="V10" s="64">
        <v>-528475.14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</row>
    <row r="11" spans="2:28" hidden="1" outlineLevel="1" x14ac:dyDescent="0.45">
      <c r="B11" s="48" t="s">
        <v>127</v>
      </c>
      <c r="C11" s="65"/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5"/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0</v>
      </c>
    </row>
    <row r="12" spans="2:28" hidden="1" outlineLevel="1" x14ac:dyDescent="0.45">
      <c r="B12" s="48" t="s">
        <v>135</v>
      </c>
      <c r="C12" s="65"/>
      <c r="D12" s="64">
        <v>-90</v>
      </c>
      <c r="E12" s="64">
        <v>-10</v>
      </c>
      <c r="F12" s="64">
        <v>0</v>
      </c>
      <c r="G12" s="64">
        <v>-1266.07</v>
      </c>
      <c r="H12" s="64">
        <v>127.74</v>
      </c>
      <c r="I12" s="64">
        <v>52.26</v>
      </c>
      <c r="J12" s="64">
        <v>8037.59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5"/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</row>
    <row r="13" spans="2:28" hidden="1" outlineLevel="1" x14ac:dyDescent="0.45">
      <c r="B13" s="48" t="s">
        <v>160</v>
      </c>
      <c r="C13" s="65"/>
      <c r="D13" s="64">
        <v>6642.56</v>
      </c>
      <c r="E13" s="64">
        <v>106650.18</v>
      </c>
      <c r="F13" s="64">
        <v>-200.5</v>
      </c>
      <c r="G13" s="64">
        <v>0</v>
      </c>
      <c r="H13" s="64">
        <v>-5237</v>
      </c>
      <c r="I13" s="64">
        <v>5237.5</v>
      </c>
      <c r="J13" s="64">
        <v>-9671.77</v>
      </c>
      <c r="K13" s="64">
        <v>9634.27</v>
      </c>
      <c r="L13" s="64">
        <v>237.5</v>
      </c>
      <c r="M13" s="64">
        <v>-43000</v>
      </c>
      <c r="N13" s="64">
        <v>9000</v>
      </c>
      <c r="O13" s="64">
        <v>34000</v>
      </c>
      <c r="P13" s="65"/>
      <c r="Q13" s="64">
        <v>-7500</v>
      </c>
      <c r="R13" s="64">
        <v>7500</v>
      </c>
      <c r="S13" s="64">
        <v>-7500</v>
      </c>
      <c r="T13" s="64">
        <v>7500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0</v>
      </c>
    </row>
    <row r="14" spans="2:28" hidden="1" outlineLevel="1" x14ac:dyDescent="0.45">
      <c r="B14" s="48" t="s">
        <v>133</v>
      </c>
      <c r="C14" s="65"/>
      <c r="D14" s="64">
        <v>0</v>
      </c>
      <c r="E14" s="64">
        <v>-71487.62</v>
      </c>
      <c r="F14" s="64">
        <v>1001.34</v>
      </c>
      <c r="G14" s="64">
        <v>103177.7</v>
      </c>
      <c r="H14" s="64">
        <v>-31672.73</v>
      </c>
      <c r="I14" s="64">
        <v>28654.38</v>
      </c>
      <c r="J14" s="64">
        <v>-33886.129999999997</v>
      </c>
      <c r="K14" s="64">
        <v>8211.74</v>
      </c>
      <c r="L14" s="64">
        <v>2517.5700000000002</v>
      </c>
      <c r="M14" s="64">
        <v>102.6</v>
      </c>
      <c r="N14" s="64">
        <v>649.1</v>
      </c>
      <c r="O14" s="64">
        <v>27245.5</v>
      </c>
      <c r="P14" s="65"/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</row>
    <row r="15" spans="2:28" hidden="1" outlineLevel="1" x14ac:dyDescent="0.45">
      <c r="B15" s="48" t="s">
        <v>161</v>
      </c>
      <c r="C15" s="65"/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5"/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</row>
    <row r="16" spans="2:28" hidden="1" outlineLevel="1" x14ac:dyDescent="0.45">
      <c r="B16" s="48" t="s">
        <v>162</v>
      </c>
      <c r="C16" s="65"/>
      <c r="D16" s="64">
        <v>-20000</v>
      </c>
      <c r="E16" s="64">
        <v>-37158</v>
      </c>
      <c r="F16" s="64">
        <v>2500</v>
      </c>
      <c r="G16" s="64">
        <v>-2500</v>
      </c>
      <c r="H16" s="64">
        <v>3451.16</v>
      </c>
      <c r="I16" s="64">
        <v>-3885.63</v>
      </c>
      <c r="J16" s="64">
        <v>16</v>
      </c>
      <c r="K16" s="64">
        <v>0</v>
      </c>
      <c r="L16" s="64">
        <v>-16</v>
      </c>
      <c r="M16" s="64">
        <v>0</v>
      </c>
      <c r="N16" s="64">
        <v>0</v>
      </c>
      <c r="O16" s="64">
        <v>0</v>
      </c>
      <c r="P16" s="65"/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0</v>
      </c>
    </row>
    <row r="17" spans="2:28" hidden="1" outlineLevel="1" x14ac:dyDescent="0.45">
      <c r="B17" s="48" t="s">
        <v>95</v>
      </c>
      <c r="C17" s="65"/>
      <c r="D17" s="64">
        <v>529900</v>
      </c>
      <c r="E17" s="64">
        <v>-526910</v>
      </c>
      <c r="F17" s="64">
        <v>-2990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258750</v>
      </c>
      <c r="P17" s="65"/>
      <c r="Q17" s="64">
        <v>-258741.95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0</v>
      </c>
    </row>
    <row r="18" spans="2:28" hidden="1" outlineLevel="1" x14ac:dyDescent="0.45">
      <c r="B18" s="48" t="s">
        <v>163</v>
      </c>
      <c r="C18" s="65"/>
      <c r="D18" s="64">
        <v>699.98</v>
      </c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-27051.75</v>
      </c>
      <c r="O18" s="64">
        <v>0</v>
      </c>
      <c r="P18" s="65"/>
      <c r="Q18" s="64">
        <v>562.6</v>
      </c>
      <c r="R18" s="64">
        <v>20728.66</v>
      </c>
      <c r="S18" s="64">
        <v>-1679.16</v>
      </c>
      <c r="T18" s="64">
        <v>0</v>
      </c>
      <c r="U18" s="64">
        <v>-16065.47</v>
      </c>
      <c r="V18" s="64">
        <v>4429.5200000000004</v>
      </c>
      <c r="W18" s="64">
        <v>374.59</v>
      </c>
      <c r="X18" s="64">
        <v>1857.18</v>
      </c>
      <c r="Y18" s="64">
        <v>1409.96</v>
      </c>
      <c r="Z18" s="64">
        <v>14960.31</v>
      </c>
      <c r="AA18" s="64">
        <v>24.7</v>
      </c>
      <c r="AB18" s="64">
        <v>365.36</v>
      </c>
    </row>
    <row r="19" spans="2:28" hidden="1" outlineLevel="1" x14ac:dyDescent="0.45">
      <c r="B19" s="48" t="s">
        <v>164</v>
      </c>
      <c r="C19" s="65"/>
      <c r="D19" s="64">
        <v>33406.83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5"/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</row>
    <row r="20" spans="2:28" hidden="1" outlineLevel="1" x14ac:dyDescent="0.45">
      <c r="B20" s="48" t="s">
        <v>165</v>
      </c>
      <c r="C20" s="65"/>
      <c r="D20" s="64">
        <v>317117.64</v>
      </c>
      <c r="E20" s="64">
        <v>-137757.53</v>
      </c>
      <c r="F20" s="64">
        <v>0</v>
      </c>
      <c r="G20" s="64">
        <v>137757.53</v>
      </c>
      <c r="H20" s="64">
        <v>0</v>
      </c>
      <c r="I20" s="64">
        <v>-108220.64</v>
      </c>
      <c r="J20" s="64">
        <v>108220.67</v>
      </c>
      <c r="K20" s="64">
        <v>0</v>
      </c>
      <c r="L20" s="64">
        <v>-96677.72</v>
      </c>
      <c r="M20" s="64">
        <v>96677.72</v>
      </c>
      <c r="N20" s="64">
        <v>0</v>
      </c>
      <c r="O20" s="64">
        <v>-49751.5</v>
      </c>
      <c r="P20" s="65"/>
      <c r="Q20" s="64">
        <v>49751.53</v>
      </c>
      <c r="R20" s="64">
        <v>0</v>
      </c>
      <c r="S20" s="64">
        <v>-42498.45</v>
      </c>
      <c r="T20" s="64">
        <v>42498.46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2:28" hidden="1" outlineLevel="1" x14ac:dyDescent="0.45">
      <c r="B21" s="48" t="s">
        <v>166</v>
      </c>
      <c r="C21" s="65"/>
      <c r="D21" s="64">
        <v>1563017.11</v>
      </c>
      <c r="E21" s="64">
        <v>-950188.06</v>
      </c>
      <c r="F21" s="64">
        <v>-622404.11</v>
      </c>
      <c r="G21" s="64">
        <v>1354832.55</v>
      </c>
      <c r="H21" s="64">
        <v>-859250.09</v>
      </c>
      <c r="I21" s="64">
        <v>-506474.58</v>
      </c>
      <c r="J21" s="64">
        <v>983521.3</v>
      </c>
      <c r="K21" s="64">
        <v>-620526.97</v>
      </c>
      <c r="L21" s="64">
        <v>-367922.62</v>
      </c>
      <c r="M21" s="64">
        <v>1057792.24</v>
      </c>
      <c r="N21" s="64">
        <v>-595950.17000000004</v>
      </c>
      <c r="O21" s="64">
        <v>-467826.99</v>
      </c>
      <c r="P21" s="65"/>
      <c r="Q21" s="64">
        <v>476393</v>
      </c>
      <c r="R21" s="64">
        <v>-246054.02</v>
      </c>
      <c r="S21" s="64">
        <v>-230844.1</v>
      </c>
      <c r="T21" s="64">
        <v>642218.43999999994</v>
      </c>
      <c r="U21" s="64">
        <v>-191611.37</v>
      </c>
      <c r="V21" s="64">
        <v>-206802.14</v>
      </c>
      <c r="W21" s="64">
        <v>-96805.27</v>
      </c>
      <c r="X21" s="64">
        <v>-68863.16</v>
      </c>
      <c r="Y21" s="64">
        <v>-91067.25</v>
      </c>
      <c r="Z21" s="64">
        <v>0</v>
      </c>
      <c r="AA21" s="64">
        <v>0</v>
      </c>
      <c r="AB21" s="64">
        <v>0</v>
      </c>
    </row>
    <row r="22" spans="2:28" hidden="1" outlineLevel="1" x14ac:dyDescent="0.45">
      <c r="B22" s="48" t="s">
        <v>122</v>
      </c>
      <c r="C22" s="65"/>
      <c r="D22" s="64">
        <v>0</v>
      </c>
      <c r="E22" s="64">
        <v>0</v>
      </c>
      <c r="F22" s="64">
        <v>158987.5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5"/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</row>
    <row r="23" spans="2:28" hidden="1" outlineLevel="1" x14ac:dyDescent="0.45">
      <c r="B23" s="48" t="s">
        <v>167</v>
      </c>
      <c r="C23" s="65"/>
      <c r="D23" s="64">
        <v>-595401.87</v>
      </c>
      <c r="E23" s="64">
        <v>417586.19</v>
      </c>
      <c r="F23" s="64">
        <v>-14013.62</v>
      </c>
      <c r="G23" s="64">
        <v>-127445.74</v>
      </c>
      <c r="H23" s="64">
        <v>184510.59</v>
      </c>
      <c r="I23" s="64">
        <v>10900.21</v>
      </c>
      <c r="J23" s="64">
        <v>33771.85</v>
      </c>
      <c r="K23" s="64">
        <v>-74044.429999999993</v>
      </c>
      <c r="L23" s="64">
        <v>139196.20000000001</v>
      </c>
      <c r="M23" s="64">
        <v>-127772.25</v>
      </c>
      <c r="N23" s="64">
        <v>109288.48</v>
      </c>
      <c r="O23" s="64">
        <v>77826.19</v>
      </c>
      <c r="P23" s="65"/>
      <c r="Q23" s="64">
        <v>299188.57</v>
      </c>
      <c r="R23" s="64">
        <v>-744.86</v>
      </c>
      <c r="S23" s="64">
        <v>-42524.34</v>
      </c>
      <c r="T23" s="64">
        <v>1995296.68</v>
      </c>
      <c r="U23" s="64">
        <v>-561293.73</v>
      </c>
      <c r="V23" s="64">
        <v>-387500.92</v>
      </c>
      <c r="W23" s="64">
        <v>-655163.06000000006</v>
      </c>
      <c r="X23" s="64">
        <v>159393.38</v>
      </c>
      <c r="Y23" s="64">
        <v>-607114.96</v>
      </c>
      <c r="Z23" s="64">
        <v>-4049.52</v>
      </c>
      <c r="AA23" s="64">
        <v>-24.7</v>
      </c>
      <c r="AB23" s="64">
        <v>-365.36</v>
      </c>
    </row>
    <row r="24" spans="2:28" hidden="1" outlineLevel="1" x14ac:dyDescent="0.45">
      <c r="B24" s="48" t="s">
        <v>123</v>
      </c>
      <c r="C24" s="65"/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5"/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>
        <v>0</v>
      </c>
      <c r="AA24" s="64">
        <v>0</v>
      </c>
      <c r="AB24" s="64">
        <v>0</v>
      </c>
    </row>
    <row r="25" spans="2:28" hidden="1" outlineLevel="1" x14ac:dyDescent="0.45">
      <c r="B25" s="48" t="s">
        <v>168</v>
      </c>
      <c r="C25" s="65"/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-112999.2</v>
      </c>
      <c r="O25" s="64">
        <v>0</v>
      </c>
      <c r="P25" s="65"/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2:28" hidden="1" outlineLevel="1" x14ac:dyDescent="0.45">
      <c r="B26" s="48" t="s">
        <v>106</v>
      </c>
      <c r="C26" s="65"/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5"/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0</v>
      </c>
    </row>
    <row r="27" spans="2:28" hidden="1" outlineLevel="1" x14ac:dyDescent="0.45">
      <c r="B27" s="48" t="s">
        <v>134</v>
      </c>
      <c r="C27" s="65"/>
      <c r="D27" s="64">
        <v>-1644900.64</v>
      </c>
      <c r="E27" s="64">
        <v>981981.62</v>
      </c>
      <c r="F27" s="64">
        <v>670883.44999999995</v>
      </c>
      <c r="G27" s="64">
        <v>-1431767.77</v>
      </c>
      <c r="H27" s="64">
        <v>925318.76</v>
      </c>
      <c r="I27" s="64">
        <v>541974.76</v>
      </c>
      <c r="J27" s="64">
        <v>-1033508.41</v>
      </c>
      <c r="K27" s="64">
        <v>630915.35</v>
      </c>
      <c r="L27" s="64">
        <v>407581.84</v>
      </c>
      <c r="M27" s="64">
        <v>-1126967.73</v>
      </c>
      <c r="N27" s="64">
        <v>631972.36</v>
      </c>
      <c r="O27" s="64">
        <v>498704.36</v>
      </c>
      <c r="P27" s="65"/>
      <c r="Q27" s="64">
        <v>-504405.76000000001</v>
      </c>
      <c r="R27" s="64">
        <v>261136.32</v>
      </c>
      <c r="S27" s="64">
        <v>243828.61</v>
      </c>
      <c r="T27" s="64">
        <v>-338723.46</v>
      </c>
      <c r="U27" s="64">
        <v>108721.39</v>
      </c>
      <c r="V27" s="64">
        <v>142079.37</v>
      </c>
      <c r="W27" s="64">
        <v>3541.22</v>
      </c>
      <c r="X27" s="64">
        <v>97100.73</v>
      </c>
      <c r="Y27" s="64">
        <v>211.5</v>
      </c>
      <c r="Z27" s="64">
        <v>0</v>
      </c>
      <c r="AA27" s="64">
        <v>0</v>
      </c>
      <c r="AB27" s="64">
        <v>0</v>
      </c>
    </row>
    <row r="28" spans="2:28" hidden="1" outlineLevel="1" x14ac:dyDescent="0.45">
      <c r="B28" s="48" t="s">
        <v>169</v>
      </c>
      <c r="C28" s="65"/>
      <c r="D28" s="64">
        <v>16692.84</v>
      </c>
      <c r="E28" s="64">
        <v>-2088.06</v>
      </c>
      <c r="F28" s="64">
        <v>17171.8</v>
      </c>
      <c r="G28" s="64">
        <v>1249.8</v>
      </c>
      <c r="H28" s="64">
        <v>-49561.7</v>
      </c>
      <c r="I28" s="64">
        <v>-25412.67</v>
      </c>
      <c r="J28" s="64">
        <v>10055.36</v>
      </c>
      <c r="K28" s="64">
        <v>9692.16</v>
      </c>
      <c r="L28" s="64">
        <v>-23133.84</v>
      </c>
      <c r="M28" s="64">
        <v>8973.33</v>
      </c>
      <c r="N28" s="64">
        <v>9882.56</v>
      </c>
      <c r="O28" s="64">
        <v>-2541.44</v>
      </c>
      <c r="P28" s="65"/>
      <c r="Q28" s="64">
        <v>10085.76</v>
      </c>
      <c r="R28" s="64">
        <v>10085.76</v>
      </c>
      <c r="S28" s="64">
        <v>10085.76</v>
      </c>
      <c r="T28" s="64">
        <v>227398.26</v>
      </c>
      <c r="U28" s="64">
        <v>-198380.75</v>
      </c>
      <c r="V28" s="64">
        <v>-77138.17</v>
      </c>
      <c r="W28" s="64">
        <v>-13440</v>
      </c>
      <c r="X28" s="64">
        <v>0</v>
      </c>
      <c r="Y28" s="64">
        <v>0</v>
      </c>
      <c r="Z28" s="64">
        <v>-10910.79</v>
      </c>
      <c r="AA28" s="64">
        <v>0</v>
      </c>
      <c r="AB28" s="64">
        <v>0</v>
      </c>
    </row>
    <row r="29" spans="2:28" hidden="1" outlineLevel="1" x14ac:dyDescent="0.45">
      <c r="B29" s="48" t="s">
        <v>96</v>
      </c>
      <c r="C29" s="65"/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5"/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</row>
    <row r="30" spans="2:28" hidden="1" outlineLevel="1" x14ac:dyDescent="0.45">
      <c r="B30" s="48" t="s">
        <v>97</v>
      </c>
      <c r="C30" s="65"/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5"/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0</v>
      </c>
    </row>
    <row r="31" spans="2:28" hidden="1" outlineLevel="1" x14ac:dyDescent="0.45">
      <c r="B31" s="48" t="s">
        <v>98</v>
      </c>
      <c r="C31" s="65"/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5"/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  <c r="Z31" s="64">
        <v>0</v>
      </c>
      <c r="AA31" s="64">
        <v>0</v>
      </c>
      <c r="AB31" s="64">
        <v>0</v>
      </c>
    </row>
    <row r="32" spans="2:28" hidden="1" outlineLevel="1" x14ac:dyDescent="0.45">
      <c r="B32" s="48" t="s">
        <v>99</v>
      </c>
      <c r="C32" s="65"/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5"/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</row>
    <row r="33" spans="2:28" hidden="1" outlineLevel="1" x14ac:dyDescent="0.45">
      <c r="B33" s="48" t="s">
        <v>100</v>
      </c>
      <c r="C33" s="65"/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5"/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</row>
    <row r="34" spans="2:28" hidden="1" outlineLevel="1" x14ac:dyDescent="0.45">
      <c r="B34" s="48" t="s">
        <v>101</v>
      </c>
      <c r="C34" s="65"/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5"/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>
        <v>0</v>
      </c>
      <c r="AA34" s="64">
        <v>0</v>
      </c>
      <c r="AB34" s="64">
        <v>0</v>
      </c>
    </row>
    <row r="35" spans="2:28" hidden="1" outlineLevel="1" x14ac:dyDescent="0.45">
      <c r="B35" s="48" t="s">
        <v>137</v>
      </c>
      <c r="C35" s="65"/>
      <c r="D35" s="64">
        <v>203000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5"/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</row>
    <row r="36" spans="2:28" hidden="1" outlineLevel="1" x14ac:dyDescent="0.45">
      <c r="B36" s="48" t="s">
        <v>170</v>
      </c>
      <c r="C36" s="65"/>
      <c r="D36" s="64">
        <v>39481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-17141.48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5"/>
      <c r="Q36" s="64">
        <v>17141.48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</row>
    <row r="37" spans="2:28" hidden="1" outlineLevel="1" x14ac:dyDescent="0.45">
      <c r="B37" s="48" t="s">
        <v>103</v>
      </c>
      <c r="C37" s="65"/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5"/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-1500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</row>
    <row r="38" spans="2:28" hidden="1" outlineLevel="1" x14ac:dyDescent="0.45">
      <c r="B38" s="48" t="s">
        <v>124</v>
      </c>
      <c r="C38" s="65"/>
      <c r="D38" s="64">
        <v>0</v>
      </c>
      <c r="E38" s="64">
        <v>0</v>
      </c>
      <c r="F38" s="64">
        <v>-0.21</v>
      </c>
      <c r="G38" s="64">
        <v>18.68</v>
      </c>
      <c r="H38" s="64">
        <v>0</v>
      </c>
      <c r="I38" s="64">
        <v>0</v>
      </c>
      <c r="J38" s="64">
        <v>0</v>
      </c>
      <c r="K38" s="64">
        <v>0.26</v>
      </c>
      <c r="L38" s="64">
        <v>0.09</v>
      </c>
      <c r="M38" s="64">
        <v>0</v>
      </c>
      <c r="N38" s="64">
        <v>0</v>
      </c>
      <c r="O38" s="64">
        <v>0</v>
      </c>
      <c r="P38" s="65"/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>
        <v>0</v>
      </c>
      <c r="AA38" s="64">
        <v>0</v>
      </c>
      <c r="AB38" s="64">
        <v>0</v>
      </c>
    </row>
    <row r="39" spans="2:28" s="44" customFormat="1" ht="15.75" collapsed="1" x14ac:dyDescent="0.5">
      <c r="B39" s="49" t="s">
        <v>171</v>
      </c>
      <c r="C39" s="61"/>
      <c r="D39" s="60">
        <f t="shared" ref="D39:O39" si="0">SUM(D9:D38)</f>
        <v>-5748050.1600000001</v>
      </c>
      <c r="E39" s="60">
        <f t="shared" si="0"/>
        <v>-3431196.0099999993</v>
      </c>
      <c r="F39" s="60">
        <f t="shared" si="0"/>
        <v>462783.77999999991</v>
      </c>
      <c r="G39" s="60">
        <f t="shared" si="0"/>
        <v>-170060.24</v>
      </c>
      <c r="H39" s="60">
        <f t="shared" si="0"/>
        <v>-2280052.75</v>
      </c>
      <c r="I39" s="60">
        <f t="shared" si="0"/>
        <v>-3200720.66</v>
      </c>
      <c r="J39" s="60">
        <f t="shared" si="0"/>
        <v>-1739776.2899999998</v>
      </c>
      <c r="K39" s="60">
        <f t="shared" si="0"/>
        <v>86481.529999999984</v>
      </c>
      <c r="L39" s="60">
        <f t="shared" si="0"/>
        <v>-755534.02</v>
      </c>
      <c r="M39" s="60">
        <f t="shared" si="0"/>
        <v>973379.56999999972</v>
      </c>
      <c r="N39" s="60">
        <f t="shared" si="0"/>
        <v>-3134143.45</v>
      </c>
      <c r="O39" s="60">
        <f t="shared" si="0"/>
        <v>-991150.04999999993</v>
      </c>
      <c r="P39" s="61"/>
      <c r="Q39" s="60">
        <f t="shared" ref="Q39:AB39" si="1">SUM(Q9:Q38)</f>
        <v>-503758.19000000018</v>
      </c>
      <c r="R39" s="60">
        <f t="shared" si="1"/>
        <v>79671.160000000018</v>
      </c>
      <c r="S39" s="60">
        <f t="shared" si="1"/>
        <v>-474257.02</v>
      </c>
      <c r="T39" s="60">
        <f t="shared" si="1"/>
        <v>-740911.56</v>
      </c>
      <c r="U39" s="60">
        <f t="shared" si="1"/>
        <v>-944481.92</v>
      </c>
      <c r="V39" s="60">
        <f t="shared" si="1"/>
        <v>-1053407.48</v>
      </c>
      <c r="W39" s="60">
        <f t="shared" si="1"/>
        <v>-762992.52000000014</v>
      </c>
      <c r="X39" s="60">
        <f t="shared" si="1"/>
        <v>189488.13</v>
      </c>
      <c r="Y39" s="60">
        <f t="shared" si="1"/>
        <v>-696560.75</v>
      </c>
      <c r="Z39" s="60">
        <f t="shared" si="1"/>
        <v>-1.8189894035458565E-12</v>
      </c>
      <c r="AA39" s="60">
        <f t="shared" si="1"/>
        <v>0</v>
      </c>
      <c r="AB39" s="60">
        <f t="shared" si="1"/>
        <v>0</v>
      </c>
    </row>
    <row r="40" spans="2:28" x14ac:dyDescent="0.45">
      <c r="B40" s="43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</row>
    <row r="41" spans="2:28" s="44" customFormat="1" ht="15.75" x14ac:dyDescent="0.5">
      <c r="B41" s="52" t="s">
        <v>172</v>
      </c>
      <c r="C41" s="66"/>
      <c r="D41" s="66" t="s">
        <v>158</v>
      </c>
      <c r="E41" s="66" t="s">
        <v>158</v>
      </c>
      <c r="F41" s="66" t="s">
        <v>158</v>
      </c>
      <c r="G41" s="66" t="s">
        <v>158</v>
      </c>
      <c r="H41" s="66" t="s">
        <v>158</v>
      </c>
      <c r="I41" s="66" t="s">
        <v>158</v>
      </c>
      <c r="J41" s="66" t="s">
        <v>158</v>
      </c>
      <c r="K41" s="66" t="s">
        <v>158</v>
      </c>
      <c r="L41" s="66" t="s">
        <v>158</v>
      </c>
      <c r="M41" s="66" t="s">
        <v>158</v>
      </c>
      <c r="N41" s="66" t="s">
        <v>158</v>
      </c>
      <c r="O41" s="66" t="s">
        <v>158</v>
      </c>
      <c r="P41" s="66"/>
      <c r="Q41" s="66" t="s">
        <v>158</v>
      </c>
      <c r="R41" s="66" t="s">
        <v>158</v>
      </c>
      <c r="S41" s="66" t="s">
        <v>158</v>
      </c>
      <c r="T41" s="66" t="s">
        <v>158</v>
      </c>
      <c r="U41" s="66" t="s">
        <v>158</v>
      </c>
      <c r="V41" s="66" t="s">
        <v>158</v>
      </c>
      <c r="W41" s="66" t="s">
        <v>158</v>
      </c>
      <c r="X41" s="66" t="s">
        <v>158</v>
      </c>
      <c r="Y41" s="66" t="s">
        <v>158</v>
      </c>
      <c r="Z41" s="66" t="s">
        <v>158</v>
      </c>
      <c r="AA41" s="66" t="s">
        <v>158</v>
      </c>
      <c r="AB41" s="66" t="s">
        <v>158</v>
      </c>
    </row>
    <row r="42" spans="2:28" hidden="1" outlineLevel="1" x14ac:dyDescent="0.45">
      <c r="B42" s="48" t="s">
        <v>109</v>
      </c>
      <c r="C42" s="65"/>
      <c r="D42" s="64">
        <v>1235.6300000000001</v>
      </c>
      <c r="E42" s="64">
        <v>1235.6300000000001</v>
      </c>
      <c r="F42" s="64">
        <v>1091.18</v>
      </c>
      <c r="G42" s="64">
        <v>1091.18</v>
      </c>
      <c r="H42" s="64">
        <v>1049.51</v>
      </c>
      <c r="I42" s="64">
        <v>972.22</v>
      </c>
      <c r="J42" s="64">
        <v>972.22</v>
      </c>
      <c r="K42" s="64">
        <v>972.22</v>
      </c>
      <c r="L42" s="64">
        <v>0</v>
      </c>
      <c r="M42" s="64">
        <v>0</v>
      </c>
      <c r="N42" s="64">
        <v>0</v>
      </c>
      <c r="O42" s="64">
        <v>0</v>
      </c>
      <c r="P42" s="65"/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</row>
    <row r="43" spans="2:28" hidden="1" outlineLevel="1" x14ac:dyDescent="0.45">
      <c r="B43" s="48" t="s">
        <v>110</v>
      </c>
      <c r="C43" s="65"/>
      <c r="D43" s="64">
        <v>875.36</v>
      </c>
      <c r="E43" s="64">
        <v>875.36</v>
      </c>
      <c r="F43" s="64">
        <v>875.36</v>
      </c>
      <c r="G43" s="64">
        <v>875.36</v>
      </c>
      <c r="H43" s="64">
        <v>875.36</v>
      </c>
      <c r="I43" s="64">
        <v>875.36</v>
      </c>
      <c r="J43" s="64">
        <v>875.36</v>
      </c>
      <c r="K43" s="64">
        <v>875.36</v>
      </c>
      <c r="L43" s="64">
        <v>875.36</v>
      </c>
      <c r="M43" s="64">
        <v>875.36</v>
      </c>
      <c r="N43" s="64">
        <v>875.36</v>
      </c>
      <c r="O43" s="64">
        <v>875.36</v>
      </c>
      <c r="P43" s="65"/>
      <c r="Q43" s="64">
        <v>875.36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0</v>
      </c>
    </row>
    <row r="44" spans="2:28" hidden="1" outlineLevel="1" x14ac:dyDescent="0.45">
      <c r="B44" s="48" t="s">
        <v>111</v>
      </c>
      <c r="C44" s="65"/>
      <c r="D44" s="64">
        <v>3643.89</v>
      </c>
      <c r="E44" s="64">
        <v>3596.82</v>
      </c>
      <c r="F44" s="64">
        <v>3596.82</v>
      </c>
      <c r="G44" s="64">
        <v>3432.07</v>
      </c>
      <c r="H44" s="64">
        <v>3347.07</v>
      </c>
      <c r="I44" s="64">
        <v>3331.53</v>
      </c>
      <c r="J44" s="64">
        <v>2947.51</v>
      </c>
      <c r="K44" s="64">
        <v>2872.69</v>
      </c>
      <c r="L44" s="64">
        <v>2268.34</v>
      </c>
      <c r="M44" s="64">
        <v>2050.19</v>
      </c>
      <c r="N44" s="64">
        <v>1101.08</v>
      </c>
      <c r="O44" s="64">
        <v>1101.08</v>
      </c>
      <c r="P44" s="65"/>
      <c r="Q44" s="64">
        <v>963.47</v>
      </c>
      <c r="R44" s="64">
        <v>963.47</v>
      </c>
      <c r="S44" s="64">
        <v>229.31</v>
      </c>
      <c r="T44" s="64">
        <v>184.06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</row>
    <row r="45" spans="2:28" hidden="1" outlineLevel="1" x14ac:dyDescent="0.45">
      <c r="B45" s="48" t="s">
        <v>173</v>
      </c>
      <c r="C45" s="65"/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5"/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>
        <v>0</v>
      </c>
      <c r="AA45" s="64">
        <v>0</v>
      </c>
      <c r="AB45" s="64">
        <v>0</v>
      </c>
    </row>
    <row r="46" spans="2:28" hidden="1" outlineLevel="1" x14ac:dyDescent="0.45">
      <c r="B46" s="48" t="s">
        <v>174</v>
      </c>
      <c r="C46" s="65"/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5"/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</row>
    <row r="47" spans="2:28" hidden="1" outlineLevel="1" x14ac:dyDescent="0.45">
      <c r="B47" s="48" t="s">
        <v>113</v>
      </c>
      <c r="C47" s="65"/>
      <c r="D47" s="64">
        <v>0</v>
      </c>
      <c r="E47" s="64">
        <v>-5200</v>
      </c>
      <c r="F47" s="64">
        <v>0</v>
      </c>
      <c r="G47" s="64">
        <v>-1500</v>
      </c>
      <c r="H47" s="64">
        <v>0</v>
      </c>
      <c r="I47" s="64">
        <v>-2782.61</v>
      </c>
      <c r="J47" s="64">
        <v>0</v>
      </c>
      <c r="K47" s="64">
        <v>-35000</v>
      </c>
      <c r="L47" s="64">
        <v>0</v>
      </c>
      <c r="M47" s="64">
        <v>0</v>
      </c>
      <c r="N47" s="64">
        <v>0</v>
      </c>
      <c r="O47" s="64">
        <v>0</v>
      </c>
      <c r="P47" s="65"/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</row>
    <row r="48" spans="2:28" hidden="1" outlineLevel="1" x14ac:dyDescent="0.45">
      <c r="B48" s="48" t="s">
        <v>114</v>
      </c>
      <c r="C48" s="65"/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5"/>
      <c r="Q48" s="64">
        <v>-52521.74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0</v>
      </c>
    </row>
    <row r="49" spans="2:28" hidden="1" outlineLevel="1" x14ac:dyDescent="0.45">
      <c r="B49" s="48" t="s">
        <v>115</v>
      </c>
      <c r="C49" s="65"/>
      <c r="D49" s="64">
        <v>0</v>
      </c>
      <c r="E49" s="64">
        <v>-1129.56</v>
      </c>
      <c r="F49" s="64">
        <v>-3953.91</v>
      </c>
      <c r="G49" s="64">
        <v>-2040</v>
      </c>
      <c r="H49" s="64">
        <v>-373.04</v>
      </c>
      <c r="I49" s="64">
        <v>-9216.5300000000007</v>
      </c>
      <c r="J49" s="64">
        <v>-1795.66</v>
      </c>
      <c r="K49" s="64">
        <v>-14504.35</v>
      </c>
      <c r="L49" s="64">
        <v>-5235.6499999999996</v>
      </c>
      <c r="M49" s="64">
        <v>-21975.13</v>
      </c>
      <c r="N49" s="64">
        <v>-803.47</v>
      </c>
      <c r="O49" s="64">
        <v>-3302.61</v>
      </c>
      <c r="P49" s="65"/>
      <c r="Q49" s="64">
        <v>0</v>
      </c>
      <c r="R49" s="64">
        <v>-17619.84</v>
      </c>
      <c r="S49" s="64">
        <v>-1086.0899999999999</v>
      </c>
      <c r="T49" s="64">
        <v>-4417.3999999999996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</row>
    <row r="50" spans="2:28" hidden="1" outlineLevel="1" x14ac:dyDescent="0.45">
      <c r="B50" s="48" t="s">
        <v>175</v>
      </c>
      <c r="C50" s="65"/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5"/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>
        <v>0</v>
      </c>
      <c r="AA50" s="64">
        <v>0</v>
      </c>
      <c r="AB50" s="64">
        <v>0</v>
      </c>
    </row>
    <row r="51" spans="2:28" hidden="1" outlineLevel="1" x14ac:dyDescent="0.45">
      <c r="B51" s="48" t="s">
        <v>176</v>
      </c>
      <c r="C51" s="65"/>
      <c r="D51" s="64">
        <v>0</v>
      </c>
      <c r="E51" s="64">
        <v>-9770867.6400000006</v>
      </c>
      <c r="F51" s="64">
        <v>0</v>
      </c>
      <c r="G51" s="64">
        <v>0</v>
      </c>
      <c r="H51" s="64">
        <v>-3288250</v>
      </c>
      <c r="I51" s="64">
        <v>-563700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5"/>
      <c r="Q51" s="64">
        <v>-450320</v>
      </c>
      <c r="R51" s="64">
        <v>-1299999.98</v>
      </c>
      <c r="S51" s="64">
        <v>-50000</v>
      </c>
      <c r="T51" s="64">
        <v>-375000</v>
      </c>
      <c r="U51" s="64">
        <v>-1400000.04</v>
      </c>
      <c r="V51" s="64">
        <v>-150000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0</v>
      </c>
    </row>
    <row r="52" spans="2:28" s="44" customFormat="1" ht="15.75" collapsed="1" x14ac:dyDescent="0.5">
      <c r="B52" s="49" t="s">
        <v>177</v>
      </c>
      <c r="C52" s="61"/>
      <c r="D52" s="60">
        <f t="shared" ref="D52:AB52" si="2">SUM(D42:D51)</f>
        <v>5754.88</v>
      </c>
      <c r="E52" s="60">
        <f t="shared" si="2"/>
        <v>-9771489.3900000006</v>
      </c>
      <c r="F52" s="60">
        <f t="shared" si="2"/>
        <v>1609.4500000000007</v>
      </c>
      <c r="G52" s="60">
        <f t="shared" si="2"/>
        <v>1858.6100000000006</v>
      </c>
      <c r="H52" s="60">
        <f t="shared" si="2"/>
        <v>-3283351.1</v>
      </c>
      <c r="I52" s="60">
        <f t="shared" si="2"/>
        <v>-570520.03</v>
      </c>
      <c r="J52" s="60">
        <f t="shared" si="2"/>
        <v>2999.4300000000003</v>
      </c>
      <c r="K52" s="60">
        <f t="shared" si="2"/>
        <v>-44784.08</v>
      </c>
      <c r="L52" s="60">
        <f t="shared" si="2"/>
        <v>-2091.9499999999994</v>
      </c>
      <c r="M52" s="60">
        <f t="shared" si="2"/>
        <v>-19049.580000000002</v>
      </c>
      <c r="N52" s="60">
        <f t="shared" si="2"/>
        <v>1172.97</v>
      </c>
      <c r="O52" s="60">
        <f t="shared" si="2"/>
        <v>-1326.17</v>
      </c>
      <c r="P52" s="61"/>
      <c r="Q52" s="60">
        <f t="shared" si="2"/>
        <v>-501002.91</v>
      </c>
      <c r="R52" s="60">
        <f t="shared" si="2"/>
        <v>-1316656.3500000001</v>
      </c>
      <c r="S52" s="60">
        <f t="shared" si="2"/>
        <v>-50856.78</v>
      </c>
      <c r="T52" s="60">
        <f t="shared" si="2"/>
        <v>-379233.34</v>
      </c>
      <c r="U52" s="60">
        <f t="shared" si="2"/>
        <v>-1400000.04</v>
      </c>
      <c r="V52" s="60">
        <f t="shared" si="2"/>
        <v>-150000</v>
      </c>
      <c r="W52" s="60">
        <f t="shared" si="2"/>
        <v>0</v>
      </c>
      <c r="X52" s="60">
        <f t="shared" si="2"/>
        <v>0</v>
      </c>
      <c r="Y52" s="60">
        <f t="shared" si="2"/>
        <v>0</v>
      </c>
      <c r="Z52" s="60">
        <f t="shared" si="2"/>
        <v>0</v>
      </c>
      <c r="AA52" s="60">
        <f t="shared" si="2"/>
        <v>0</v>
      </c>
      <c r="AB52" s="60">
        <f t="shared" si="2"/>
        <v>0</v>
      </c>
    </row>
    <row r="53" spans="2:28" x14ac:dyDescent="0.45">
      <c r="B53" s="43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</row>
    <row r="54" spans="2:28" s="45" customFormat="1" ht="15.75" x14ac:dyDescent="0.5">
      <c r="B54" s="52" t="s">
        <v>178</v>
      </c>
      <c r="C54" s="66"/>
      <c r="D54" s="66" t="s">
        <v>158</v>
      </c>
      <c r="E54" s="66" t="s">
        <v>158</v>
      </c>
      <c r="F54" s="66" t="s">
        <v>158</v>
      </c>
      <c r="G54" s="66" t="s">
        <v>158</v>
      </c>
      <c r="H54" s="66" t="s">
        <v>158</v>
      </c>
      <c r="I54" s="66" t="s">
        <v>158</v>
      </c>
      <c r="J54" s="66" t="s">
        <v>158</v>
      </c>
      <c r="K54" s="66" t="s">
        <v>158</v>
      </c>
      <c r="L54" s="66" t="s">
        <v>158</v>
      </c>
      <c r="M54" s="66" t="s">
        <v>158</v>
      </c>
      <c r="N54" s="66" t="s">
        <v>158</v>
      </c>
      <c r="O54" s="66" t="s">
        <v>158</v>
      </c>
      <c r="P54" s="66"/>
      <c r="Q54" s="66" t="s">
        <v>158</v>
      </c>
      <c r="R54" s="66" t="s">
        <v>158</v>
      </c>
      <c r="S54" s="66" t="s">
        <v>158</v>
      </c>
      <c r="T54" s="66" t="s">
        <v>158</v>
      </c>
      <c r="U54" s="66" t="s">
        <v>158</v>
      </c>
      <c r="V54" s="66" t="s">
        <v>158</v>
      </c>
      <c r="W54" s="66" t="s">
        <v>158</v>
      </c>
      <c r="X54" s="66" t="s">
        <v>158</v>
      </c>
      <c r="Y54" s="66" t="s">
        <v>158</v>
      </c>
      <c r="Z54" s="66" t="s">
        <v>158</v>
      </c>
      <c r="AA54" s="66" t="s">
        <v>158</v>
      </c>
      <c r="AB54" s="66" t="s">
        <v>158</v>
      </c>
    </row>
    <row r="55" spans="2:28" hidden="1" outlineLevel="1" x14ac:dyDescent="0.45">
      <c r="B55" s="48" t="s">
        <v>179</v>
      </c>
      <c r="C55" s="65"/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5"/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0</v>
      </c>
    </row>
    <row r="56" spans="2:28" hidden="1" outlineLevel="1" x14ac:dyDescent="0.45">
      <c r="B56" s="48" t="s">
        <v>180</v>
      </c>
      <c r="C56" s="65"/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5"/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</row>
    <row r="57" spans="2:28" hidden="1" outlineLevel="1" x14ac:dyDescent="0.45">
      <c r="B57" s="48" t="s">
        <v>181</v>
      </c>
      <c r="C57" s="65"/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5"/>
      <c r="Q57" s="64">
        <v>-3200000</v>
      </c>
      <c r="R57" s="64">
        <v>1300000</v>
      </c>
      <c r="S57" s="64">
        <v>0</v>
      </c>
      <c r="T57" s="64">
        <v>375000</v>
      </c>
      <c r="U57" s="64">
        <v>1400000</v>
      </c>
      <c r="V57" s="64">
        <v>150000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</row>
    <row r="58" spans="2:28" hidden="1" outlineLevel="1" x14ac:dyDescent="0.45">
      <c r="B58" s="48" t="s">
        <v>182</v>
      </c>
      <c r="C58" s="65"/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5"/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</row>
    <row r="59" spans="2:28" hidden="1" outlineLevel="1" x14ac:dyDescent="0.45">
      <c r="B59" s="48" t="s">
        <v>183</v>
      </c>
      <c r="C59" s="65"/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5"/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</row>
    <row r="60" spans="2:28" hidden="1" outlineLevel="1" x14ac:dyDescent="0.45">
      <c r="B60" s="48" t="s">
        <v>129</v>
      </c>
      <c r="C60" s="65"/>
      <c r="D60" s="64">
        <v>845912.19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-298653.03999999998</v>
      </c>
      <c r="K60" s="64">
        <v>0</v>
      </c>
      <c r="L60" s="64">
        <v>0</v>
      </c>
      <c r="M60" s="64">
        <v>185239.71</v>
      </c>
      <c r="N60" s="64">
        <v>-145403.68</v>
      </c>
      <c r="O60" s="64">
        <v>0</v>
      </c>
      <c r="P60" s="65"/>
      <c r="Q60" s="64">
        <v>-39554.050000000003</v>
      </c>
      <c r="R60" s="64">
        <v>68809.52</v>
      </c>
      <c r="S60" s="64">
        <v>68141.440000000002</v>
      </c>
      <c r="T60" s="64">
        <v>161412.04</v>
      </c>
      <c r="U60" s="64">
        <v>0</v>
      </c>
      <c r="V60" s="64">
        <v>0</v>
      </c>
      <c r="W60" s="64">
        <v>9691.2000000000007</v>
      </c>
      <c r="X60" s="64">
        <v>-9691.2000000000007</v>
      </c>
      <c r="Y60" s="64">
        <v>0</v>
      </c>
      <c r="Z60" s="64">
        <v>0</v>
      </c>
      <c r="AA60" s="64">
        <v>0</v>
      </c>
      <c r="AB60" s="64">
        <v>0</v>
      </c>
    </row>
    <row r="61" spans="2:28" hidden="1" outlineLevel="1" x14ac:dyDescent="0.45">
      <c r="B61" s="48" t="s">
        <v>136</v>
      </c>
      <c r="C61" s="65"/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5"/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</row>
    <row r="62" spans="2:28" hidden="1" outlineLevel="1" x14ac:dyDescent="0.45">
      <c r="B62" s="48" t="s">
        <v>184</v>
      </c>
      <c r="C62" s="65"/>
      <c r="D62" s="64">
        <v>0</v>
      </c>
      <c r="E62" s="64">
        <v>0</v>
      </c>
      <c r="F62" s="64">
        <v>-88032.19</v>
      </c>
      <c r="G62" s="64">
        <v>88032.19</v>
      </c>
      <c r="H62" s="64">
        <v>0</v>
      </c>
      <c r="I62" s="64">
        <v>-128038.34</v>
      </c>
      <c r="J62" s="64">
        <v>128038.34</v>
      </c>
      <c r="K62" s="64">
        <v>0</v>
      </c>
      <c r="L62" s="64">
        <v>0</v>
      </c>
      <c r="M62" s="64">
        <v>-145403.68</v>
      </c>
      <c r="N62" s="64">
        <v>145403.68</v>
      </c>
      <c r="O62" s="64">
        <v>0</v>
      </c>
      <c r="P62" s="65"/>
      <c r="Q62" s="64">
        <v>0</v>
      </c>
      <c r="R62" s="64">
        <v>0</v>
      </c>
      <c r="S62" s="64">
        <v>-113255.53</v>
      </c>
      <c r="T62" s="64">
        <v>103564.33</v>
      </c>
      <c r="U62" s="64">
        <v>0</v>
      </c>
      <c r="V62" s="64">
        <v>0</v>
      </c>
      <c r="W62" s="64">
        <v>0</v>
      </c>
      <c r="X62" s="64">
        <v>9691.2000000000007</v>
      </c>
      <c r="Y62" s="64">
        <v>0</v>
      </c>
      <c r="Z62" s="64">
        <v>0</v>
      </c>
      <c r="AA62" s="64">
        <v>0</v>
      </c>
      <c r="AB62" s="64">
        <v>0</v>
      </c>
    </row>
    <row r="63" spans="2:28" hidden="1" outlineLevel="1" x14ac:dyDescent="0.45">
      <c r="B63" s="48" t="s">
        <v>185</v>
      </c>
      <c r="C63" s="65"/>
      <c r="D63" s="64">
        <v>0</v>
      </c>
      <c r="E63" s="64">
        <v>0</v>
      </c>
      <c r="F63" s="64">
        <v>-82298.05</v>
      </c>
      <c r="G63" s="64">
        <v>82298.05</v>
      </c>
      <c r="H63" s="64">
        <v>0</v>
      </c>
      <c r="I63" s="64">
        <v>-119698.32</v>
      </c>
      <c r="J63" s="64">
        <v>119698.32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5"/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</row>
    <row r="64" spans="2:28" hidden="1" outlineLevel="1" x14ac:dyDescent="0.45">
      <c r="B64" s="48" t="s">
        <v>186</v>
      </c>
      <c r="C64" s="65"/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5"/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</row>
    <row r="65" spans="2:28" hidden="1" outlineLevel="1" x14ac:dyDescent="0.45">
      <c r="B65" s="48" t="s">
        <v>187</v>
      </c>
      <c r="C65" s="65"/>
      <c r="D65" s="64">
        <v>0</v>
      </c>
      <c r="E65" s="64">
        <v>0</v>
      </c>
      <c r="F65" s="64">
        <v>-54053.88</v>
      </c>
      <c r="G65" s="64">
        <v>54053.88</v>
      </c>
      <c r="H65" s="64">
        <v>0</v>
      </c>
      <c r="I65" s="64">
        <v>-22086.45</v>
      </c>
      <c r="J65" s="64">
        <v>22086.45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5"/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0</v>
      </c>
    </row>
    <row r="66" spans="2:28" hidden="1" outlineLevel="1" x14ac:dyDescent="0.45">
      <c r="B66" s="48" t="s">
        <v>188</v>
      </c>
      <c r="C66" s="65"/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5"/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3000000</v>
      </c>
      <c r="Z66" s="64">
        <v>0</v>
      </c>
      <c r="AA66" s="64">
        <v>0</v>
      </c>
      <c r="AB66" s="64">
        <v>0</v>
      </c>
    </row>
    <row r="67" spans="2:28" hidden="1" outlineLevel="1" x14ac:dyDescent="0.45">
      <c r="B67" s="48" t="s">
        <v>189</v>
      </c>
      <c r="C67" s="65"/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2000000</v>
      </c>
      <c r="O67" s="64">
        <v>1000000</v>
      </c>
      <c r="P67" s="65"/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</row>
    <row r="68" spans="2:28" hidden="1" outlineLevel="1" x14ac:dyDescent="0.45">
      <c r="B68" s="48" t="s">
        <v>190</v>
      </c>
      <c r="C68" s="65"/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2000000</v>
      </c>
      <c r="L68" s="64">
        <v>0</v>
      </c>
      <c r="M68" s="64">
        <v>0</v>
      </c>
      <c r="N68" s="64">
        <v>0</v>
      </c>
      <c r="O68" s="64">
        <v>0</v>
      </c>
      <c r="P68" s="65"/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0</v>
      </c>
    </row>
    <row r="69" spans="2:28" hidden="1" outlineLevel="1" x14ac:dyDescent="0.45">
      <c r="B69" s="48" t="s">
        <v>142</v>
      </c>
      <c r="C69" s="65"/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5"/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0</v>
      </c>
    </row>
    <row r="70" spans="2:28" hidden="1" outlineLevel="1" x14ac:dyDescent="0.45">
      <c r="B70" s="48" t="s">
        <v>191</v>
      </c>
      <c r="C70" s="65"/>
      <c r="D70" s="64">
        <v>-100004.87</v>
      </c>
      <c r="E70" s="64">
        <v>-98248.09</v>
      </c>
      <c r="F70" s="64">
        <v>-96522.18</v>
      </c>
      <c r="G70" s="64">
        <v>-94826.59</v>
      </c>
      <c r="H70" s="64">
        <v>-93160.78</v>
      </c>
      <c r="I70" s="64">
        <v>-91524.24</v>
      </c>
      <c r="J70" s="64">
        <v>-89916.45</v>
      </c>
      <c r="K70" s="64">
        <v>-88336.9</v>
      </c>
      <c r="L70" s="64">
        <v>-86785.09</v>
      </c>
      <c r="M70" s="64">
        <v>-85260.55</v>
      </c>
      <c r="N70" s="64">
        <v>1129992</v>
      </c>
      <c r="O70" s="64">
        <v>0</v>
      </c>
      <c r="P70" s="65"/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</row>
    <row r="71" spans="2:28" hidden="1" outlineLevel="1" x14ac:dyDescent="0.45">
      <c r="B71" s="48" t="s">
        <v>192</v>
      </c>
      <c r="C71" s="65"/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2000000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5"/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</row>
    <row r="72" spans="2:28" hidden="1" outlineLevel="1" x14ac:dyDescent="0.45">
      <c r="B72" s="48" t="s">
        <v>138</v>
      </c>
      <c r="C72" s="65"/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5"/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</row>
    <row r="73" spans="2:28" hidden="1" outlineLevel="1" x14ac:dyDescent="0.45">
      <c r="B73" s="48" t="s">
        <v>193</v>
      </c>
      <c r="C73" s="65"/>
      <c r="D73" s="64">
        <v>13652.62</v>
      </c>
      <c r="E73" s="64">
        <v>9734400</v>
      </c>
      <c r="F73" s="64">
        <v>0</v>
      </c>
      <c r="G73" s="64">
        <v>0</v>
      </c>
      <c r="H73" s="64">
        <v>3463914.14</v>
      </c>
      <c r="I73" s="64">
        <v>374450.9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5"/>
      <c r="Q73" s="64">
        <v>3600160</v>
      </c>
      <c r="R73" s="64">
        <v>125160.35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</row>
    <row r="74" spans="2:28" hidden="1" outlineLevel="1" x14ac:dyDescent="0.45">
      <c r="B74" s="48" t="s">
        <v>194</v>
      </c>
      <c r="C74" s="65"/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5"/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</row>
    <row r="75" spans="2:28" hidden="1" outlineLevel="1" x14ac:dyDescent="0.45">
      <c r="B75" s="48" t="s">
        <v>140</v>
      </c>
      <c r="C75" s="65"/>
      <c r="D75" s="64">
        <v>-1788.18</v>
      </c>
      <c r="E75" s="64">
        <v>-1756.77</v>
      </c>
      <c r="F75" s="64">
        <v>-1725.92</v>
      </c>
      <c r="G75" s="64">
        <v>-1695.59</v>
      </c>
      <c r="H75" s="64">
        <v>-1665.81</v>
      </c>
      <c r="I75" s="64">
        <v>28646.79</v>
      </c>
      <c r="J75" s="64">
        <v>-1607.79</v>
      </c>
      <c r="K75" s="64">
        <v>-1579.55</v>
      </c>
      <c r="L75" s="64">
        <v>-1551.81</v>
      </c>
      <c r="M75" s="64">
        <v>-1524.55</v>
      </c>
      <c r="N75" s="64">
        <v>20205.36</v>
      </c>
      <c r="O75" s="64">
        <v>0</v>
      </c>
      <c r="P75" s="65"/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0</v>
      </c>
    </row>
    <row r="76" spans="2:28" hidden="1" outlineLevel="1" x14ac:dyDescent="0.45">
      <c r="B76" s="48" t="s">
        <v>195</v>
      </c>
      <c r="C76" s="65"/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5"/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</row>
    <row r="77" spans="2:28" hidden="1" outlineLevel="1" x14ac:dyDescent="0.45">
      <c r="B77" s="48" t="s">
        <v>196</v>
      </c>
      <c r="C77" s="65"/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5"/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>
        <v>0</v>
      </c>
      <c r="AA77" s="64">
        <v>0</v>
      </c>
      <c r="AB77" s="64">
        <v>0</v>
      </c>
    </row>
    <row r="78" spans="2:28" hidden="1" outlineLevel="1" x14ac:dyDescent="0.45">
      <c r="B78" s="48" t="s">
        <v>197</v>
      </c>
      <c r="C78" s="65"/>
      <c r="D78" s="64">
        <v>25000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5"/>
      <c r="Q78" s="64">
        <v>-32500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</row>
    <row r="79" spans="2:28" hidden="1" outlineLevel="1" x14ac:dyDescent="0.45">
      <c r="B79" s="48" t="s">
        <v>198</v>
      </c>
      <c r="C79" s="65"/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5"/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</row>
    <row r="80" spans="2:28" hidden="1" outlineLevel="1" x14ac:dyDescent="0.45">
      <c r="B80" s="48" t="s">
        <v>199</v>
      </c>
      <c r="C80" s="65"/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5"/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0</v>
      </c>
    </row>
    <row r="81" spans="2:28" hidden="1" outlineLevel="1" x14ac:dyDescent="0.45">
      <c r="B81" s="48" t="s">
        <v>200</v>
      </c>
      <c r="C81" s="65"/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93750</v>
      </c>
      <c r="M81" s="64">
        <v>0</v>
      </c>
      <c r="N81" s="64">
        <v>93750</v>
      </c>
      <c r="O81" s="64">
        <v>0</v>
      </c>
      <c r="P81" s="65"/>
      <c r="Q81" s="64">
        <v>300000</v>
      </c>
      <c r="R81" s="64">
        <v>1299999.98</v>
      </c>
      <c r="S81" s="64">
        <v>0</v>
      </c>
      <c r="T81" s="64">
        <v>375000</v>
      </c>
      <c r="U81" s="64">
        <v>1437500.04</v>
      </c>
      <c r="V81" s="64">
        <v>150000</v>
      </c>
      <c r="W81" s="64">
        <v>0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</row>
    <row r="82" spans="2:28" hidden="1" outlineLevel="1" x14ac:dyDescent="0.45">
      <c r="B82" s="48" t="s">
        <v>201</v>
      </c>
      <c r="C82" s="65"/>
      <c r="D82" s="64">
        <v>0</v>
      </c>
      <c r="E82" s="64">
        <v>15032000</v>
      </c>
      <c r="F82" s="64">
        <v>1317938.1200000001</v>
      </c>
      <c r="G82" s="64">
        <v>0</v>
      </c>
      <c r="H82" s="64">
        <v>469674.84</v>
      </c>
      <c r="I82" s="64">
        <v>3843950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5"/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>
        <v>0</v>
      </c>
      <c r="AA82" s="64">
        <v>0</v>
      </c>
      <c r="AB82" s="64">
        <v>0</v>
      </c>
    </row>
    <row r="83" spans="2:28" hidden="1" outlineLevel="1" x14ac:dyDescent="0.45">
      <c r="B83" s="48" t="s">
        <v>202</v>
      </c>
      <c r="C83" s="65"/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5"/>
      <c r="Q83" s="64">
        <v>7500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>
        <v>0</v>
      </c>
      <c r="AA83" s="64">
        <v>0</v>
      </c>
      <c r="AB83" s="64">
        <v>0</v>
      </c>
    </row>
    <row r="84" spans="2:28" s="44" customFormat="1" ht="15.75" collapsed="1" x14ac:dyDescent="0.5">
      <c r="B84" s="49" t="s">
        <v>203</v>
      </c>
      <c r="C84" s="61"/>
      <c r="D84" s="60">
        <f t="shared" ref="D84:AB84" si="3">SUM(D55:D83)</f>
        <v>782771.75999999989</v>
      </c>
      <c r="E84" s="60">
        <f t="shared" si="3"/>
        <v>24666395.140000001</v>
      </c>
      <c r="F84" s="60">
        <f t="shared" si="3"/>
        <v>995305.90000000014</v>
      </c>
      <c r="G84" s="60">
        <f t="shared" si="3"/>
        <v>127861.94</v>
      </c>
      <c r="H84" s="60">
        <f t="shared" si="3"/>
        <v>3838762.39</v>
      </c>
      <c r="I84" s="60">
        <f t="shared" si="3"/>
        <v>5885700.3399999999</v>
      </c>
      <c r="J84" s="60">
        <f t="shared" si="3"/>
        <v>-120354.16999999997</v>
      </c>
      <c r="K84" s="60">
        <f t="shared" si="3"/>
        <v>1910083.55</v>
      </c>
      <c r="L84" s="60">
        <f t="shared" si="3"/>
        <v>5413.1000000000058</v>
      </c>
      <c r="M84" s="60">
        <f t="shared" si="3"/>
        <v>-46949.070000000007</v>
      </c>
      <c r="N84" s="60">
        <f t="shared" si="3"/>
        <v>3243947.36</v>
      </c>
      <c r="O84" s="60">
        <f t="shared" si="3"/>
        <v>1000000</v>
      </c>
      <c r="P84" s="61"/>
      <c r="Q84" s="60">
        <f t="shared" si="3"/>
        <v>635605.95000000019</v>
      </c>
      <c r="R84" s="60">
        <f t="shared" si="3"/>
        <v>2793969.85</v>
      </c>
      <c r="S84" s="60">
        <f t="shared" si="3"/>
        <v>-45114.09</v>
      </c>
      <c r="T84" s="60">
        <f t="shared" si="3"/>
        <v>1014976.37</v>
      </c>
      <c r="U84" s="60">
        <f t="shared" si="3"/>
        <v>2837500.04</v>
      </c>
      <c r="V84" s="60">
        <f t="shared" si="3"/>
        <v>300000</v>
      </c>
      <c r="W84" s="60">
        <f t="shared" si="3"/>
        <v>9691.2000000000007</v>
      </c>
      <c r="X84" s="60">
        <f t="shared" si="3"/>
        <v>0</v>
      </c>
      <c r="Y84" s="60">
        <f t="shared" si="3"/>
        <v>3000000</v>
      </c>
      <c r="Z84" s="60">
        <f t="shared" si="3"/>
        <v>0</v>
      </c>
      <c r="AA84" s="60">
        <f t="shared" si="3"/>
        <v>0</v>
      </c>
      <c r="AB84" s="60">
        <f t="shared" si="3"/>
        <v>0</v>
      </c>
    </row>
    <row r="85" spans="2:28" x14ac:dyDescent="0.45">
      <c r="B85" s="43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</row>
    <row r="86" spans="2:28" s="44" customFormat="1" ht="15.75" x14ac:dyDescent="0.5">
      <c r="B86" s="49" t="s">
        <v>204</v>
      </c>
      <c r="C86" s="61"/>
      <c r="D86" s="60">
        <f t="shared" ref="D86:AB86" si="4">+D39+D52+D84</f>
        <v>-4959523.5200000005</v>
      </c>
      <c r="E86" s="60">
        <f t="shared" si="4"/>
        <v>11463709.74</v>
      </c>
      <c r="F86" s="60">
        <f t="shared" si="4"/>
        <v>1459699.1300000001</v>
      </c>
      <c r="G86" s="60">
        <f t="shared" si="4"/>
        <v>-40339.69</v>
      </c>
      <c r="H86" s="60">
        <f t="shared" si="4"/>
        <v>-1724641.4599999995</v>
      </c>
      <c r="I86" s="60">
        <f t="shared" si="4"/>
        <v>2114459.6499999994</v>
      </c>
      <c r="J86" s="60">
        <f t="shared" si="4"/>
        <v>-1857131.0299999998</v>
      </c>
      <c r="K86" s="60">
        <f t="shared" si="4"/>
        <v>1951781</v>
      </c>
      <c r="L86" s="60">
        <f t="shared" si="4"/>
        <v>-752212.87</v>
      </c>
      <c r="M86" s="60">
        <f t="shared" si="4"/>
        <v>907380.91999999969</v>
      </c>
      <c r="N86" s="60">
        <f t="shared" si="4"/>
        <v>110976.87999999989</v>
      </c>
      <c r="O86" s="60">
        <f t="shared" si="4"/>
        <v>7523.7800000000279</v>
      </c>
      <c r="P86" s="61"/>
      <c r="Q86" s="60">
        <f t="shared" si="4"/>
        <v>-369155.14999999991</v>
      </c>
      <c r="R86" s="60">
        <f t="shared" si="4"/>
        <v>1556984.66</v>
      </c>
      <c r="S86" s="60">
        <f t="shared" si="4"/>
        <v>-570227.89</v>
      </c>
      <c r="T86" s="60">
        <f t="shared" si="4"/>
        <v>-105168.53000000014</v>
      </c>
      <c r="U86" s="60">
        <f t="shared" si="4"/>
        <v>493018.08000000007</v>
      </c>
      <c r="V86" s="60">
        <f t="shared" si="4"/>
        <v>-903407.48</v>
      </c>
      <c r="W86" s="60">
        <f t="shared" si="4"/>
        <v>-753301.32000000018</v>
      </c>
      <c r="X86" s="60">
        <f t="shared" si="4"/>
        <v>189488.13</v>
      </c>
      <c r="Y86" s="60">
        <f t="shared" si="4"/>
        <v>2303439.25</v>
      </c>
      <c r="Z86" s="60">
        <f t="shared" si="4"/>
        <v>-1.8189894035458565E-12</v>
      </c>
      <c r="AA86" s="60">
        <f t="shared" si="4"/>
        <v>0</v>
      </c>
      <c r="AB86" s="60">
        <f t="shared" si="4"/>
        <v>0</v>
      </c>
    </row>
    <row r="87" spans="2:28" s="44" customFormat="1" ht="15.75" x14ac:dyDescent="0.5">
      <c r="B87" s="46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</row>
    <row r="88" spans="2:28" s="44" customFormat="1" ht="15.75" x14ac:dyDescent="0.5">
      <c r="B88" s="49" t="s">
        <v>205</v>
      </c>
      <c r="C88" s="61"/>
      <c r="D88" s="68">
        <f t="shared" ref="D88:O88" si="5">+D6+D39+D52+D84</f>
        <v>10523352.280000001</v>
      </c>
      <c r="E88" s="69">
        <f t="shared" si="5"/>
        <v>15482875.800000001</v>
      </c>
      <c r="F88" s="69">
        <f t="shared" si="5"/>
        <v>4019166.0600000005</v>
      </c>
      <c r="G88" s="69">
        <f t="shared" si="5"/>
        <v>2559466.9299999997</v>
      </c>
      <c r="H88" s="69">
        <f t="shared" si="5"/>
        <v>2599806.62</v>
      </c>
      <c r="I88" s="69">
        <f t="shared" si="5"/>
        <v>4324448.08</v>
      </c>
      <c r="J88" s="69">
        <f t="shared" si="5"/>
        <v>2209988.4300000002</v>
      </c>
      <c r="K88" s="69">
        <f t="shared" si="5"/>
        <v>4067119.46</v>
      </c>
      <c r="L88" s="69">
        <f t="shared" si="5"/>
        <v>2115338.46</v>
      </c>
      <c r="M88" s="69">
        <f t="shared" si="5"/>
        <v>2867551.3299999996</v>
      </c>
      <c r="N88" s="69">
        <f t="shared" si="5"/>
        <v>1960170.4099999997</v>
      </c>
      <c r="O88" s="70">
        <f t="shared" si="5"/>
        <v>1849193.53</v>
      </c>
      <c r="P88" s="61"/>
      <c r="Q88" s="60">
        <f t="shared" ref="Q88:AB88" si="6">+Q6+Q39+Q52+Q84</f>
        <v>1841669.75</v>
      </c>
      <c r="R88" s="60">
        <f t="shared" si="6"/>
        <v>2210824.9</v>
      </c>
      <c r="S88" s="60">
        <f t="shared" si="6"/>
        <v>653840.23999999987</v>
      </c>
      <c r="T88" s="60">
        <f t="shared" si="6"/>
        <v>1224068.1299999999</v>
      </c>
      <c r="U88" s="60">
        <f t="shared" si="6"/>
        <v>1329236.6599999999</v>
      </c>
      <c r="V88" s="60">
        <f t="shared" si="6"/>
        <v>836218.58000000007</v>
      </c>
      <c r="W88" s="60">
        <f t="shared" si="6"/>
        <v>1739626.0599999998</v>
      </c>
      <c r="X88" s="60">
        <f t="shared" si="6"/>
        <v>2492927.38</v>
      </c>
      <c r="Y88" s="60">
        <f t="shared" si="6"/>
        <v>2303439.25</v>
      </c>
      <c r="Z88" s="60">
        <f t="shared" si="6"/>
        <v>-1.8189894035458565E-12</v>
      </c>
      <c r="AA88" s="60">
        <f t="shared" si="6"/>
        <v>0</v>
      </c>
      <c r="AB88" s="60">
        <f t="shared" si="6"/>
        <v>0</v>
      </c>
    </row>
    <row r="89" spans="2:28" x14ac:dyDescent="0.45">
      <c r="B89" s="42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 spans="2:28" x14ac:dyDescent="0.45"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06e13-1c90-4c70-9cee-8068538c7a80" xsi:nil="true"/>
    <lcf76f155ced4ddcb4097134ff3c332f xmlns="f9c29741-1b01-4100-8fde-8dd31e7285c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6F96BBDA99D64E83A5B1DBF1FE7F42" ma:contentTypeVersion="14" ma:contentTypeDescription="Create a new document." ma:contentTypeScope="" ma:versionID="c78fa6e01104c0763aa56e469d8344b8">
  <xsd:schema xmlns:xsd="http://www.w3.org/2001/XMLSchema" xmlns:xs="http://www.w3.org/2001/XMLSchema" xmlns:p="http://schemas.microsoft.com/office/2006/metadata/properties" xmlns:ns2="f9c29741-1b01-4100-8fde-8dd31e7285c4" xmlns:ns3="67106e13-1c90-4c70-9cee-8068538c7a80" targetNamespace="http://schemas.microsoft.com/office/2006/metadata/properties" ma:root="true" ma:fieldsID="222dea80ccdc224e14fa0ebfeab3c39d" ns2:_="" ns3:_="">
    <xsd:import namespace="f9c29741-1b01-4100-8fde-8dd31e7285c4"/>
    <xsd:import namespace="67106e13-1c90-4c70-9cee-8068538c7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29741-1b01-4100-8fde-8dd31e7285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6be8c9c-7fa0-40d6-8a5e-2ac0051f6a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06e13-1c90-4c70-9cee-8068538c7a8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90eae66-369a-43f8-8557-c76d6430d3e9}" ma:internalName="TaxCatchAll" ma:showField="CatchAllData" ma:web="67106e13-1c90-4c70-9cee-8068538c7a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BDF1BA-B528-497F-AA61-0BA03EAB7F25}">
  <ds:schemaRefs>
    <ds:schemaRef ds:uri="http://schemas.microsoft.com/office/2006/metadata/properties"/>
    <ds:schemaRef ds:uri="http://schemas.microsoft.com/office/infopath/2007/PartnerControls"/>
    <ds:schemaRef ds:uri="e92d329f-77d6-4896-b3d2-17b26c0c58da"/>
    <ds:schemaRef ds:uri="e15d5e53-1495-483e-9ba1-33c14675381c"/>
    <ds:schemaRef ds:uri="67106e13-1c90-4c70-9cee-8068538c7a80"/>
    <ds:schemaRef ds:uri="f9c29741-1b01-4100-8fde-8dd31e7285c4"/>
  </ds:schemaRefs>
</ds:datastoreItem>
</file>

<file path=customXml/itemProps2.xml><?xml version="1.0" encoding="utf-8"?>
<ds:datastoreItem xmlns:ds="http://schemas.openxmlformats.org/officeDocument/2006/customXml" ds:itemID="{2CFA7D29-A5E1-4AA0-8AF2-FD2358191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A9EF43-C8D5-472B-A427-0E038C5074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 Consolidated</vt:lpstr>
      <vt:lpstr>BS Consolidated</vt:lpstr>
      <vt:lpstr>Cash Flow Consolidated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Tushar Gupta</dc:creator>
  <cp:keywords/>
  <dc:description/>
  <cp:lastModifiedBy>vasilyev nikolay</cp:lastModifiedBy>
  <cp:revision/>
  <dcterms:created xsi:type="dcterms:W3CDTF">2025-01-02T08:26:42Z</dcterms:created>
  <dcterms:modified xsi:type="dcterms:W3CDTF">2025-03-19T08:44:32Z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0x0101005D6F96BBDA99D64E83A5B1DBF1FE7F42</vt:lpwstr>
  </property>
  <property fmtid="{D5CDD505-2E9C-101B-9397-08002B2CF9AE}" pid="3" name="MediaServiceImageTags">
    <vt:lpwstr/>
  </property>
</Properties>
</file>