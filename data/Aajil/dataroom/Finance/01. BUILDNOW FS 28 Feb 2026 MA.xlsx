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ildnw.sharepoint.com/sites/finance_accounting/Shared Documents/2026/Financial Statement/02. Feb'26/"/>
    </mc:Choice>
  </mc:AlternateContent>
  <xr:revisionPtr revIDLastSave="10279" documentId="13_ncr:1_{5962F08C-928A-4129-9B86-1D2C7D32C213}" xr6:coauthVersionLast="47" xr6:coauthVersionMax="47" xr10:uidLastSave="{00C53295-E212-49D6-B4D0-3921AF72AF23}"/>
  <bookViews>
    <workbookView xWindow="-108" yWindow="-108" windowWidth="23256" windowHeight="12456" tabRatio="806" activeTab="7" xr2:uid="{8B6D78D7-BBDF-45A0-BD3B-A3671CAB302E}"/>
  </bookViews>
  <sheets>
    <sheet name="IS Feb KSA" sheetId="4" r:id="rId1"/>
    <sheet name="BS Feb KSA" sheetId="3" r:id="rId2"/>
    <sheet name="IS Feb USA" sheetId="38" r:id="rId3"/>
    <sheet name="BS Feb USA" sheetId="40" r:id="rId4"/>
    <sheet name="IS Jan Consolidated (YTD)" sheetId="41" r:id="rId5"/>
    <sheet name="Sheet3" sheetId="53" state="hidden" r:id="rId6"/>
    <sheet name="IS Mar Consolidated (MTD)" sheetId="57" state="hidden" r:id="rId7"/>
    <sheet name="BS Jan Consolidated" sheetId="42" r:id="rId8"/>
    <sheet name="Ledgers" sheetId="58" state="hidden" r:id="rId9"/>
    <sheet name="Cash Flow Consolidated" sheetId="44" r:id="rId10"/>
    <sheet name="AR Aging" sheetId="45" state="hidden" r:id="rId11"/>
    <sheet name="Dinar Data June FS" sheetId="50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a" localSheetId="1">#REF!</definedName>
    <definedName name="\a" localSheetId="3">#REF!</definedName>
    <definedName name="\a" localSheetId="7">#REF!</definedName>
    <definedName name="\a">#REF!</definedName>
    <definedName name="\c" localSheetId="1">[1]FLASH!#REF!</definedName>
    <definedName name="\c" localSheetId="3">[1]FLASH!#REF!</definedName>
    <definedName name="\c" localSheetId="7">[1]FLASH!#REF!</definedName>
    <definedName name="\c">[1]FLASH!#REF!</definedName>
    <definedName name="\f" localSheetId="1">[1]FLASH!#REF!</definedName>
    <definedName name="\f" localSheetId="3">[1]FLASH!#REF!</definedName>
    <definedName name="\f" localSheetId="7">[1]FLASH!#REF!</definedName>
    <definedName name="\f">[1]FLASH!#REF!</definedName>
    <definedName name="\q" localSheetId="1">[1]FLASH!#REF!</definedName>
    <definedName name="\q" localSheetId="3">[1]FLASH!#REF!</definedName>
    <definedName name="\q" localSheetId="7">[1]FLASH!#REF!</definedName>
    <definedName name="\q">[1]FLASH!#REF!</definedName>
    <definedName name="\s" localSheetId="1">#REF!</definedName>
    <definedName name="\s" localSheetId="3">#REF!</definedName>
    <definedName name="\s" localSheetId="7">#REF!</definedName>
    <definedName name="\s">#REF!</definedName>
    <definedName name="\t" localSheetId="1">[1]FLASH!#REF!</definedName>
    <definedName name="\t" localSheetId="3">[1]FLASH!#REF!</definedName>
    <definedName name="\t" localSheetId="7">[1]FLASH!#REF!</definedName>
    <definedName name="\t">[1]FLASH!#REF!</definedName>
    <definedName name="\u" localSheetId="1">#REF!</definedName>
    <definedName name="\u" localSheetId="3">#REF!</definedName>
    <definedName name="\u" localSheetId="7">#REF!</definedName>
    <definedName name="\u">#REF!</definedName>
    <definedName name="\z">#REF!</definedName>
    <definedName name="_1" localSheetId="1">#REF!</definedName>
    <definedName name="_1" localSheetId="3">#REF!</definedName>
    <definedName name="_1" localSheetId="7">#REF!</definedName>
    <definedName name="_1">#REF!</definedName>
    <definedName name="_2" localSheetId="1">#REF!</definedName>
    <definedName name="_2" localSheetId="3">#REF!</definedName>
    <definedName name="_2" localSheetId="7">#REF!</definedName>
    <definedName name="_2">#REF!</definedName>
    <definedName name="_3" localSheetId="1">#REF!</definedName>
    <definedName name="_3" localSheetId="3">#REF!</definedName>
    <definedName name="_3" localSheetId="7">#REF!</definedName>
    <definedName name="_3">#REF!</definedName>
    <definedName name="_xlnm._FilterDatabase" localSheetId="10" hidden="1">'AR Aging'!$A$1:$I$45</definedName>
    <definedName name="_xlnm._FilterDatabase" localSheetId="1" hidden="1">'BS Feb KSA'!$A$5:$AN$155</definedName>
    <definedName name="_xlnm._FilterDatabase" localSheetId="3" hidden="1">'BS Feb USA'!$A$5:$AM$156</definedName>
    <definedName name="_xlnm._FilterDatabase" localSheetId="7" hidden="1">'BS Jan Consolidated'!$A$3:$AG$157</definedName>
    <definedName name="_xlnm._FilterDatabase" localSheetId="0" hidden="1">'IS Feb KSA'!$A$8:$AP$164</definedName>
    <definedName name="_xlnm._FilterDatabase" localSheetId="2" hidden="1">'IS Feb USA'!$A$4:$AP$186</definedName>
    <definedName name="_xlnm._FilterDatabase" localSheetId="4" hidden="1">'IS Jan Consolidated (YTD)'!$A$7:$AR$122</definedName>
    <definedName name="_xlnm._FilterDatabase" localSheetId="6" hidden="1">'IS Mar Consolidated (MTD)'!$A$7:$AC$101</definedName>
    <definedName name="_Key2" localSheetId="1" hidden="1">#REF!</definedName>
    <definedName name="_Key2" localSheetId="3" hidden="1">#REF!</definedName>
    <definedName name="_Key2" localSheetId="7" hidden="1">#REF!</definedName>
    <definedName name="_Key2" hidden="1">#REF!</definedName>
    <definedName name="_Order2" hidden="1">0</definedName>
    <definedName name="_Sort" localSheetId="1" hidden="1">#REF!</definedName>
    <definedName name="_Sort" localSheetId="3" hidden="1">#REF!</definedName>
    <definedName name="_Sort" localSheetId="7" hidden="1">#REF!</definedName>
    <definedName name="_Sort" hidden="1">#REF!</definedName>
    <definedName name="A" localSheetId="1">#REF!</definedName>
    <definedName name="A" localSheetId="3">#REF!</definedName>
    <definedName name="A" localSheetId="7">#REF!</definedName>
    <definedName name="A">#REF!</definedName>
    <definedName name="Audit_adj">[2]validation!$I$9</definedName>
    <definedName name="Audit_adj_LY">[2]validation_LY!$I$9</definedName>
    <definedName name="Axis" localSheetId="1">OFFSET(#REF!,0,0,MAX(#REF!),1)</definedName>
    <definedName name="Axis" localSheetId="3">OFFSET(#REF!,0,0,MAX(#REF!),1)</definedName>
    <definedName name="Axis" localSheetId="7">OFFSET(#REF!,0,0,MAX(#REF!),1)</definedName>
    <definedName name="Axis">OFFSET(#REF!,0,0,MAX(#REF!),1)</definedName>
    <definedName name="Axis1" localSheetId="1">OFFSET(#REF!,0,0,MAX(#REF!),1)</definedName>
    <definedName name="Axis1" localSheetId="3">OFFSET(#REF!,0,0,MAX(#REF!),1)</definedName>
    <definedName name="Axis1" localSheetId="7">OFFSET(#REF!,0,0,MAX(#REF!),1)</definedName>
    <definedName name="Axis1">OFFSET(#REF!,0,0,MAX(#REF!),1)</definedName>
    <definedName name="B" localSheetId="1">#REF!</definedName>
    <definedName name="B" localSheetId="3">#REF!</definedName>
    <definedName name="B" localSheetId="7">#REF!</definedName>
    <definedName name="B">#REF!</definedName>
    <definedName name="BUDGETM">'[3]Budget By Month'!$E$7:$R$83</definedName>
    <definedName name="C_">#REF!</definedName>
    <definedName name="CEO">[2]validation!$U$80:$U$82</definedName>
    <definedName name="CHARTMONTH">'[3]Budget By Month'!$AA$26:$AC$41</definedName>
    <definedName name="CIQWBGuid" hidden="1">"04c75487-eaf2-4b3e-a120-7f6f9bcd9c86"</definedName>
    <definedName name="Country">[4]PDI!$A$827:$A$838</definedName>
    <definedName name="_xlnm.Criteria">[5]pter94!#REF!</definedName>
    <definedName name="D" localSheetId="1">#REF!</definedName>
    <definedName name="D" localSheetId="3">#REF!</definedName>
    <definedName name="D" localSheetId="7">#REF!</definedName>
    <definedName name="D">#REF!</definedName>
    <definedName name="Data" localSheetId="1">OFFSET(#REF!,0,0,MAX(#REF!),1)</definedName>
    <definedName name="Data" localSheetId="3">OFFSET(#REF!,0,0,MAX(#REF!),1)</definedName>
    <definedName name="Data" localSheetId="7">OFFSET(#REF!,0,0,MAX(#REF!),1)</definedName>
    <definedName name="Data">OFFSET(#REF!,0,0,MAX(#REF!),1)</definedName>
    <definedName name="Data1" localSheetId="1">OFFSET(#REF!,0,0,MAX(#REF!),1)</definedName>
    <definedName name="Data1" localSheetId="3">OFFSET(#REF!,0,0,MAX(#REF!),1)</definedName>
    <definedName name="Data1" localSheetId="7">OFFSET(#REF!,0,0,MAX(#REF!),1)</definedName>
    <definedName name="Data1">OFFSET(#REF!,0,0,MAX(#REF!),1)</definedName>
    <definedName name="_xlnm.Database" localSheetId="1">#REF!</definedName>
    <definedName name="_xlnm.Database" localSheetId="3">#REF!</definedName>
    <definedName name="_xlnm.Database" localSheetId="7">#REF!</definedName>
    <definedName name="_xlnm.Database">#REF!</definedName>
    <definedName name="DimensionLedgerAccountType">'[6]Dynamics Enum Cache'!$A$1:$A$10</definedName>
    <definedName name="E" localSheetId="1">#REF!</definedName>
    <definedName name="E" localSheetId="3">#REF!</definedName>
    <definedName name="E" localSheetId="7">#REF!</definedName>
    <definedName name="E">#REF!</definedName>
    <definedName name="EO">[2]validation!$U$81:$U$82</definedName>
    <definedName name="_xlnm.Extract">[5]pter94!#REF!</definedName>
    <definedName name="F" localSheetId="1">#REF!</definedName>
    <definedName name="F" localSheetId="3">#REF!</definedName>
    <definedName name="F" localSheetId="7">#REF!</definedName>
    <definedName name="F">#REF!</definedName>
    <definedName name="FindPic">INDIRECT('[7]Employee Information2'!$A$2)</definedName>
    <definedName name="HIDEBUDGET">'[3]Budget By Month'!$J$1:$P$1</definedName>
    <definedName name="HIDETRACKING">[3]Tracking!$H$1:$O$2</definedName>
    <definedName name="LedgerJournalACType">'[8]Dynamics Enum Cache'!$A$1:$A$6</definedName>
    <definedName name="M" localSheetId="1">#REF!</definedName>
    <definedName name="M" localSheetId="3">#REF!</definedName>
    <definedName name="M" localSheetId="7">#REF!</definedName>
    <definedName name="M">#REF!</definedName>
    <definedName name="MONTHSA">[3]Tracking!$AE$26:$AF$37</definedName>
    <definedName name="MONTHSB">[3]Tracking!$AF$26:$AG$37</definedName>
    <definedName name="MONTHSC">[3]Tracking!$AB$26:$AD$40</definedName>
    <definedName name="MONTHSD">[3]Tracking!$AF$26:$AH$38</definedName>
    <definedName name="MONTHSE">[3]Comparison!$R$26:$T$40</definedName>
    <definedName name="P">#REF!</definedName>
    <definedName name="Period_Code">#REF!</definedName>
    <definedName name="Print_Area_MI" localSheetId="1">#REF!</definedName>
    <definedName name="Print_Area_MI" localSheetId="3">#REF!</definedName>
    <definedName name="Print_Area_MI" localSheetId="7">#REF!</definedName>
    <definedName name="Print_Area_MI">#REF!</definedName>
    <definedName name="PT">#REF!</definedName>
    <definedName name="R_">[1]FLASH!#REF!</definedName>
    <definedName name="_xlnm.Recorder" localSheetId="1">#REF!</definedName>
    <definedName name="_xlnm.Recorder" localSheetId="3">#REF!</definedName>
    <definedName name="_xlnm.Recorder" localSheetId="7">#REF!</definedName>
    <definedName name="_xlnm.Recorder">#REF!</definedName>
    <definedName name="Reporting_Date">#REF!</definedName>
    <definedName name="S">#REF!</definedName>
    <definedName name="SA1_Axis" localSheetId="1">OFFSET(#REF!,0,0,MAX(#REF!),1)</definedName>
    <definedName name="SA1_Axis" localSheetId="3">OFFSET(#REF!,0,0,MAX(#REF!),1)</definedName>
    <definedName name="SA1_Axis" localSheetId="7">OFFSET(#REF!,0,0,MAX(#REF!),1)</definedName>
    <definedName name="SA1_Axis">OFFSET(#REF!,0,0,MAX(#REF!),1)</definedName>
    <definedName name="SA1_Data" localSheetId="1">OFFSET(#REF!,0,0,MAX(#REF!),1)</definedName>
    <definedName name="SA1_Data" localSheetId="3">OFFSET(#REF!,0,0,MAX(#REF!),1)</definedName>
    <definedName name="SA1_Data" localSheetId="7">OFFSET(#REF!,0,0,MAX(#REF!),1)</definedName>
    <definedName name="SA1_Data">OFFSET(#REF!,0,0,MAX(#REF!),1)</definedName>
    <definedName name="SA2_Axis" localSheetId="1">OFFSET(#REF!,0,0,MAX(#REF!),1)</definedName>
    <definedName name="SA2_Axis" localSheetId="3">OFFSET(#REF!,0,0,MAX(#REF!),1)</definedName>
    <definedName name="SA2_Axis" localSheetId="7">OFFSET(#REF!,0,0,MAX(#REF!),1)</definedName>
    <definedName name="SA2_Axis">OFFSET(#REF!,0,0,MAX(#REF!),1)</definedName>
    <definedName name="SA2_Data" localSheetId="1">OFFSET(#REF!,0,0,MAX(#REF!),1)</definedName>
    <definedName name="SA2_Data" localSheetId="3">OFFSET(#REF!,0,0,MAX(#REF!),1)</definedName>
    <definedName name="SA2_Data" localSheetId="7">OFFSET(#REF!,0,0,MAX(#REF!),1)</definedName>
    <definedName name="SA2_Data">OFFSET(#REF!,0,0,MAX(#REF!),1)</definedName>
    <definedName name="SA3_Axis" localSheetId="1">OFFSET(#REF!,0,0,MAX(#REF!),1)</definedName>
    <definedName name="SA3_Axis" localSheetId="3">OFFSET(#REF!,0,0,MAX(#REF!),1)</definedName>
    <definedName name="SA3_Axis" localSheetId="7">OFFSET(#REF!,0,0,MAX(#REF!),1)</definedName>
    <definedName name="SA3_Axis">OFFSET(#REF!,0,0,MAX(#REF!),1)</definedName>
    <definedName name="SA3_Data" localSheetId="1">OFFSET(#REF!,0,0,MAX(#REF!),1)</definedName>
    <definedName name="SA3_Data" localSheetId="3">OFFSET(#REF!,0,0,MAX(#REF!),1)</definedName>
    <definedName name="SA3_Data" localSheetId="7">OFFSET(#REF!,0,0,MAX(#REF!),1)</definedName>
    <definedName name="SA3_Data">OFFSET(#REF!,0,0,MAX(#REF!),1)</definedName>
    <definedName name="SA4_Axis" localSheetId="1">OFFSET(#REF!,0,0,MAX(#REF!),1)</definedName>
    <definedName name="SA4_Axis" localSheetId="3">OFFSET(#REF!,0,0,MAX(#REF!),1)</definedName>
    <definedName name="SA4_Axis" localSheetId="7">OFFSET(#REF!,0,0,MAX(#REF!),1)</definedName>
    <definedName name="SA4_Axis">OFFSET(#REF!,0,0,MAX(#REF!),1)</definedName>
    <definedName name="SA4_Data" localSheetId="1">OFFSET(#REF!,0,0,MAX(#REF!),1)</definedName>
    <definedName name="SA4_Data" localSheetId="3">OFFSET(#REF!,0,0,MAX(#REF!),1)</definedName>
    <definedName name="SA4_Data" localSheetId="7">OFFSET(#REF!,0,0,MAX(#REF!),1)</definedName>
    <definedName name="SA4_Data">OFFSET(#REF!,0,0,MAX(#REF!),1)</definedName>
    <definedName name="SA5_Axis" localSheetId="1">OFFSET(#REF!,0,0,MAX(#REF!),1)</definedName>
    <definedName name="SA5_Axis" localSheetId="3">OFFSET(#REF!,0,0,MAX(#REF!),1)</definedName>
    <definedName name="SA5_Axis" localSheetId="7">OFFSET(#REF!,0,0,MAX(#REF!),1)</definedName>
    <definedName name="SA5_Axis">OFFSET(#REF!,0,0,MAX(#REF!),1)</definedName>
    <definedName name="SA5_Data" localSheetId="1">OFFSET(#REF!,0,0,MAX(#REF!),1)</definedName>
    <definedName name="SA5_Data" localSheetId="3">OFFSET(#REF!,0,0,MAX(#REF!),1)</definedName>
    <definedName name="SA5_Data" localSheetId="7">OFFSET(#REF!,0,0,MAX(#REF!),1)</definedName>
    <definedName name="SA5_Data">OFFSET(#REF!,0,0,MAX(#REF!),1)</definedName>
    <definedName name="SA5_Data2" localSheetId="1">OFFSET(#REF!,0,0,MAX(#REF!),1)</definedName>
    <definedName name="SA5_Data2" localSheetId="3">OFFSET(#REF!,0,0,MAX(#REF!),1)</definedName>
    <definedName name="SA5_Data2" localSheetId="7">OFFSET(#REF!,0,0,MAX(#REF!),1)</definedName>
    <definedName name="SA5_Data2">OFFSET(#REF!,0,0,MAX(#REF!),1)</definedName>
    <definedName name="saja" localSheetId="1" hidden="1">#REF!</definedName>
    <definedName name="saja" localSheetId="3" hidden="1">#REF!</definedName>
    <definedName name="saja" localSheetId="7" hidden="1">#REF!</definedName>
    <definedName name="saja" hidden="1">#REF!</definedName>
    <definedName name="sdf" localSheetId="1">#REF!</definedName>
    <definedName name="sdf" localSheetId="3">#REF!</definedName>
    <definedName name="sdf" localSheetId="7">#REF!</definedName>
    <definedName name="sdf">#REF!</definedName>
    <definedName name="Stock_groups" localSheetId="1">OFFSET(#REF!,0,0,MAX(#REF!),1)</definedName>
    <definedName name="Stock_groups" localSheetId="3">OFFSET(#REF!,0,0,MAX(#REF!),1)</definedName>
    <definedName name="Stock_groups" localSheetId="7">OFFSET(#REF!,0,0,MAX(#REF!),1)</definedName>
    <definedName name="Stock_groups">OFFSET(#REF!,0,0,MAX(#REF!),1)</definedName>
    <definedName name="Stocks_AVG" localSheetId="1">OFFSET(#REF!,0,0,MAX(#REF!),1)</definedName>
    <definedName name="Stocks_AVG" localSheetId="3">OFFSET(#REF!,0,0,MAX(#REF!),1)</definedName>
    <definedName name="Stocks_AVG" localSheetId="7">OFFSET(#REF!,0,0,MAX(#REF!),1)</definedName>
    <definedName name="Stocks_AVG">OFFSET(#REF!,0,0,MAX(#REF!),1)</definedName>
    <definedName name="T">[1]FLASH!#REF!</definedName>
    <definedName name="TRACKING">[3]Tracking!$D$7:$Q$84</definedName>
    <definedName name="TRN" localSheetId="1">OFFSET(#REF!,0,0,MAX(#REF!),1)</definedName>
    <definedName name="TRN" localSheetId="3">OFFSET(#REF!,0,0,MAX(#REF!),1)</definedName>
    <definedName name="TRN" localSheetId="7">OFFSET(#REF!,0,0,MAX(#REF!),1)</definedName>
    <definedName name="TRN">OFFSET(#REF!,0,0,MAX(#REF!),1)</definedName>
    <definedName name="Turnover_group" localSheetId="1">OFFSET(#REF!,0,0,MAX(#REF!),1)</definedName>
    <definedName name="Turnover_group" localSheetId="3">OFFSET(#REF!,0,0,MAX(#REF!),1)</definedName>
    <definedName name="Turnover_group" localSheetId="7">OFFSET(#REF!,0,0,MAX(#REF!),1)</definedName>
    <definedName name="Turnover_group">OFFSET(#REF!,0,0,MAX(#REF!),1)</definedName>
    <definedName name="validapproval">[9]Sheet4!$F$9:$F$17</definedName>
    <definedName name="validar">[9]Sheet4!$I$9:$I$17</definedName>
    <definedName name="validcom1">[9]Sheet4!$K$9:$K$22</definedName>
    <definedName name="validEDO">[9]Sheet4!$H$9:$H$19</definedName>
    <definedName name="valideov">[9]Sheet4!$M$9:$M$19</definedName>
    <definedName name="validexecutive">[9]Sheet4!$E$9:$E$19</definedName>
    <definedName name="validloc2">[9]Sheet4!$C$9:$C$27</definedName>
    <definedName name="validorderstatus">[9]Sheet4!$G$9:$G$20</definedName>
    <definedName name="validpp">[9]Sheet4!$L$9:$L$18</definedName>
    <definedName name="validpro1">[9]Sheet4!$B$9:$B$28</definedName>
    <definedName name="validprovinces">[9]Sheet4!$D$9:$D$13</definedName>
    <definedName name="validps">[9]Sheet4!$J$9:$J$20</definedName>
    <definedName name="WeekStart">[10]Settings!$H$4</definedName>
    <definedName name="z">[11]TRIAL!$N$228:$X$261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41" l="1"/>
  <c r="C88" i="44"/>
  <c r="B82" i="44"/>
  <c r="B84" i="44" s="1"/>
  <c r="B75" i="44"/>
  <c r="B77" i="44" s="1"/>
  <c r="B60" i="44"/>
  <c r="B44" i="44"/>
  <c r="B40" i="44"/>
  <c r="B28" i="44"/>
  <c r="B22" i="44"/>
  <c r="B24" i="44" s="1"/>
  <c r="B14" i="44"/>
  <c r="M44" i="42"/>
  <c r="M66" i="42"/>
  <c r="M57" i="42" s="1"/>
  <c r="M115" i="42"/>
  <c r="M77" i="42"/>
  <c r="M76" i="42"/>
  <c r="M121" i="42"/>
  <c r="M120" i="42"/>
  <c r="M92" i="42"/>
  <c r="M10" i="42"/>
  <c r="N92" i="40"/>
  <c r="N71" i="40"/>
  <c r="N57" i="40"/>
  <c r="N36" i="40"/>
  <c r="C143" i="40"/>
  <c r="C123" i="40"/>
  <c r="C122" i="40"/>
  <c r="C119" i="40"/>
  <c r="C118" i="40"/>
  <c r="C111" i="40"/>
  <c r="C110" i="40"/>
  <c r="C109" i="40"/>
  <c r="C108" i="40"/>
  <c r="C105" i="40"/>
  <c r="C104" i="40"/>
  <c r="C101" i="40"/>
  <c r="C100" i="40"/>
  <c r="C99" i="40"/>
  <c r="C98" i="40"/>
  <c r="C97" i="40"/>
  <c r="C96" i="40"/>
  <c r="C95" i="40"/>
  <c r="C94" i="40"/>
  <c r="C81" i="40"/>
  <c r="C78" i="40"/>
  <c r="C77" i="40"/>
  <c r="C76" i="40"/>
  <c r="C75" i="40"/>
  <c r="C74" i="40"/>
  <c r="C73" i="40"/>
  <c r="C72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2" i="40"/>
  <c r="C51" i="40"/>
  <c r="C50" i="40"/>
  <c r="C49" i="40"/>
  <c r="C48" i="40"/>
  <c r="C47" i="40"/>
  <c r="C45" i="40"/>
  <c r="C44" i="40"/>
  <c r="C43" i="40"/>
  <c r="C42" i="40"/>
  <c r="C41" i="40"/>
  <c r="C40" i="40"/>
  <c r="C39" i="40"/>
  <c r="C38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42" i="3"/>
  <c r="C131" i="3"/>
  <c r="C123" i="3"/>
  <c r="C122" i="3"/>
  <c r="C119" i="3"/>
  <c r="C118" i="3"/>
  <c r="C111" i="3"/>
  <c r="C110" i="3"/>
  <c r="C109" i="3"/>
  <c r="C108" i="3"/>
  <c r="C105" i="3"/>
  <c r="C104" i="3"/>
  <c r="C103" i="3"/>
  <c r="C101" i="3"/>
  <c r="C100" i="3"/>
  <c r="C99" i="3"/>
  <c r="C98" i="3"/>
  <c r="C97" i="3"/>
  <c r="C96" i="3"/>
  <c r="C95" i="3"/>
  <c r="C94" i="3"/>
  <c r="C81" i="3"/>
  <c r="C78" i="3"/>
  <c r="C77" i="3"/>
  <c r="C76" i="3"/>
  <c r="C75" i="3"/>
  <c r="C74" i="3"/>
  <c r="C73" i="3"/>
  <c r="C72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2" i="3"/>
  <c r="C51" i="3"/>
  <c r="C50" i="3"/>
  <c r="C49" i="3"/>
  <c r="C48" i="3"/>
  <c r="C47" i="3"/>
  <c r="C45" i="3"/>
  <c r="C44" i="3"/>
  <c r="C43" i="3"/>
  <c r="C42" i="3"/>
  <c r="C41" i="3"/>
  <c r="C40" i="3"/>
  <c r="C39" i="3"/>
  <c r="C38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O10" i="3"/>
  <c r="R65" i="38"/>
  <c r="R56" i="38"/>
  <c r="R39" i="38"/>
  <c r="R19" i="38"/>
  <c r="Q14" i="4"/>
  <c r="O14" i="4"/>
  <c r="N14" i="4"/>
  <c r="M14" i="4"/>
  <c r="L14" i="4"/>
  <c r="K14" i="4"/>
  <c r="J14" i="4"/>
  <c r="I14" i="4"/>
  <c r="H14" i="4"/>
  <c r="G14" i="4"/>
  <c r="F14" i="4"/>
  <c r="E14" i="4"/>
  <c r="D14" i="4"/>
  <c r="S14" i="4"/>
  <c r="R14" i="4"/>
  <c r="S19" i="4"/>
  <c r="R65" i="4"/>
  <c r="R39" i="4"/>
  <c r="R19" i="4"/>
  <c r="P52" i="4"/>
  <c r="N117" i="42"/>
  <c r="N107" i="42"/>
  <c r="N104" i="42"/>
  <c r="N102" i="42"/>
  <c r="N98" i="42"/>
  <c r="N46" i="42"/>
  <c r="O136" i="40"/>
  <c r="B88" i="44" l="1"/>
  <c r="B64" i="44"/>
  <c r="B86" i="44"/>
  <c r="M71" i="42"/>
  <c r="N10" i="3"/>
  <c r="N36" i="3"/>
  <c r="N71" i="3"/>
  <c r="N140" i="42"/>
  <c r="N146" i="42"/>
  <c r="N138" i="42"/>
  <c r="N133" i="42"/>
  <c r="N113" i="42"/>
  <c r="N106" i="42"/>
  <c r="N101" i="42"/>
  <c r="N93" i="42"/>
  <c r="O80" i="40"/>
  <c r="N70" i="42"/>
  <c r="N64" i="42"/>
  <c r="N61" i="42"/>
  <c r="N48" i="42"/>
  <c r="N45" i="42"/>
  <c r="O32" i="3"/>
  <c r="O148" i="3"/>
  <c r="O135" i="3"/>
  <c r="N124" i="42"/>
  <c r="N103" i="42"/>
  <c r="O92" i="3"/>
  <c r="O80" i="3"/>
  <c r="O71" i="3"/>
  <c r="N62" i="42"/>
  <c r="N58" i="42"/>
  <c r="N51" i="42"/>
  <c r="N49" i="42"/>
  <c r="N34" i="42"/>
  <c r="N33" i="42"/>
  <c r="N30" i="42"/>
  <c r="N27" i="42"/>
  <c r="N22" i="42"/>
  <c r="N21" i="42"/>
  <c r="N13" i="42"/>
  <c r="M146" i="42"/>
  <c r="L146" i="42"/>
  <c r="K146" i="42"/>
  <c r="J146" i="42"/>
  <c r="I146" i="42"/>
  <c r="H146" i="42"/>
  <c r="G146" i="42"/>
  <c r="F146" i="42"/>
  <c r="E146" i="42"/>
  <c r="D146" i="42"/>
  <c r="C146" i="42"/>
  <c r="M144" i="42"/>
  <c r="L144" i="42"/>
  <c r="K144" i="42"/>
  <c r="J144" i="42"/>
  <c r="I144" i="42"/>
  <c r="H144" i="42"/>
  <c r="G144" i="42"/>
  <c r="F144" i="42"/>
  <c r="E144" i="42"/>
  <c r="D144" i="42"/>
  <c r="C144" i="42"/>
  <c r="M142" i="42"/>
  <c r="L142" i="42"/>
  <c r="K142" i="42"/>
  <c r="J142" i="42"/>
  <c r="I142" i="42"/>
  <c r="H142" i="42"/>
  <c r="G142" i="42"/>
  <c r="F142" i="42"/>
  <c r="E142" i="42"/>
  <c r="D142" i="42"/>
  <c r="C142" i="42"/>
  <c r="M140" i="42"/>
  <c r="L140" i="42"/>
  <c r="K140" i="42"/>
  <c r="J140" i="42"/>
  <c r="I140" i="42"/>
  <c r="H140" i="42"/>
  <c r="G140" i="42"/>
  <c r="F140" i="42"/>
  <c r="E140" i="42"/>
  <c r="D140" i="42"/>
  <c r="C140" i="42"/>
  <c r="M138" i="42"/>
  <c r="L138" i="42"/>
  <c r="K138" i="42"/>
  <c r="J138" i="42"/>
  <c r="I138" i="42"/>
  <c r="H138" i="42"/>
  <c r="G138" i="42"/>
  <c r="F138" i="42"/>
  <c r="E138" i="42"/>
  <c r="D138" i="42"/>
  <c r="C138" i="42"/>
  <c r="M133" i="42"/>
  <c r="L133" i="42"/>
  <c r="K133" i="42"/>
  <c r="J133" i="42"/>
  <c r="I133" i="42"/>
  <c r="H133" i="42"/>
  <c r="G133" i="42"/>
  <c r="F133" i="42"/>
  <c r="E133" i="42"/>
  <c r="D133" i="42"/>
  <c r="C133" i="42"/>
  <c r="M131" i="42"/>
  <c r="L131" i="42"/>
  <c r="K131" i="42"/>
  <c r="J131" i="42"/>
  <c r="I131" i="42"/>
  <c r="H131" i="42"/>
  <c r="G131" i="42"/>
  <c r="F131" i="42"/>
  <c r="E131" i="42"/>
  <c r="D131" i="42"/>
  <c r="C131" i="42"/>
  <c r="M124" i="42"/>
  <c r="L124" i="42"/>
  <c r="K124" i="42"/>
  <c r="J124" i="42"/>
  <c r="I124" i="42"/>
  <c r="H124" i="42"/>
  <c r="G124" i="42"/>
  <c r="F124" i="42"/>
  <c r="E124" i="42"/>
  <c r="D124" i="42"/>
  <c r="C124" i="42"/>
  <c r="M123" i="42"/>
  <c r="L123" i="42"/>
  <c r="K123" i="42"/>
  <c r="J123" i="42"/>
  <c r="I123" i="42"/>
  <c r="H123" i="42"/>
  <c r="G123" i="42"/>
  <c r="F123" i="42"/>
  <c r="E123" i="42"/>
  <c r="D123" i="42"/>
  <c r="C123" i="42"/>
  <c r="M122" i="42"/>
  <c r="L122" i="42"/>
  <c r="K122" i="42"/>
  <c r="J122" i="42"/>
  <c r="I122" i="42"/>
  <c r="H122" i="42"/>
  <c r="G122" i="42"/>
  <c r="F122" i="42"/>
  <c r="E122" i="42"/>
  <c r="D122" i="42"/>
  <c r="C122" i="42"/>
  <c r="L121" i="42"/>
  <c r="K121" i="42"/>
  <c r="J121" i="42"/>
  <c r="I121" i="42"/>
  <c r="H121" i="42"/>
  <c r="G121" i="42"/>
  <c r="F121" i="42"/>
  <c r="E121" i="42"/>
  <c r="D121" i="42"/>
  <c r="C121" i="42"/>
  <c r="F120" i="42"/>
  <c r="E120" i="42"/>
  <c r="D120" i="42"/>
  <c r="C120" i="42"/>
  <c r="M119" i="42"/>
  <c r="L119" i="42"/>
  <c r="K119" i="42"/>
  <c r="J119" i="42"/>
  <c r="I119" i="42"/>
  <c r="H119" i="42"/>
  <c r="G119" i="42"/>
  <c r="F119" i="42"/>
  <c r="E119" i="42"/>
  <c r="D119" i="42"/>
  <c r="C119" i="42"/>
  <c r="M118" i="42"/>
  <c r="L118" i="42"/>
  <c r="K118" i="42"/>
  <c r="J118" i="42"/>
  <c r="I118" i="42"/>
  <c r="H118" i="42"/>
  <c r="G118" i="42"/>
  <c r="F118" i="42"/>
  <c r="E118" i="42"/>
  <c r="D118" i="42"/>
  <c r="C118" i="42"/>
  <c r="M117" i="42"/>
  <c r="L117" i="42"/>
  <c r="K117" i="42"/>
  <c r="J117" i="42"/>
  <c r="I117" i="42"/>
  <c r="H117" i="42"/>
  <c r="G117" i="42"/>
  <c r="F117" i="42"/>
  <c r="E117" i="42"/>
  <c r="D117" i="42"/>
  <c r="C117" i="42"/>
  <c r="M116" i="42"/>
  <c r="L116" i="42"/>
  <c r="K116" i="42"/>
  <c r="J116" i="42"/>
  <c r="I116" i="42"/>
  <c r="H116" i="42"/>
  <c r="G116" i="42"/>
  <c r="F116" i="42"/>
  <c r="E116" i="42"/>
  <c r="D116" i="42"/>
  <c r="C116" i="42"/>
  <c r="K113" i="42"/>
  <c r="J113" i="42"/>
  <c r="I113" i="42"/>
  <c r="H113" i="42"/>
  <c r="G113" i="42"/>
  <c r="E113" i="42"/>
  <c r="D113" i="42"/>
  <c r="C113" i="42"/>
  <c r="M112" i="42"/>
  <c r="L112" i="42"/>
  <c r="K112" i="42"/>
  <c r="J112" i="42"/>
  <c r="I112" i="42"/>
  <c r="H112" i="42"/>
  <c r="G112" i="42"/>
  <c r="F112" i="42"/>
  <c r="E112" i="42"/>
  <c r="D112" i="42"/>
  <c r="C112" i="42"/>
  <c r="M111" i="42"/>
  <c r="L111" i="42"/>
  <c r="K111" i="42"/>
  <c r="J111" i="42"/>
  <c r="I111" i="42"/>
  <c r="H111" i="42"/>
  <c r="G111" i="42"/>
  <c r="F111" i="42"/>
  <c r="E111" i="42"/>
  <c r="D111" i="42"/>
  <c r="C111" i="42"/>
  <c r="M110" i="42"/>
  <c r="L110" i="42"/>
  <c r="K110" i="42"/>
  <c r="J110" i="42"/>
  <c r="I110" i="42"/>
  <c r="H110" i="42"/>
  <c r="G110" i="42"/>
  <c r="F110" i="42"/>
  <c r="E110" i="42"/>
  <c r="D110" i="42"/>
  <c r="C110" i="42"/>
  <c r="M109" i="42"/>
  <c r="L109" i="42"/>
  <c r="K109" i="42"/>
  <c r="J109" i="42"/>
  <c r="I109" i="42"/>
  <c r="H109" i="42"/>
  <c r="G109" i="42"/>
  <c r="F109" i="42"/>
  <c r="E109" i="42"/>
  <c r="D109" i="42"/>
  <c r="C109" i="42"/>
  <c r="M108" i="42"/>
  <c r="L108" i="42"/>
  <c r="K108" i="42"/>
  <c r="J108" i="42"/>
  <c r="I108" i="42"/>
  <c r="H108" i="42"/>
  <c r="G108" i="42"/>
  <c r="F108" i="42"/>
  <c r="E108" i="42"/>
  <c r="D108" i="42"/>
  <c r="C108" i="42"/>
  <c r="M107" i="42"/>
  <c r="L107" i="42"/>
  <c r="K107" i="42"/>
  <c r="J107" i="42"/>
  <c r="I107" i="42"/>
  <c r="H107" i="42"/>
  <c r="G107" i="42"/>
  <c r="F107" i="42"/>
  <c r="E107" i="42"/>
  <c r="D107" i="42"/>
  <c r="C107" i="42"/>
  <c r="M106" i="42"/>
  <c r="L106" i="42"/>
  <c r="K106" i="42"/>
  <c r="J106" i="42"/>
  <c r="I106" i="42"/>
  <c r="H106" i="42"/>
  <c r="G106" i="42"/>
  <c r="F106" i="42"/>
  <c r="E106" i="42"/>
  <c r="D106" i="42"/>
  <c r="C106" i="42"/>
  <c r="M105" i="42"/>
  <c r="L105" i="42"/>
  <c r="K105" i="42"/>
  <c r="J105" i="42"/>
  <c r="I105" i="42"/>
  <c r="H105" i="42"/>
  <c r="G105" i="42"/>
  <c r="F105" i="42"/>
  <c r="E105" i="42"/>
  <c r="D105" i="42"/>
  <c r="C105" i="42"/>
  <c r="M104" i="42"/>
  <c r="L104" i="42"/>
  <c r="K104" i="42"/>
  <c r="J104" i="42"/>
  <c r="I104" i="42"/>
  <c r="H104" i="42"/>
  <c r="G104" i="42"/>
  <c r="F104" i="42"/>
  <c r="E104" i="42"/>
  <c r="D104" i="42"/>
  <c r="C104" i="42"/>
  <c r="M103" i="42"/>
  <c r="L103" i="42"/>
  <c r="K103" i="42"/>
  <c r="J103" i="42"/>
  <c r="I103" i="42"/>
  <c r="H103" i="42"/>
  <c r="G103" i="42"/>
  <c r="F103" i="42"/>
  <c r="E103" i="42"/>
  <c r="D103" i="42"/>
  <c r="C103" i="42"/>
  <c r="M102" i="42"/>
  <c r="L102" i="42"/>
  <c r="K102" i="42"/>
  <c r="J102" i="42"/>
  <c r="I102" i="42"/>
  <c r="H102" i="42"/>
  <c r="G102" i="42"/>
  <c r="F102" i="42"/>
  <c r="E102" i="42"/>
  <c r="D102" i="42"/>
  <c r="C102" i="42"/>
  <c r="M101" i="42"/>
  <c r="L101" i="42"/>
  <c r="K101" i="42"/>
  <c r="J101" i="42"/>
  <c r="I101" i="42"/>
  <c r="H101" i="42"/>
  <c r="G101" i="42"/>
  <c r="F101" i="42"/>
  <c r="E101" i="42"/>
  <c r="D101" i="42"/>
  <c r="C101" i="42"/>
  <c r="M100" i="42"/>
  <c r="L100" i="42"/>
  <c r="K100" i="42"/>
  <c r="J100" i="42"/>
  <c r="I100" i="42"/>
  <c r="H100" i="42"/>
  <c r="G100" i="42"/>
  <c r="F100" i="42"/>
  <c r="E100" i="42"/>
  <c r="D100" i="42"/>
  <c r="C100" i="42"/>
  <c r="M99" i="42"/>
  <c r="L99" i="42"/>
  <c r="K99" i="42"/>
  <c r="J99" i="42"/>
  <c r="I99" i="42"/>
  <c r="H99" i="42"/>
  <c r="G99" i="42"/>
  <c r="F99" i="42"/>
  <c r="E99" i="42"/>
  <c r="D99" i="42"/>
  <c r="C99" i="42"/>
  <c r="M98" i="42"/>
  <c r="L98" i="42"/>
  <c r="K98" i="42"/>
  <c r="J98" i="42"/>
  <c r="I98" i="42"/>
  <c r="H98" i="42"/>
  <c r="G98" i="42"/>
  <c r="F98" i="42"/>
  <c r="E98" i="42"/>
  <c r="D98" i="42"/>
  <c r="C98" i="42"/>
  <c r="M97" i="42"/>
  <c r="L97" i="42"/>
  <c r="K97" i="42"/>
  <c r="J97" i="42"/>
  <c r="I97" i="42"/>
  <c r="H97" i="42"/>
  <c r="G97" i="42"/>
  <c r="F97" i="42"/>
  <c r="E97" i="42"/>
  <c r="D97" i="42"/>
  <c r="C97" i="42"/>
  <c r="M96" i="42"/>
  <c r="L96" i="42"/>
  <c r="K96" i="42"/>
  <c r="J96" i="42"/>
  <c r="I96" i="42"/>
  <c r="H96" i="42"/>
  <c r="G96" i="42"/>
  <c r="F96" i="42"/>
  <c r="E96" i="42"/>
  <c r="D96" i="42"/>
  <c r="C96" i="42"/>
  <c r="M95" i="42"/>
  <c r="L95" i="42"/>
  <c r="K95" i="42"/>
  <c r="J95" i="42"/>
  <c r="I95" i="42"/>
  <c r="H95" i="42"/>
  <c r="G95" i="42"/>
  <c r="F95" i="42"/>
  <c r="E95" i="42"/>
  <c r="D95" i="42"/>
  <c r="C95" i="42"/>
  <c r="M94" i="42"/>
  <c r="L94" i="42"/>
  <c r="K94" i="42"/>
  <c r="J94" i="42"/>
  <c r="I94" i="42"/>
  <c r="H94" i="42"/>
  <c r="G94" i="42"/>
  <c r="F94" i="42"/>
  <c r="E94" i="42"/>
  <c r="D94" i="42"/>
  <c r="C94" i="42"/>
  <c r="M93" i="42"/>
  <c r="L93" i="42"/>
  <c r="K93" i="42"/>
  <c r="J93" i="42"/>
  <c r="I93" i="42"/>
  <c r="H93" i="42"/>
  <c r="G93" i="42"/>
  <c r="F93" i="42"/>
  <c r="E93" i="42"/>
  <c r="D93" i="42"/>
  <c r="C93" i="42"/>
  <c r="M81" i="42"/>
  <c r="M80" i="42" s="1"/>
  <c r="L81" i="42"/>
  <c r="L80" i="42" s="1"/>
  <c r="K81" i="42"/>
  <c r="K80" i="42" s="1"/>
  <c r="J81" i="42"/>
  <c r="J80" i="42" s="1"/>
  <c r="I81" i="42"/>
  <c r="I80" i="42" s="1"/>
  <c r="H81" i="42"/>
  <c r="H80" i="42" s="1"/>
  <c r="G81" i="42"/>
  <c r="G80" i="42" s="1"/>
  <c r="F81" i="42"/>
  <c r="F80" i="42" s="1"/>
  <c r="E81" i="42"/>
  <c r="E80" i="42" s="1"/>
  <c r="D81" i="42"/>
  <c r="D80" i="42" s="1"/>
  <c r="C81" i="42"/>
  <c r="C80" i="42" s="1"/>
  <c r="M78" i="42"/>
  <c r="L78" i="42"/>
  <c r="K78" i="42"/>
  <c r="J78" i="42"/>
  <c r="I78" i="42"/>
  <c r="H78" i="42"/>
  <c r="G78" i="42"/>
  <c r="F78" i="42"/>
  <c r="E78" i="42"/>
  <c r="D78" i="42"/>
  <c r="C78" i="42"/>
  <c r="H77" i="42"/>
  <c r="G77" i="42"/>
  <c r="F77" i="42"/>
  <c r="E77" i="42"/>
  <c r="D77" i="42"/>
  <c r="C77" i="42"/>
  <c r="F76" i="42"/>
  <c r="E76" i="42"/>
  <c r="D76" i="42"/>
  <c r="C76" i="42"/>
  <c r="M75" i="42"/>
  <c r="L75" i="42"/>
  <c r="K75" i="42"/>
  <c r="J75" i="42"/>
  <c r="I75" i="42"/>
  <c r="H75" i="42"/>
  <c r="G75" i="42"/>
  <c r="F75" i="42"/>
  <c r="E75" i="42"/>
  <c r="D75" i="42"/>
  <c r="C75" i="42"/>
  <c r="M73" i="42"/>
  <c r="L73" i="42"/>
  <c r="K73" i="42"/>
  <c r="J73" i="42"/>
  <c r="I73" i="42"/>
  <c r="H73" i="42"/>
  <c r="G73" i="42"/>
  <c r="F73" i="42"/>
  <c r="E73" i="42"/>
  <c r="D73" i="42"/>
  <c r="C73" i="42"/>
  <c r="M70" i="42"/>
  <c r="L70" i="42"/>
  <c r="K70" i="42"/>
  <c r="J70" i="42"/>
  <c r="I70" i="42"/>
  <c r="H70" i="42"/>
  <c r="G70" i="42"/>
  <c r="F70" i="42"/>
  <c r="E70" i="42"/>
  <c r="C70" i="42"/>
  <c r="M69" i="42"/>
  <c r="L69" i="42"/>
  <c r="K69" i="42"/>
  <c r="J69" i="42"/>
  <c r="I69" i="42"/>
  <c r="H69" i="42"/>
  <c r="G69" i="42"/>
  <c r="F69" i="42"/>
  <c r="E69" i="42"/>
  <c r="C69" i="42"/>
  <c r="M68" i="42"/>
  <c r="L68" i="42"/>
  <c r="K68" i="42"/>
  <c r="J68" i="42"/>
  <c r="I68" i="42"/>
  <c r="H68" i="42"/>
  <c r="G68" i="42"/>
  <c r="F68" i="42"/>
  <c r="E68" i="42"/>
  <c r="D68" i="42"/>
  <c r="C68" i="42"/>
  <c r="M67" i="42"/>
  <c r="L67" i="42"/>
  <c r="K67" i="42"/>
  <c r="J67" i="42"/>
  <c r="I67" i="42"/>
  <c r="H67" i="42"/>
  <c r="G67" i="42"/>
  <c r="F67" i="42"/>
  <c r="E67" i="42"/>
  <c r="D67" i="42"/>
  <c r="C67" i="42"/>
  <c r="J66" i="42"/>
  <c r="I66" i="42"/>
  <c r="H66" i="42"/>
  <c r="G66" i="42"/>
  <c r="F66" i="42"/>
  <c r="E66" i="42"/>
  <c r="D66" i="42"/>
  <c r="C66" i="42"/>
  <c r="M65" i="42"/>
  <c r="L65" i="42"/>
  <c r="K65" i="42"/>
  <c r="J65" i="42"/>
  <c r="I65" i="42"/>
  <c r="H65" i="42"/>
  <c r="G65" i="42"/>
  <c r="F65" i="42"/>
  <c r="E65" i="42"/>
  <c r="D65" i="42"/>
  <c r="C65" i="42"/>
  <c r="M64" i="42"/>
  <c r="L64" i="42"/>
  <c r="K64" i="42"/>
  <c r="J64" i="42"/>
  <c r="I64" i="42"/>
  <c r="H64" i="42"/>
  <c r="G64" i="42"/>
  <c r="F64" i="42"/>
  <c r="E64" i="42"/>
  <c r="D64" i="42"/>
  <c r="C64" i="42"/>
  <c r="M63" i="42"/>
  <c r="L63" i="42"/>
  <c r="K63" i="42"/>
  <c r="J63" i="42"/>
  <c r="I63" i="42"/>
  <c r="H63" i="42"/>
  <c r="G63" i="42"/>
  <c r="F63" i="42"/>
  <c r="E63" i="42"/>
  <c r="D63" i="42"/>
  <c r="C63" i="42"/>
  <c r="M62" i="42"/>
  <c r="L62" i="42"/>
  <c r="K62" i="42"/>
  <c r="J62" i="42"/>
  <c r="I62" i="42"/>
  <c r="H62" i="42"/>
  <c r="G62" i="42"/>
  <c r="F62" i="42"/>
  <c r="E62" i="42"/>
  <c r="D62" i="42"/>
  <c r="C62" i="42"/>
  <c r="M61" i="42"/>
  <c r="L61" i="42"/>
  <c r="K61" i="42"/>
  <c r="J61" i="42"/>
  <c r="I61" i="42"/>
  <c r="H61" i="42"/>
  <c r="G61" i="42"/>
  <c r="F61" i="42"/>
  <c r="E61" i="42"/>
  <c r="D61" i="42"/>
  <c r="C61" i="42"/>
  <c r="M60" i="42"/>
  <c r="L60" i="42"/>
  <c r="K60" i="42"/>
  <c r="J60" i="42"/>
  <c r="I60" i="42"/>
  <c r="H60" i="42"/>
  <c r="G60" i="42"/>
  <c r="F60" i="42"/>
  <c r="E60" i="42"/>
  <c r="D60" i="42"/>
  <c r="C60" i="42"/>
  <c r="M59" i="42"/>
  <c r="L59" i="42"/>
  <c r="K59" i="42"/>
  <c r="J59" i="42"/>
  <c r="I59" i="42"/>
  <c r="H59" i="42"/>
  <c r="G59" i="42"/>
  <c r="F59" i="42"/>
  <c r="E59" i="42"/>
  <c r="D59" i="42"/>
  <c r="C59" i="42"/>
  <c r="M58" i="42"/>
  <c r="L58" i="42"/>
  <c r="K58" i="42"/>
  <c r="J58" i="42"/>
  <c r="I58" i="42"/>
  <c r="H58" i="42"/>
  <c r="G58" i="42"/>
  <c r="F58" i="42"/>
  <c r="E58" i="42"/>
  <c r="D58" i="42"/>
  <c r="C58" i="42"/>
  <c r="K53" i="42"/>
  <c r="M52" i="42"/>
  <c r="L52" i="42"/>
  <c r="K52" i="42"/>
  <c r="J52" i="42"/>
  <c r="G52" i="42"/>
  <c r="E52" i="42"/>
  <c r="M51" i="42"/>
  <c r="L51" i="42"/>
  <c r="K51" i="42"/>
  <c r="J51" i="42"/>
  <c r="I51" i="42"/>
  <c r="H51" i="42"/>
  <c r="G51" i="42"/>
  <c r="F51" i="42"/>
  <c r="E51" i="42"/>
  <c r="D51" i="42"/>
  <c r="C51" i="42"/>
  <c r="M50" i="42"/>
  <c r="L50" i="42"/>
  <c r="K50" i="42"/>
  <c r="J50" i="42"/>
  <c r="I50" i="42"/>
  <c r="H50" i="42"/>
  <c r="G50" i="42"/>
  <c r="F50" i="42"/>
  <c r="E50" i="42"/>
  <c r="D50" i="42"/>
  <c r="C50" i="42"/>
  <c r="M49" i="42"/>
  <c r="L49" i="42"/>
  <c r="K49" i="42"/>
  <c r="J49" i="42"/>
  <c r="I49" i="42"/>
  <c r="H49" i="42"/>
  <c r="G49" i="42"/>
  <c r="F49" i="42"/>
  <c r="E49" i="42"/>
  <c r="D49" i="42"/>
  <c r="C49" i="42"/>
  <c r="M48" i="42"/>
  <c r="L48" i="42"/>
  <c r="K48" i="42"/>
  <c r="J48" i="42"/>
  <c r="I48" i="42"/>
  <c r="H48" i="42"/>
  <c r="G48" i="42"/>
  <c r="F48" i="42"/>
  <c r="E48" i="42"/>
  <c r="D48" i="42"/>
  <c r="C48" i="42"/>
  <c r="M47" i="42"/>
  <c r="L47" i="42"/>
  <c r="K47" i="42"/>
  <c r="J47" i="42"/>
  <c r="I47" i="42"/>
  <c r="H47" i="42"/>
  <c r="G47" i="42"/>
  <c r="F47" i="42"/>
  <c r="E47" i="42"/>
  <c r="D47" i="42"/>
  <c r="C47" i="42"/>
  <c r="M46" i="42"/>
  <c r="L46" i="42"/>
  <c r="K46" i="42"/>
  <c r="J46" i="42"/>
  <c r="I46" i="42"/>
  <c r="H46" i="42"/>
  <c r="G46" i="42"/>
  <c r="F46" i="42"/>
  <c r="E46" i="42"/>
  <c r="D46" i="42"/>
  <c r="C46" i="42"/>
  <c r="M45" i="42"/>
  <c r="L45" i="42"/>
  <c r="K45" i="42"/>
  <c r="J45" i="42"/>
  <c r="I45" i="42"/>
  <c r="H45" i="42"/>
  <c r="G45" i="42"/>
  <c r="F45" i="42"/>
  <c r="E45" i="42"/>
  <c r="D45" i="42"/>
  <c r="C45" i="42"/>
  <c r="F44" i="42"/>
  <c r="E44" i="42"/>
  <c r="D44" i="42"/>
  <c r="C44" i="42"/>
  <c r="M43" i="42"/>
  <c r="L43" i="42"/>
  <c r="K43" i="42"/>
  <c r="J43" i="42"/>
  <c r="I43" i="42"/>
  <c r="H43" i="42"/>
  <c r="G43" i="42"/>
  <c r="F43" i="42"/>
  <c r="E43" i="42"/>
  <c r="D43" i="42"/>
  <c r="C43" i="42"/>
  <c r="M42" i="42"/>
  <c r="L42" i="42"/>
  <c r="K42" i="42"/>
  <c r="J42" i="42"/>
  <c r="I42" i="42"/>
  <c r="H42" i="42"/>
  <c r="G42" i="42"/>
  <c r="F42" i="42"/>
  <c r="E42" i="42"/>
  <c r="D42" i="42"/>
  <c r="C42" i="42"/>
  <c r="M41" i="42"/>
  <c r="L41" i="42"/>
  <c r="K41" i="42"/>
  <c r="J41" i="42"/>
  <c r="I41" i="42"/>
  <c r="H41" i="42"/>
  <c r="G41" i="42"/>
  <c r="F41" i="42"/>
  <c r="E41" i="42"/>
  <c r="D41" i="42"/>
  <c r="C41" i="42"/>
  <c r="M40" i="42"/>
  <c r="L40" i="42"/>
  <c r="K40" i="42"/>
  <c r="J40" i="42"/>
  <c r="I40" i="42"/>
  <c r="H40" i="42"/>
  <c r="G40" i="42"/>
  <c r="F40" i="42"/>
  <c r="E40" i="42"/>
  <c r="D40" i="42"/>
  <c r="C40" i="42"/>
  <c r="M39" i="42"/>
  <c r="L39" i="42"/>
  <c r="K39" i="42"/>
  <c r="J39" i="42"/>
  <c r="I39" i="42"/>
  <c r="H39" i="42"/>
  <c r="G39" i="42"/>
  <c r="F39" i="42"/>
  <c r="E39" i="42"/>
  <c r="D39" i="42"/>
  <c r="C39" i="42"/>
  <c r="M38" i="42"/>
  <c r="L38" i="42"/>
  <c r="K38" i="42"/>
  <c r="J38" i="42"/>
  <c r="I38" i="42"/>
  <c r="H38" i="42"/>
  <c r="G38" i="42"/>
  <c r="F38" i="42"/>
  <c r="E38" i="42"/>
  <c r="D38" i="42"/>
  <c r="C38" i="42"/>
  <c r="M37" i="42"/>
  <c r="M36" i="42" s="1"/>
  <c r="L37" i="42"/>
  <c r="K37" i="42"/>
  <c r="J37" i="42"/>
  <c r="I37" i="42"/>
  <c r="H37" i="42"/>
  <c r="G37" i="42"/>
  <c r="F37" i="42"/>
  <c r="E37" i="42"/>
  <c r="D37" i="42"/>
  <c r="C37" i="42"/>
  <c r="M34" i="42"/>
  <c r="L34" i="42"/>
  <c r="K34" i="42"/>
  <c r="J34" i="42"/>
  <c r="I34" i="42"/>
  <c r="H34" i="42"/>
  <c r="G34" i="42"/>
  <c r="F34" i="42"/>
  <c r="E34" i="42"/>
  <c r="D34" i="42"/>
  <c r="C34" i="42"/>
  <c r="M33" i="42"/>
  <c r="L33" i="42"/>
  <c r="K33" i="42"/>
  <c r="J33" i="42"/>
  <c r="I33" i="42"/>
  <c r="H33" i="42"/>
  <c r="G33" i="42"/>
  <c r="F33" i="42"/>
  <c r="E33" i="42"/>
  <c r="D33" i="42"/>
  <c r="C33" i="42"/>
  <c r="M30" i="42"/>
  <c r="L30" i="42"/>
  <c r="K30" i="42"/>
  <c r="J30" i="42"/>
  <c r="I30" i="42"/>
  <c r="H30" i="42"/>
  <c r="G30" i="42"/>
  <c r="F30" i="42"/>
  <c r="E30" i="42"/>
  <c r="D30" i="42"/>
  <c r="C30" i="42"/>
  <c r="M29" i="42"/>
  <c r="L29" i="42"/>
  <c r="K29" i="42"/>
  <c r="J29" i="42"/>
  <c r="I29" i="42"/>
  <c r="H29" i="42"/>
  <c r="G29" i="42"/>
  <c r="F29" i="42"/>
  <c r="E29" i="42"/>
  <c r="D29" i="42"/>
  <c r="C29" i="42"/>
  <c r="M28" i="42"/>
  <c r="L28" i="42"/>
  <c r="K28" i="42"/>
  <c r="J28" i="42"/>
  <c r="I28" i="42"/>
  <c r="H28" i="42"/>
  <c r="G28" i="42"/>
  <c r="F28" i="42"/>
  <c r="E28" i="42"/>
  <c r="D28" i="42"/>
  <c r="C28" i="42"/>
  <c r="M27" i="42"/>
  <c r="L27" i="42"/>
  <c r="K27" i="42"/>
  <c r="J27" i="42"/>
  <c r="I27" i="42"/>
  <c r="H27" i="42"/>
  <c r="G27" i="42"/>
  <c r="F27" i="42"/>
  <c r="E27" i="42"/>
  <c r="D27" i="42"/>
  <c r="C27" i="42"/>
  <c r="M26" i="42"/>
  <c r="L26" i="42"/>
  <c r="K26" i="42"/>
  <c r="J26" i="42"/>
  <c r="I26" i="42"/>
  <c r="H26" i="42"/>
  <c r="G26" i="42"/>
  <c r="F26" i="42"/>
  <c r="E26" i="42"/>
  <c r="D26" i="42"/>
  <c r="C26" i="42"/>
  <c r="M25" i="42"/>
  <c r="L25" i="42"/>
  <c r="K25" i="42"/>
  <c r="J25" i="42"/>
  <c r="I25" i="42"/>
  <c r="H25" i="42"/>
  <c r="G25" i="42"/>
  <c r="F25" i="42"/>
  <c r="E25" i="42"/>
  <c r="D25" i="42"/>
  <c r="C25" i="42"/>
  <c r="M24" i="42"/>
  <c r="L24" i="42"/>
  <c r="K24" i="42"/>
  <c r="J24" i="42"/>
  <c r="I24" i="42"/>
  <c r="H24" i="42"/>
  <c r="G24" i="42"/>
  <c r="F24" i="42"/>
  <c r="E24" i="42"/>
  <c r="D24" i="42"/>
  <c r="C24" i="42"/>
  <c r="M23" i="42"/>
  <c r="L23" i="42"/>
  <c r="K23" i="42"/>
  <c r="J23" i="42"/>
  <c r="I23" i="42"/>
  <c r="H23" i="42"/>
  <c r="G23" i="42"/>
  <c r="F23" i="42"/>
  <c r="E23" i="42"/>
  <c r="D23" i="42"/>
  <c r="C23" i="42"/>
  <c r="M22" i="42"/>
  <c r="L22" i="42"/>
  <c r="K22" i="42"/>
  <c r="J22" i="42"/>
  <c r="I22" i="42"/>
  <c r="H22" i="42"/>
  <c r="G22" i="42"/>
  <c r="F22" i="42"/>
  <c r="E22" i="42"/>
  <c r="D22" i="42"/>
  <c r="C22" i="42"/>
  <c r="M21" i="42"/>
  <c r="L21" i="42"/>
  <c r="K21" i="42"/>
  <c r="J21" i="42"/>
  <c r="I21" i="42"/>
  <c r="H21" i="42"/>
  <c r="G21" i="42"/>
  <c r="F21" i="42"/>
  <c r="E21" i="42"/>
  <c r="D21" i="42"/>
  <c r="C21" i="42"/>
  <c r="M20" i="42"/>
  <c r="L20" i="42"/>
  <c r="K20" i="42"/>
  <c r="J20" i="42"/>
  <c r="I20" i="42"/>
  <c r="H20" i="42"/>
  <c r="G20" i="42"/>
  <c r="F20" i="42"/>
  <c r="E20" i="42"/>
  <c r="D20" i="42"/>
  <c r="C20" i="42"/>
  <c r="M19" i="42"/>
  <c r="L19" i="42"/>
  <c r="K19" i="42"/>
  <c r="J19" i="42"/>
  <c r="I19" i="42"/>
  <c r="H19" i="42"/>
  <c r="G19" i="42"/>
  <c r="F19" i="42"/>
  <c r="E19" i="42"/>
  <c r="D19" i="42"/>
  <c r="C19" i="42"/>
  <c r="M18" i="42"/>
  <c r="L18" i="42"/>
  <c r="K18" i="42"/>
  <c r="J18" i="42"/>
  <c r="I18" i="42"/>
  <c r="H18" i="42"/>
  <c r="G18" i="42"/>
  <c r="F18" i="42"/>
  <c r="E18" i="42"/>
  <c r="D18" i="42"/>
  <c r="C18" i="42"/>
  <c r="M17" i="42"/>
  <c r="L17" i="42"/>
  <c r="K17" i="42"/>
  <c r="J17" i="42"/>
  <c r="I17" i="42"/>
  <c r="H17" i="42"/>
  <c r="G17" i="42"/>
  <c r="F17" i="42"/>
  <c r="E17" i="42"/>
  <c r="D17" i="42"/>
  <c r="C17" i="42"/>
  <c r="M16" i="42"/>
  <c r="L16" i="42"/>
  <c r="K16" i="42"/>
  <c r="J16" i="42"/>
  <c r="I16" i="42"/>
  <c r="H16" i="42"/>
  <c r="G16" i="42"/>
  <c r="F16" i="42"/>
  <c r="E16" i="42"/>
  <c r="D16" i="42"/>
  <c r="C16" i="42"/>
  <c r="M15" i="42"/>
  <c r="L15" i="42"/>
  <c r="K15" i="42"/>
  <c r="J15" i="42"/>
  <c r="I15" i="42"/>
  <c r="H15" i="42"/>
  <c r="G15" i="42"/>
  <c r="F15" i="42"/>
  <c r="E15" i="42"/>
  <c r="D15" i="42"/>
  <c r="C15" i="42"/>
  <c r="M14" i="42"/>
  <c r="L14" i="42"/>
  <c r="K14" i="42"/>
  <c r="J14" i="42"/>
  <c r="I14" i="42"/>
  <c r="H14" i="42"/>
  <c r="G14" i="42"/>
  <c r="F14" i="42"/>
  <c r="E14" i="42"/>
  <c r="D14" i="42"/>
  <c r="C14" i="42"/>
  <c r="M13" i="42"/>
  <c r="L13" i="42"/>
  <c r="K13" i="42"/>
  <c r="J13" i="42"/>
  <c r="I13" i="42"/>
  <c r="H13" i="42"/>
  <c r="G13" i="42"/>
  <c r="F13" i="42"/>
  <c r="E13" i="42"/>
  <c r="D13" i="42"/>
  <c r="C13" i="42"/>
  <c r="M12" i="42"/>
  <c r="L12" i="42"/>
  <c r="K12" i="42"/>
  <c r="J12" i="42"/>
  <c r="I12" i="42"/>
  <c r="H12" i="42"/>
  <c r="G12" i="42"/>
  <c r="F12" i="42"/>
  <c r="E12" i="42"/>
  <c r="D12" i="42"/>
  <c r="C12" i="42"/>
  <c r="M11" i="42"/>
  <c r="L11" i="42"/>
  <c r="K11" i="42"/>
  <c r="J11" i="42"/>
  <c r="I11" i="42"/>
  <c r="H11" i="42"/>
  <c r="G11" i="42"/>
  <c r="F11" i="42"/>
  <c r="E11" i="42"/>
  <c r="D11" i="42"/>
  <c r="C11" i="42"/>
  <c r="G120" i="41"/>
  <c r="F120" i="41"/>
  <c r="E120" i="41"/>
  <c r="D120" i="41" s="1"/>
  <c r="G118" i="41"/>
  <c r="F118" i="41"/>
  <c r="E118" i="41"/>
  <c r="G116" i="41"/>
  <c r="F116" i="41"/>
  <c r="E116" i="41"/>
  <c r="G114" i="41"/>
  <c r="F114" i="41"/>
  <c r="E114" i="41"/>
  <c r="G112" i="41"/>
  <c r="F112" i="41"/>
  <c r="E112" i="41"/>
  <c r="G110" i="41"/>
  <c r="F110" i="41"/>
  <c r="E110" i="41"/>
  <c r="G108" i="41"/>
  <c r="F108" i="41"/>
  <c r="E108" i="41"/>
  <c r="G106" i="41"/>
  <c r="F106" i="41"/>
  <c r="E106" i="41"/>
  <c r="G104" i="41"/>
  <c r="F104" i="41"/>
  <c r="E104" i="41"/>
  <c r="G102" i="41"/>
  <c r="F102" i="41"/>
  <c r="E102" i="41"/>
  <c r="G100" i="41"/>
  <c r="F100" i="41"/>
  <c r="E100" i="41"/>
  <c r="G98" i="41"/>
  <c r="F98" i="41"/>
  <c r="E98" i="41"/>
  <c r="G95" i="41"/>
  <c r="F95" i="41"/>
  <c r="E95" i="41"/>
  <c r="G93" i="41"/>
  <c r="F93" i="41"/>
  <c r="E93" i="41"/>
  <c r="G86" i="41"/>
  <c r="F86" i="41"/>
  <c r="E86" i="41"/>
  <c r="G85" i="41"/>
  <c r="F85" i="41"/>
  <c r="E85" i="41"/>
  <c r="G84" i="41"/>
  <c r="F84" i="41"/>
  <c r="E84" i="41"/>
  <c r="G83" i="41"/>
  <c r="F83" i="41"/>
  <c r="E83" i="41"/>
  <c r="G82" i="41"/>
  <c r="F82" i="41"/>
  <c r="E82" i="41"/>
  <c r="G81" i="41"/>
  <c r="F81" i="41"/>
  <c r="E81" i="41"/>
  <c r="G80" i="41"/>
  <c r="F80" i="41"/>
  <c r="E80" i="41"/>
  <c r="G79" i="41"/>
  <c r="F79" i="41"/>
  <c r="E79" i="41"/>
  <c r="G78" i="41"/>
  <c r="F78" i="41"/>
  <c r="E78" i="41"/>
  <c r="G77" i="41"/>
  <c r="F77" i="41"/>
  <c r="E77" i="41"/>
  <c r="G76" i="41"/>
  <c r="F76" i="41"/>
  <c r="E76" i="41"/>
  <c r="G75" i="41"/>
  <c r="F75" i="41"/>
  <c r="E75" i="41"/>
  <c r="G74" i="41"/>
  <c r="F74" i="41"/>
  <c r="E74" i="41"/>
  <c r="G73" i="41"/>
  <c r="F73" i="41"/>
  <c r="E73" i="41"/>
  <c r="G72" i="41"/>
  <c r="F72" i="41"/>
  <c r="E72" i="41"/>
  <c r="G71" i="41"/>
  <c r="F71" i="41"/>
  <c r="E71" i="41"/>
  <c r="G70" i="41"/>
  <c r="F70" i="41"/>
  <c r="E70" i="41"/>
  <c r="G69" i="41"/>
  <c r="F69" i="41"/>
  <c r="E69" i="41"/>
  <c r="G68" i="41"/>
  <c r="F68" i="41"/>
  <c r="E68" i="41"/>
  <c r="G67" i="41"/>
  <c r="F67" i="41"/>
  <c r="E67" i="41"/>
  <c r="G66" i="41"/>
  <c r="F66" i="41"/>
  <c r="E66" i="41"/>
  <c r="G64" i="41"/>
  <c r="F64" i="41"/>
  <c r="E64" i="41"/>
  <c r="G63" i="41"/>
  <c r="F63" i="41"/>
  <c r="E63" i="41"/>
  <c r="G62" i="41"/>
  <c r="F62" i="41"/>
  <c r="E62" i="41"/>
  <c r="G61" i="41"/>
  <c r="F61" i="41"/>
  <c r="E61" i="41"/>
  <c r="G59" i="41"/>
  <c r="F59" i="41"/>
  <c r="E59" i="41"/>
  <c r="G58" i="41"/>
  <c r="F58" i="41"/>
  <c r="E58" i="41"/>
  <c r="G57" i="41"/>
  <c r="F57" i="41"/>
  <c r="E57" i="41"/>
  <c r="G55" i="41"/>
  <c r="F55" i="41"/>
  <c r="E55" i="41"/>
  <c r="G54" i="41"/>
  <c r="F54" i="41"/>
  <c r="E54" i="41"/>
  <c r="G53" i="41"/>
  <c r="F53" i="41"/>
  <c r="E53" i="41"/>
  <c r="G52" i="41"/>
  <c r="F52" i="41"/>
  <c r="E52" i="41"/>
  <c r="G51" i="41"/>
  <c r="F51" i="41"/>
  <c r="E51" i="41"/>
  <c r="G50" i="41"/>
  <c r="F50" i="41"/>
  <c r="E50" i="41"/>
  <c r="G49" i="41"/>
  <c r="F49" i="41"/>
  <c r="E49" i="41"/>
  <c r="G48" i="41"/>
  <c r="F48" i="41"/>
  <c r="E48" i="41"/>
  <c r="G47" i="41"/>
  <c r="F47" i="41"/>
  <c r="E47" i="41"/>
  <c r="G46" i="41"/>
  <c r="F46" i="41"/>
  <c r="E46" i="41"/>
  <c r="G45" i="41"/>
  <c r="F45" i="41"/>
  <c r="E45" i="41"/>
  <c r="G44" i="41"/>
  <c r="F44" i="41"/>
  <c r="E44" i="41"/>
  <c r="G43" i="41"/>
  <c r="F43" i="41"/>
  <c r="E43" i="41"/>
  <c r="G42" i="41"/>
  <c r="F42" i="41"/>
  <c r="E42" i="41"/>
  <c r="G41" i="41"/>
  <c r="F41" i="41"/>
  <c r="E41" i="41"/>
  <c r="G40" i="41"/>
  <c r="F40" i="41"/>
  <c r="E40" i="41"/>
  <c r="G38" i="41"/>
  <c r="F38" i="41"/>
  <c r="E38" i="41"/>
  <c r="G37" i="41"/>
  <c r="F37" i="41"/>
  <c r="E37" i="41"/>
  <c r="G36" i="41"/>
  <c r="F36" i="41"/>
  <c r="E36" i="41"/>
  <c r="G35" i="41"/>
  <c r="F35" i="41"/>
  <c r="E35" i="41"/>
  <c r="G34" i="41"/>
  <c r="F34" i="41"/>
  <c r="E34" i="41"/>
  <c r="G33" i="41"/>
  <c r="F33" i="41"/>
  <c r="E33" i="41"/>
  <c r="G32" i="41"/>
  <c r="F32" i="41"/>
  <c r="E32" i="41"/>
  <c r="G31" i="41"/>
  <c r="F31" i="41"/>
  <c r="E31" i="41"/>
  <c r="G30" i="41"/>
  <c r="F30" i="41"/>
  <c r="E30" i="41"/>
  <c r="G29" i="41"/>
  <c r="F29" i="41"/>
  <c r="E29" i="41"/>
  <c r="D29" i="41" s="1"/>
  <c r="G28" i="41"/>
  <c r="F28" i="41"/>
  <c r="E28" i="41"/>
  <c r="G27" i="41"/>
  <c r="F27" i="41"/>
  <c r="E27" i="41"/>
  <c r="G26" i="41"/>
  <c r="F26" i="41"/>
  <c r="E26" i="41"/>
  <c r="G25" i="41"/>
  <c r="F25" i="41"/>
  <c r="E25" i="41"/>
  <c r="G24" i="41"/>
  <c r="F24" i="41"/>
  <c r="E24" i="41"/>
  <c r="G23" i="41"/>
  <c r="F23" i="41"/>
  <c r="E23" i="41"/>
  <c r="G22" i="41"/>
  <c r="F22" i="41"/>
  <c r="E22" i="41"/>
  <c r="G21" i="41"/>
  <c r="F21" i="41"/>
  <c r="E21" i="41"/>
  <c r="D21" i="41" s="1"/>
  <c r="G20" i="41"/>
  <c r="F20" i="41"/>
  <c r="E20" i="41"/>
  <c r="G16" i="41"/>
  <c r="F16" i="41"/>
  <c r="E16" i="41"/>
  <c r="G15" i="41"/>
  <c r="F15" i="41"/>
  <c r="E15" i="41"/>
  <c r="G13" i="41"/>
  <c r="F13" i="41"/>
  <c r="E13" i="41"/>
  <c r="G12" i="41"/>
  <c r="F12" i="41"/>
  <c r="E12" i="41"/>
  <c r="G11" i="41"/>
  <c r="F11" i="41"/>
  <c r="E11" i="41"/>
  <c r="E10" i="41"/>
  <c r="F10" i="41"/>
  <c r="G10" i="41"/>
  <c r="K120" i="41"/>
  <c r="J120" i="41"/>
  <c r="I120" i="41"/>
  <c r="K118" i="41"/>
  <c r="J118" i="41"/>
  <c r="I118" i="41"/>
  <c r="K116" i="41"/>
  <c r="J116" i="41"/>
  <c r="I116" i="41"/>
  <c r="K114" i="41"/>
  <c r="J114" i="41"/>
  <c r="I114" i="41"/>
  <c r="K112" i="41"/>
  <c r="J112" i="41"/>
  <c r="I112" i="41"/>
  <c r="K110" i="41"/>
  <c r="J110" i="41"/>
  <c r="I110" i="41"/>
  <c r="K108" i="41"/>
  <c r="J108" i="41"/>
  <c r="I108" i="41"/>
  <c r="K106" i="41"/>
  <c r="J106" i="41"/>
  <c r="I106" i="41"/>
  <c r="K104" i="41"/>
  <c r="J104" i="41"/>
  <c r="I104" i="41"/>
  <c r="K102" i="41"/>
  <c r="J102" i="41"/>
  <c r="I102" i="41"/>
  <c r="K100" i="41"/>
  <c r="J100" i="41"/>
  <c r="I100" i="41"/>
  <c r="H100" i="41" s="1"/>
  <c r="K98" i="41"/>
  <c r="J98" i="41"/>
  <c r="I98" i="41"/>
  <c r="K95" i="41"/>
  <c r="J95" i="41"/>
  <c r="I95" i="41"/>
  <c r="K93" i="41"/>
  <c r="J93" i="41"/>
  <c r="I93" i="41"/>
  <c r="K86" i="41"/>
  <c r="J86" i="41"/>
  <c r="I86" i="41"/>
  <c r="K85" i="41"/>
  <c r="J85" i="41"/>
  <c r="I85" i="41"/>
  <c r="K84" i="41"/>
  <c r="J84" i="41"/>
  <c r="I84" i="41"/>
  <c r="K83" i="41"/>
  <c r="J83" i="41"/>
  <c r="I83" i="41"/>
  <c r="K82" i="41"/>
  <c r="J82" i="41"/>
  <c r="I82" i="41"/>
  <c r="K81" i="41"/>
  <c r="J81" i="41"/>
  <c r="I81" i="41"/>
  <c r="K80" i="41"/>
  <c r="J80" i="41"/>
  <c r="I80" i="41"/>
  <c r="K79" i="41"/>
  <c r="J79" i="41"/>
  <c r="I79" i="41"/>
  <c r="K78" i="41"/>
  <c r="J78" i="41"/>
  <c r="I78" i="41"/>
  <c r="K77" i="41"/>
  <c r="J77" i="41"/>
  <c r="I77" i="41"/>
  <c r="K76" i="41"/>
  <c r="J76" i="41"/>
  <c r="I76" i="41"/>
  <c r="K75" i="41"/>
  <c r="J75" i="41"/>
  <c r="I75" i="41"/>
  <c r="K74" i="41"/>
  <c r="J74" i="41"/>
  <c r="I74" i="41"/>
  <c r="K73" i="41"/>
  <c r="J73" i="41"/>
  <c r="I73" i="41"/>
  <c r="K72" i="41"/>
  <c r="J72" i="41"/>
  <c r="I72" i="41"/>
  <c r="K71" i="41"/>
  <c r="J71" i="41"/>
  <c r="I71" i="41"/>
  <c r="K70" i="41"/>
  <c r="J70" i="41"/>
  <c r="I70" i="41"/>
  <c r="K69" i="41"/>
  <c r="J69" i="41"/>
  <c r="I69" i="41"/>
  <c r="K68" i="41"/>
  <c r="J68" i="41"/>
  <c r="I68" i="41"/>
  <c r="K67" i="41"/>
  <c r="J67" i="41"/>
  <c r="I67" i="41"/>
  <c r="K66" i="41"/>
  <c r="J66" i="41"/>
  <c r="I66" i="41"/>
  <c r="K64" i="41"/>
  <c r="J64" i="41"/>
  <c r="I64" i="41"/>
  <c r="K63" i="41"/>
  <c r="J63" i="41"/>
  <c r="I63" i="41"/>
  <c r="K62" i="41"/>
  <c r="J62" i="41"/>
  <c r="I62" i="41"/>
  <c r="K61" i="41"/>
  <c r="J61" i="41"/>
  <c r="I61" i="41"/>
  <c r="K59" i="41"/>
  <c r="J59" i="41"/>
  <c r="I59" i="41"/>
  <c r="K58" i="41"/>
  <c r="J58" i="41"/>
  <c r="I58" i="41"/>
  <c r="K57" i="41"/>
  <c r="J57" i="41"/>
  <c r="I57" i="41"/>
  <c r="K55" i="41"/>
  <c r="J55" i="41"/>
  <c r="I55" i="41"/>
  <c r="K54" i="41"/>
  <c r="J54" i="41"/>
  <c r="I54" i="41"/>
  <c r="K53" i="41"/>
  <c r="J53" i="41"/>
  <c r="I53" i="41"/>
  <c r="K52" i="41"/>
  <c r="J52" i="41"/>
  <c r="I52" i="41"/>
  <c r="K51" i="41"/>
  <c r="J51" i="41"/>
  <c r="I51" i="41"/>
  <c r="K50" i="41"/>
  <c r="J50" i="41"/>
  <c r="I50" i="41"/>
  <c r="K49" i="41"/>
  <c r="J49" i="41"/>
  <c r="I49" i="41"/>
  <c r="K48" i="41"/>
  <c r="J48" i="41"/>
  <c r="I48" i="41"/>
  <c r="K47" i="41"/>
  <c r="J47" i="41"/>
  <c r="I47" i="41"/>
  <c r="K46" i="41"/>
  <c r="J46" i="41"/>
  <c r="I46" i="41"/>
  <c r="H46" i="41" s="1"/>
  <c r="K45" i="41"/>
  <c r="J45" i="41"/>
  <c r="I45" i="41"/>
  <c r="K44" i="41"/>
  <c r="J44" i="41"/>
  <c r="I44" i="41"/>
  <c r="K43" i="41"/>
  <c r="J43" i="41"/>
  <c r="I43" i="41"/>
  <c r="K42" i="41"/>
  <c r="J42" i="41"/>
  <c r="I42" i="41"/>
  <c r="K41" i="41"/>
  <c r="J41" i="41"/>
  <c r="I41" i="41"/>
  <c r="K40" i="41"/>
  <c r="J40" i="41"/>
  <c r="I40" i="41"/>
  <c r="K38" i="41"/>
  <c r="J38" i="41"/>
  <c r="I38" i="41"/>
  <c r="K37" i="41"/>
  <c r="J37" i="41"/>
  <c r="I37" i="41"/>
  <c r="H37" i="41" s="1"/>
  <c r="K36" i="41"/>
  <c r="J36" i="41"/>
  <c r="I36" i="41"/>
  <c r="K35" i="41"/>
  <c r="J35" i="41"/>
  <c r="I35" i="41"/>
  <c r="K34" i="41"/>
  <c r="J34" i="41"/>
  <c r="I34" i="41"/>
  <c r="K33" i="41"/>
  <c r="J33" i="41"/>
  <c r="I33" i="41"/>
  <c r="K32" i="41"/>
  <c r="J32" i="41"/>
  <c r="I32" i="41"/>
  <c r="K31" i="41"/>
  <c r="J31" i="41"/>
  <c r="I31" i="41"/>
  <c r="K30" i="41"/>
  <c r="J30" i="41"/>
  <c r="I30" i="41"/>
  <c r="K29" i="41"/>
  <c r="J29" i="41"/>
  <c r="I29" i="41"/>
  <c r="K28" i="41"/>
  <c r="J28" i="41"/>
  <c r="I28" i="41"/>
  <c r="K27" i="41"/>
  <c r="J27" i="41"/>
  <c r="I27" i="41"/>
  <c r="K26" i="41"/>
  <c r="J26" i="41"/>
  <c r="I26" i="41"/>
  <c r="K25" i="41"/>
  <c r="J25" i="41"/>
  <c r="I25" i="41"/>
  <c r="K24" i="41"/>
  <c r="J24" i="41"/>
  <c r="I24" i="41"/>
  <c r="K23" i="41"/>
  <c r="J23" i="41"/>
  <c r="I23" i="41"/>
  <c r="K22" i="41"/>
  <c r="J22" i="41"/>
  <c r="I22" i="41"/>
  <c r="K21" i="41"/>
  <c r="J21" i="41"/>
  <c r="I21" i="41"/>
  <c r="K20" i="41"/>
  <c r="J20" i="41"/>
  <c r="I20" i="41"/>
  <c r="K16" i="41"/>
  <c r="J16" i="41"/>
  <c r="I16" i="41"/>
  <c r="K15" i="41"/>
  <c r="J15" i="41"/>
  <c r="I15" i="41"/>
  <c r="I13" i="41"/>
  <c r="I12" i="41"/>
  <c r="I11" i="41"/>
  <c r="I10" i="41"/>
  <c r="I14" i="41" s="1"/>
  <c r="J10" i="41"/>
  <c r="K10" i="41"/>
  <c r="O120" i="41"/>
  <c r="N120" i="41"/>
  <c r="M120" i="41"/>
  <c r="O118" i="41"/>
  <c r="N118" i="41"/>
  <c r="M118" i="41"/>
  <c r="O116" i="41"/>
  <c r="N116" i="41"/>
  <c r="M116" i="41"/>
  <c r="O114" i="41"/>
  <c r="N114" i="41"/>
  <c r="M114" i="41"/>
  <c r="O112" i="41"/>
  <c r="N112" i="41"/>
  <c r="M112" i="41"/>
  <c r="O110" i="41"/>
  <c r="N110" i="41"/>
  <c r="M110" i="41"/>
  <c r="O108" i="41"/>
  <c r="N108" i="41"/>
  <c r="M108" i="41"/>
  <c r="O106" i="41"/>
  <c r="N106" i="41"/>
  <c r="M106" i="41"/>
  <c r="O104" i="41"/>
  <c r="N104" i="41"/>
  <c r="M104" i="41"/>
  <c r="O102" i="41"/>
  <c r="N102" i="41"/>
  <c r="M102" i="41"/>
  <c r="O100" i="41"/>
  <c r="N100" i="41"/>
  <c r="M100" i="41"/>
  <c r="L100" i="41" s="1"/>
  <c r="O98" i="41"/>
  <c r="N98" i="41"/>
  <c r="M98" i="41"/>
  <c r="O95" i="41"/>
  <c r="N95" i="41"/>
  <c r="M95" i="41"/>
  <c r="O93" i="41"/>
  <c r="N93" i="41"/>
  <c r="M93" i="41"/>
  <c r="O86" i="41"/>
  <c r="N86" i="41"/>
  <c r="M86" i="41"/>
  <c r="O85" i="41"/>
  <c r="N85" i="41"/>
  <c r="M85" i="41"/>
  <c r="O84" i="41"/>
  <c r="N84" i="41"/>
  <c r="M84" i="41"/>
  <c r="O83" i="41"/>
  <c r="N83" i="41"/>
  <c r="M83" i="41"/>
  <c r="O82" i="41"/>
  <c r="N82" i="41"/>
  <c r="M82" i="41"/>
  <c r="O81" i="41"/>
  <c r="N81" i="41"/>
  <c r="M81" i="41"/>
  <c r="O80" i="41"/>
  <c r="N80" i="41"/>
  <c r="M80" i="41"/>
  <c r="O79" i="41"/>
  <c r="N79" i="41"/>
  <c r="M79" i="41"/>
  <c r="O78" i="41"/>
  <c r="N78" i="41"/>
  <c r="M78" i="41"/>
  <c r="O77" i="41"/>
  <c r="N77" i="41"/>
  <c r="M77" i="41"/>
  <c r="O76" i="41"/>
  <c r="N76" i="41"/>
  <c r="M76" i="41"/>
  <c r="O75" i="41"/>
  <c r="N75" i="41"/>
  <c r="M75" i="41"/>
  <c r="O74" i="41"/>
  <c r="N74" i="41"/>
  <c r="M74" i="41"/>
  <c r="L74" i="41" s="1"/>
  <c r="O73" i="41"/>
  <c r="N73" i="41"/>
  <c r="M73" i="41"/>
  <c r="O72" i="41"/>
  <c r="N72" i="41"/>
  <c r="M72" i="41"/>
  <c r="O71" i="41"/>
  <c r="N71" i="41"/>
  <c r="M71" i="41"/>
  <c r="O70" i="41"/>
  <c r="N70" i="41"/>
  <c r="M70" i="41"/>
  <c r="O69" i="41"/>
  <c r="N69" i="41"/>
  <c r="M69" i="41"/>
  <c r="O68" i="41"/>
  <c r="N68" i="41"/>
  <c r="M68" i="41"/>
  <c r="O67" i="41"/>
  <c r="N67" i="41"/>
  <c r="M67" i="41"/>
  <c r="O66" i="41"/>
  <c r="N66" i="41"/>
  <c r="M66" i="41"/>
  <c r="O64" i="41"/>
  <c r="N64" i="41"/>
  <c r="M64" i="41"/>
  <c r="O63" i="41"/>
  <c r="N63" i="41"/>
  <c r="M63" i="41"/>
  <c r="O62" i="41"/>
  <c r="N62" i="41"/>
  <c r="M62" i="41"/>
  <c r="O61" i="41"/>
  <c r="N61" i="41"/>
  <c r="M61" i="41"/>
  <c r="O59" i="41"/>
  <c r="N59" i="41"/>
  <c r="M59" i="41"/>
  <c r="O58" i="41"/>
  <c r="O56" i="41" s="1"/>
  <c r="N58" i="41"/>
  <c r="M58" i="41"/>
  <c r="O57" i="41"/>
  <c r="N57" i="41"/>
  <c r="M57" i="41"/>
  <c r="O55" i="41"/>
  <c r="N55" i="41"/>
  <c r="M55" i="41"/>
  <c r="O54" i="41"/>
  <c r="N54" i="41"/>
  <c r="M54" i="41"/>
  <c r="O53" i="41"/>
  <c r="N53" i="41"/>
  <c r="M53" i="41"/>
  <c r="O52" i="41"/>
  <c r="N52" i="41"/>
  <c r="M52" i="41"/>
  <c r="O51" i="41"/>
  <c r="N51" i="41"/>
  <c r="M51" i="41"/>
  <c r="O50" i="41"/>
  <c r="N50" i="41"/>
  <c r="M50" i="41"/>
  <c r="O49" i="41"/>
  <c r="N49" i="41"/>
  <c r="M49" i="41"/>
  <c r="O48" i="41"/>
  <c r="N48" i="41"/>
  <c r="M48" i="41"/>
  <c r="O47" i="41"/>
  <c r="N47" i="41"/>
  <c r="M47" i="41"/>
  <c r="O46" i="41"/>
  <c r="N46" i="41"/>
  <c r="M46" i="41"/>
  <c r="O45" i="41"/>
  <c r="N45" i="41"/>
  <c r="M45" i="41"/>
  <c r="O44" i="41"/>
  <c r="N44" i="41"/>
  <c r="M44" i="41"/>
  <c r="O43" i="41"/>
  <c r="N43" i="41"/>
  <c r="M43" i="41"/>
  <c r="O42" i="41"/>
  <c r="N42" i="41"/>
  <c r="M42" i="41"/>
  <c r="O41" i="41"/>
  <c r="N41" i="41"/>
  <c r="M41" i="41"/>
  <c r="O40" i="41"/>
  <c r="N40" i="41"/>
  <c r="M40" i="41"/>
  <c r="O38" i="41"/>
  <c r="N38" i="41"/>
  <c r="M38" i="41"/>
  <c r="L38" i="41" s="1"/>
  <c r="O37" i="41"/>
  <c r="N37" i="41"/>
  <c r="M37" i="41"/>
  <c r="O36" i="41"/>
  <c r="N36" i="41"/>
  <c r="M36" i="41"/>
  <c r="O35" i="41"/>
  <c r="N35" i="41"/>
  <c r="M35" i="41"/>
  <c r="O34" i="41"/>
  <c r="N34" i="41"/>
  <c r="M34" i="41"/>
  <c r="O33" i="41"/>
  <c r="N33" i="41"/>
  <c r="M33" i="41"/>
  <c r="O32" i="41"/>
  <c r="N32" i="41"/>
  <c r="M32" i="41"/>
  <c r="O31" i="41"/>
  <c r="N31" i="41"/>
  <c r="M31" i="41"/>
  <c r="O30" i="41"/>
  <c r="N30" i="41"/>
  <c r="M30" i="41"/>
  <c r="O29" i="41"/>
  <c r="N29" i="41"/>
  <c r="M29" i="41"/>
  <c r="O28" i="41"/>
  <c r="N28" i="41"/>
  <c r="M28" i="41"/>
  <c r="O27" i="41"/>
  <c r="N27" i="41"/>
  <c r="M27" i="41"/>
  <c r="O26" i="41"/>
  <c r="N26" i="41"/>
  <c r="M26" i="41"/>
  <c r="O25" i="41"/>
  <c r="N25" i="41"/>
  <c r="M25" i="41"/>
  <c r="O24" i="41"/>
  <c r="N24" i="41"/>
  <c r="M24" i="41"/>
  <c r="O23" i="41"/>
  <c r="N23" i="41"/>
  <c r="M23" i="41"/>
  <c r="O22" i="41"/>
  <c r="N22" i="41"/>
  <c r="M22" i="41"/>
  <c r="L22" i="41" s="1"/>
  <c r="O21" i="41"/>
  <c r="N21" i="41"/>
  <c r="M21" i="41"/>
  <c r="O20" i="41"/>
  <c r="N20" i="41"/>
  <c r="M20" i="41"/>
  <c r="O16" i="41"/>
  <c r="N16" i="41"/>
  <c r="M16" i="41"/>
  <c r="O15" i="41"/>
  <c r="N15" i="41"/>
  <c r="M15" i="41"/>
  <c r="O13" i="41"/>
  <c r="N13" i="41"/>
  <c r="M13" i="41"/>
  <c r="O12" i="41"/>
  <c r="N12" i="41"/>
  <c r="M12" i="41"/>
  <c r="O11" i="41"/>
  <c r="N11" i="41"/>
  <c r="M11" i="41"/>
  <c r="M10" i="41"/>
  <c r="N10" i="41"/>
  <c r="N14" i="41" s="1"/>
  <c r="O10" i="41"/>
  <c r="O14" i="41" s="1"/>
  <c r="S120" i="41"/>
  <c r="R120" i="41"/>
  <c r="Q120" i="41"/>
  <c r="S118" i="41"/>
  <c r="R118" i="41"/>
  <c r="Q118" i="41"/>
  <c r="S116" i="41"/>
  <c r="R116" i="41"/>
  <c r="Q116" i="41"/>
  <c r="S114" i="41"/>
  <c r="R114" i="41"/>
  <c r="Q114" i="41"/>
  <c r="S112" i="41"/>
  <c r="R112" i="41"/>
  <c r="Q112" i="41"/>
  <c r="S110" i="41"/>
  <c r="R110" i="41"/>
  <c r="Q110" i="41"/>
  <c r="S108" i="41"/>
  <c r="R108" i="41"/>
  <c r="Q108" i="41"/>
  <c r="S106" i="41"/>
  <c r="R106" i="41"/>
  <c r="Q106" i="41"/>
  <c r="S104" i="41"/>
  <c r="R104" i="41"/>
  <c r="Q104" i="41"/>
  <c r="S102" i="41"/>
  <c r="R102" i="41"/>
  <c r="Q102" i="41"/>
  <c r="S100" i="41"/>
  <c r="R100" i="41"/>
  <c r="Q100" i="41"/>
  <c r="S98" i="41"/>
  <c r="R98" i="41"/>
  <c r="Q98" i="41"/>
  <c r="S95" i="41"/>
  <c r="R95" i="41"/>
  <c r="Q95" i="41"/>
  <c r="S93" i="41"/>
  <c r="R93" i="41"/>
  <c r="Q93" i="41"/>
  <c r="S86" i="41"/>
  <c r="R86" i="41"/>
  <c r="Q86" i="41"/>
  <c r="S85" i="41"/>
  <c r="R85" i="41"/>
  <c r="Q85" i="41"/>
  <c r="S84" i="41"/>
  <c r="R84" i="41"/>
  <c r="Q84" i="41"/>
  <c r="S83" i="41"/>
  <c r="R83" i="41"/>
  <c r="Q83" i="41"/>
  <c r="S82" i="41"/>
  <c r="R82" i="41"/>
  <c r="Q82" i="41"/>
  <c r="S81" i="41"/>
  <c r="R81" i="41"/>
  <c r="Q81" i="41"/>
  <c r="S80" i="41"/>
  <c r="R80" i="41"/>
  <c r="Q80" i="41"/>
  <c r="S79" i="41"/>
  <c r="R79" i="41"/>
  <c r="Q79" i="41"/>
  <c r="S78" i="41"/>
  <c r="R78" i="41"/>
  <c r="Q78" i="41"/>
  <c r="S77" i="41"/>
  <c r="R77" i="41"/>
  <c r="Q77" i="41"/>
  <c r="S76" i="41"/>
  <c r="R76" i="41"/>
  <c r="Q76" i="41"/>
  <c r="S75" i="41"/>
  <c r="R75" i="41"/>
  <c r="Q75" i="41"/>
  <c r="S74" i="41"/>
  <c r="R74" i="41"/>
  <c r="Q74" i="41"/>
  <c r="S73" i="41"/>
  <c r="R73" i="41"/>
  <c r="Q73" i="41"/>
  <c r="S72" i="41"/>
  <c r="R72" i="41"/>
  <c r="Q72" i="41"/>
  <c r="S71" i="41"/>
  <c r="R71" i="41"/>
  <c r="Q71" i="41"/>
  <c r="S70" i="41"/>
  <c r="R70" i="41"/>
  <c r="Q70" i="41"/>
  <c r="S69" i="41"/>
  <c r="R69" i="41"/>
  <c r="Q69" i="41"/>
  <c r="S68" i="41"/>
  <c r="R68" i="41"/>
  <c r="Q68" i="41"/>
  <c r="S67" i="41"/>
  <c r="R67" i="41"/>
  <c r="Q67" i="41"/>
  <c r="S66" i="41"/>
  <c r="R66" i="41"/>
  <c r="Q66" i="41"/>
  <c r="S64" i="41"/>
  <c r="R64" i="41"/>
  <c r="Q64" i="41"/>
  <c r="S63" i="41"/>
  <c r="R63" i="41"/>
  <c r="Q63" i="41"/>
  <c r="S62" i="41"/>
  <c r="R62" i="41"/>
  <c r="Q62" i="41"/>
  <c r="S61" i="41"/>
  <c r="R61" i="41"/>
  <c r="Q61" i="41"/>
  <c r="S59" i="41"/>
  <c r="R59" i="41"/>
  <c r="Q59" i="41"/>
  <c r="S58" i="41"/>
  <c r="R58" i="41"/>
  <c r="Q58" i="41"/>
  <c r="S57" i="41"/>
  <c r="R57" i="41"/>
  <c r="Q57" i="41"/>
  <c r="S55" i="41"/>
  <c r="R55" i="41"/>
  <c r="Q55" i="41"/>
  <c r="S54" i="41"/>
  <c r="R54" i="41"/>
  <c r="Q54" i="41"/>
  <c r="S53" i="41"/>
  <c r="R53" i="41"/>
  <c r="Q53" i="41"/>
  <c r="S52" i="41"/>
  <c r="R52" i="41"/>
  <c r="Q52" i="41"/>
  <c r="S51" i="41"/>
  <c r="R51" i="41"/>
  <c r="Q51" i="41"/>
  <c r="S50" i="41"/>
  <c r="R50" i="41"/>
  <c r="Q50" i="41"/>
  <c r="S49" i="41"/>
  <c r="R49" i="41"/>
  <c r="Q49" i="41"/>
  <c r="S48" i="41"/>
  <c r="R48" i="41"/>
  <c r="Q48" i="41"/>
  <c r="S47" i="41"/>
  <c r="R47" i="41"/>
  <c r="Q47" i="41"/>
  <c r="S46" i="41"/>
  <c r="R46" i="41"/>
  <c r="Q46" i="41"/>
  <c r="S45" i="41"/>
  <c r="R45" i="41"/>
  <c r="Q45" i="41"/>
  <c r="S44" i="41"/>
  <c r="R44" i="41"/>
  <c r="Q44" i="41"/>
  <c r="S43" i="41"/>
  <c r="R43" i="41"/>
  <c r="Q43" i="41"/>
  <c r="S42" i="41"/>
  <c r="R42" i="41"/>
  <c r="Q42" i="41"/>
  <c r="S41" i="41"/>
  <c r="R41" i="41"/>
  <c r="Q41" i="41"/>
  <c r="S40" i="41"/>
  <c r="R40" i="41"/>
  <c r="Q40" i="41"/>
  <c r="S38" i="41"/>
  <c r="R38" i="41"/>
  <c r="Q38" i="41"/>
  <c r="S37" i="41"/>
  <c r="R37" i="41"/>
  <c r="Q37" i="41"/>
  <c r="S36" i="41"/>
  <c r="R36" i="41"/>
  <c r="Q36" i="41"/>
  <c r="S35" i="41"/>
  <c r="R35" i="41"/>
  <c r="Q35" i="41"/>
  <c r="S34" i="41"/>
  <c r="R34" i="41"/>
  <c r="Q34" i="41"/>
  <c r="S33" i="41"/>
  <c r="R33" i="41"/>
  <c r="Q33" i="41"/>
  <c r="S32" i="41"/>
  <c r="R32" i="41"/>
  <c r="Q32" i="41"/>
  <c r="S31" i="41"/>
  <c r="R31" i="41"/>
  <c r="Q31" i="41"/>
  <c r="S30" i="41"/>
  <c r="R30" i="41"/>
  <c r="Q30" i="41"/>
  <c r="S29" i="41"/>
  <c r="R29" i="41"/>
  <c r="Q29" i="41"/>
  <c r="S28" i="41"/>
  <c r="R28" i="41"/>
  <c r="Q28" i="41"/>
  <c r="S27" i="41"/>
  <c r="R27" i="41"/>
  <c r="Q27" i="41"/>
  <c r="S26" i="41"/>
  <c r="R26" i="41"/>
  <c r="Q26" i="41"/>
  <c r="S25" i="41"/>
  <c r="R25" i="41"/>
  <c r="Q25" i="41"/>
  <c r="S24" i="41"/>
  <c r="R24" i="41"/>
  <c r="Q24" i="41"/>
  <c r="S23" i="41"/>
  <c r="R23" i="41"/>
  <c r="Q23" i="41"/>
  <c r="S22" i="41"/>
  <c r="R22" i="41"/>
  <c r="Q22" i="41"/>
  <c r="S21" i="41"/>
  <c r="R21" i="41"/>
  <c r="Q21" i="41"/>
  <c r="S20" i="41"/>
  <c r="R20" i="41"/>
  <c r="Q20" i="41"/>
  <c r="S16" i="41"/>
  <c r="R16" i="41"/>
  <c r="Q16" i="41"/>
  <c r="S15" i="41"/>
  <c r="R15" i="41"/>
  <c r="Q15" i="41"/>
  <c r="S13" i="41"/>
  <c r="R13" i="41"/>
  <c r="Q13" i="41"/>
  <c r="S12" i="41"/>
  <c r="R12" i="41"/>
  <c r="Q12" i="41"/>
  <c r="S11" i="41"/>
  <c r="R11" i="41"/>
  <c r="Q11" i="41"/>
  <c r="Q10" i="41"/>
  <c r="R14" i="41"/>
  <c r="S10" i="41"/>
  <c r="D52" i="41"/>
  <c r="D16" i="41"/>
  <c r="K13" i="41"/>
  <c r="J13" i="41"/>
  <c r="K12" i="41"/>
  <c r="J12" i="41"/>
  <c r="K11" i="41"/>
  <c r="N149" i="40"/>
  <c r="M149" i="40"/>
  <c r="L149" i="40"/>
  <c r="K149" i="40"/>
  <c r="J149" i="40"/>
  <c r="I149" i="40"/>
  <c r="H149" i="40"/>
  <c r="G149" i="40"/>
  <c r="F149" i="40"/>
  <c r="E149" i="40"/>
  <c r="D149" i="40"/>
  <c r="N136" i="40"/>
  <c r="M136" i="40"/>
  <c r="L136" i="40"/>
  <c r="K136" i="40"/>
  <c r="J136" i="40"/>
  <c r="I136" i="40"/>
  <c r="H136" i="40"/>
  <c r="G136" i="40"/>
  <c r="F136" i="40"/>
  <c r="E136" i="40"/>
  <c r="D136" i="40"/>
  <c r="N115" i="40"/>
  <c r="M115" i="40"/>
  <c r="L115" i="40"/>
  <c r="K115" i="40"/>
  <c r="J115" i="40"/>
  <c r="I115" i="40"/>
  <c r="H115" i="40"/>
  <c r="G115" i="40"/>
  <c r="F115" i="40"/>
  <c r="E115" i="40"/>
  <c r="D115" i="40"/>
  <c r="M92" i="40"/>
  <c r="L92" i="40"/>
  <c r="K92" i="40"/>
  <c r="J92" i="40"/>
  <c r="I92" i="40"/>
  <c r="H92" i="40"/>
  <c r="G92" i="40"/>
  <c r="F92" i="40"/>
  <c r="E92" i="40"/>
  <c r="D92" i="40"/>
  <c r="N80" i="40"/>
  <c r="M80" i="40"/>
  <c r="L80" i="40"/>
  <c r="K80" i="40"/>
  <c r="J80" i="40"/>
  <c r="I80" i="40"/>
  <c r="H80" i="40"/>
  <c r="G80" i="40"/>
  <c r="F80" i="40"/>
  <c r="E80" i="40"/>
  <c r="D80" i="40"/>
  <c r="M71" i="40"/>
  <c r="L71" i="40"/>
  <c r="K71" i="40"/>
  <c r="J71" i="40"/>
  <c r="I71" i="40"/>
  <c r="H71" i="40"/>
  <c r="G71" i="40"/>
  <c r="F71" i="40"/>
  <c r="E71" i="40"/>
  <c r="D71" i="40"/>
  <c r="M57" i="40"/>
  <c r="L57" i="40"/>
  <c r="K57" i="40"/>
  <c r="J57" i="40"/>
  <c r="I57" i="40"/>
  <c r="H57" i="40"/>
  <c r="G57" i="40"/>
  <c r="F57" i="40"/>
  <c r="E57" i="40"/>
  <c r="D57" i="40"/>
  <c r="M36" i="40"/>
  <c r="L36" i="40"/>
  <c r="K36" i="40"/>
  <c r="J36" i="40"/>
  <c r="I36" i="40"/>
  <c r="H36" i="40"/>
  <c r="G36" i="40"/>
  <c r="F36" i="40"/>
  <c r="E36" i="40"/>
  <c r="D36" i="40"/>
  <c r="O32" i="40"/>
  <c r="N32" i="40"/>
  <c r="M32" i="40"/>
  <c r="L32" i="40"/>
  <c r="K32" i="40"/>
  <c r="J32" i="40"/>
  <c r="I32" i="40"/>
  <c r="G32" i="40"/>
  <c r="F32" i="40"/>
  <c r="E32" i="40"/>
  <c r="D32" i="40"/>
  <c r="N10" i="40"/>
  <c r="M10" i="40"/>
  <c r="L10" i="40"/>
  <c r="K10" i="40"/>
  <c r="J10" i="40"/>
  <c r="I10" i="40"/>
  <c r="H10" i="40"/>
  <c r="G10" i="40"/>
  <c r="F10" i="40"/>
  <c r="E10" i="40"/>
  <c r="D10" i="40"/>
  <c r="K148" i="3"/>
  <c r="J148" i="3"/>
  <c r="I148" i="3"/>
  <c r="H148" i="3"/>
  <c r="G148" i="3"/>
  <c r="F148" i="3"/>
  <c r="E148" i="3"/>
  <c r="D148" i="3"/>
  <c r="N148" i="3"/>
  <c r="L136" i="3"/>
  <c r="L135" i="3"/>
  <c r="K135" i="3"/>
  <c r="J135" i="3"/>
  <c r="I135" i="3"/>
  <c r="H135" i="3"/>
  <c r="G135" i="3"/>
  <c r="F135" i="3"/>
  <c r="E135" i="3"/>
  <c r="D135" i="3"/>
  <c r="N135" i="3"/>
  <c r="N115" i="3"/>
  <c r="K115" i="3"/>
  <c r="J115" i="3"/>
  <c r="J126" i="3" s="1"/>
  <c r="I115" i="3"/>
  <c r="H115" i="3"/>
  <c r="H126" i="3" s="1"/>
  <c r="G115" i="3"/>
  <c r="F115" i="3"/>
  <c r="E115" i="3"/>
  <c r="D115" i="3"/>
  <c r="N92" i="3"/>
  <c r="M92" i="3"/>
  <c r="L92" i="3"/>
  <c r="K92" i="3"/>
  <c r="J92" i="3"/>
  <c r="I92" i="3"/>
  <c r="H92" i="3"/>
  <c r="G92" i="3"/>
  <c r="F92" i="3"/>
  <c r="E92" i="3"/>
  <c r="D92" i="3"/>
  <c r="N80" i="3"/>
  <c r="M80" i="3"/>
  <c r="L80" i="3"/>
  <c r="K80" i="3"/>
  <c r="J80" i="3"/>
  <c r="I80" i="3"/>
  <c r="H80" i="3"/>
  <c r="G80" i="3"/>
  <c r="F80" i="3"/>
  <c r="E80" i="3"/>
  <c r="D80" i="3"/>
  <c r="M71" i="3"/>
  <c r="L71" i="3"/>
  <c r="K71" i="3"/>
  <c r="K84" i="3" s="1"/>
  <c r="J71" i="3"/>
  <c r="I71" i="3"/>
  <c r="H71" i="3"/>
  <c r="G71" i="3"/>
  <c r="F71" i="3"/>
  <c r="E71" i="3"/>
  <c r="D71" i="3"/>
  <c r="N57" i="3"/>
  <c r="M57" i="3"/>
  <c r="L57" i="3"/>
  <c r="K57" i="3"/>
  <c r="J57" i="3"/>
  <c r="I57" i="3"/>
  <c r="H57" i="3"/>
  <c r="G57" i="3"/>
  <c r="F57" i="3"/>
  <c r="E57" i="3"/>
  <c r="D57" i="3"/>
  <c r="M36" i="3"/>
  <c r="L36" i="3"/>
  <c r="K36" i="3"/>
  <c r="J36" i="3"/>
  <c r="I36" i="3"/>
  <c r="H36" i="3"/>
  <c r="G36" i="3"/>
  <c r="F36" i="3"/>
  <c r="E36" i="3"/>
  <c r="D36" i="3"/>
  <c r="N32" i="3"/>
  <c r="M32" i="3"/>
  <c r="L32" i="3"/>
  <c r="K32" i="3"/>
  <c r="J32" i="3"/>
  <c r="I32" i="3"/>
  <c r="H32" i="3"/>
  <c r="G32" i="3"/>
  <c r="F32" i="3"/>
  <c r="E32" i="3"/>
  <c r="D32" i="3"/>
  <c r="E10" i="3"/>
  <c r="M10" i="3"/>
  <c r="L10" i="3"/>
  <c r="K10" i="3"/>
  <c r="J10" i="3"/>
  <c r="I10" i="3"/>
  <c r="H10" i="3"/>
  <c r="G10" i="3"/>
  <c r="F10" i="3"/>
  <c r="D10" i="3"/>
  <c r="P116" i="38"/>
  <c r="P108" i="38"/>
  <c r="P106" i="38"/>
  <c r="P93" i="38"/>
  <c r="P85" i="38"/>
  <c r="P79" i="38"/>
  <c r="P78" i="38"/>
  <c r="P77" i="38"/>
  <c r="P75" i="38"/>
  <c r="P70" i="38"/>
  <c r="P69" i="38"/>
  <c r="P66" i="38"/>
  <c r="P62" i="38"/>
  <c r="P61" i="38"/>
  <c r="P59" i="38"/>
  <c r="P58" i="38"/>
  <c r="P57" i="38"/>
  <c r="P54" i="38"/>
  <c r="P43" i="38"/>
  <c r="P42" i="38"/>
  <c r="P41" i="38"/>
  <c r="P33" i="38"/>
  <c r="P32" i="38"/>
  <c r="P31" i="38"/>
  <c r="P30" i="38"/>
  <c r="P26" i="38"/>
  <c r="P25" i="38"/>
  <c r="P24" i="38"/>
  <c r="P23" i="38"/>
  <c r="P22" i="38"/>
  <c r="P16" i="38"/>
  <c r="P15" i="38"/>
  <c r="P12" i="38"/>
  <c r="P10" i="38"/>
  <c r="P114" i="38"/>
  <c r="P112" i="38"/>
  <c r="P110" i="38"/>
  <c r="L25" i="38"/>
  <c r="P38" i="38"/>
  <c r="L38" i="38"/>
  <c r="P37" i="38"/>
  <c r="L37" i="38"/>
  <c r="P36" i="38"/>
  <c r="L36" i="38"/>
  <c r="P35" i="38"/>
  <c r="L35" i="38"/>
  <c r="P34" i="38"/>
  <c r="L34" i="38"/>
  <c r="L33" i="38"/>
  <c r="L26" i="38"/>
  <c r="D120" i="38"/>
  <c r="C120" i="38" s="1"/>
  <c r="C119" i="38"/>
  <c r="P118" i="38"/>
  <c r="L118" i="38"/>
  <c r="H118" i="38"/>
  <c r="D118" i="38"/>
  <c r="C117" i="38"/>
  <c r="L116" i="38"/>
  <c r="H116" i="38"/>
  <c r="D116" i="38"/>
  <c r="C115" i="38"/>
  <c r="L114" i="38"/>
  <c r="H114" i="38"/>
  <c r="D114" i="38"/>
  <c r="H112" i="38"/>
  <c r="D112" i="38"/>
  <c r="H110" i="38"/>
  <c r="D110" i="38"/>
  <c r="L108" i="38"/>
  <c r="H108" i="38"/>
  <c r="D108" i="38"/>
  <c r="L106" i="38"/>
  <c r="H106" i="38"/>
  <c r="D106" i="38"/>
  <c r="C105" i="38"/>
  <c r="P104" i="38"/>
  <c r="L104" i="38"/>
  <c r="H104" i="38"/>
  <c r="D104" i="38"/>
  <c r="C103" i="38"/>
  <c r="P102" i="38"/>
  <c r="H102" i="38"/>
  <c r="D102" i="38"/>
  <c r="C102" i="38" s="1"/>
  <c r="C101" i="38"/>
  <c r="P100" i="38"/>
  <c r="L100" i="38"/>
  <c r="H100" i="38"/>
  <c r="D100" i="38"/>
  <c r="C99" i="38"/>
  <c r="P98" i="38"/>
  <c r="L98" i="38"/>
  <c r="H98" i="38"/>
  <c r="D98" i="38"/>
  <c r="C97" i="38"/>
  <c r="D95" i="38"/>
  <c r="C95" i="38" s="1"/>
  <c r="C94" i="38"/>
  <c r="L93" i="38"/>
  <c r="H93" i="38"/>
  <c r="D93" i="38"/>
  <c r="L86" i="38"/>
  <c r="H86" i="38"/>
  <c r="D86" i="38"/>
  <c r="L85" i="38"/>
  <c r="H85" i="38"/>
  <c r="D85" i="38"/>
  <c r="P84" i="38"/>
  <c r="L84" i="38"/>
  <c r="H84" i="38"/>
  <c r="D84" i="38"/>
  <c r="P83" i="38"/>
  <c r="L83" i="38"/>
  <c r="H83" i="38"/>
  <c r="D83" i="38"/>
  <c r="P82" i="38"/>
  <c r="L82" i="38"/>
  <c r="H82" i="38"/>
  <c r="D82" i="38"/>
  <c r="P81" i="38"/>
  <c r="L81" i="38"/>
  <c r="H81" i="38"/>
  <c r="D81" i="38"/>
  <c r="H80" i="38"/>
  <c r="L79" i="38"/>
  <c r="H79" i="38"/>
  <c r="D79" i="38"/>
  <c r="L78" i="38"/>
  <c r="H78" i="38"/>
  <c r="D78" i="38"/>
  <c r="L77" i="38"/>
  <c r="H77" i="38"/>
  <c r="D77" i="38"/>
  <c r="P76" i="38"/>
  <c r="L76" i="38"/>
  <c r="H76" i="38"/>
  <c r="D76" i="38"/>
  <c r="L75" i="38"/>
  <c r="H75" i="38"/>
  <c r="D75" i="38"/>
  <c r="P74" i="38"/>
  <c r="L74" i="38"/>
  <c r="H74" i="38"/>
  <c r="D74" i="38"/>
  <c r="L73" i="38"/>
  <c r="H73" i="38"/>
  <c r="D73" i="38"/>
  <c r="H72" i="38"/>
  <c r="D72" i="38"/>
  <c r="H71" i="38"/>
  <c r="D71" i="38"/>
  <c r="L70" i="38"/>
  <c r="H70" i="38"/>
  <c r="D70" i="38"/>
  <c r="L69" i="38"/>
  <c r="H69" i="38"/>
  <c r="D69" i="38"/>
  <c r="H68" i="38"/>
  <c r="D68" i="38"/>
  <c r="H67" i="38"/>
  <c r="C67" i="38" s="1"/>
  <c r="L66" i="38"/>
  <c r="H66" i="38"/>
  <c r="D66" i="38"/>
  <c r="S65" i="38"/>
  <c r="Q65" i="38"/>
  <c r="O65" i="38"/>
  <c r="N65" i="38"/>
  <c r="M65" i="38"/>
  <c r="K65" i="38"/>
  <c r="J65" i="38"/>
  <c r="I65" i="38"/>
  <c r="G65" i="38"/>
  <c r="F65" i="38"/>
  <c r="E65" i="38"/>
  <c r="P64" i="38"/>
  <c r="L64" i="38"/>
  <c r="H64" i="38"/>
  <c r="D64" i="38"/>
  <c r="H63" i="38"/>
  <c r="D63" i="38"/>
  <c r="L62" i="38"/>
  <c r="H62" i="38"/>
  <c r="D62" i="38"/>
  <c r="L61" i="38"/>
  <c r="H61" i="38"/>
  <c r="D61" i="38"/>
  <c r="R60" i="38"/>
  <c r="Q60" i="38"/>
  <c r="O60" i="38"/>
  <c r="N60" i="38"/>
  <c r="M60" i="38"/>
  <c r="K60" i="38"/>
  <c r="J60" i="38"/>
  <c r="I60" i="38"/>
  <c r="G60" i="38"/>
  <c r="F60" i="38"/>
  <c r="E60" i="38"/>
  <c r="L59" i="38"/>
  <c r="H59" i="38"/>
  <c r="D59" i="38"/>
  <c r="L58" i="38"/>
  <c r="H58" i="38"/>
  <c r="D58" i="38"/>
  <c r="L57" i="38"/>
  <c r="H57" i="38"/>
  <c r="D57" i="38"/>
  <c r="Q56" i="38"/>
  <c r="O56" i="38"/>
  <c r="N56" i="38"/>
  <c r="M56" i="38"/>
  <c r="K56" i="38"/>
  <c r="J56" i="38"/>
  <c r="I56" i="38"/>
  <c r="G56" i="38"/>
  <c r="F56" i="38"/>
  <c r="E56" i="38"/>
  <c r="P55" i="38"/>
  <c r="L55" i="38"/>
  <c r="H55" i="38"/>
  <c r="D55" i="38"/>
  <c r="L54" i="38"/>
  <c r="H54" i="38"/>
  <c r="D54" i="38"/>
  <c r="P53" i="38"/>
  <c r="L53" i="38"/>
  <c r="H53" i="38"/>
  <c r="D53" i="38"/>
  <c r="C52" i="38"/>
  <c r="D51" i="38"/>
  <c r="H50" i="38"/>
  <c r="H49" i="38"/>
  <c r="C49" i="38" s="1"/>
  <c r="L48" i="38"/>
  <c r="H48" i="38"/>
  <c r="L47" i="38"/>
  <c r="H47" i="38"/>
  <c r="H46" i="38"/>
  <c r="C46" i="38" s="1"/>
  <c r="H45" i="38"/>
  <c r="C45" i="38" s="1"/>
  <c r="P44" i="38"/>
  <c r="L44" i="38"/>
  <c r="H44" i="38"/>
  <c r="D44" i="38"/>
  <c r="L43" i="38"/>
  <c r="H43" i="38"/>
  <c r="D43" i="38"/>
  <c r="L42" i="38"/>
  <c r="H42" i="38"/>
  <c r="D42" i="38"/>
  <c r="L41" i="38"/>
  <c r="H41" i="38"/>
  <c r="D41" i="38"/>
  <c r="L40" i="38"/>
  <c r="H40" i="38"/>
  <c r="D40" i="38"/>
  <c r="Q39" i="38"/>
  <c r="O39" i="38"/>
  <c r="N39" i="38"/>
  <c r="M39" i="38"/>
  <c r="K39" i="38"/>
  <c r="J39" i="38"/>
  <c r="I39" i="38"/>
  <c r="G39" i="38"/>
  <c r="F39" i="38"/>
  <c r="E39" i="38"/>
  <c r="H38" i="38"/>
  <c r="D38" i="38"/>
  <c r="H37" i="38"/>
  <c r="D37" i="38"/>
  <c r="H36" i="38"/>
  <c r="D36" i="38"/>
  <c r="H35" i="38"/>
  <c r="D34" i="38"/>
  <c r="H33" i="38"/>
  <c r="D33" i="38"/>
  <c r="L32" i="38"/>
  <c r="H32" i="38"/>
  <c r="D32" i="38"/>
  <c r="L31" i="38"/>
  <c r="H31" i="38"/>
  <c r="D31" i="38"/>
  <c r="L30" i="38"/>
  <c r="H30" i="38"/>
  <c r="D30" i="38"/>
  <c r="P29" i="38"/>
  <c r="L29" i="38"/>
  <c r="H29" i="38"/>
  <c r="D29" i="38"/>
  <c r="P28" i="38"/>
  <c r="L28" i="38"/>
  <c r="H28" i="38"/>
  <c r="D28" i="38"/>
  <c r="P27" i="38"/>
  <c r="L27" i="38"/>
  <c r="H27" i="38"/>
  <c r="D27" i="38"/>
  <c r="H26" i="38"/>
  <c r="D26" i="38"/>
  <c r="L24" i="38"/>
  <c r="H24" i="38"/>
  <c r="D24" i="38"/>
  <c r="L23" i="38"/>
  <c r="H23" i="38"/>
  <c r="D23" i="38"/>
  <c r="L22" i="38"/>
  <c r="H22" i="38"/>
  <c r="D22" i="38"/>
  <c r="P21" i="38"/>
  <c r="L21" i="38"/>
  <c r="H21" i="38"/>
  <c r="D21" i="38"/>
  <c r="P20" i="38"/>
  <c r="L20" i="38"/>
  <c r="H20" i="38"/>
  <c r="D20" i="38"/>
  <c r="Q19" i="38"/>
  <c r="O19" i="38"/>
  <c r="N19" i="38"/>
  <c r="M19" i="38"/>
  <c r="K19" i="38"/>
  <c r="J19" i="38"/>
  <c r="I19" i="38"/>
  <c r="G19" i="38"/>
  <c r="F19" i="38"/>
  <c r="K17" i="38"/>
  <c r="L16" i="38"/>
  <c r="H16" i="38"/>
  <c r="D16" i="38"/>
  <c r="L15" i="38"/>
  <c r="H15" i="38"/>
  <c r="D15" i="38"/>
  <c r="R14" i="38"/>
  <c r="R17" i="38" s="1"/>
  <c r="Q14" i="38"/>
  <c r="Q17" i="38" s="1"/>
  <c r="O14" i="38"/>
  <c r="O17" i="38" s="1"/>
  <c r="N14" i="38"/>
  <c r="M14" i="38"/>
  <c r="M17" i="38" s="1"/>
  <c r="J14" i="38"/>
  <c r="J17" i="38" s="1"/>
  <c r="I14" i="38"/>
  <c r="I17" i="38" s="1"/>
  <c r="G14" i="38"/>
  <c r="G17" i="38" s="1"/>
  <c r="F14" i="38"/>
  <c r="E14" i="38"/>
  <c r="E17" i="38" s="1"/>
  <c r="P13" i="38"/>
  <c r="L13" i="38"/>
  <c r="H13" i="38"/>
  <c r="D13" i="38"/>
  <c r="L12" i="38"/>
  <c r="H12" i="38"/>
  <c r="D12" i="38"/>
  <c r="L11" i="38"/>
  <c r="H11" i="38"/>
  <c r="L10" i="38"/>
  <c r="H10" i="38"/>
  <c r="D10" i="38"/>
  <c r="P63" i="4"/>
  <c r="P60" i="4" s="1"/>
  <c r="S65" i="4"/>
  <c r="L112" i="4"/>
  <c r="H112" i="4"/>
  <c r="D112" i="4"/>
  <c r="D118" i="4"/>
  <c r="D116" i="4"/>
  <c r="C116" i="4"/>
  <c r="P112" i="4"/>
  <c r="P116" i="4"/>
  <c r="P114" i="4"/>
  <c r="P102" i="4"/>
  <c r="P100" i="4"/>
  <c r="P98" i="4"/>
  <c r="P93" i="4"/>
  <c r="P71" i="4"/>
  <c r="P64" i="4"/>
  <c r="P62" i="4"/>
  <c r="S60" i="4"/>
  <c r="P59" i="4"/>
  <c r="P57" i="4"/>
  <c r="P50" i="4"/>
  <c r="P48" i="4"/>
  <c r="P42" i="4"/>
  <c r="S39" i="4"/>
  <c r="P32" i="4"/>
  <c r="P31" i="4"/>
  <c r="P24" i="4"/>
  <c r="P11" i="4"/>
  <c r="AN52" i="41"/>
  <c r="AM52" i="41"/>
  <c r="AL52" i="41"/>
  <c r="AJ52" i="41"/>
  <c r="AI52" i="41"/>
  <c r="AH52" i="41"/>
  <c r="AF52" i="41"/>
  <c r="AE52" i="41"/>
  <c r="AD52" i="41"/>
  <c r="AB52" i="41"/>
  <c r="W52" i="41" s="1"/>
  <c r="AA52" i="41"/>
  <c r="Z52" i="41"/>
  <c r="AN51" i="41"/>
  <c r="AM51" i="41"/>
  <c r="AL51" i="41"/>
  <c r="AJ51" i="41"/>
  <c r="AI51" i="41"/>
  <c r="AH51" i="41"/>
  <c r="AF51" i="41"/>
  <c r="AE51" i="41"/>
  <c r="AD51" i="41"/>
  <c r="AB51" i="41"/>
  <c r="AA51" i="41"/>
  <c r="Z51" i="41"/>
  <c r="AN50" i="41"/>
  <c r="AM50" i="41"/>
  <c r="AL50" i="41"/>
  <c r="AJ50" i="41"/>
  <c r="AI50" i="41"/>
  <c r="AH50" i="41"/>
  <c r="AF50" i="41"/>
  <c r="AE50" i="41"/>
  <c r="AD50" i="41"/>
  <c r="AB50" i="41"/>
  <c r="W50" i="41" s="1"/>
  <c r="AA50" i="41"/>
  <c r="Z50" i="41"/>
  <c r="AN49" i="41"/>
  <c r="AM49" i="41"/>
  <c r="AL49" i="41"/>
  <c r="AJ49" i="41"/>
  <c r="AI49" i="41"/>
  <c r="AH49" i="41"/>
  <c r="AF49" i="41"/>
  <c r="AE49" i="41"/>
  <c r="AD49" i="41"/>
  <c r="AB49" i="41"/>
  <c r="W49" i="41" s="1"/>
  <c r="AA49" i="41"/>
  <c r="Z49" i="41"/>
  <c r="C52" i="4"/>
  <c r="L52" i="4"/>
  <c r="H52" i="4"/>
  <c r="D52" i="4"/>
  <c r="T52" i="38"/>
  <c r="U51" i="38"/>
  <c r="T51" i="38" s="1"/>
  <c r="P38" i="4"/>
  <c r="P25" i="4"/>
  <c r="L25" i="4"/>
  <c r="L72" i="4"/>
  <c r="H72" i="4"/>
  <c r="H51" i="4"/>
  <c r="L50" i="4"/>
  <c r="L51" i="4"/>
  <c r="L53" i="4"/>
  <c r="P67" i="4"/>
  <c r="P68" i="4"/>
  <c r="P70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49" i="4"/>
  <c r="P51" i="4"/>
  <c r="P33" i="4"/>
  <c r="P34" i="4"/>
  <c r="L33" i="4"/>
  <c r="L34" i="4"/>
  <c r="L35" i="4"/>
  <c r="L120" i="4"/>
  <c r="D120" i="4"/>
  <c r="C120" i="4" s="1"/>
  <c r="C119" i="4"/>
  <c r="P118" i="4"/>
  <c r="L118" i="4"/>
  <c r="H118" i="4"/>
  <c r="C117" i="4"/>
  <c r="L116" i="4"/>
  <c r="H116" i="4"/>
  <c r="C115" i="4"/>
  <c r="L114" i="4"/>
  <c r="H114" i="4"/>
  <c r="D114" i="4"/>
  <c r="L108" i="4"/>
  <c r="H108" i="4"/>
  <c r="D108" i="4"/>
  <c r="L106" i="4"/>
  <c r="C106" i="4" s="1"/>
  <c r="H106" i="4"/>
  <c r="D106" i="4"/>
  <c r="L104" i="4"/>
  <c r="H104" i="4"/>
  <c r="D104" i="4"/>
  <c r="C103" i="4"/>
  <c r="L102" i="4"/>
  <c r="H102" i="4"/>
  <c r="D102" i="4"/>
  <c r="C101" i="4"/>
  <c r="L100" i="4"/>
  <c r="H100" i="4"/>
  <c r="D100" i="4"/>
  <c r="C99" i="4"/>
  <c r="L98" i="4"/>
  <c r="H98" i="4"/>
  <c r="D98" i="4"/>
  <c r="C97" i="4"/>
  <c r="P95" i="4"/>
  <c r="H95" i="4"/>
  <c r="D95" i="4"/>
  <c r="C94" i="4"/>
  <c r="L93" i="4"/>
  <c r="H93" i="4"/>
  <c r="D93" i="4"/>
  <c r="L86" i="4"/>
  <c r="H86" i="4"/>
  <c r="D86" i="4"/>
  <c r="L85" i="4"/>
  <c r="H85" i="4"/>
  <c r="D85" i="4"/>
  <c r="L84" i="4"/>
  <c r="H84" i="4"/>
  <c r="D84" i="4"/>
  <c r="C83" i="4"/>
  <c r="L83" i="4"/>
  <c r="H83" i="4"/>
  <c r="D83" i="4"/>
  <c r="L82" i="4"/>
  <c r="H82" i="4"/>
  <c r="D82" i="4"/>
  <c r="L81" i="4"/>
  <c r="H81" i="4"/>
  <c r="D81" i="4"/>
  <c r="L80" i="4"/>
  <c r="H80" i="4"/>
  <c r="D80" i="4"/>
  <c r="L79" i="4"/>
  <c r="H79" i="4"/>
  <c r="D79" i="4"/>
  <c r="L78" i="4"/>
  <c r="H78" i="4"/>
  <c r="D78" i="4"/>
  <c r="L77" i="4"/>
  <c r="H77" i="4"/>
  <c r="D77" i="4"/>
  <c r="L76" i="4"/>
  <c r="H76" i="4"/>
  <c r="D76" i="4"/>
  <c r="L75" i="4"/>
  <c r="H75" i="4"/>
  <c r="D75" i="4"/>
  <c r="L74" i="4"/>
  <c r="H74" i="4"/>
  <c r="D74" i="4"/>
  <c r="L73" i="4"/>
  <c r="H73" i="4"/>
  <c r="D73" i="4"/>
  <c r="D72" i="4"/>
  <c r="L71" i="4"/>
  <c r="H71" i="4"/>
  <c r="D71" i="4"/>
  <c r="L70" i="4"/>
  <c r="H70" i="4"/>
  <c r="D70" i="4"/>
  <c r="L69" i="4"/>
  <c r="H69" i="4"/>
  <c r="D69" i="4"/>
  <c r="L68" i="4"/>
  <c r="H68" i="4"/>
  <c r="D68" i="4"/>
  <c r="L67" i="4"/>
  <c r="H67" i="4"/>
  <c r="D67" i="4"/>
  <c r="P66" i="4"/>
  <c r="L66" i="4"/>
  <c r="H66" i="4"/>
  <c r="D66" i="4"/>
  <c r="Q65" i="4"/>
  <c r="O65" i="4"/>
  <c r="N65" i="4"/>
  <c r="M65" i="4"/>
  <c r="K65" i="4"/>
  <c r="J65" i="4"/>
  <c r="I65" i="4"/>
  <c r="G65" i="4"/>
  <c r="F65" i="4"/>
  <c r="E65" i="4"/>
  <c r="L64" i="4"/>
  <c r="H64" i="4"/>
  <c r="D64" i="4"/>
  <c r="H63" i="4"/>
  <c r="D63" i="4"/>
  <c r="L62" i="4"/>
  <c r="H62" i="4"/>
  <c r="D62" i="4"/>
  <c r="P61" i="4"/>
  <c r="L61" i="4"/>
  <c r="H61" i="4"/>
  <c r="D61" i="4"/>
  <c r="R60" i="4"/>
  <c r="Q60" i="4"/>
  <c r="O60" i="4"/>
  <c r="N60" i="4"/>
  <c r="M60" i="4"/>
  <c r="L60" i="4"/>
  <c r="K60" i="4"/>
  <c r="J60" i="4"/>
  <c r="I60" i="4"/>
  <c r="G60" i="4"/>
  <c r="F60" i="4"/>
  <c r="E60" i="4"/>
  <c r="L59" i="4"/>
  <c r="H59" i="4"/>
  <c r="D59" i="4"/>
  <c r="P58" i="4"/>
  <c r="L58" i="4"/>
  <c r="H58" i="4"/>
  <c r="D58" i="4"/>
  <c r="L57" i="4"/>
  <c r="L56" i="4" s="1"/>
  <c r="H57" i="4"/>
  <c r="D57" i="4"/>
  <c r="S56" i="4"/>
  <c r="R56" i="4"/>
  <c r="Q56" i="4"/>
  <c r="O56" i="4"/>
  <c r="N56" i="4"/>
  <c r="M56" i="4"/>
  <c r="J56" i="4"/>
  <c r="I56" i="4"/>
  <c r="G56" i="4"/>
  <c r="F56" i="4"/>
  <c r="E56" i="4"/>
  <c r="P55" i="4"/>
  <c r="L55" i="4"/>
  <c r="H55" i="4"/>
  <c r="D55" i="4"/>
  <c r="P54" i="4"/>
  <c r="L54" i="4"/>
  <c r="H54" i="4"/>
  <c r="D54" i="4"/>
  <c r="P53" i="4"/>
  <c r="H53" i="4"/>
  <c r="D53" i="4"/>
  <c r="C53" i="4" s="1"/>
  <c r="D51" i="4"/>
  <c r="H50" i="4"/>
  <c r="D50" i="4"/>
  <c r="L49" i="4"/>
  <c r="H49" i="4"/>
  <c r="D49" i="4"/>
  <c r="L48" i="4"/>
  <c r="H48" i="4"/>
  <c r="D48" i="4"/>
  <c r="P47" i="4"/>
  <c r="L47" i="4"/>
  <c r="H47" i="4"/>
  <c r="D47" i="4"/>
  <c r="P46" i="4"/>
  <c r="L46" i="4"/>
  <c r="H46" i="4"/>
  <c r="D46" i="4"/>
  <c r="P45" i="4"/>
  <c r="L45" i="4"/>
  <c r="H45" i="4"/>
  <c r="D45" i="4"/>
  <c r="P44" i="4"/>
  <c r="L44" i="4"/>
  <c r="H44" i="4"/>
  <c r="D44" i="4"/>
  <c r="P43" i="4"/>
  <c r="L43" i="4"/>
  <c r="H43" i="4"/>
  <c r="D43" i="4"/>
  <c r="L42" i="4"/>
  <c r="H42" i="4"/>
  <c r="D42" i="4"/>
  <c r="P41" i="4"/>
  <c r="L41" i="4"/>
  <c r="H41" i="4"/>
  <c r="D41" i="4"/>
  <c r="L40" i="4"/>
  <c r="H40" i="4"/>
  <c r="D40" i="4"/>
  <c r="Q39" i="4"/>
  <c r="O39" i="4"/>
  <c r="N39" i="4"/>
  <c r="M39" i="4"/>
  <c r="K39" i="4"/>
  <c r="J39" i="4"/>
  <c r="I39" i="4"/>
  <c r="G39" i="4"/>
  <c r="F39" i="4"/>
  <c r="E39" i="4"/>
  <c r="L38" i="4"/>
  <c r="H38" i="4"/>
  <c r="D38" i="4"/>
  <c r="P37" i="4"/>
  <c r="L37" i="4"/>
  <c r="H37" i="4"/>
  <c r="D37" i="4"/>
  <c r="P36" i="4"/>
  <c r="L36" i="4"/>
  <c r="H36" i="4"/>
  <c r="D36" i="4"/>
  <c r="P35" i="4"/>
  <c r="H35" i="4"/>
  <c r="D35" i="4"/>
  <c r="D34" i="4"/>
  <c r="D33" i="4"/>
  <c r="L32" i="4"/>
  <c r="H32" i="4"/>
  <c r="D32" i="4"/>
  <c r="L31" i="4"/>
  <c r="H31" i="4"/>
  <c r="D31" i="4"/>
  <c r="P30" i="4"/>
  <c r="L30" i="4"/>
  <c r="H30" i="4"/>
  <c r="D30" i="4"/>
  <c r="P29" i="4"/>
  <c r="L29" i="4"/>
  <c r="H29" i="4"/>
  <c r="D29" i="4"/>
  <c r="P28" i="4"/>
  <c r="L28" i="4"/>
  <c r="H28" i="4"/>
  <c r="D28" i="4"/>
  <c r="P27" i="4"/>
  <c r="L27" i="4"/>
  <c r="H27" i="4"/>
  <c r="D27" i="4"/>
  <c r="P26" i="4"/>
  <c r="L26" i="4"/>
  <c r="H26" i="4"/>
  <c r="D26" i="4"/>
  <c r="H25" i="4"/>
  <c r="D25" i="4"/>
  <c r="L24" i="4"/>
  <c r="H24" i="4"/>
  <c r="D24" i="4"/>
  <c r="L23" i="4"/>
  <c r="H23" i="4"/>
  <c r="D23" i="4"/>
  <c r="P22" i="4"/>
  <c r="L22" i="4"/>
  <c r="H22" i="4"/>
  <c r="D22" i="4"/>
  <c r="P21" i="4"/>
  <c r="L21" i="4"/>
  <c r="H21" i="4"/>
  <c r="D21" i="4"/>
  <c r="P20" i="4"/>
  <c r="L20" i="4"/>
  <c r="H20" i="4"/>
  <c r="D20" i="4"/>
  <c r="Q19" i="4"/>
  <c r="O19" i="4"/>
  <c r="N19" i="4"/>
  <c r="M19" i="4"/>
  <c r="K19" i="4"/>
  <c r="J19" i="4"/>
  <c r="I19" i="4"/>
  <c r="G19" i="4"/>
  <c r="F19" i="4"/>
  <c r="E19" i="4"/>
  <c r="P16" i="4"/>
  <c r="L16" i="4"/>
  <c r="H16" i="4"/>
  <c r="D16" i="4"/>
  <c r="C16" i="4" s="1"/>
  <c r="P15" i="4"/>
  <c r="L15" i="4"/>
  <c r="H15" i="4"/>
  <c r="D15" i="4"/>
  <c r="R17" i="4"/>
  <c r="O17" i="4"/>
  <c r="K17" i="4"/>
  <c r="J17" i="4"/>
  <c r="G17" i="4"/>
  <c r="E17" i="4"/>
  <c r="P13" i="4"/>
  <c r="L13" i="4"/>
  <c r="H13" i="4"/>
  <c r="D13" i="4"/>
  <c r="P12" i="4"/>
  <c r="L12" i="4"/>
  <c r="H12" i="4"/>
  <c r="D12" i="4"/>
  <c r="L11" i="4"/>
  <c r="H11" i="4"/>
  <c r="L10" i="4"/>
  <c r="H10" i="4"/>
  <c r="D10" i="4"/>
  <c r="I5" i="4"/>
  <c r="Z30" i="42"/>
  <c r="Y30" i="42"/>
  <c r="X30" i="42"/>
  <c r="W30" i="42"/>
  <c r="Z78" i="42"/>
  <c r="Y78" i="42"/>
  <c r="P96" i="3"/>
  <c r="S14" i="41" l="1"/>
  <c r="Q14" i="41"/>
  <c r="Q17" i="41" s="1"/>
  <c r="P50" i="41"/>
  <c r="P59" i="41"/>
  <c r="P69" i="41"/>
  <c r="K14" i="41"/>
  <c r="H32" i="41"/>
  <c r="D37" i="41"/>
  <c r="D46" i="41"/>
  <c r="D54" i="41"/>
  <c r="D64" i="41"/>
  <c r="D98" i="41"/>
  <c r="D114" i="41"/>
  <c r="M14" i="41"/>
  <c r="M17" i="41" s="1"/>
  <c r="L36" i="41"/>
  <c r="J14" i="41"/>
  <c r="J17" i="41" s="1"/>
  <c r="G14" i="41"/>
  <c r="F14" i="41"/>
  <c r="L64" i="41"/>
  <c r="E14" i="41"/>
  <c r="P27" i="41"/>
  <c r="H15" i="41"/>
  <c r="C15" i="41" s="1"/>
  <c r="H26" i="41"/>
  <c r="H43" i="41"/>
  <c r="H51" i="41"/>
  <c r="H61" i="41"/>
  <c r="H70" i="41"/>
  <c r="H78" i="41"/>
  <c r="H86" i="41"/>
  <c r="D23" i="41"/>
  <c r="E56" i="41"/>
  <c r="D83" i="41"/>
  <c r="D135" i="42"/>
  <c r="L135" i="42"/>
  <c r="I135" i="42"/>
  <c r="E135" i="42"/>
  <c r="M135" i="42"/>
  <c r="K126" i="3"/>
  <c r="N32" i="42"/>
  <c r="N126" i="3"/>
  <c r="N151" i="3" s="1"/>
  <c r="C11" i="4"/>
  <c r="P83" i="41"/>
  <c r="P11" i="41"/>
  <c r="P10" i="41"/>
  <c r="D43" i="41"/>
  <c r="D56" i="38"/>
  <c r="L61" i="41"/>
  <c r="D27" i="41"/>
  <c r="D32" i="41"/>
  <c r="D58" i="41"/>
  <c r="L13" i="41"/>
  <c r="L16" i="41"/>
  <c r="L27" i="41"/>
  <c r="L35" i="41"/>
  <c r="L71" i="41"/>
  <c r="L79" i="41"/>
  <c r="L93" i="41"/>
  <c r="L110" i="41"/>
  <c r="L114" i="41"/>
  <c r="L120" i="41"/>
  <c r="H28" i="41"/>
  <c r="H31" i="41"/>
  <c r="H36" i="41"/>
  <c r="H45" i="41"/>
  <c r="H48" i="41"/>
  <c r="H53" i="41"/>
  <c r="H57" i="41"/>
  <c r="H63" i="41"/>
  <c r="H67" i="41"/>
  <c r="H80" i="41"/>
  <c r="C80" i="41" s="1"/>
  <c r="H83" i="41"/>
  <c r="H112" i="41"/>
  <c r="D77" i="41"/>
  <c r="D116" i="41"/>
  <c r="S17" i="41"/>
  <c r="P22" i="41"/>
  <c r="C22" i="41" s="1"/>
  <c r="P47" i="41"/>
  <c r="P55" i="41"/>
  <c r="P74" i="41"/>
  <c r="P82" i="41"/>
  <c r="H106" i="41"/>
  <c r="L60" i="38"/>
  <c r="L34" i="41"/>
  <c r="D93" i="41"/>
  <c r="D100" i="41"/>
  <c r="P20" i="41"/>
  <c r="P13" i="41"/>
  <c r="P28" i="41"/>
  <c r="P53" i="41"/>
  <c r="P85" i="41"/>
  <c r="P106" i="41"/>
  <c r="H102" i="41"/>
  <c r="H118" i="41"/>
  <c r="I56" i="41"/>
  <c r="P15" i="41"/>
  <c r="P34" i="41"/>
  <c r="P70" i="41"/>
  <c r="P78" i="41"/>
  <c r="P86" i="41"/>
  <c r="D15" i="41"/>
  <c r="D26" i="41"/>
  <c r="D34" i="41"/>
  <c r="D40" i="41"/>
  <c r="D51" i="41"/>
  <c r="G56" i="41"/>
  <c r="D102" i="41"/>
  <c r="D118" i="41"/>
  <c r="L66" i="41"/>
  <c r="L106" i="41"/>
  <c r="H21" i="41"/>
  <c r="H24" i="41"/>
  <c r="H29" i="41"/>
  <c r="H41" i="41"/>
  <c r="H49" i="41"/>
  <c r="H54" i="41"/>
  <c r="H73" i="41"/>
  <c r="H76" i="41"/>
  <c r="H81" i="41"/>
  <c r="H84" i="41"/>
  <c r="P45" i="41"/>
  <c r="C45" i="41" s="1"/>
  <c r="L30" i="41"/>
  <c r="L82" i="41"/>
  <c r="R17" i="41"/>
  <c r="P16" i="41"/>
  <c r="P35" i="41"/>
  <c r="P44" i="41"/>
  <c r="P58" i="41"/>
  <c r="S60" i="41"/>
  <c r="P84" i="41"/>
  <c r="P93" i="41"/>
  <c r="P98" i="41"/>
  <c r="P114" i="41"/>
  <c r="P120" i="41"/>
  <c r="L108" i="41"/>
  <c r="P12" i="41"/>
  <c r="P104" i="41"/>
  <c r="L25" i="41"/>
  <c r="L33" i="41"/>
  <c r="D70" i="41"/>
  <c r="D75" i="41"/>
  <c r="D86" i="41"/>
  <c r="R56" i="41"/>
  <c r="P25" i="41"/>
  <c r="P33" i="41"/>
  <c r="P52" i="41"/>
  <c r="P110" i="41"/>
  <c r="L15" i="41"/>
  <c r="L20" i="41"/>
  <c r="L26" i="41"/>
  <c r="L43" i="41"/>
  <c r="L51" i="41"/>
  <c r="L57" i="41"/>
  <c r="L63" i="41"/>
  <c r="L67" i="41"/>
  <c r="L70" i="41"/>
  <c r="L75" i="41"/>
  <c r="L78" i="41"/>
  <c r="K56" i="41"/>
  <c r="L42" i="41"/>
  <c r="D67" i="41"/>
  <c r="C67" i="41" s="1"/>
  <c r="D78" i="41"/>
  <c r="H13" i="41"/>
  <c r="P63" i="41"/>
  <c r="P72" i="41"/>
  <c r="P112" i="41"/>
  <c r="P116" i="41"/>
  <c r="L46" i="41"/>
  <c r="L73" i="41"/>
  <c r="D68" i="41"/>
  <c r="D71" i="41"/>
  <c r="D79" i="41"/>
  <c r="D84" i="41"/>
  <c r="D108" i="41"/>
  <c r="C63" i="38"/>
  <c r="D12" i="41"/>
  <c r="D41" i="41"/>
  <c r="D49" i="41"/>
  <c r="P67" i="41"/>
  <c r="P75" i="41"/>
  <c r="P80" i="41"/>
  <c r="P95" i="41"/>
  <c r="P118" i="41"/>
  <c r="L12" i="41"/>
  <c r="L54" i="41"/>
  <c r="O60" i="41"/>
  <c r="L81" i="41"/>
  <c r="L95" i="41"/>
  <c r="L102" i="41"/>
  <c r="L118" i="41"/>
  <c r="C118" i="41" s="1"/>
  <c r="I17" i="41"/>
  <c r="H60" i="38"/>
  <c r="C73" i="38"/>
  <c r="P21" i="41"/>
  <c r="P23" i="41"/>
  <c r="P26" i="41"/>
  <c r="P29" i="41"/>
  <c r="P31" i="41"/>
  <c r="P37" i="41"/>
  <c r="R39" i="41"/>
  <c r="P46" i="41"/>
  <c r="P48" i="41"/>
  <c r="P51" i="41"/>
  <c r="P54" i="41"/>
  <c r="P57" i="41"/>
  <c r="P61" i="41"/>
  <c r="P64" i="41"/>
  <c r="P73" i="41"/>
  <c r="P81" i="41"/>
  <c r="H16" i="41"/>
  <c r="H22" i="41"/>
  <c r="H27" i="41"/>
  <c r="H30" i="41"/>
  <c r="H35" i="41"/>
  <c r="H44" i="41"/>
  <c r="H50" i="41"/>
  <c r="H52" i="41"/>
  <c r="H59" i="41"/>
  <c r="H69" i="41"/>
  <c r="H74" i="41"/>
  <c r="H77" i="41"/>
  <c r="H82" i="41"/>
  <c r="C82" i="41" s="1"/>
  <c r="H85" i="41"/>
  <c r="H108" i="41"/>
  <c r="H120" i="41"/>
  <c r="D13" i="41"/>
  <c r="D22" i="41"/>
  <c r="D30" i="41"/>
  <c r="D63" i="41"/>
  <c r="F65" i="41"/>
  <c r="D72" i="41"/>
  <c r="D80" i="41"/>
  <c r="D82" i="41"/>
  <c r="D85" i="41"/>
  <c r="AK49" i="41"/>
  <c r="H12" i="41"/>
  <c r="P24" i="41"/>
  <c r="P32" i="41"/>
  <c r="P41" i="41"/>
  <c r="P49" i="41"/>
  <c r="L59" i="41"/>
  <c r="H110" i="41"/>
  <c r="D31" i="41"/>
  <c r="N73" i="42"/>
  <c r="N20" i="42"/>
  <c r="N38" i="42"/>
  <c r="N47" i="42"/>
  <c r="N63" i="42"/>
  <c r="N105" i="42"/>
  <c r="N50" i="42"/>
  <c r="N65" i="42"/>
  <c r="N95" i="42"/>
  <c r="N108" i="42"/>
  <c r="N119" i="42"/>
  <c r="N94" i="42"/>
  <c r="N66" i="42"/>
  <c r="N75" i="42"/>
  <c r="N96" i="42"/>
  <c r="N109" i="42"/>
  <c r="N120" i="42"/>
  <c r="O36" i="3"/>
  <c r="N26" i="42"/>
  <c r="N42" i="42"/>
  <c r="N67" i="42"/>
  <c r="N76" i="42"/>
  <c r="N97" i="42"/>
  <c r="N110" i="42"/>
  <c r="N121" i="42"/>
  <c r="N43" i="42"/>
  <c r="N59" i="42"/>
  <c r="N68" i="42"/>
  <c r="N77" i="42"/>
  <c r="N99" i="42"/>
  <c r="N111" i="42"/>
  <c r="N122" i="42"/>
  <c r="N118" i="42"/>
  <c r="O115" i="3"/>
  <c r="O126" i="3" s="1"/>
  <c r="O151" i="3" s="1"/>
  <c r="N44" i="42"/>
  <c r="N60" i="42"/>
  <c r="N69" i="42"/>
  <c r="N78" i="42"/>
  <c r="N100" i="42"/>
  <c r="N112" i="42"/>
  <c r="N123" i="42"/>
  <c r="N29" i="42"/>
  <c r="N15" i="42"/>
  <c r="H92" i="42"/>
  <c r="O57" i="3"/>
  <c r="O84" i="3" s="1"/>
  <c r="N18" i="42"/>
  <c r="J84" i="3"/>
  <c r="I126" i="3"/>
  <c r="H135" i="42"/>
  <c r="N19" i="42"/>
  <c r="G126" i="3"/>
  <c r="N14" i="42"/>
  <c r="N24" i="42"/>
  <c r="N41" i="42"/>
  <c r="N52" i="42"/>
  <c r="N16" i="42"/>
  <c r="H84" i="3"/>
  <c r="N23" i="42"/>
  <c r="H54" i="40"/>
  <c r="K115" i="42"/>
  <c r="I54" i="40"/>
  <c r="E57" i="42"/>
  <c r="F32" i="42"/>
  <c r="G36" i="42"/>
  <c r="J32" i="42"/>
  <c r="L71" i="42"/>
  <c r="J135" i="42"/>
  <c r="J57" i="42"/>
  <c r="D10" i="42"/>
  <c r="F36" i="42"/>
  <c r="H36" i="42"/>
  <c r="M32" i="42"/>
  <c r="K84" i="40"/>
  <c r="L10" i="42"/>
  <c r="I10" i="42"/>
  <c r="F10" i="42"/>
  <c r="H115" i="42"/>
  <c r="H126" i="42" s="1"/>
  <c r="C92" i="42"/>
  <c r="O10" i="40"/>
  <c r="H10" i="42"/>
  <c r="J115" i="42"/>
  <c r="D84" i="40"/>
  <c r="C36" i="42"/>
  <c r="F92" i="42"/>
  <c r="I115" i="42"/>
  <c r="K10" i="42"/>
  <c r="I36" i="42"/>
  <c r="C10" i="42"/>
  <c r="I57" i="42"/>
  <c r="C32" i="42"/>
  <c r="D32" i="42"/>
  <c r="L32" i="42"/>
  <c r="E71" i="42"/>
  <c r="F115" i="42"/>
  <c r="E10" i="42"/>
  <c r="K36" i="42"/>
  <c r="L84" i="40"/>
  <c r="K127" i="40"/>
  <c r="K152" i="40" s="1"/>
  <c r="G32" i="42"/>
  <c r="K32" i="42"/>
  <c r="E32" i="42"/>
  <c r="D57" i="42"/>
  <c r="C71" i="42"/>
  <c r="K71" i="42"/>
  <c r="H71" i="42"/>
  <c r="I92" i="42"/>
  <c r="L115" i="42"/>
  <c r="F148" i="42"/>
  <c r="E148" i="42"/>
  <c r="O71" i="40"/>
  <c r="J36" i="42"/>
  <c r="D92" i="42"/>
  <c r="E115" i="42"/>
  <c r="O92" i="40"/>
  <c r="O115" i="40"/>
  <c r="O36" i="40"/>
  <c r="L92" i="42"/>
  <c r="G10" i="42"/>
  <c r="F71" i="42"/>
  <c r="E92" i="42"/>
  <c r="N116" i="42"/>
  <c r="C135" i="42"/>
  <c r="K135" i="42"/>
  <c r="H148" i="42"/>
  <c r="N142" i="42"/>
  <c r="O149" i="40"/>
  <c r="C57" i="42"/>
  <c r="D71" i="42"/>
  <c r="D115" i="42"/>
  <c r="G71" i="42"/>
  <c r="H32" i="42"/>
  <c r="E36" i="42"/>
  <c r="G92" i="42"/>
  <c r="G148" i="42"/>
  <c r="O57" i="40"/>
  <c r="J71" i="42"/>
  <c r="J92" i="42"/>
  <c r="D148" i="42"/>
  <c r="L148" i="42"/>
  <c r="K57" i="42"/>
  <c r="G57" i="42"/>
  <c r="M148" i="42"/>
  <c r="D36" i="42"/>
  <c r="L36" i="42"/>
  <c r="F57" i="42"/>
  <c r="K92" i="42"/>
  <c r="G115" i="42"/>
  <c r="C115" i="42"/>
  <c r="G135" i="42"/>
  <c r="I148" i="42"/>
  <c r="F54" i="40"/>
  <c r="N54" i="40"/>
  <c r="J127" i="40"/>
  <c r="J152" i="40" s="1"/>
  <c r="J10" i="42"/>
  <c r="I32" i="42"/>
  <c r="H57" i="42"/>
  <c r="L57" i="42"/>
  <c r="L84" i="42" s="1"/>
  <c r="I71" i="42"/>
  <c r="F135" i="42"/>
  <c r="C148" i="42"/>
  <c r="K148" i="42"/>
  <c r="J148" i="42"/>
  <c r="N131" i="42"/>
  <c r="N135" i="42" s="1"/>
  <c r="N40" i="42"/>
  <c r="N39" i="42"/>
  <c r="N12" i="42"/>
  <c r="N28" i="42"/>
  <c r="N17" i="42"/>
  <c r="N25" i="42"/>
  <c r="N11" i="42"/>
  <c r="N81" i="42"/>
  <c r="N80" i="42" s="1"/>
  <c r="N144" i="42"/>
  <c r="N37" i="42"/>
  <c r="D38" i="41"/>
  <c r="C38" i="41" s="1"/>
  <c r="D55" i="41"/>
  <c r="S56" i="41"/>
  <c r="D95" i="41"/>
  <c r="D112" i="41"/>
  <c r="D10" i="41"/>
  <c r="R19" i="41"/>
  <c r="Q56" i="41"/>
  <c r="L24" i="41"/>
  <c r="L32" i="41"/>
  <c r="L41" i="41"/>
  <c r="L44" i="41"/>
  <c r="L47" i="41"/>
  <c r="L49" i="41"/>
  <c r="L52" i="41"/>
  <c r="L55" i="41"/>
  <c r="L62" i="41"/>
  <c r="L98" i="41"/>
  <c r="D20" i="41"/>
  <c r="E19" i="41"/>
  <c r="D25" i="41"/>
  <c r="D28" i="41"/>
  <c r="D33" i="41"/>
  <c r="D36" i="41"/>
  <c r="D42" i="41"/>
  <c r="F39" i="41"/>
  <c r="D48" i="41"/>
  <c r="D50" i="41"/>
  <c r="D53" i="41"/>
  <c r="D69" i="41"/>
  <c r="D74" i="41"/>
  <c r="J19" i="41"/>
  <c r="I19" i="41"/>
  <c r="K19" i="41"/>
  <c r="H104" i="41"/>
  <c r="H116" i="41"/>
  <c r="F56" i="41"/>
  <c r="P62" i="41"/>
  <c r="P71" i="41"/>
  <c r="P76" i="41"/>
  <c r="P79" i="41"/>
  <c r="L69" i="41"/>
  <c r="L72" i="41"/>
  <c r="L77" i="41"/>
  <c r="L80" i="41"/>
  <c r="L85" i="41"/>
  <c r="J56" i="41"/>
  <c r="D73" i="41"/>
  <c r="D81" i="41"/>
  <c r="D47" i="41"/>
  <c r="D104" i="41"/>
  <c r="D110" i="41"/>
  <c r="P66" i="41"/>
  <c r="P100" i="41"/>
  <c r="L11" i="41"/>
  <c r="C11" i="41" s="1"/>
  <c r="N19" i="41"/>
  <c r="L23" i="41"/>
  <c r="L28" i="41"/>
  <c r="L31" i="41"/>
  <c r="L40" i="41"/>
  <c r="L45" i="41"/>
  <c r="L48" i="41"/>
  <c r="L50" i="41"/>
  <c r="L53" i="41"/>
  <c r="L116" i="41"/>
  <c r="H64" i="41"/>
  <c r="H95" i="41"/>
  <c r="Q60" i="41"/>
  <c r="L83" i="41"/>
  <c r="L86" i="41"/>
  <c r="K17" i="41"/>
  <c r="K60" i="41"/>
  <c r="L21" i="41"/>
  <c r="L29" i="41"/>
  <c r="L37" i="41"/>
  <c r="L112" i="41"/>
  <c r="H71" i="41"/>
  <c r="H79" i="41"/>
  <c r="Q19" i="41"/>
  <c r="D106" i="41"/>
  <c r="P102" i="41"/>
  <c r="L58" i="41"/>
  <c r="L68" i="41"/>
  <c r="L76" i="41"/>
  <c r="L84" i="41"/>
  <c r="J39" i="41"/>
  <c r="H55" i="41"/>
  <c r="H62" i="41"/>
  <c r="H98" i="41"/>
  <c r="H114" i="41"/>
  <c r="D59" i="41"/>
  <c r="G60" i="41"/>
  <c r="D57" i="41"/>
  <c r="D45" i="41"/>
  <c r="F19" i="41"/>
  <c r="G19" i="41"/>
  <c r="G17" i="41"/>
  <c r="H93" i="41"/>
  <c r="K65" i="41"/>
  <c r="I60" i="41"/>
  <c r="H23" i="41"/>
  <c r="H20" i="41"/>
  <c r="H10" i="41"/>
  <c r="H14" i="41" s="1"/>
  <c r="H17" i="41" s="1"/>
  <c r="N65" i="41"/>
  <c r="M56" i="41"/>
  <c r="M19" i="41"/>
  <c r="L10" i="41"/>
  <c r="N17" i="41"/>
  <c r="R60" i="41"/>
  <c r="P43" i="41"/>
  <c r="S19" i="41"/>
  <c r="O17" i="41"/>
  <c r="N56" i="41"/>
  <c r="E65" i="41"/>
  <c r="D66" i="41"/>
  <c r="O65" i="41"/>
  <c r="N60" i="41"/>
  <c r="H68" i="41"/>
  <c r="I65" i="41"/>
  <c r="S39" i="41"/>
  <c r="C16" i="41"/>
  <c r="E17" i="41"/>
  <c r="K39" i="41"/>
  <c r="N39" i="41"/>
  <c r="C59" i="41"/>
  <c r="G39" i="41"/>
  <c r="M65" i="41"/>
  <c r="D61" i="41"/>
  <c r="F60" i="41"/>
  <c r="O19" i="41"/>
  <c r="D24" i="41"/>
  <c r="G65" i="41"/>
  <c r="R65" i="41"/>
  <c r="H75" i="41"/>
  <c r="E39" i="41"/>
  <c r="D44" i="41"/>
  <c r="E60" i="41"/>
  <c r="D62" i="41"/>
  <c r="I39" i="41"/>
  <c r="H40" i="41"/>
  <c r="P30" i="41"/>
  <c r="P42" i="41"/>
  <c r="M39" i="41"/>
  <c r="H47" i="41"/>
  <c r="H58" i="41"/>
  <c r="J60" i="41"/>
  <c r="M60" i="41"/>
  <c r="H66" i="41"/>
  <c r="S65" i="41"/>
  <c r="J65" i="41"/>
  <c r="D76" i="41"/>
  <c r="P77" i="41"/>
  <c r="L104" i="41"/>
  <c r="Q39" i="41"/>
  <c r="P40" i="41"/>
  <c r="H25" i="41"/>
  <c r="D35" i="41"/>
  <c r="P36" i="41"/>
  <c r="O39" i="41"/>
  <c r="H42" i="41"/>
  <c r="P68" i="41"/>
  <c r="Q65" i="41"/>
  <c r="P108" i="41"/>
  <c r="H127" i="40"/>
  <c r="H152" i="40" s="1"/>
  <c r="I127" i="40"/>
  <c r="D127" i="40"/>
  <c r="D152" i="40" s="1"/>
  <c r="L127" i="40"/>
  <c r="L152" i="40" s="1"/>
  <c r="E127" i="40"/>
  <c r="E152" i="40" s="1"/>
  <c r="M127" i="40"/>
  <c r="M152" i="40" s="1"/>
  <c r="F127" i="40"/>
  <c r="F152" i="40" s="1"/>
  <c r="N127" i="40"/>
  <c r="N152" i="40" s="1"/>
  <c r="G127" i="40"/>
  <c r="G152" i="40" s="1"/>
  <c r="I84" i="40"/>
  <c r="J84" i="40"/>
  <c r="E84" i="40"/>
  <c r="M84" i="40"/>
  <c r="F84" i="40"/>
  <c r="N84" i="40"/>
  <c r="G84" i="40"/>
  <c r="H84" i="40"/>
  <c r="J54" i="40"/>
  <c r="G54" i="40"/>
  <c r="K54" i="40"/>
  <c r="K87" i="40" s="1"/>
  <c r="D54" i="40"/>
  <c r="D87" i="40" s="1"/>
  <c r="L54" i="40"/>
  <c r="E54" i="40"/>
  <c r="M54" i="40"/>
  <c r="I152" i="40"/>
  <c r="F126" i="3"/>
  <c r="F151" i="3" s="1"/>
  <c r="G151" i="3"/>
  <c r="D126" i="3"/>
  <c r="D151" i="3" s="1"/>
  <c r="E126" i="3"/>
  <c r="E151" i="3" s="1"/>
  <c r="I84" i="3"/>
  <c r="D84" i="3"/>
  <c r="L84" i="3"/>
  <c r="E84" i="3"/>
  <c r="M84" i="3"/>
  <c r="F84" i="3"/>
  <c r="N84" i="3"/>
  <c r="G84" i="3"/>
  <c r="F54" i="3"/>
  <c r="D54" i="3"/>
  <c r="L54" i="3"/>
  <c r="E54" i="3"/>
  <c r="N54" i="3"/>
  <c r="J54" i="3"/>
  <c r="J87" i="3" s="1"/>
  <c r="K54" i="3"/>
  <c r="K87" i="3" s="1"/>
  <c r="D87" i="3"/>
  <c r="G54" i="3"/>
  <c r="H54" i="3"/>
  <c r="M54" i="3"/>
  <c r="I54" i="3"/>
  <c r="H151" i="3"/>
  <c r="I151" i="3"/>
  <c r="M115" i="3"/>
  <c r="M126" i="3" s="1"/>
  <c r="L115" i="3"/>
  <c r="L126" i="3" s="1"/>
  <c r="J151" i="3"/>
  <c r="K151" i="3"/>
  <c r="M135" i="3"/>
  <c r="C75" i="38"/>
  <c r="S19" i="38"/>
  <c r="C54" i="38"/>
  <c r="AC51" i="41"/>
  <c r="C12" i="38"/>
  <c r="C47" i="38"/>
  <c r="C61" i="38"/>
  <c r="C100" i="38"/>
  <c r="AC50" i="41"/>
  <c r="C42" i="38"/>
  <c r="C85" i="38"/>
  <c r="S14" i="38"/>
  <c r="S17" i="38" s="1"/>
  <c r="P17" i="38" s="1"/>
  <c r="C86" i="38"/>
  <c r="D14" i="38"/>
  <c r="C51" i="38"/>
  <c r="C68" i="38"/>
  <c r="C118" i="38"/>
  <c r="C35" i="38"/>
  <c r="C62" i="38"/>
  <c r="H14" i="38"/>
  <c r="C50" i="38"/>
  <c r="Y51" i="41"/>
  <c r="AK51" i="41"/>
  <c r="L14" i="38"/>
  <c r="D39" i="38"/>
  <c r="L39" i="38"/>
  <c r="C98" i="38"/>
  <c r="C36" i="38"/>
  <c r="AG49" i="41"/>
  <c r="C44" i="38"/>
  <c r="AC49" i="41"/>
  <c r="AG52" i="41"/>
  <c r="C31" i="38"/>
  <c r="Y50" i="41"/>
  <c r="AG50" i="41"/>
  <c r="C13" i="38"/>
  <c r="D60" i="38"/>
  <c r="C30" i="38"/>
  <c r="S39" i="38"/>
  <c r="P39" i="38" s="1"/>
  <c r="AK50" i="41"/>
  <c r="Y52" i="41"/>
  <c r="D19" i="38"/>
  <c r="C58" i="38"/>
  <c r="C114" i="38"/>
  <c r="C80" i="38"/>
  <c r="C72" i="38"/>
  <c r="S60" i="38"/>
  <c r="P60" i="38" s="1"/>
  <c r="S56" i="38"/>
  <c r="C48" i="38"/>
  <c r="P40" i="38"/>
  <c r="C40" i="38" s="1"/>
  <c r="C43" i="38"/>
  <c r="C34" i="38"/>
  <c r="C20" i="38"/>
  <c r="C28" i="38"/>
  <c r="C16" i="38"/>
  <c r="P14" i="38"/>
  <c r="C10" i="38"/>
  <c r="C116" i="38"/>
  <c r="C110" i="38"/>
  <c r="C106" i="38"/>
  <c r="C108" i="38"/>
  <c r="C112" i="38"/>
  <c r="C104" i="38"/>
  <c r="C93" i="38"/>
  <c r="C76" i="38"/>
  <c r="L65" i="38"/>
  <c r="C74" i="38"/>
  <c r="C82" i="38"/>
  <c r="C69" i="38"/>
  <c r="C77" i="38"/>
  <c r="C84" i="38"/>
  <c r="H65" i="38"/>
  <c r="C78" i="38"/>
  <c r="C70" i="38"/>
  <c r="C81" i="38"/>
  <c r="C83" i="38"/>
  <c r="D65" i="38"/>
  <c r="C66" i="38"/>
  <c r="C71" i="38"/>
  <c r="C79" i="38"/>
  <c r="C64" i="38"/>
  <c r="L56" i="38"/>
  <c r="C59" i="38"/>
  <c r="C57" i="38"/>
  <c r="H56" i="38"/>
  <c r="R87" i="38"/>
  <c r="R90" i="38" s="1"/>
  <c r="R122" i="38" s="1"/>
  <c r="R124" i="38" s="1"/>
  <c r="C53" i="38"/>
  <c r="C41" i="38"/>
  <c r="H39" i="38"/>
  <c r="J87" i="38"/>
  <c r="J90" i="38" s="1"/>
  <c r="J122" i="38" s="1"/>
  <c r="C55" i="38"/>
  <c r="M87" i="38"/>
  <c r="M90" i="38" s="1"/>
  <c r="C37" i="38"/>
  <c r="Q87" i="38"/>
  <c r="Q90" i="38" s="1"/>
  <c r="C38" i="38"/>
  <c r="N87" i="38"/>
  <c r="N90" i="38" s="1"/>
  <c r="O87" i="38"/>
  <c r="O90" i="38" s="1"/>
  <c r="C32" i="38"/>
  <c r="K87" i="38"/>
  <c r="K90" i="38" s="1"/>
  <c r="K122" i="38" s="1"/>
  <c r="I87" i="38"/>
  <c r="I90" i="38" s="1"/>
  <c r="H19" i="38"/>
  <c r="C33" i="38"/>
  <c r="C24" i="38"/>
  <c r="F87" i="38"/>
  <c r="F90" i="38" s="1"/>
  <c r="C27" i="38"/>
  <c r="G87" i="38"/>
  <c r="G90" i="38" s="1"/>
  <c r="C21" i="38"/>
  <c r="C22" i="38"/>
  <c r="C23" i="38"/>
  <c r="C26" i="38"/>
  <c r="C15" i="38"/>
  <c r="C29" i="38"/>
  <c r="H17" i="38"/>
  <c r="AG51" i="41"/>
  <c r="L19" i="38"/>
  <c r="AK52" i="41"/>
  <c r="F17" i="38"/>
  <c r="D17" i="38" s="1"/>
  <c r="N17" i="38"/>
  <c r="L17" i="38" s="1"/>
  <c r="E19" i="38"/>
  <c r="E87" i="38" s="1"/>
  <c r="Y49" i="41"/>
  <c r="AC52" i="41"/>
  <c r="P19" i="38"/>
  <c r="P65" i="38"/>
  <c r="W51" i="41"/>
  <c r="C112" i="4"/>
  <c r="C118" i="4"/>
  <c r="C77" i="4"/>
  <c r="P69" i="4"/>
  <c r="P65" i="4" s="1"/>
  <c r="P40" i="4"/>
  <c r="C40" i="4" s="1"/>
  <c r="C30" i="4"/>
  <c r="P23" i="4"/>
  <c r="P10" i="4"/>
  <c r="P14" i="4" s="1"/>
  <c r="S17" i="4"/>
  <c r="D60" i="4"/>
  <c r="H19" i="4"/>
  <c r="C63" i="4"/>
  <c r="I87" i="4"/>
  <c r="C68" i="4"/>
  <c r="C37" i="4"/>
  <c r="D19" i="4"/>
  <c r="C50" i="4"/>
  <c r="D56" i="4"/>
  <c r="C15" i="4"/>
  <c r="G87" i="4"/>
  <c r="F87" i="4"/>
  <c r="F90" i="4" s="1"/>
  <c r="F122" i="4" s="1"/>
  <c r="J87" i="4"/>
  <c r="J90" i="4" s="1"/>
  <c r="J122" i="4" s="1"/>
  <c r="C20" i="4"/>
  <c r="C25" i="4"/>
  <c r="C27" i="4"/>
  <c r="C29" i="4"/>
  <c r="C31" i="4"/>
  <c r="C23" i="4"/>
  <c r="C35" i="4"/>
  <c r="C38" i="4"/>
  <c r="C72" i="4"/>
  <c r="H65" i="4"/>
  <c r="E87" i="4"/>
  <c r="E90" i="4" s="1"/>
  <c r="E122" i="4" s="1"/>
  <c r="D39" i="4"/>
  <c r="C51" i="4"/>
  <c r="H39" i="4"/>
  <c r="C41" i="4"/>
  <c r="C43" i="4"/>
  <c r="C47" i="4"/>
  <c r="C59" i="4"/>
  <c r="H60" i="4"/>
  <c r="C62" i="4"/>
  <c r="C64" i="4"/>
  <c r="C76" i="4"/>
  <c r="C79" i="4"/>
  <c r="C70" i="4"/>
  <c r="C75" i="4"/>
  <c r="C80" i="4"/>
  <c r="D65" i="4"/>
  <c r="C95" i="4"/>
  <c r="C108" i="4"/>
  <c r="C93" i="4"/>
  <c r="C104" i="4"/>
  <c r="C100" i="4"/>
  <c r="C102" i="4"/>
  <c r="C98" i="4"/>
  <c r="C114" i="4"/>
  <c r="C69" i="4"/>
  <c r="C71" i="4"/>
  <c r="C86" i="4"/>
  <c r="C81" i="4"/>
  <c r="C73" i="4"/>
  <c r="C67" i="4"/>
  <c r="C82" i="4"/>
  <c r="C84" i="4"/>
  <c r="C78" i="4"/>
  <c r="L65" i="4"/>
  <c r="C74" i="4"/>
  <c r="C66" i="4"/>
  <c r="C85" i="4"/>
  <c r="C61" i="4"/>
  <c r="P56" i="4"/>
  <c r="C57" i="4"/>
  <c r="C42" i="4"/>
  <c r="C46" i="4"/>
  <c r="C54" i="4"/>
  <c r="C44" i="4"/>
  <c r="C48" i="4"/>
  <c r="M87" i="4"/>
  <c r="M90" i="4" s="1"/>
  <c r="M122" i="4" s="1"/>
  <c r="L39" i="4"/>
  <c r="C49" i="4"/>
  <c r="C55" i="4"/>
  <c r="C45" i="4"/>
  <c r="C34" i="4"/>
  <c r="C33" i="4"/>
  <c r="L19" i="4"/>
  <c r="C21" i="4"/>
  <c r="O87" i="4"/>
  <c r="C24" i="4"/>
  <c r="C26" i="4"/>
  <c r="C28" i="4"/>
  <c r="C32" i="4"/>
  <c r="N87" i="4"/>
  <c r="N90" i="4" s="1"/>
  <c r="N122" i="4" s="1"/>
  <c r="C22" i="4"/>
  <c r="Q87" i="4"/>
  <c r="Q90" i="4" s="1"/>
  <c r="Q122" i="4" s="1"/>
  <c r="R87" i="4"/>
  <c r="R90" i="4" s="1"/>
  <c r="R122" i="4" s="1"/>
  <c r="R124" i="4" s="1"/>
  <c r="C36" i="4"/>
  <c r="S87" i="4"/>
  <c r="M17" i="4"/>
  <c r="C12" i="4"/>
  <c r="C13" i="4"/>
  <c r="C58" i="4"/>
  <c r="I90" i="4"/>
  <c r="I122" i="4" s="1"/>
  <c r="H56" i="4"/>
  <c r="G90" i="4"/>
  <c r="G122" i="4" s="1"/>
  <c r="I17" i="4"/>
  <c r="H17" i="4" s="1"/>
  <c r="P19" i="4"/>
  <c r="P39" i="4"/>
  <c r="Q17" i="4"/>
  <c r="K56" i="4"/>
  <c r="K87" i="4" s="1"/>
  <c r="F17" i="4"/>
  <c r="N17" i="4"/>
  <c r="L17" i="4" s="1"/>
  <c r="AA34" i="3"/>
  <c r="Z34" i="3"/>
  <c r="Y34" i="3"/>
  <c r="X34" i="3"/>
  <c r="C76" i="41" l="1"/>
  <c r="L14" i="41"/>
  <c r="C27" i="41"/>
  <c r="C37" i="41"/>
  <c r="C114" i="41"/>
  <c r="L56" i="41"/>
  <c r="C29" i="41"/>
  <c r="C102" i="41"/>
  <c r="C52" i="41"/>
  <c r="C70" i="41"/>
  <c r="H60" i="41"/>
  <c r="C46" i="41"/>
  <c r="C71" i="41"/>
  <c r="C34" i="41"/>
  <c r="C74" i="41"/>
  <c r="C50" i="41"/>
  <c r="C78" i="41"/>
  <c r="C26" i="41"/>
  <c r="C120" i="41"/>
  <c r="C31" i="41"/>
  <c r="D14" i="41"/>
  <c r="D17" i="41" s="1"/>
  <c r="C72" i="41"/>
  <c r="C100" i="41"/>
  <c r="C32" i="41"/>
  <c r="C86" i="41"/>
  <c r="P14" i="41"/>
  <c r="C33" i="41"/>
  <c r="K84" i="42"/>
  <c r="I87" i="40"/>
  <c r="H87" i="40"/>
  <c r="M84" i="42"/>
  <c r="O54" i="3"/>
  <c r="O87" i="3" s="1"/>
  <c r="O152" i="3" s="1"/>
  <c r="H87" i="3"/>
  <c r="N115" i="42"/>
  <c r="G87" i="3"/>
  <c r="N57" i="42"/>
  <c r="C93" i="41"/>
  <c r="C54" i="41"/>
  <c r="I90" i="41"/>
  <c r="P17" i="4"/>
  <c r="C48" i="41"/>
  <c r="C20" i="41"/>
  <c r="C75" i="41"/>
  <c r="P60" i="41"/>
  <c r="C49" i="41"/>
  <c r="C53" i="41"/>
  <c r="L60" i="41"/>
  <c r="C21" i="41"/>
  <c r="C69" i="41"/>
  <c r="C73" i="41"/>
  <c r="C83" i="41"/>
  <c r="C28" i="41"/>
  <c r="C63" i="41"/>
  <c r="C36" i="41"/>
  <c r="C58" i="41"/>
  <c r="C51" i="41"/>
  <c r="P56" i="41"/>
  <c r="C84" i="41"/>
  <c r="C13" i="41"/>
  <c r="N71" i="42"/>
  <c r="N84" i="42" s="1"/>
  <c r="N92" i="42"/>
  <c r="C106" i="41"/>
  <c r="C57" i="41"/>
  <c r="C56" i="41" s="1"/>
  <c r="C25" i="41"/>
  <c r="K87" i="41"/>
  <c r="C116" i="41"/>
  <c r="C81" i="41"/>
  <c r="C79" i="41"/>
  <c r="L39" i="41"/>
  <c r="F87" i="41"/>
  <c r="C85" i="41"/>
  <c r="C43" i="41"/>
  <c r="C98" i="41"/>
  <c r="C64" i="41"/>
  <c r="C47" i="41"/>
  <c r="L19" i="41"/>
  <c r="C10" i="41"/>
  <c r="C55" i="41"/>
  <c r="C108" i="41"/>
  <c r="C104" i="41"/>
  <c r="L65" i="41"/>
  <c r="C112" i="41"/>
  <c r="C12" i="41"/>
  <c r="C23" i="41"/>
  <c r="C24" i="41"/>
  <c r="O122" i="38"/>
  <c r="F122" i="38"/>
  <c r="F90" i="41"/>
  <c r="F122" i="41" s="1"/>
  <c r="J90" i="41"/>
  <c r="N122" i="38"/>
  <c r="N90" i="41"/>
  <c r="C35" i="41"/>
  <c r="C41" i="41"/>
  <c r="H56" i="41"/>
  <c r="D56" i="41"/>
  <c r="C110" i="41"/>
  <c r="C62" i="41"/>
  <c r="D39" i="41"/>
  <c r="M122" i="38"/>
  <c r="M90" i="41"/>
  <c r="G122" i="38"/>
  <c r="K122" i="41" s="1"/>
  <c r="K90" i="41"/>
  <c r="G90" i="41"/>
  <c r="C77" i="41"/>
  <c r="L17" i="41"/>
  <c r="C95" i="41"/>
  <c r="N36" i="42"/>
  <c r="O54" i="40"/>
  <c r="N10" i="42"/>
  <c r="I54" i="42"/>
  <c r="E87" i="3"/>
  <c r="E152" i="3" s="1"/>
  <c r="J84" i="42"/>
  <c r="E84" i="42"/>
  <c r="M87" i="3"/>
  <c r="L87" i="3"/>
  <c r="I84" i="42"/>
  <c r="L126" i="42"/>
  <c r="L151" i="42" s="1"/>
  <c r="K126" i="42"/>
  <c r="J126" i="42"/>
  <c r="J151" i="42" s="1"/>
  <c r="C84" i="42"/>
  <c r="H84" i="42"/>
  <c r="E126" i="42"/>
  <c r="E151" i="42" s="1"/>
  <c r="C54" i="42"/>
  <c r="F54" i="42"/>
  <c r="C126" i="42"/>
  <c r="C151" i="42" s="1"/>
  <c r="G87" i="40"/>
  <c r="G153" i="40" s="1"/>
  <c r="M54" i="42"/>
  <c r="G54" i="42"/>
  <c r="J54" i="42"/>
  <c r="H151" i="42"/>
  <c r="L87" i="40"/>
  <c r="D84" i="42"/>
  <c r="F126" i="42"/>
  <c r="F151" i="42" s="1"/>
  <c r="L54" i="42"/>
  <c r="L87" i="42" s="1"/>
  <c r="G126" i="42"/>
  <c r="G151" i="42" s="1"/>
  <c r="K54" i="42"/>
  <c r="K87" i="42" s="1"/>
  <c r="G84" i="42"/>
  <c r="D54" i="42"/>
  <c r="D87" i="42" s="1"/>
  <c r="O127" i="40"/>
  <c r="O152" i="40" s="1"/>
  <c r="F87" i="40"/>
  <c r="F153" i="40" s="1"/>
  <c r="E87" i="40"/>
  <c r="E153" i="40" s="1"/>
  <c r="D126" i="42"/>
  <c r="D151" i="42" s="1"/>
  <c r="I126" i="42"/>
  <c r="I151" i="42" s="1"/>
  <c r="J87" i="40"/>
  <c r="K151" i="42"/>
  <c r="E54" i="42"/>
  <c r="M126" i="42"/>
  <c r="M151" i="42" s="1"/>
  <c r="O84" i="40"/>
  <c r="H54" i="42"/>
  <c r="N87" i="40"/>
  <c r="N153" i="40" s="1"/>
  <c r="N148" i="42"/>
  <c r="F84" i="42"/>
  <c r="D60" i="41"/>
  <c r="D65" i="41"/>
  <c r="E87" i="41"/>
  <c r="D19" i="41"/>
  <c r="F17" i="41"/>
  <c r="N87" i="41"/>
  <c r="R87" i="41"/>
  <c r="R90" i="41" s="1"/>
  <c r="C42" i="41"/>
  <c r="P39" i="41"/>
  <c r="P19" i="41"/>
  <c r="C44" i="41"/>
  <c r="O87" i="41"/>
  <c r="Q87" i="41"/>
  <c r="C30" i="41"/>
  <c r="P65" i="41"/>
  <c r="J87" i="41"/>
  <c r="G87" i="41"/>
  <c r="I87" i="41"/>
  <c r="S87" i="41"/>
  <c r="S90" i="41" s="1"/>
  <c r="S122" i="41" s="1"/>
  <c r="S124" i="41" s="1"/>
  <c r="C61" i="41"/>
  <c r="C68" i="41"/>
  <c r="H19" i="41"/>
  <c r="M87" i="41"/>
  <c r="V51" i="41"/>
  <c r="C66" i="41"/>
  <c r="H65" i="41"/>
  <c r="H39" i="41"/>
  <c r="C40" i="41"/>
  <c r="J153" i="40"/>
  <c r="D153" i="40"/>
  <c r="H153" i="40"/>
  <c r="L153" i="40"/>
  <c r="M87" i="40"/>
  <c r="M153" i="40" s="1"/>
  <c r="K153" i="40"/>
  <c r="I153" i="40"/>
  <c r="D152" i="3"/>
  <c r="G152" i="3"/>
  <c r="N87" i="3"/>
  <c r="N152" i="3" s="1"/>
  <c r="I87" i="3"/>
  <c r="F87" i="3"/>
  <c r="F152" i="3" s="1"/>
  <c r="I152" i="3"/>
  <c r="H152" i="3"/>
  <c r="K152" i="3"/>
  <c r="J152" i="3"/>
  <c r="L148" i="3"/>
  <c r="L151" i="3" s="1"/>
  <c r="M148" i="3"/>
  <c r="M151" i="3" s="1"/>
  <c r="C14" i="38"/>
  <c r="V50" i="41"/>
  <c r="V49" i="41"/>
  <c r="C60" i="38"/>
  <c r="S87" i="38"/>
  <c r="S90" i="38" s="1"/>
  <c r="S122" i="38" s="1"/>
  <c r="S124" i="38" s="1"/>
  <c r="P56" i="38"/>
  <c r="C39" i="38"/>
  <c r="C65" i="38"/>
  <c r="H87" i="38"/>
  <c r="C56" i="38"/>
  <c r="D87" i="38"/>
  <c r="L87" i="38"/>
  <c r="L90" i="38"/>
  <c r="L122" i="38" s="1"/>
  <c r="C19" i="38"/>
  <c r="I122" i="38"/>
  <c r="I122" i="41" s="1"/>
  <c r="H90" i="38"/>
  <c r="H122" i="38" s="1"/>
  <c r="V52" i="41"/>
  <c r="C17" i="38"/>
  <c r="E90" i="38"/>
  <c r="E90" i="41" s="1"/>
  <c r="Q122" i="38"/>
  <c r="C60" i="4"/>
  <c r="S90" i="4"/>
  <c r="C10" i="4"/>
  <c r="C14" i="4" s="1"/>
  <c r="D87" i="4"/>
  <c r="D90" i="4" s="1"/>
  <c r="D122" i="4" s="1"/>
  <c r="C65" i="4"/>
  <c r="L87" i="4"/>
  <c r="L90" i="4" s="1"/>
  <c r="L122" i="4" s="1"/>
  <c r="C56" i="4"/>
  <c r="O90" i="4"/>
  <c r="O122" i="4" s="1"/>
  <c r="C39" i="4"/>
  <c r="C19" i="4"/>
  <c r="H87" i="4"/>
  <c r="H90" i="4" s="1"/>
  <c r="H122" i="4" s="1"/>
  <c r="K90" i="4"/>
  <c r="K122" i="4" s="1"/>
  <c r="D17" i="4"/>
  <c r="P87" i="4"/>
  <c r="P90" i="4" s="1"/>
  <c r="P122" i="4" s="1"/>
  <c r="O34" i="42"/>
  <c r="P10" i="40"/>
  <c r="Q32" i="3"/>
  <c r="Q115" i="3"/>
  <c r="L87" i="41" l="1"/>
  <c r="C14" i="41"/>
  <c r="C17" i="41" s="1"/>
  <c r="M87" i="42"/>
  <c r="M152" i="42" s="1"/>
  <c r="H87" i="42"/>
  <c r="H152" i="42" s="1"/>
  <c r="I87" i="42"/>
  <c r="E87" i="42"/>
  <c r="E152" i="42" s="1"/>
  <c r="N126" i="42"/>
  <c r="N151" i="42" s="1"/>
  <c r="K152" i="42"/>
  <c r="C87" i="42"/>
  <c r="C152" i="42" s="1"/>
  <c r="L152" i="3"/>
  <c r="J87" i="42"/>
  <c r="J152" i="42" s="1"/>
  <c r="L152" i="42"/>
  <c r="R122" i="41"/>
  <c r="R124" i="41" s="1"/>
  <c r="C17" i="4"/>
  <c r="O90" i="41"/>
  <c r="O122" i="41" s="1"/>
  <c r="M122" i="41"/>
  <c r="P17" i="41"/>
  <c r="G122" i="41"/>
  <c r="N122" i="41"/>
  <c r="D87" i="41"/>
  <c r="F187" i="38"/>
  <c r="J122" i="41"/>
  <c r="D90" i="41"/>
  <c r="D122" i="41" s="1"/>
  <c r="N54" i="42"/>
  <c r="O87" i="40"/>
  <c r="O153" i="40" s="1"/>
  <c r="M152" i="3"/>
  <c r="I152" i="42"/>
  <c r="G87" i="42"/>
  <c r="G152" i="42" s="1"/>
  <c r="F87" i="42"/>
  <c r="F152" i="42" s="1"/>
  <c r="D152" i="42"/>
  <c r="Q90" i="41"/>
  <c r="Q122" i="41" s="1"/>
  <c r="E122" i="41"/>
  <c r="C19" i="41"/>
  <c r="H87" i="41"/>
  <c r="H90" i="41" s="1"/>
  <c r="H122" i="41" s="1"/>
  <c r="P87" i="41"/>
  <c r="C39" i="41"/>
  <c r="C65" i="41"/>
  <c r="C60" i="41"/>
  <c r="P87" i="38"/>
  <c r="P90" i="38"/>
  <c r="P122" i="38" s="1"/>
  <c r="C87" i="38"/>
  <c r="C90" i="38" s="1"/>
  <c r="C122" i="38" s="1"/>
  <c r="D90" i="38"/>
  <c r="D122" i="38" s="1"/>
  <c r="E122" i="38"/>
  <c r="S122" i="4"/>
  <c r="S124" i="4" s="1"/>
  <c r="C87" i="4"/>
  <c r="C90" i="4" s="1"/>
  <c r="C122" i="4" s="1"/>
  <c r="P57" i="40"/>
  <c r="P36" i="40"/>
  <c r="P71" i="40"/>
  <c r="Z105" i="42"/>
  <c r="Y105" i="42"/>
  <c r="X105" i="42"/>
  <c r="W105" i="42"/>
  <c r="V105" i="42"/>
  <c r="U105" i="42"/>
  <c r="T105" i="42"/>
  <c r="S105" i="42"/>
  <c r="R105" i="42"/>
  <c r="Q105" i="42"/>
  <c r="P105" i="42"/>
  <c r="O105" i="42"/>
  <c r="P135" i="3"/>
  <c r="P32" i="3"/>
  <c r="P148" i="3"/>
  <c r="O123" i="42"/>
  <c r="O122" i="42"/>
  <c r="O120" i="42"/>
  <c r="O119" i="42"/>
  <c r="P115" i="3"/>
  <c r="O76" i="42"/>
  <c r="P71" i="3"/>
  <c r="O66" i="42"/>
  <c r="O65" i="42"/>
  <c r="O61" i="42"/>
  <c r="P57" i="3"/>
  <c r="O44" i="42"/>
  <c r="P36" i="3"/>
  <c r="O23" i="42"/>
  <c r="O121" i="42"/>
  <c r="O111" i="42"/>
  <c r="O108" i="42"/>
  <c r="O95" i="42"/>
  <c r="O78" i="42"/>
  <c r="O77" i="42"/>
  <c r="O70" i="42"/>
  <c r="O69" i="42"/>
  <c r="O68" i="42"/>
  <c r="Z28" i="42"/>
  <c r="Y28" i="42"/>
  <c r="X28" i="42"/>
  <c r="W28" i="42"/>
  <c r="V28" i="42"/>
  <c r="U28" i="42"/>
  <c r="T28" i="42"/>
  <c r="Z27" i="42"/>
  <c r="Y27" i="42"/>
  <c r="Z23" i="42"/>
  <c r="Y23" i="42"/>
  <c r="X23" i="42"/>
  <c r="W23" i="42"/>
  <c r="V23" i="42"/>
  <c r="U23" i="42"/>
  <c r="T23" i="42"/>
  <c r="S23" i="42"/>
  <c r="R23" i="42"/>
  <c r="Q23" i="42"/>
  <c r="P23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O30" i="42"/>
  <c r="O28" i="42"/>
  <c r="O27" i="42"/>
  <c r="P10" i="3"/>
  <c r="Z119" i="42"/>
  <c r="Y119" i="42"/>
  <c r="X119" i="42"/>
  <c r="W119" i="42"/>
  <c r="V119" i="42"/>
  <c r="U119" i="42"/>
  <c r="T119" i="42"/>
  <c r="S119" i="42"/>
  <c r="R119" i="42"/>
  <c r="Q119" i="42"/>
  <c r="P119" i="42"/>
  <c r="Q122" i="42"/>
  <c r="Z123" i="42"/>
  <c r="Y123" i="42"/>
  <c r="X123" i="42"/>
  <c r="W123" i="42"/>
  <c r="V123" i="42"/>
  <c r="U123" i="42"/>
  <c r="T123" i="42"/>
  <c r="S123" i="42"/>
  <c r="R123" i="42"/>
  <c r="Q123" i="42"/>
  <c r="Z122" i="42"/>
  <c r="Y122" i="42"/>
  <c r="X122" i="42"/>
  <c r="W122" i="42"/>
  <c r="V122" i="42"/>
  <c r="U122" i="42"/>
  <c r="T122" i="42"/>
  <c r="S122" i="42"/>
  <c r="R122" i="42"/>
  <c r="P122" i="42"/>
  <c r="P123" i="42"/>
  <c r="Z41" i="41"/>
  <c r="V29" i="38"/>
  <c r="Z112" i="41"/>
  <c r="Z110" i="41"/>
  <c r="AE112" i="41"/>
  <c r="AD112" i="41"/>
  <c r="AB112" i="41"/>
  <c r="X112" i="41" s="1"/>
  <c r="AA112" i="41"/>
  <c r="Y112" i="38"/>
  <c r="U112" i="38"/>
  <c r="V19" i="38"/>
  <c r="V39" i="38"/>
  <c r="V56" i="38"/>
  <c r="V60" i="38"/>
  <c r="V65" i="38"/>
  <c r="U84" i="4"/>
  <c r="U80" i="4"/>
  <c r="U79" i="4"/>
  <c r="U76" i="4"/>
  <c r="U75" i="4"/>
  <c r="U72" i="4"/>
  <c r="U71" i="4"/>
  <c r="U68" i="4"/>
  <c r="U67" i="4"/>
  <c r="V60" i="4"/>
  <c r="U47" i="4"/>
  <c r="U45" i="4"/>
  <c r="V39" i="4"/>
  <c r="V19" i="4"/>
  <c r="U46" i="4"/>
  <c r="U48" i="4"/>
  <c r="U63" i="4"/>
  <c r="U69" i="4"/>
  <c r="U70" i="4"/>
  <c r="U73" i="4"/>
  <c r="U74" i="4"/>
  <c r="U77" i="4"/>
  <c r="U78" i="4"/>
  <c r="U81" i="4"/>
  <c r="U82" i="4"/>
  <c r="U83" i="4"/>
  <c r="U85" i="4"/>
  <c r="U86" i="4"/>
  <c r="U66" i="4"/>
  <c r="U55" i="4"/>
  <c r="L90" i="41" l="1"/>
  <c r="L122" i="41" s="1"/>
  <c r="P90" i="41"/>
  <c r="P122" i="41" s="1"/>
  <c r="C87" i="41"/>
  <c r="W112" i="41"/>
  <c r="AC112" i="41"/>
  <c r="P92" i="3"/>
  <c r="P126" i="3" s="1"/>
  <c r="P151" i="3" s="1"/>
  <c r="P54" i="3"/>
  <c r="Y112" i="41"/>
  <c r="T112" i="38"/>
  <c r="V65" i="4"/>
  <c r="V14" i="4"/>
  <c r="V17" i="4" s="1"/>
  <c r="U65" i="4"/>
  <c r="R16" i="3"/>
  <c r="Q16" i="3"/>
  <c r="Q10" i="3" s="1"/>
  <c r="C90" i="41" l="1"/>
  <c r="V112" i="41"/>
  <c r="P30" i="42"/>
  <c r="P121" i="42"/>
  <c r="P120" i="42"/>
  <c r="P111" i="42"/>
  <c r="P108" i="42"/>
  <c r="P99" i="42"/>
  <c r="P98" i="42"/>
  <c r="P95" i="42"/>
  <c r="P78" i="42"/>
  <c r="P77" i="42"/>
  <c r="P76" i="42"/>
  <c r="P68" i="42"/>
  <c r="P66" i="42"/>
  <c r="P65" i="42"/>
  <c r="P61" i="42"/>
  <c r="P44" i="42"/>
  <c r="P42" i="42"/>
  <c r="P34" i="42"/>
  <c r="P28" i="42"/>
  <c r="P27" i="42"/>
  <c r="Q136" i="40"/>
  <c r="Q115" i="40"/>
  <c r="Q92" i="40"/>
  <c r="Q80" i="40"/>
  <c r="Q71" i="40"/>
  <c r="Q57" i="40"/>
  <c r="Q36" i="40"/>
  <c r="Q10" i="40"/>
  <c r="P24" i="42"/>
  <c r="Q148" i="3"/>
  <c r="Q135" i="3"/>
  <c r="Q92" i="3"/>
  <c r="Q126" i="3" s="1"/>
  <c r="R32" i="3"/>
  <c r="Q71" i="3"/>
  <c r="Q57" i="3"/>
  <c r="Q36" i="3"/>
  <c r="AA41" i="41"/>
  <c r="AA110" i="41"/>
  <c r="C122" i="41" l="1"/>
  <c r="Q84" i="40"/>
  <c r="Q127" i="40"/>
  <c r="Q151" i="3"/>
  <c r="Q54" i="3"/>
  <c r="W65" i="38" l="1"/>
  <c r="W60" i="38"/>
  <c r="W56" i="38"/>
  <c r="W39" i="38"/>
  <c r="W19" i="38"/>
  <c r="W65" i="4"/>
  <c r="W60" i="4"/>
  <c r="W56" i="4"/>
  <c r="W39" i="4"/>
  <c r="W19" i="4"/>
  <c r="W14" i="4"/>
  <c r="W17" i="4" s="1"/>
  <c r="W87" i="4" l="1"/>
  <c r="W90" i="4" s="1"/>
  <c r="W122" i="4" s="1"/>
  <c r="W87" i="38"/>
  <c r="Q124" i="42"/>
  <c r="Q121" i="42"/>
  <c r="Q120" i="42"/>
  <c r="Q118" i="42"/>
  <c r="Q117" i="42"/>
  <c r="Q116" i="42"/>
  <c r="Q113" i="42"/>
  <c r="Q112" i="42"/>
  <c r="Q111" i="42"/>
  <c r="Q110" i="42"/>
  <c r="Q109" i="42"/>
  <c r="Q108" i="42"/>
  <c r="Q107" i="42"/>
  <c r="Q106" i="42"/>
  <c r="Q104" i="42"/>
  <c r="Q103" i="42"/>
  <c r="Q102" i="42"/>
  <c r="Q101" i="42"/>
  <c r="Q100" i="42"/>
  <c r="Q99" i="42"/>
  <c r="Q98" i="42"/>
  <c r="Q97" i="42"/>
  <c r="Q96" i="42"/>
  <c r="Q95" i="42"/>
  <c r="Q94" i="42"/>
  <c r="Q93" i="42"/>
  <c r="Q81" i="42"/>
  <c r="Q78" i="42"/>
  <c r="Q77" i="42"/>
  <c r="Q76" i="42"/>
  <c r="Q75" i="42"/>
  <c r="Q73" i="42"/>
  <c r="Q16" i="42"/>
  <c r="Q70" i="42"/>
  <c r="Q69" i="42"/>
  <c r="Q68" i="42"/>
  <c r="Q67" i="42"/>
  <c r="Q66" i="42"/>
  <c r="Q65" i="42"/>
  <c r="Q64" i="42"/>
  <c r="Q63" i="42"/>
  <c r="Q62" i="42"/>
  <c r="Q61" i="42"/>
  <c r="Q60" i="42"/>
  <c r="Q59" i="42"/>
  <c r="Q58" i="42"/>
  <c r="Q52" i="42"/>
  <c r="Q51" i="42"/>
  <c r="Q50" i="42"/>
  <c r="Q49" i="42"/>
  <c r="Q48" i="42"/>
  <c r="Q47" i="42"/>
  <c r="Q46" i="42"/>
  <c r="Q45" i="42"/>
  <c r="Q44" i="42"/>
  <c r="Q43" i="42"/>
  <c r="Q42" i="42"/>
  <c r="Q41" i="42"/>
  <c r="Q40" i="42"/>
  <c r="Q39" i="42"/>
  <c r="Q38" i="42"/>
  <c r="Q34" i="42"/>
  <c r="Q17" i="42"/>
  <c r="Q30" i="42"/>
  <c r="Q28" i="42"/>
  <c r="Q27" i="42"/>
  <c r="W18" i="41"/>
  <c r="W11" i="41"/>
  <c r="Q57" i="42" l="1"/>
  <c r="Q115" i="42"/>
  <c r="Q71" i="42"/>
  <c r="Q92" i="42"/>
  <c r="R149" i="40" l="1"/>
  <c r="R136" i="40"/>
  <c r="R92" i="3"/>
  <c r="R10" i="3"/>
  <c r="R148" i="3"/>
  <c r="R135" i="3"/>
  <c r="R115" i="3"/>
  <c r="R71" i="3"/>
  <c r="R57" i="3"/>
  <c r="R36" i="3"/>
  <c r="R126" i="3" l="1"/>
  <c r="R151" i="3" s="1"/>
  <c r="R92" i="40"/>
  <c r="R57" i="40"/>
  <c r="R10" i="40"/>
  <c r="R80" i="40"/>
  <c r="R36" i="40"/>
  <c r="R115" i="40"/>
  <c r="R71" i="40"/>
  <c r="R54" i="3"/>
  <c r="X22" i="4"/>
  <c r="X10" i="4"/>
  <c r="U10" i="4" s="1"/>
  <c r="R127" i="40" l="1"/>
  <c r="R152" i="40" s="1"/>
  <c r="R84" i="40"/>
  <c r="Z5" i="4"/>
  <c r="AB41" i="41"/>
  <c r="AB110" i="41"/>
  <c r="AB108" i="41"/>
  <c r="X108" i="41" s="1"/>
  <c r="AB106" i="41"/>
  <c r="X106" i="41" s="1"/>
  <c r="AB104" i="41"/>
  <c r="X104" i="41" s="1"/>
  <c r="X65" i="38"/>
  <c r="X60" i="38"/>
  <c r="X56" i="38"/>
  <c r="X39" i="38"/>
  <c r="X19" i="38"/>
  <c r="U110" i="38"/>
  <c r="Y72" i="38"/>
  <c r="U72" i="38"/>
  <c r="Y71" i="38"/>
  <c r="U71" i="38"/>
  <c r="AB67" i="41"/>
  <c r="W67" i="41" s="1"/>
  <c r="AA67" i="41"/>
  <c r="Z67" i="41"/>
  <c r="AB72" i="41"/>
  <c r="W72" i="41" s="1"/>
  <c r="AA72" i="41"/>
  <c r="Z72" i="41"/>
  <c r="T72" i="4"/>
  <c r="AB33" i="41"/>
  <c r="W33" i="41" s="1"/>
  <c r="U51" i="4"/>
  <c r="T51" i="4" s="1"/>
  <c r="AB34" i="41"/>
  <c r="W34" i="41" s="1"/>
  <c r="AA34" i="41"/>
  <c r="Z34" i="41"/>
  <c r="U34" i="38"/>
  <c r="T34" i="38" s="1"/>
  <c r="U34" i="4"/>
  <c r="T34" i="4" s="1"/>
  <c r="AA33" i="41"/>
  <c r="Z33" i="41"/>
  <c r="U33" i="4"/>
  <c r="T33" i="4" s="1"/>
  <c r="Y33" i="38"/>
  <c r="Y67" i="41" l="1"/>
  <c r="Y41" i="41"/>
  <c r="W41" i="41"/>
  <c r="X110" i="41"/>
  <c r="Y110" i="41"/>
  <c r="T71" i="38"/>
  <c r="T72" i="38"/>
  <c r="Y72" i="41"/>
  <c r="V72" i="41" s="1"/>
  <c r="U33" i="38"/>
  <c r="T33" i="38" s="1"/>
  <c r="Y34" i="41"/>
  <c r="V34" i="41" s="1"/>
  <c r="Y33" i="41"/>
  <c r="V33" i="41" s="1"/>
  <c r="X39" i="41"/>
  <c r="U14" i="41" l="1"/>
  <c r="X19" i="41"/>
  <c r="AD67" i="41" l="1"/>
  <c r="AD63" i="41"/>
  <c r="S30" i="42"/>
  <c r="S121" i="42"/>
  <c r="R120" i="42"/>
  <c r="S149" i="40"/>
  <c r="S136" i="40"/>
  <c r="S80" i="40"/>
  <c r="R44" i="42"/>
  <c r="R76" i="42"/>
  <c r="S135" i="3"/>
  <c r="S115" i="40" l="1"/>
  <c r="S71" i="40"/>
  <c r="S36" i="40"/>
  <c r="S92" i="40"/>
  <c r="S57" i="40"/>
  <c r="R121" i="42"/>
  <c r="R116" i="42"/>
  <c r="R111" i="42"/>
  <c r="R108" i="42"/>
  <c r="R95" i="42"/>
  <c r="R94" i="42"/>
  <c r="R78" i="42"/>
  <c r="R77" i="42"/>
  <c r="R70" i="42"/>
  <c r="R69" i="42"/>
  <c r="R68" i="42"/>
  <c r="R66" i="42"/>
  <c r="R65" i="42"/>
  <c r="R61" i="42"/>
  <c r="R51" i="42"/>
  <c r="R38" i="42"/>
  <c r="R30" i="42"/>
  <c r="R28" i="42"/>
  <c r="R27" i="42"/>
  <c r="Z65" i="38"/>
  <c r="Z56" i="38"/>
  <c r="Z39" i="38"/>
  <c r="Z19" i="38"/>
  <c r="Z65" i="4"/>
  <c r="Z60" i="4"/>
  <c r="Z56" i="4"/>
  <c r="Z39" i="4"/>
  <c r="Z19" i="4"/>
  <c r="Z14" i="4"/>
  <c r="Y10" i="4"/>
  <c r="AE114" i="41"/>
  <c r="Z68" i="42"/>
  <c r="Y68" i="42"/>
  <c r="X68" i="42"/>
  <c r="W68" i="42"/>
  <c r="V68" i="42"/>
  <c r="U68" i="42"/>
  <c r="Z65" i="42"/>
  <c r="Y65" i="42"/>
  <c r="X65" i="42"/>
  <c r="W65" i="42"/>
  <c r="V65" i="42"/>
  <c r="U65" i="42"/>
  <c r="Z61" i="42"/>
  <c r="Y61" i="42"/>
  <c r="X61" i="42"/>
  <c r="W61" i="42"/>
  <c r="V61" i="42"/>
  <c r="U61" i="42"/>
  <c r="S84" i="40" l="1"/>
  <c r="S127" i="40"/>
  <c r="S152" i="40" s="1"/>
  <c r="S71" i="3"/>
  <c r="S10" i="3"/>
  <c r="S92" i="3"/>
  <c r="S115" i="3"/>
  <c r="S36" i="3"/>
  <c r="S57" i="3"/>
  <c r="Z87" i="4"/>
  <c r="Z90" i="4" s="1"/>
  <c r="S126" i="3" l="1"/>
  <c r="AE63" i="41"/>
  <c r="W57" i="40"/>
  <c r="X57" i="40"/>
  <c r="V57" i="40"/>
  <c r="U57" i="40"/>
  <c r="S70" i="42" l="1"/>
  <c r="S69" i="42"/>
  <c r="S46" i="42"/>
  <c r="S42" i="42"/>
  <c r="S37" i="42"/>
  <c r="S61" i="42"/>
  <c r="S28" i="42"/>
  <c r="T68" i="42"/>
  <c r="S113" i="42"/>
  <c r="S112" i="42"/>
  <c r="S111" i="42"/>
  <c r="S108" i="42"/>
  <c r="S94" i="42"/>
  <c r="T80" i="3"/>
  <c r="S66" i="42"/>
  <c r="S65" i="42"/>
  <c r="S52" i="42"/>
  <c r="S51" i="42"/>
  <c r="S50" i="42"/>
  <c r="S49" i="42"/>
  <c r="S47" i="42"/>
  <c r="S40" i="42"/>
  <c r="S38" i="42"/>
  <c r="S29" i="42"/>
  <c r="S27" i="42"/>
  <c r="S26" i="42"/>
  <c r="S25" i="42"/>
  <c r="S24" i="42"/>
  <c r="S21" i="42"/>
  <c r="S20" i="42"/>
  <c r="S19" i="42"/>
  <c r="S18" i="42"/>
  <c r="S17" i="42"/>
  <c r="S16" i="42"/>
  <c r="S15" i="42"/>
  <c r="S14" i="42"/>
  <c r="S13" i="42"/>
  <c r="S12" i="42"/>
  <c r="U10" i="3"/>
  <c r="U32" i="3"/>
  <c r="AA19" i="38"/>
  <c r="AA39" i="38"/>
  <c r="AA56" i="38"/>
  <c r="AH110" i="41"/>
  <c r="AG110" i="41" s="1"/>
  <c r="AF110" i="41"/>
  <c r="AE110" i="41"/>
  <c r="W110" i="41" s="1"/>
  <c r="AD110" i="41"/>
  <c r="Y110" i="38"/>
  <c r="T110" i="38" s="1"/>
  <c r="AB39" i="4"/>
  <c r="AC110" i="41" l="1"/>
  <c r="V110" i="41" s="1"/>
  <c r="U110" i="41" s="1"/>
  <c r="T110" i="41" s="1"/>
  <c r="T32" i="3"/>
  <c r="S39" i="42"/>
  <c r="S41" i="42"/>
  <c r="T71" i="40"/>
  <c r="T57" i="40"/>
  <c r="S77" i="42"/>
  <c r="S43" i="42"/>
  <c r="S45" i="42"/>
  <c r="S78" i="42"/>
  <c r="S48" i="42"/>
  <c r="S95" i="42"/>
  <c r="S68" i="42"/>
  <c r="S124" i="42"/>
  <c r="T115" i="40"/>
  <c r="T92" i="3"/>
  <c r="T71" i="3"/>
  <c r="T57" i="3"/>
  <c r="T10" i="3"/>
  <c r="T36" i="3"/>
  <c r="T115" i="3"/>
  <c r="T148" i="3"/>
  <c r="T135" i="3"/>
  <c r="S36" i="42" l="1"/>
  <c r="T126" i="3"/>
  <c r="T151" i="3" s="1"/>
  <c r="T84" i="3"/>
  <c r="T54" i="3"/>
  <c r="AG25" i="41"/>
  <c r="AF25" i="41"/>
  <c r="AE25" i="41"/>
  <c r="AD25" i="41"/>
  <c r="AB25" i="41"/>
  <c r="W25" i="41" s="1"/>
  <c r="AA25" i="41"/>
  <c r="Z25" i="41"/>
  <c r="U25" i="4"/>
  <c r="Y25" i="4"/>
  <c r="AE41" i="41"/>
  <c r="AD41" i="41"/>
  <c r="AF41" i="41"/>
  <c r="AJ41" i="41"/>
  <c r="AI41" i="41"/>
  <c r="AH41" i="41"/>
  <c r="AL41" i="41"/>
  <c r="AM41" i="41"/>
  <c r="AN41" i="41"/>
  <c r="AP41" i="41"/>
  <c r="AO41" i="41"/>
  <c r="U41" i="38"/>
  <c r="AC41" i="38"/>
  <c r="AG41" i="38"/>
  <c r="Y41" i="38"/>
  <c r="U41" i="4"/>
  <c r="AG41" i="4"/>
  <c r="AC41" i="4"/>
  <c r="Y41" i="4"/>
  <c r="AB58" i="4"/>
  <c r="T144" i="42"/>
  <c r="T124" i="42"/>
  <c r="T121" i="42"/>
  <c r="T113" i="42"/>
  <c r="T112" i="42"/>
  <c r="T111" i="42"/>
  <c r="T108" i="42"/>
  <c r="T104" i="42"/>
  <c r="T102" i="42"/>
  <c r="T98" i="42"/>
  <c r="T95" i="42"/>
  <c r="T94" i="42"/>
  <c r="T51" i="42"/>
  <c r="T30" i="42"/>
  <c r="T29" i="42"/>
  <c r="T27" i="42"/>
  <c r="T26" i="42"/>
  <c r="T25" i="42"/>
  <c r="T24" i="42"/>
  <c r="T66" i="42"/>
  <c r="T70" i="42"/>
  <c r="T69" i="42"/>
  <c r="T78" i="42"/>
  <c r="U136" i="40"/>
  <c r="U115" i="40"/>
  <c r="U92" i="40"/>
  <c r="U80" i="40"/>
  <c r="U71" i="40"/>
  <c r="U36" i="40"/>
  <c r="V10" i="3"/>
  <c r="U57" i="3"/>
  <c r="U36" i="3"/>
  <c r="U115" i="3"/>
  <c r="U92" i="3"/>
  <c r="V71" i="3"/>
  <c r="U71" i="3"/>
  <c r="T77" i="42"/>
  <c r="T61" i="42"/>
  <c r="AG41" i="41" l="1"/>
  <c r="Y25" i="41"/>
  <c r="U127" i="40"/>
  <c r="T87" i="3"/>
  <c r="T152" i="3" s="1"/>
  <c r="AC25" i="41"/>
  <c r="T25" i="4"/>
  <c r="AK41" i="41"/>
  <c r="AC41" i="41"/>
  <c r="T41" i="38"/>
  <c r="T41" i="4"/>
  <c r="T65" i="42"/>
  <c r="V25" i="41" l="1"/>
  <c r="T25" i="41" s="1"/>
  <c r="V41" i="41"/>
  <c r="T41" i="41" s="1"/>
  <c r="U17" i="41"/>
  <c r="U56" i="41"/>
  <c r="X14" i="41"/>
  <c r="AH80" i="41"/>
  <c r="AF67" i="41"/>
  <c r="AF12" i="41"/>
  <c r="AF11" i="41"/>
  <c r="AD39" i="38"/>
  <c r="AD19" i="38"/>
  <c r="AB19" i="38"/>
  <c r="AB39" i="38"/>
  <c r="AB56" i="38"/>
  <c r="AB65" i="38"/>
  <c r="Y116" i="38"/>
  <c r="Y114" i="38"/>
  <c r="Y108" i="38"/>
  <c r="Y106" i="38"/>
  <c r="Y104" i="38"/>
  <c r="Y102" i="38"/>
  <c r="Y86" i="38"/>
  <c r="Y85" i="38"/>
  <c r="Y84" i="38"/>
  <c r="Y83" i="38"/>
  <c r="Y82" i="38"/>
  <c r="Y77" i="38"/>
  <c r="Y76" i="38"/>
  <c r="Y74" i="38"/>
  <c r="Y70" i="38"/>
  <c r="Y69" i="38"/>
  <c r="Y68" i="38"/>
  <c r="Y67" i="38"/>
  <c r="T67" i="38" s="1"/>
  <c r="AE67" i="41" s="1"/>
  <c r="Y66" i="38"/>
  <c r="Y55" i="38"/>
  <c r="Y54" i="38"/>
  <c r="Y53" i="38"/>
  <c r="Y50" i="38"/>
  <c r="T50" i="38" s="1"/>
  <c r="Y49" i="38"/>
  <c r="T49" i="38" s="1"/>
  <c r="Y48" i="38"/>
  <c r="T48" i="38" s="1"/>
  <c r="Y47" i="38"/>
  <c r="Y46" i="38"/>
  <c r="T46" i="38" s="1"/>
  <c r="Y45" i="38"/>
  <c r="T45" i="38" s="1"/>
  <c r="Y38" i="38"/>
  <c r="Y37" i="38"/>
  <c r="Y36" i="38"/>
  <c r="Y35" i="38"/>
  <c r="Y11" i="38"/>
  <c r="O91" i="57"/>
  <c r="O68" i="57"/>
  <c r="AF80" i="41"/>
  <c r="O67" i="57"/>
  <c r="AF66" i="41"/>
  <c r="AF62" i="41"/>
  <c r="Y57" i="38"/>
  <c r="AF46" i="41"/>
  <c r="Y43" i="38"/>
  <c r="AF42" i="41"/>
  <c r="Y40" i="38"/>
  <c r="Y31" i="38"/>
  <c r="Y30" i="38"/>
  <c r="O27" i="57"/>
  <c r="Y27" i="38"/>
  <c r="Y26" i="38"/>
  <c r="Y24" i="38"/>
  <c r="Y20" i="38"/>
  <c r="AC49" i="4"/>
  <c r="AC53" i="4"/>
  <c r="AB60" i="4"/>
  <c r="AB65" i="4"/>
  <c r="Y49" i="4"/>
  <c r="U49" i="4"/>
  <c r="AD80" i="41"/>
  <c r="AB80" i="41"/>
  <c r="W80" i="41" s="1"/>
  <c r="AA80" i="41"/>
  <c r="Z80" i="41"/>
  <c r="AC80" i="4"/>
  <c r="Y80" i="4"/>
  <c r="Y50" i="4"/>
  <c r="U50" i="4"/>
  <c r="AB19" i="4"/>
  <c r="AB14" i="4"/>
  <c r="AB63" i="41"/>
  <c r="W63" i="41" s="1"/>
  <c r="AA63" i="41"/>
  <c r="Z63" i="41"/>
  <c r="AH63" i="41"/>
  <c r="AG63" i="41"/>
  <c r="AF63" i="41"/>
  <c r="AC63" i="41" s="1"/>
  <c r="Y63" i="38"/>
  <c r="U63" i="38"/>
  <c r="Y63" i="4"/>
  <c r="T63" i="4" s="1"/>
  <c r="O89" i="57"/>
  <c r="AF100" i="41"/>
  <c r="AF98" i="41"/>
  <c r="AF95" i="41"/>
  <c r="Y81" i="4"/>
  <c r="AF69" i="41"/>
  <c r="AF64" i="41"/>
  <c r="AF58" i="41"/>
  <c r="O45" i="57"/>
  <c r="Y47" i="4"/>
  <c r="O41" i="57"/>
  <c r="Y44" i="4"/>
  <c r="Y43" i="4"/>
  <c r="Y38" i="4"/>
  <c r="Y30" i="4"/>
  <c r="Y28" i="4"/>
  <c r="Y24" i="4"/>
  <c r="AF22" i="41"/>
  <c r="O20" i="57"/>
  <c r="Y11" i="4"/>
  <c r="Y114" i="4"/>
  <c r="Y108" i="4"/>
  <c r="Y106" i="4"/>
  <c r="Y104" i="4"/>
  <c r="Y102" i="4"/>
  <c r="Y85" i="4"/>
  <c r="Y67" i="4"/>
  <c r="Y46" i="4"/>
  <c r="G24" i="58"/>
  <c r="U113" i="42"/>
  <c r="U112" i="42"/>
  <c r="U111" i="42"/>
  <c r="U108" i="42"/>
  <c r="U95" i="42"/>
  <c r="U94" i="42"/>
  <c r="U78" i="42"/>
  <c r="U70" i="42"/>
  <c r="U69" i="42"/>
  <c r="U66" i="42"/>
  <c r="U51" i="42"/>
  <c r="U30" i="42"/>
  <c r="U27" i="42"/>
  <c r="U121" i="42"/>
  <c r="X60" i="41"/>
  <c r="AK67" i="41"/>
  <c r="U65" i="41"/>
  <c r="U60" i="41"/>
  <c r="U39" i="41"/>
  <c r="U19" i="41"/>
  <c r="AH67" i="41"/>
  <c r="AD14" i="4"/>
  <c r="AD17" i="4" s="1"/>
  <c r="AH11" i="41"/>
  <c r="AH10" i="41"/>
  <c r="AI10" i="41"/>
  <c r="AJ10" i="41"/>
  <c r="V115" i="40"/>
  <c r="V92" i="40"/>
  <c r="V149" i="40"/>
  <c r="V136" i="40"/>
  <c r="V71" i="40"/>
  <c r="V80" i="40"/>
  <c r="V36" i="40"/>
  <c r="V10" i="40"/>
  <c r="V32" i="40"/>
  <c r="V80" i="3"/>
  <c r="V115" i="3"/>
  <c r="V92" i="3"/>
  <c r="V135" i="3"/>
  <c r="V148" i="3"/>
  <c r="V36" i="3"/>
  <c r="V57" i="3"/>
  <c r="Z121" i="42"/>
  <c r="Y121" i="42"/>
  <c r="X121" i="42"/>
  <c r="W121" i="42"/>
  <c r="V121" i="42"/>
  <c r="W115" i="3"/>
  <c r="W92" i="3"/>
  <c r="AC57" i="38"/>
  <c r="AF56" i="38"/>
  <c r="AC114" i="4"/>
  <c r="AN16" i="41"/>
  <c r="AN10" i="41"/>
  <c r="AN12" i="41"/>
  <c r="AN13" i="41"/>
  <c r="AN15" i="41"/>
  <c r="AN66" i="41"/>
  <c r="AN68" i="41"/>
  <c r="AN69" i="41"/>
  <c r="AN70" i="41"/>
  <c r="AN71" i="41"/>
  <c r="AN73" i="41"/>
  <c r="AN74" i="41"/>
  <c r="AN75" i="41"/>
  <c r="AN76" i="41"/>
  <c r="AN77" i="41"/>
  <c r="AN78" i="41"/>
  <c r="AN79" i="41"/>
  <c r="AN81" i="41"/>
  <c r="AN82" i="41"/>
  <c r="AN83" i="41"/>
  <c r="AN84" i="41"/>
  <c r="AN85" i="41"/>
  <c r="AN86" i="41"/>
  <c r="AN61" i="41"/>
  <c r="AN62" i="41"/>
  <c r="AN64" i="41"/>
  <c r="AN57" i="41"/>
  <c r="AN58" i="41"/>
  <c r="AN59" i="41"/>
  <c r="AN40" i="41"/>
  <c r="AN42" i="41"/>
  <c r="AN43" i="41"/>
  <c r="AN44" i="41"/>
  <c r="AN45" i="41"/>
  <c r="AN46" i="41"/>
  <c r="AN47" i="41"/>
  <c r="AN48" i="41"/>
  <c r="AN53" i="41"/>
  <c r="AN54" i="41"/>
  <c r="AN55" i="41"/>
  <c r="AN20" i="41"/>
  <c r="AN21" i="41"/>
  <c r="AN22" i="41"/>
  <c r="AN23" i="41"/>
  <c r="AN24" i="41"/>
  <c r="AN26" i="41"/>
  <c r="AN27" i="41"/>
  <c r="AN28" i="41"/>
  <c r="AN29" i="41"/>
  <c r="AN30" i="41"/>
  <c r="AN31" i="41"/>
  <c r="AN32" i="41"/>
  <c r="AN35" i="41"/>
  <c r="AN36" i="41"/>
  <c r="AN37" i="41"/>
  <c r="AN38" i="41"/>
  <c r="AN98" i="41"/>
  <c r="AN100" i="41"/>
  <c r="AN118" i="41"/>
  <c r="AN120" i="41"/>
  <c r="AN93" i="41"/>
  <c r="AN102" i="41"/>
  <c r="AN114" i="41"/>
  <c r="AN116" i="41"/>
  <c r="AN104" i="41"/>
  <c r="AN95" i="41"/>
  <c r="AN106" i="41"/>
  <c r="AN108" i="41"/>
  <c r="AM16" i="41"/>
  <c r="AM10" i="41"/>
  <c r="AM12" i="41"/>
  <c r="AM13" i="41"/>
  <c r="AM15" i="41"/>
  <c r="AM66" i="41"/>
  <c r="AM68" i="41"/>
  <c r="AM69" i="41"/>
  <c r="AM70" i="41"/>
  <c r="AM71" i="41"/>
  <c r="AM73" i="41"/>
  <c r="AM74" i="41"/>
  <c r="AM75" i="41"/>
  <c r="AM76" i="41"/>
  <c r="AM77" i="41"/>
  <c r="AM78" i="41"/>
  <c r="AM79" i="41"/>
  <c r="AM81" i="41"/>
  <c r="AM82" i="41"/>
  <c r="AM83" i="41"/>
  <c r="AM84" i="41"/>
  <c r="AM85" i="41"/>
  <c r="AM86" i="41"/>
  <c r="AM61" i="41"/>
  <c r="AM62" i="41"/>
  <c r="AM64" i="41"/>
  <c r="AM57" i="41"/>
  <c r="AM58" i="41"/>
  <c r="AM59" i="41"/>
  <c r="AM40" i="41"/>
  <c r="AM42" i="41"/>
  <c r="AM43" i="41"/>
  <c r="AM44" i="41"/>
  <c r="AM45" i="41"/>
  <c r="AM46" i="41"/>
  <c r="AM47" i="41"/>
  <c r="AM48" i="41"/>
  <c r="AM53" i="41"/>
  <c r="AM54" i="41"/>
  <c r="AM55" i="41"/>
  <c r="AM20" i="41"/>
  <c r="AM21" i="41"/>
  <c r="AM22" i="41"/>
  <c r="AM23" i="41"/>
  <c r="AM24" i="41"/>
  <c r="AM26" i="41"/>
  <c r="AM27" i="41"/>
  <c r="AM28" i="41"/>
  <c r="AM29" i="41"/>
  <c r="AM30" i="41"/>
  <c r="AM31" i="41"/>
  <c r="AM32" i="41"/>
  <c r="AM35" i="41"/>
  <c r="AM36" i="41"/>
  <c r="AM37" i="41"/>
  <c r="AM38" i="41"/>
  <c r="AM98" i="41"/>
  <c r="AM100" i="41"/>
  <c r="AM118" i="41"/>
  <c r="AM120" i="41"/>
  <c r="AM93" i="41"/>
  <c r="AM102" i="41"/>
  <c r="AM114" i="41"/>
  <c r="AM116" i="41"/>
  <c r="AM104" i="41"/>
  <c r="AM95" i="41"/>
  <c r="AM106" i="41"/>
  <c r="AM108" i="41"/>
  <c r="AL16" i="41"/>
  <c r="AL10" i="41"/>
  <c r="AL12" i="41"/>
  <c r="AL13" i="41"/>
  <c r="AL15" i="41"/>
  <c r="AL66" i="41"/>
  <c r="AL68" i="41"/>
  <c r="AL69" i="41"/>
  <c r="AL70" i="41"/>
  <c r="AL71" i="41"/>
  <c r="AL73" i="41"/>
  <c r="AL74" i="41"/>
  <c r="AL75" i="41"/>
  <c r="AL76" i="41"/>
  <c r="AL77" i="41"/>
  <c r="AL78" i="41"/>
  <c r="AL79" i="41"/>
  <c r="AL81" i="41"/>
  <c r="AL82" i="41"/>
  <c r="AL83" i="41"/>
  <c r="AL84" i="41"/>
  <c r="AL85" i="41"/>
  <c r="AL86" i="41"/>
  <c r="AL61" i="41"/>
  <c r="AL62" i="41"/>
  <c r="AL64" i="41"/>
  <c r="AL57" i="41"/>
  <c r="AL58" i="41"/>
  <c r="AL59" i="41"/>
  <c r="AL40" i="41"/>
  <c r="AL42" i="41"/>
  <c r="AL43" i="41"/>
  <c r="AL44" i="41"/>
  <c r="AL45" i="41"/>
  <c r="AL46" i="41"/>
  <c r="AL47" i="41"/>
  <c r="AL48" i="41"/>
  <c r="AL53" i="41"/>
  <c r="AL54" i="41"/>
  <c r="AL55" i="41"/>
  <c r="AL20" i="41"/>
  <c r="AL21" i="41"/>
  <c r="AL22" i="41"/>
  <c r="AL23" i="41"/>
  <c r="AL24" i="41"/>
  <c r="AL26" i="41"/>
  <c r="AL27" i="41"/>
  <c r="AL28" i="41"/>
  <c r="AL29" i="41"/>
  <c r="AL30" i="41"/>
  <c r="AL31" i="41"/>
  <c r="AL32" i="41"/>
  <c r="AL35" i="41"/>
  <c r="AL36" i="41"/>
  <c r="AL37" i="41"/>
  <c r="AL98" i="41"/>
  <c r="AL100" i="41"/>
  <c r="AL118" i="41"/>
  <c r="AL120" i="41"/>
  <c r="AL93" i="41"/>
  <c r="AL102" i="41"/>
  <c r="AL114" i="41"/>
  <c r="AL116" i="41"/>
  <c r="AL104" i="41"/>
  <c r="AL95" i="41"/>
  <c r="AL106" i="41"/>
  <c r="AL108" i="41"/>
  <c r="AJ59" i="41"/>
  <c r="AJ57" i="41"/>
  <c r="AJ58" i="41"/>
  <c r="AJ66" i="41"/>
  <c r="AJ67" i="41"/>
  <c r="AJ68" i="41"/>
  <c r="AJ69" i="41"/>
  <c r="AJ70" i="41"/>
  <c r="AJ71" i="41"/>
  <c r="AJ73" i="41"/>
  <c r="AJ74" i="41"/>
  <c r="AJ75" i="41"/>
  <c r="AJ76" i="41"/>
  <c r="AJ77" i="41"/>
  <c r="AJ78" i="41"/>
  <c r="AJ79" i="41"/>
  <c r="AJ81" i="41"/>
  <c r="AJ82" i="41"/>
  <c r="AJ83" i="41"/>
  <c r="AJ84" i="41"/>
  <c r="AJ85" i="41"/>
  <c r="AJ86" i="41"/>
  <c r="AJ61" i="41"/>
  <c r="AJ62" i="41"/>
  <c r="AJ64" i="41"/>
  <c r="AJ40" i="41"/>
  <c r="AJ42" i="41"/>
  <c r="AJ43" i="41"/>
  <c r="AJ44" i="41"/>
  <c r="AJ45" i="41"/>
  <c r="AJ46" i="41"/>
  <c r="AJ47" i="41"/>
  <c r="AJ48" i="41"/>
  <c r="AJ53" i="41"/>
  <c r="AJ54" i="41"/>
  <c r="AJ55" i="41"/>
  <c r="AJ20" i="41"/>
  <c r="AJ21" i="41"/>
  <c r="AJ22" i="41"/>
  <c r="AJ23" i="41"/>
  <c r="AJ24" i="41"/>
  <c r="AJ26" i="41"/>
  <c r="AJ27" i="41"/>
  <c r="AJ28" i="41"/>
  <c r="AJ29" i="41"/>
  <c r="AJ30" i="41"/>
  <c r="AJ31" i="41"/>
  <c r="AJ32" i="41"/>
  <c r="AJ35" i="41"/>
  <c r="AJ36" i="41"/>
  <c r="AJ37" i="41"/>
  <c r="AJ16" i="41"/>
  <c r="AJ12" i="41"/>
  <c r="AJ13" i="41"/>
  <c r="AJ11" i="41"/>
  <c r="AJ15" i="41"/>
  <c r="AJ98" i="41"/>
  <c r="AJ100" i="41"/>
  <c r="AJ118" i="41"/>
  <c r="AJ120" i="41"/>
  <c r="AJ93" i="41"/>
  <c r="AJ102" i="41"/>
  <c r="AJ114" i="41"/>
  <c r="AJ116" i="41"/>
  <c r="AJ104" i="41"/>
  <c r="AJ95" i="41"/>
  <c r="AJ106" i="41"/>
  <c r="AJ108" i="41"/>
  <c r="AI21" i="41"/>
  <c r="AI20" i="41"/>
  <c r="AI22" i="41"/>
  <c r="AI23" i="41"/>
  <c r="AI24" i="41"/>
  <c r="AI26" i="41"/>
  <c r="AI27" i="41"/>
  <c r="AI28" i="41"/>
  <c r="AI29" i="41"/>
  <c r="AI30" i="41"/>
  <c r="AI31" i="41"/>
  <c r="AI32" i="41"/>
  <c r="AI35" i="41"/>
  <c r="AI36" i="41"/>
  <c r="AI37" i="41"/>
  <c r="AI58" i="41"/>
  <c r="AI59" i="41"/>
  <c r="AI57" i="41"/>
  <c r="AI78" i="41"/>
  <c r="AI66" i="41"/>
  <c r="AI68" i="41"/>
  <c r="AI69" i="41"/>
  <c r="AI70" i="41"/>
  <c r="AI71" i="41"/>
  <c r="AI73" i="41"/>
  <c r="AI74" i="41"/>
  <c r="AI75" i="41"/>
  <c r="AI76" i="41"/>
  <c r="AI77" i="41"/>
  <c r="AI79" i="41"/>
  <c r="AI81" i="41"/>
  <c r="AI82" i="41"/>
  <c r="AI83" i="41"/>
  <c r="AI84" i="41"/>
  <c r="AI85" i="41"/>
  <c r="AI86" i="41"/>
  <c r="AI61" i="41"/>
  <c r="AI62" i="41"/>
  <c r="AI64" i="41"/>
  <c r="AI40" i="41"/>
  <c r="AI42" i="41"/>
  <c r="AI43" i="41"/>
  <c r="AI44" i="41"/>
  <c r="AI45" i="41"/>
  <c r="AI46" i="41"/>
  <c r="AI47" i="41"/>
  <c r="AI48" i="41"/>
  <c r="AI53" i="41"/>
  <c r="AI54" i="41"/>
  <c r="AI55" i="41"/>
  <c r="AI16" i="41"/>
  <c r="AI15" i="41"/>
  <c r="AI98" i="41"/>
  <c r="AI100" i="41"/>
  <c r="AI118" i="41"/>
  <c r="W118" i="41" s="1"/>
  <c r="AI120" i="41"/>
  <c r="W120" i="41" s="1"/>
  <c r="AI93" i="41"/>
  <c r="AI102" i="41"/>
  <c r="AI114" i="41"/>
  <c r="AI116" i="41"/>
  <c r="AI104" i="41"/>
  <c r="AI95" i="41"/>
  <c r="AI106" i="41"/>
  <c r="AI108" i="41"/>
  <c r="AH93" i="41"/>
  <c r="AH95" i="41"/>
  <c r="AD14" i="38"/>
  <c r="AD17" i="38" s="1"/>
  <c r="AH15" i="41"/>
  <c r="AH21" i="41"/>
  <c r="AH24" i="41"/>
  <c r="AH27" i="41"/>
  <c r="AH28" i="41"/>
  <c r="AH20" i="41"/>
  <c r="AH22" i="41"/>
  <c r="AH23" i="41"/>
  <c r="AH26" i="41"/>
  <c r="AH29" i="41"/>
  <c r="AH30" i="41"/>
  <c r="AH31" i="41"/>
  <c r="AH32" i="41"/>
  <c r="AH35" i="41"/>
  <c r="AH36" i="41"/>
  <c r="AH37" i="41"/>
  <c r="AH40" i="41"/>
  <c r="AH42" i="41"/>
  <c r="AH43" i="41"/>
  <c r="AH44" i="41"/>
  <c r="AH45" i="41"/>
  <c r="AH46" i="41"/>
  <c r="AH47" i="41"/>
  <c r="AH48" i="41"/>
  <c r="AH53" i="41"/>
  <c r="AH54" i="41"/>
  <c r="AH55" i="41"/>
  <c r="AH57" i="41"/>
  <c r="AH58" i="41"/>
  <c r="AH59" i="41"/>
  <c r="AH61" i="41"/>
  <c r="AH62" i="41"/>
  <c r="AH64" i="41"/>
  <c r="AH66" i="41"/>
  <c r="AH68" i="41"/>
  <c r="AH69" i="41"/>
  <c r="AH70" i="41"/>
  <c r="AH71" i="41"/>
  <c r="AH73" i="41"/>
  <c r="AH74" i="41"/>
  <c r="AH75" i="41"/>
  <c r="AH76" i="41"/>
  <c r="AH77" i="41"/>
  <c r="AH78" i="41"/>
  <c r="AH79" i="41"/>
  <c r="AH81" i="41"/>
  <c r="AH82" i="41"/>
  <c r="AH83" i="41"/>
  <c r="AH84" i="41"/>
  <c r="AH85" i="41"/>
  <c r="AH86" i="41"/>
  <c r="AH16" i="41"/>
  <c r="AH98" i="41"/>
  <c r="AH100" i="41"/>
  <c r="AH104" i="41"/>
  <c r="AH118" i="41"/>
  <c r="AH120" i="41"/>
  <c r="AH114" i="41"/>
  <c r="AH116" i="41"/>
  <c r="AH106" i="41"/>
  <c r="AH108" i="41"/>
  <c r="AH102" i="41"/>
  <c r="AH12" i="41"/>
  <c r="AI12" i="41"/>
  <c r="AH13" i="41"/>
  <c r="AI13" i="41"/>
  <c r="AI11" i="41"/>
  <c r="AF15" i="41"/>
  <c r="AF47" i="41"/>
  <c r="AF29" i="41"/>
  <c r="AF30" i="41"/>
  <c r="AF118" i="41"/>
  <c r="AF120" i="41"/>
  <c r="AF93" i="41"/>
  <c r="AF102" i="41"/>
  <c r="AF114" i="41"/>
  <c r="AF116" i="41"/>
  <c r="AF106" i="41"/>
  <c r="AF108" i="41"/>
  <c r="AE16" i="41"/>
  <c r="AE15" i="41"/>
  <c r="AE68" i="41"/>
  <c r="AE71" i="41"/>
  <c r="AE61" i="41"/>
  <c r="AE62" i="41"/>
  <c r="AE64" i="41"/>
  <c r="AE57" i="41"/>
  <c r="AE58" i="41"/>
  <c r="AE59" i="41"/>
  <c r="AE40" i="41"/>
  <c r="AE42" i="41"/>
  <c r="AE43" i="41"/>
  <c r="AE44" i="41"/>
  <c r="AE45" i="41"/>
  <c r="AE46" i="41"/>
  <c r="AE47" i="41"/>
  <c r="AE48" i="41"/>
  <c r="AE53" i="41"/>
  <c r="AE54" i="41"/>
  <c r="AE55" i="41"/>
  <c r="AE20" i="41"/>
  <c r="AE21" i="41"/>
  <c r="AE22" i="41"/>
  <c r="AE23" i="41"/>
  <c r="AE24" i="41"/>
  <c r="AE26" i="41"/>
  <c r="AE27" i="41"/>
  <c r="AE28" i="41"/>
  <c r="AE29" i="41"/>
  <c r="AE30" i="41"/>
  <c r="AE31" i="41"/>
  <c r="AE32" i="41"/>
  <c r="AE35" i="41"/>
  <c r="AE36" i="41"/>
  <c r="AE37" i="41"/>
  <c r="AE98" i="41"/>
  <c r="W98" i="41" s="1"/>
  <c r="AE100" i="41"/>
  <c r="AE118" i="41"/>
  <c r="AE120" i="41"/>
  <c r="AE93" i="41"/>
  <c r="W93" i="41" s="1"/>
  <c r="AE102" i="41"/>
  <c r="AE116" i="41"/>
  <c r="AE104" i="41"/>
  <c r="W104" i="41" s="1"/>
  <c r="AE95" i="41"/>
  <c r="W95" i="41" s="1"/>
  <c r="AE106" i="41"/>
  <c r="W106" i="41" s="1"/>
  <c r="AE108" i="41"/>
  <c r="W108" i="41" s="1"/>
  <c r="AD16" i="41"/>
  <c r="AD15" i="41"/>
  <c r="AD66" i="41"/>
  <c r="AD68" i="41"/>
  <c r="AD69" i="41"/>
  <c r="AD70" i="41"/>
  <c r="AD71" i="41"/>
  <c r="AD73" i="41"/>
  <c r="AD74" i="41"/>
  <c r="AD75" i="41"/>
  <c r="AD76" i="41"/>
  <c r="AD77" i="41"/>
  <c r="AD78" i="41"/>
  <c r="AD79" i="41"/>
  <c r="AD81" i="41"/>
  <c r="AD82" i="41"/>
  <c r="AD83" i="41"/>
  <c r="AD84" i="41"/>
  <c r="AD85" i="41"/>
  <c r="AD86" i="41"/>
  <c r="AD61" i="41"/>
  <c r="AD62" i="41"/>
  <c r="AD64" i="41"/>
  <c r="AD57" i="41"/>
  <c r="AD58" i="41"/>
  <c r="AD59" i="41"/>
  <c r="AD40" i="41"/>
  <c r="AD42" i="41"/>
  <c r="AD43" i="41"/>
  <c r="AD44" i="41"/>
  <c r="AD45" i="41"/>
  <c r="AD46" i="41"/>
  <c r="AD47" i="41"/>
  <c r="AD48" i="41"/>
  <c r="AD53" i="41"/>
  <c r="AD54" i="41"/>
  <c r="AD55" i="41"/>
  <c r="AD20" i="41"/>
  <c r="AD21" i="41"/>
  <c r="AD22" i="41"/>
  <c r="AD23" i="41"/>
  <c r="AD24" i="41"/>
  <c r="AD26" i="41"/>
  <c r="AD27" i="41"/>
  <c r="AD28" i="41"/>
  <c r="AD29" i="41"/>
  <c r="AD30" i="41"/>
  <c r="AD31" i="41"/>
  <c r="AD32" i="41"/>
  <c r="AD35" i="41"/>
  <c r="AD36" i="41"/>
  <c r="AD37" i="41"/>
  <c r="AD98" i="41"/>
  <c r="AD100" i="41"/>
  <c r="AD118" i="41"/>
  <c r="AD120" i="41"/>
  <c r="AD93" i="41"/>
  <c r="AD102" i="41"/>
  <c r="AD114" i="41"/>
  <c r="AD116" i="41"/>
  <c r="AD104" i="41"/>
  <c r="AD95" i="41"/>
  <c r="AD106" i="41"/>
  <c r="AD108" i="41"/>
  <c r="AB16" i="41"/>
  <c r="W16" i="41" s="1"/>
  <c r="AB15" i="41"/>
  <c r="W15" i="41" s="1"/>
  <c r="AB66" i="41"/>
  <c r="AB68" i="41"/>
  <c r="W68" i="41" s="1"/>
  <c r="AB69" i="41"/>
  <c r="W69" i="41" s="1"/>
  <c r="AB70" i="41"/>
  <c r="W70" i="41" s="1"/>
  <c r="AB71" i="41"/>
  <c r="W71" i="41" s="1"/>
  <c r="AB73" i="41"/>
  <c r="W73" i="41" s="1"/>
  <c r="AB74" i="41"/>
  <c r="W74" i="41" s="1"/>
  <c r="AB75" i="41"/>
  <c r="W75" i="41" s="1"/>
  <c r="AB76" i="41"/>
  <c r="W76" i="41" s="1"/>
  <c r="AB77" i="41"/>
  <c r="W77" i="41" s="1"/>
  <c r="AB78" i="41"/>
  <c r="W78" i="41" s="1"/>
  <c r="AB79" i="41"/>
  <c r="W79" i="41" s="1"/>
  <c r="AB81" i="41"/>
  <c r="W81" i="41" s="1"/>
  <c r="AB82" i="41"/>
  <c r="W82" i="41" s="1"/>
  <c r="AB83" i="41"/>
  <c r="W83" i="41" s="1"/>
  <c r="AB84" i="41"/>
  <c r="W84" i="41" s="1"/>
  <c r="AB85" i="41"/>
  <c r="W85" i="41" s="1"/>
  <c r="AB86" i="41"/>
  <c r="W86" i="41" s="1"/>
  <c r="AB61" i="41"/>
  <c r="W61" i="41" s="1"/>
  <c r="AB62" i="41"/>
  <c r="W62" i="41" s="1"/>
  <c r="AB64" i="41"/>
  <c r="W64" i="41" s="1"/>
  <c r="AB57" i="41"/>
  <c r="W57" i="41" s="1"/>
  <c r="AB58" i="41"/>
  <c r="W58" i="41" s="1"/>
  <c r="AB59" i="41"/>
  <c r="W59" i="41" s="1"/>
  <c r="AB40" i="41"/>
  <c r="W40" i="41" s="1"/>
  <c r="AB42" i="41"/>
  <c r="W42" i="41" s="1"/>
  <c r="AB43" i="41"/>
  <c r="W43" i="41" s="1"/>
  <c r="AB44" i="41"/>
  <c r="W44" i="41" s="1"/>
  <c r="AB45" i="41"/>
  <c r="W45" i="41" s="1"/>
  <c r="AB46" i="41"/>
  <c r="W46" i="41" s="1"/>
  <c r="AB47" i="41"/>
  <c r="W47" i="41" s="1"/>
  <c r="AB48" i="41"/>
  <c r="W48" i="41" s="1"/>
  <c r="AB53" i="41"/>
  <c r="W53" i="41" s="1"/>
  <c r="AB54" i="41"/>
  <c r="W54" i="41" s="1"/>
  <c r="AB55" i="41"/>
  <c r="W55" i="41" s="1"/>
  <c r="AB20" i="41"/>
  <c r="W20" i="41" s="1"/>
  <c r="AB21" i="41"/>
  <c r="W21" i="41" s="1"/>
  <c r="AB22" i="41"/>
  <c r="W22" i="41" s="1"/>
  <c r="AB23" i="41"/>
  <c r="W23" i="41" s="1"/>
  <c r="AB24" i="41"/>
  <c r="W24" i="41" s="1"/>
  <c r="AB26" i="41"/>
  <c r="W26" i="41" s="1"/>
  <c r="AB27" i="41"/>
  <c r="W27" i="41" s="1"/>
  <c r="AB28" i="41"/>
  <c r="W28" i="41" s="1"/>
  <c r="AB29" i="41"/>
  <c r="W29" i="41" s="1"/>
  <c r="AB30" i="41"/>
  <c r="W30" i="41" s="1"/>
  <c r="AB31" i="41"/>
  <c r="W31" i="41" s="1"/>
  <c r="AB32" i="41"/>
  <c r="W32" i="41" s="1"/>
  <c r="AB35" i="41"/>
  <c r="W35" i="41" s="1"/>
  <c r="AB36" i="41"/>
  <c r="W36" i="41" s="1"/>
  <c r="AB37" i="41"/>
  <c r="W37" i="41" s="1"/>
  <c r="AB38" i="41"/>
  <c r="W38" i="41" s="1"/>
  <c r="AB98" i="41"/>
  <c r="AB100" i="41"/>
  <c r="X100" i="41" s="1"/>
  <c r="AB93" i="41"/>
  <c r="AB102" i="41"/>
  <c r="AB114" i="41"/>
  <c r="AB116" i="41"/>
  <c r="AB95" i="41"/>
  <c r="AA16" i="41"/>
  <c r="AA15" i="41"/>
  <c r="AA66" i="41"/>
  <c r="AA68" i="41"/>
  <c r="AA69" i="41"/>
  <c r="AA70" i="41"/>
  <c r="AA71" i="41"/>
  <c r="AA73" i="41"/>
  <c r="AA74" i="41"/>
  <c r="AA75" i="41"/>
  <c r="AA76" i="41"/>
  <c r="AA77" i="41"/>
  <c r="AA78" i="41"/>
  <c r="AA79" i="41"/>
  <c r="AA81" i="41"/>
  <c r="AA82" i="41"/>
  <c r="AA83" i="41"/>
  <c r="AA84" i="41"/>
  <c r="AA85" i="41"/>
  <c r="AA86" i="41"/>
  <c r="AA61" i="41"/>
  <c r="AA62" i="41"/>
  <c r="AA64" i="41"/>
  <c r="AA57" i="41"/>
  <c r="AA58" i="41"/>
  <c r="AA59" i="41"/>
  <c r="AA40" i="41"/>
  <c r="AA42" i="41"/>
  <c r="AA43" i="41"/>
  <c r="AA44" i="41"/>
  <c r="AA45" i="41"/>
  <c r="AA46" i="41"/>
  <c r="AA47" i="41"/>
  <c r="AA48" i="41"/>
  <c r="AA53" i="41"/>
  <c r="AA54" i="41"/>
  <c r="AA55" i="41"/>
  <c r="AA20" i="41"/>
  <c r="AA21" i="41"/>
  <c r="AA22" i="41"/>
  <c r="AA23" i="41"/>
  <c r="AA24" i="41"/>
  <c r="AA26" i="41"/>
  <c r="AA27" i="41"/>
  <c r="AA28" i="41"/>
  <c r="AA29" i="41"/>
  <c r="AA30" i="41"/>
  <c r="AA31" i="41"/>
  <c r="AA32" i="41"/>
  <c r="AA35" i="41"/>
  <c r="AA36" i="41"/>
  <c r="AA37" i="41"/>
  <c r="AA38" i="41"/>
  <c r="AA98" i="41"/>
  <c r="AA100" i="41"/>
  <c r="AA93" i="41"/>
  <c r="AA102" i="41"/>
  <c r="AA114" i="41"/>
  <c r="AA116" i="41"/>
  <c r="AA104" i="41"/>
  <c r="AA95" i="41"/>
  <c r="AA106" i="41"/>
  <c r="AA108" i="41"/>
  <c r="Z16" i="41"/>
  <c r="Z15" i="41"/>
  <c r="Z66" i="41"/>
  <c r="Z68" i="41"/>
  <c r="Z69" i="41"/>
  <c r="Z70" i="41"/>
  <c r="Z71" i="41"/>
  <c r="Z73" i="41"/>
  <c r="Z74" i="41"/>
  <c r="Z75" i="41"/>
  <c r="Z76" i="41"/>
  <c r="Z77" i="41"/>
  <c r="Z78" i="41"/>
  <c r="Z79" i="41"/>
  <c r="Z81" i="41"/>
  <c r="Z82" i="41"/>
  <c r="Z83" i="41"/>
  <c r="Z84" i="41"/>
  <c r="Z85" i="41"/>
  <c r="Z86" i="41"/>
  <c r="Z61" i="41"/>
  <c r="Z62" i="41"/>
  <c r="Z64" i="41"/>
  <c r="Z57" i="41"/>
  <c r="Z58" i="41"/>
  <c r="Z59" i="41"/>
  <c r="Z40" i="41"/>
  <c r="Z42" i="41"/>
  <c r="Z43" i="41"/>
  <c r="Z44" i="41"/>
  <c r="Z45" i="41"/>
  <c r="Z46" i="41"/>
  <c r="Z47" i="41"/>
  <c r="Z48" i="41"/>
  <c r="Z53" i="41"/>
  <c r="Z54" i="41"/>
  <c r="Z55" i="41"/>
  <c r="Z20" i="41"/>
  <c r="Z21" i="41"/>
  <c r="Z22" i="41"/>
  <c r="Z23" i="41"/>
  <c r="Z24" i="41"/>
  <c r="Z26" i="41"/>
  <c r="Z27" i="41"/>
  <c r="Z28" i="41"/>
  <c r="Z29" i="41"/>
  <c r="Z30" i="41"/>
  <c r="Z31" i="41"/>
  <c r="Z32" i="41"/>
  <c r="Z35" i="41"/>
  <c r="Z36" i="41"/>
  <c r="Z37" i="41"/>
  <c r="Z38" i="41"/>
  <c r="Z98" i="41"/>
  <c r="Z100" i="41"/>
  <c r="Z93" i="41"/>
  <c r="Z102" i="41"/>
  <c r="Z114" i="41"/>
  <c r="Z116" i="41"/>
  <c r="Z104" i="41"/>
  <c r="Z95" i="41"/>
  <c r="Z106" i="41"/>
  <c r="Z108" i="41"/>
  <c r="Y118" i="41"/>
  <c r="Y120" i="41"/>
  <c r="AC108" i="38"/>
  <c r="U108" i="38"/>
  <c r="AC108" i="4"/>
  <c r="U108" i="4"/>
  <c r="AE14" i="4"/>
  <c r="AJ14" i="4"/>
  <c r="AJ17" i="4" s="1"/>
  <c r="AJ65" i="4"/>
  <c r="AJ60" i="4"/>
  <c r="AJ56" i="4"/>
  <c r="AJ39" i="4"/>
  <c r="AJ19" i="4"/>
  <c r="AC10" i="4"/>
  <c r="AG10" i="4"/>
  <c r="AC11" i="4"/>
  <c r="U12" i="4"/>
  <c r="AC12" i="4"/>
  <c r="AG12" i="4"/>
  <c r="U13" i="4"/>
  <c r="Y13" i="4"/>
  <c r="AC13" i="4"/>
  <c r="AG13" i="4"/>
  <c r="U16" i="4"/>
  <c r="AC16" i="4"/>
  <c r="AG16" i="4"/>
  <c r="U15" i="4"/>
  <c r="Y15" i="4"/>
  <c r="AC15" i="4"/>
  <c r="AG15" i="4"/>
  <c r="Y66" i="4"/>
  <c r="AC66" i="4"/>
  <c r="AG66" i="4"/>
  <c r="AC67" i="4"/>
  <c r="AG67" i="4"/>
  <c r="AC68" i="4"/>
  <c r="AG68" i="4"/>
  <c r="AC69" i="4"/>
  <c r="AG69" i="4"/>
  <c r="AC70" i="4"/>
  <c r="AG70" i="4"/>
  <c r="AC71" i="4"/>
  <c r="AG71" i="4"/>
  <c r="AC73" i="4"/>
  <c r="AG73" i="4"/>
  <c r="AC74" i="4"/>
  <c r="AG74" i="4"/>
  <c r="AC76" i="4"/>
  <c r="AG76" i="4"/>
  <c r="AC77" i="4"/>
  <c r="AG77" i="4"/>
  <c r="AC78" i="4"/>
  <c r="AG78" i="4"/>
  <c r="Y79" i="4"/>
  <c r="AC79" i="4"/>
  <c r="AG79" i="4"/>
  <c r="AC81" i="4"/>
  <c r="AG81" i="4"/>
  <c r="AC82" i="4"/>
  <c r="AG82" i="4"/>
  <c r="AC83" i="4"/>
  <c r="AG83" i="4"/>
  <c r="AC84" i="4"/>
  <c r="AG84" i="4"/>
  <c r="AC85" i="4"/>
  <c r="AG85" i="4"/>
  <c r="AC86" i="4"/>
  <c r="AG86" i="4"/>
  <c r="U61" i="4"/>
  <c r="AC61" i="4"/>
  <c r="AG61" i="4"/>
  <c r="U62" i="4"/>
  <c r="AC62" i="4"/>
  <c r="AG62" i="4"/>
  <c r="U64" i="4"/>
  <c r="Y64" i="4"/>
  <c r="AC64" i="4"/>
  <c r="AG64" i="4"/>
  <c r="U57" i="4"/>
  <c r="AC57" i="4"/>
  <c r="AG57" i="4"/>
  <c r="U58" i="4"/>
  <c r="AC58" i="4"/>
  <c r="AG58" i="4"/>
  <c r="U59" i="4"/>
  <c r="AC59" i="4"/>
  <c r="AG59" i="4"/>
  <c r="U40" i="4"/>
  <c r="AC40" i="4"/>
  <c r="AG40" i="4"/>
  <c r="U42" i="4"/>
  <c r="AC42" i="4"/>
  <c r="AG42" i="4"/>
  <c r="U43" i="4"/>
  <c r="AC43" i="4"/>
  <c r="AG43" i="4"/>
  <c r="U44" i="4"/>
  <c r="AC44" i="4"/>
  <c r="AG44" i="4"/>
  <c r="AC45" i="4"/>
  <c r="AG45" i="4"/>
  <c r="AC46" i="4"/>
  <c r="AG46" i="4"/>
  <c r="AC47" i="4"/>
  <c r="AG47" i="4"/>
  <c r="AC48" i="4"/>
  <c r="AG48" i="4"/>
  <c r="U53" i="4"/>
  <c r="AG53" i="4"/>
  <c r="U54" i="4"/>
  <c r="AC54" i="4"/>
  <c r="AG54" i="4"/>
  <c r="AC55" i="4"/>
  <c r="AG55" i="4"/>
  <c r="U20" i="4"/>
  <c r="AC20" i="4"/>
  <c r="AG20" i="4"/>
  <c r="U21" i="4"/>
  <c r="AC21" i="4"/>
  <c r="AG21" i="4"/>
  <c r="U22" i="4"/>
  <c r="AC22" i="4"/>
  <c r="AG22" i="4"/>
  <c r="U23" i="4"/>
  <c r="AC23" i="4"/>
  <c r="AG23" i="4"/>
  <c r="U24" i="4"/>
  <c r="AC24" i="4"/>
  <c r="AG24" i="4"/>
  <c r="U26" i="4"/>
  <c r="AC26" i="4"/>
  <c r="AG26" i="4"/>
  <c r="U27" i="4"/>
  <c r="AC27" i="4"/>
  <c r="AG27" i="4"/>
  <c r="U28" i="4"/>
  <c r="AC28" i="4"/>
  <c r="AG28" i="4"/>
  <c r="U29" i="4"/>
  <c r="Y29" i="4"/>
  <c r="AC29" i="4"/>
  <c r="AG29" i="4"/>
  <c r="U30" i="4"/>
  <c r="AC30" i="4"/>
  <c r="AG30" i="4"/>
  <c r="U31" i="4"/>
  <c r="Y31" i="4"/>
  <c r="AC31" i="4"/>
  <c r="AG31" i="4"/>
  <c r="U32" i="4"/>
  <c r="AC32" i="4"/>
  <c r="AG32" i="4"/>
  <c r="U35" i="4"/>
  <c r="AC35" i="4"/>
  <c r="AG35" i="4"/>
  <c r="U36" i="4"/>
  <c r="AC36" i="4"/>
  <c r="AG36" i="4"/>
  <c r="U37" i="4"/>
  <c r="AC37" i="4"/>
  <c r="AG37" i="4"/>
  <c r="U38" i="4"/>
  <c r="AC38" i="4"/>
  <c r="U100" i="4"/>
  <c r="Y100" i="4"/>
  <c r="AC100" i="4"/>
  <c r="AG100" i="4"/>
  <c r="U118" i="4"/>
  <c r="Y118" i="4"/>
  <c r="AC118" i="4"/>
  <c r="AG118" i="4"/>
  <c r="U120" i="4"/>
  <c r="AC120" i="4"/>
  <c r="U98" i="4"/>
  <c r="AC98" i="4"/>
  <c r="AG98" i="4"/>
  <c r="U116" i="4"/>
  <c r="Y116" i="4"/>
  <c r="AC116" i="4"/>
  <c r="AG116" i="4"/>
  <c r="U93" i="4"/>
  <c r="AC93" i="4"/>
  <c r="AG93" i="4"/>
  <c r="U102" i="4"/>
  <c r="AC102" i="4"/>
  <c r="AG102" i="4"/>
  <c r="U114" i="4"/>
  <c r="AG114" i="4"/>
  <c r="U95" i="4"/>
  <c r="AG95" i="4"/>
  <c r="AM14" i="4"/>
  <c r="AM17" i="4" s="1"/>
  <c r="AM65" i="4"/>
  <c r="AM60" i="4"/>
  <c r="AM56" i="4"/>
  <c r="AM39" i="4"/>
  <c r="AM19" i="4"/>
  <c r="AL14" i="4"/>
  <c r="AL65" i="4"/>
  <c r="AL60" i="4"/>
  <c r="AL56" i="4"/>
  <c r="AL39" i="4"/>
  <c r="AL19" i="4"/>
  <c r="AI14" i="4"/>
  <c r="AI17" i="4" s="1"/>
  <c r="AI65" i="4"/>
  <c r="AI60" i="4"/>
  <c r="AI56" i="4"/>
  <c r="AI39" i="4"/>
  <c r="AI19" i="4"/>
  <c r="AH14" i="4"/>
  <c r="AH17" i="4" s="1"/>
  <c r="AH65" i="4"/>
  <c r="AH60" i="4"/>
  <c r="AH56" i="4"/>
  <c r="AH39" i="4"/>
  <c r="AH19" i="4"/>
  <c r="AF14" i="4"/>
  <c r="AF65" i="4"/>
  <c r="AF60" i="4"/>
  <c r="AF56" i="4"/>
  <c r="AF39" i="4"/>
  <c r="AF19" i="4"/>
  <c r="AE65" i="4"/>
  <c r="AE60" i="4"/>
  <c r="AE56" i="4"/>
  <c r="AE39" i="4"/>
  <c r="AE19" i="4"/>
  <c r="AD65" i="4"/>
  <c r="AD60" i="4"/>
  <c r="AD56" i="4"/>
  <c r="AD39" i="4"/>
  <c r="AD19" i="4"/>
  <c r="AA14" i="4"/>
  <c r="AA17" i="4" s="1"/>
  <c r="AA65" i="4"/>
  <c r="AA60" i="4"/>
  <c r="AA56" i="4"/>
  <c r="AA39" i="4"/>
  <c r="AA19" i="4"/>
  <c r="Z17" i="4"/>
  <c r="X14" i="4"/>
  <c r="X17" i="4" s="1"/>
  <c r="X65" i="4"/>
  <c r="X60" i="4"/>
  <c r="X56" i="4"/>
  <c r="X39" i="4"/>
  <c r="X19" i="4"/>
  <c r="V56" i="4"/>
  <c r="V87" i="4" s="1"/>
  <c r="T119" i="4"/>
  <c r="T117" i="4"/>
  <c r="T115" i="4"/>
  <c r="AC106" i="4"/>
  <c r="U106" i="4"/>
  <c r="AC104" i="4"/>
  <c r="U104" i="4"/>
  <c r="T103" i="4"/>
  <c r="T101" i="4"/>
  <c r="T99" i="4"/>
  <c r="T97" i="4"/>
  <c r="T94" i="4"/>
  <c r="AC75" i="4"/>
  <c r="V33" i="42"/>
  <c r="AB17" i="38"/>
  <c r="AA14" i="38"/>
  <c r="AA17" i="38" s="1"/>
  <c r="Z14" i="38"/>
  <c r="X14" i="38"/>
  <c r="X17" i="38" s="1"/>
  <c r="W14" i="38"/>
  <c r="V14" i="38"/>
  <c r="V17" i="38" s="1"/>
  <c r="AE14" i="38"/>
  <c r="AE17" i="38" s="1"/>
  <c r="AD13" i="41"/>
  <c r="AE13" i="41"/>
  <c r="AF13" i="41"/>
  <c r="Z13" i="41"/>
  <c r="AA13" i="41"/>
  <c r="AB13" i="41"/>
  <c r="W13" i="41" s="1"/>
  <c r="AD12" i="41"/>
  <c r="AE12" i="41"/>
  <c r="Z12" i="41"/>
  <c r="AA12" i="41"/>
  <c r="AB12" i="41"/>
  <c r="W12" i="41" s="1"/>
  <c r="AD10" i="41"/>
  <c r="AE10" i="41"/>
  <c r="Z10" i="41"/>
  <c r="AA10" i="41"/>
  <c r="AB10" i="41"/>
  <c r="W10" i="41" s="1"/>
  <c r="Z117" i="3"/>
  <c r="Y117" i="42" s="1"/>
  <c r="Z129" i="3"/>
  <c r="Z135" i="3" s="1"/>
  <c r="Z92" i="3"/>
  <c r="Z140" i="3"/>
  <c r="Y140" i="3" s="1"/>
  <c r="Z71" i="3"/>
  <c r="Z69" i="3"/>
  <c r="Y69" i="42" s="1"/>
  <c r="Z80" i="3"/>
  <c r="Z36" i="3"/>
  <c r="Z10" i="3"/>
  <c r="AA92" i="3"/>
  <c r="V113" i="42"/>
  <c r="V112" i="42"/>
  <c r="V111" i="42"/>
  <c r="V108" i="42"/>
  <c r="V100" i="42"/>
  <c r="V103" i="42"/>
  <c r="V93" i="42"/>
  <c r="V94" i="42"/>
  <c r="V95" i="42"/>
  <c r="V96" i="42"/>
  <c r="V97" i="42"/>
  <c r="V98" i="42"/>
  <c r="V99" i="42"/>
  <c r="V101" i="42"/>
  <c r="V102" i="42"/>
  <c r="V104" i="42"/>
  <c r="V106" i="42"/>
  <c r="V107" i="42"/>
  <c r="V109" i="42"/>
  <c r="V110" i="42"/>
  <c r="V73" i="42"/>
  <c r="V75" i="42"/>
  <c r="V78" i="42"/>
  <c r="V58" i="42"/>
  <c r="V59" i="42"/>
  <c r="V60" i="42"/>
  <c r="V62" i="42"/>
  <c r="V63" i="42"/>
  <c r="V64" i="42"/>
  <c r="V66" i="42"/>
  <c r="V67" i="42"/>
  <c r="V69" i="42"/>
  <c r="V70" i="42"/>
  <c r="V52" i="42"/>
  <c r="V37" i="42"/>
  <c r="V46" i="42"/>
  <c r="V50" i="42"/>
  <c r="V38" i="42"/>
  <c r="V39" i="42"/>
  <c r="V40" i="42"/>
  <c r="V41" i="42"/>
  <c r="V42" i="42"/>
  <c r="V43" i="42"/>
  <c r="V45" i="42"/>
  <c r="V47" i="42"/>
  <c r="V48" i="42"/>
  <c r="V49" i="42"/>
  <c r="V51" i="42"/>
  <c r="V29" i="42"/>
  <c r="V11" i="42"/>
  <c r="V12" i="42"/>
  <c r="V13" i="42"/>
  <c r="V14" i="42"/>
  <c r="V15" i="42"/>
  <c r="V16" i="42"/>
  <c r="V17" i="42"/>
  <c r="V18" i="42"/>
  <c r="V19" i="42"/>
  <c r="V20" i="42"/>
  <c r="V21" i="42"/>
  <c r="V24" i="42"/>
  <c r="V25" i="42"/>
  <c r="V26" i="42"/>
  <c r="V27" i="42"/>
  <c r="V30" i="42"/>
  <c r="V144" i="42"/>
  <c r="V146" i="42"/>
  <c r="V138" i="42"/>
  <c r="V142" i="42"/>
  <c r="V140" i="42"/>
  <c r="V133" i="42"/>
  <c r="V131" i="42"/>
  <c r="V116" i="42"/>
  <c r="V117" i="42"/>
  <c r="V118" i="42"/>
  <c r="V124" i="42"/>
  <c r="W148" i="3"/>
  <c r="W135" i="3"/>
  <c r="Z95" i="42"/>
  <c r="Y95" i="42"/>
  <c r="X95" i="42"/>
  <c r="W95" i="42"/>
  <c r="W149" i="40"/>
  <c r="W136" i="40"/>
  <c r="X36" i="40"/>
  <c r="W115" i="40"/>
  <c r="W92" i="40"/>
  <c r="W80" i="40"/>
  <c r="W71" i="40"/>
  <c r="W36" i="40"/>
  <c r="X115" i="40"/>
  <c r="Y115" i="40"/>
  <c r="Z115" i="40"/>
  <c r="AA115" i="40"/>
  <c r="P115" i="40"/>
  <c r="Z124" i="42"/>
  <c r="Y124" i="42"/>
  <c r="X124" i="42"/>
  <c r="W124" i="42"/>
  <c r="U124" i="42"/>
  <c r="R124" i="42"/>
  <c r="P124" i="42"/>
  <c r="O124" i="42"/>
  <c r="U118" i="42"/>
  <c r="T118" i="42"/>
  <c r="S118" i="42"/>
  <c r="R118" i="42"/>
  <c r="P118" i="42"/>
  <c r="O118" i="42"/>
  <c r="AJ14" i="38"/>
  <c r="AJ17" i="38" s="1"/>
  <c r="AJ65" i="38"/>
  <c r="AJ60" i="38"/>
  <c r="AJ56" i="38"/>
  <c r="AJ39" i="38"/>
  <c r="AJ19" i="38"/>
  <c r="AI14" i="38"/>
  <c r="AI65" i="38"/>
  <c r="AI60" i="38"/>
  <c r="AI56" i="38"/>
  <c r="AI39" i="38"/>
  <c r="AI19" i="38"/>
  <c r="AH14" i="38"/>
  <c r="AH17" i="38" s="1"/>
  <c r="AH65" i="38"/>
  <c r="AH60" i="38"/>
  <c r="AH56" i="38"/>
  <c r="AH39" i="38"/>
  <c r="AH19" i="38"/>
  <c r="AG100" i="38"/>
  <c r="AG118" i="38"/>
  <c r="AG98" i="38"/>
  <c r="AG93" i="38"/>
  <c r="AG116" i="38"/>
  <c r="AG104" i="38"/>
  <c r="AG102" i="38"/>
  <c r="AF14" i="38"/>
  <c r="AF17" i="38" s="1"/>
  <c r="AF65" i="38"/>
  <c r="AF60" i="38"/>
  <c r="AF39" i="38"/>
  <c r="AF19" i="38"/>
  <c r="U106" i="38"/>
  <c r="B125" i="58"/>
  <c r="W36" i="3"/>
  <c r="W10" i="3"/>
  <c r="W71" i="3"/>
  <c r="W57" i="3"/>
  <c r="AC106" i="38"/>
  <c r="G116" i="58"/>
  <c r="H116" i="58"/>
  <c r="H117" i="58"/>
  <c r="H88" i="58"/>
  <c r="H61" i="58"/>
  <c r="H52" i="58"/>
  <c r="G52" i="58"/>
  <c r="H53" i="58"/>
  <c r="H16" i="58"/>
  <c r="G16" i="58"/>
  <c r="I15" i="58"/>
  <c r="I14" i="58"/>
  <c r="I13" i="58"/>
  <c r="I12" i="58"/>
  <c r="I11" i="58"/>
  <c r="I10" i="58"/>
  <c r="I9" i="58"/>
  <c r="I8" i="58"/>
  <c r="I7" i="58"/>
  <c r="G17" i="58"/>
  <c r="W138" i="42"/>
  <c r="X136" i="40"/>
  <c r="X92" i="40"/>
  <c r="Z108" i="42"/>
  <c r="Y108" i="42"/>
  <c r="X108" i="42"/>
  <c r="W108" i="42"/>
  <c r="Y36" i="3"/>
  <c r="W111" i="42"/>
  <c r="Z111" i="42"/>
  <c r="Y111" i="42"/>
  <c r="X111" i="42"/>
  <c r="X93" i="3"/>
  <c r="W93" i="42" s="1"/>
  <c r="X135" i="3"/>
  <c r="W118" i="42"/>
  <c r="W113" i="42"/>
  <c r="W69" i="42"/>
  <c r="W52" i="42"/>
  <c r="W51" i="42"/>
  <c r="W27" i="42"/>
  <c r="X71" i="40"/>
  <c r="X71" i="3"/>
  <c r="X36" i="3"/>
  <c r="X57" i="3"/>
  <c r="W78" i="42"/>
  <c r="W70" i="42"/>
  <c r="X10" i="3"/>
  <c r="AC114" i="38"/>
  <c r="AC104" i="38"/>
  <c r="AC11" i="38"/>
  <c r="G88" i="58"/>
  <c r="H89" i="58"/>
  <c r="X52" i="42"/>
  <c r="X51" i="42"/>
  <c r="X118" i="42"/>
  <c r="X69" i="42"/>
  <c r="G77" i="57"/>
  <c r="Z101" i="57"/>
  <c r="Y101" i="57"/>
  <c r="Y104" i="57"/>
  <c r="W99" i="57"/>
  <c r="V99" i="57"/>
  <c r="U99" i="57"/>
  <c r="S99" i="57"/>
  <c r="R99" i="57"/>
  <c r="Q99" i="57"/>
  <c r="O99" i="57"/>
  <c r="N99" i="57"/>
  <c r="M99" i="57"/>
  <c r="H99" i="57"/>
  <c r="W97" i="57"/>
  <c r="V97" i="57"/>
  <c r="F97" i="57" s="1"/>
  <c r="U97" i="57"/>
  <c r="S97" i="57"/>
  <c r="R97" i="57"/>
  <c r="Q97" i="57"/>
  <c r="O97" i="57"/>
  <c r="N97" i="57"/>
  <c r="M97" i="57"/>
  <c r="H97" i="57"/>
  <c r="W95" i="57"/>
  <c r="V95" i="57"/>
  <c r="U95" i="57"/>
  <c r="S95" i="57"/>
  <c r="R95" i="57"/>
  <c r="Q95" i="57"/>
  <c r="O95" i="57"/>
  <c r="N95" i="57"/>
  <c r="M95" i="57"/>
  <c r="K95" i="57"/>
  <c r="J95" i="57"/>
  <c r="I95" i="57"/>
  <c r="W93" i="57"/>
  <c r="V93" i="57"/>
  <c r="U93" i="57"/>
  <c r="F93" i="57" s="1"/>
  <c r="S93" i="57"/>
  <c r="R93" i="57"/>
  <c r="Q93" i="57"/>
  <c r="O93" i="57"/>
  <c r="N93" i="57"/>
  <c r="M93" i="57"/>
  <c r="K93" i="57"/>
  <c r="J93" i="57"/>
  <c r="I93" i="57"/>
  <c r="W91" i="57"/>
  <c r="V91" i="57"/>
  <c r="G91" i="57" s="1"/>
  <c r="U91" i="57"/>
  <c r="S91" i="57"/>
  <c r="R91" i="57"/>
  <c r="Q91" i="57"/>
  <c r="N91" i="57"/>
  <c r="M91" i="57"/>
  <c r="J91" i="57"/>
  <c r="I91" i="57"/>
  <c r="W89" i="57"/>
  <c r="V89" i="57"/>
  <c r="U89" i="57"/>
  <c r="S89" i="57"/>
  <c r="R89" i="57"/>
  <c r="Q89" i="57"/>
  <c r="N89" i="57"/>
  <c r="M89" i="57"/>
  <c r="K89" i="57"/>
  <c r="J89" i="57"/>
  <c r="I89" i="57"/>
  <c r="W87" i="57"/>
  <c r="V87" i="57"/>
  <c r="G87" i="57" s="1"/>
  <c r="U87" i="57"/>
  <c r="S87" i="57"/>
  <c r="R87" i="57"/>
  <c r="Q87" i="57"/>
  <c r="N87" i="57"/>
  <c r="M87" i="57"/>
  <c r="K87" i="57"/>
  <c r="J87" i="57"/>
  <c r="I87" i="57"/>
  <c r="W85" i="57"/>
  <c r="V85" i="57"/>
  <c r="U85" i="57"/>
  <c r="F85" i="57" s="1"/>
  <c r="S85" i="57"/>
  <c r="R85" i="57"/>
  <c r="Q85" i="57"/>
  <c r="N85" i="57"/>
  <c r="M85" i="57"/>
  <c r="K85" i="57"/>
  <c r="J85" i="57"/>
  <c r="I85" i="57"/>
  <c r="W82" i="57"/>
  <c r="V82" i="57"/>
  <c r="U82" i="57"/>
  <c r="F82" i="57" s="1"/>
  <c r="S82" i="57"/>
  <c r="R82" i="57"/>
  <c r="Q82" i="57"/>
  <c r="N82" i="57"/>
  <c r="M82" i="57"/>
  <c r="K82" i="57"/>
  <c r="J82" i="57"/>
  <c r="I82" i="57"/>
  <c r="W80" i="57"/>
  <c r="V80" i="57"/>
  <c r="U80" i="57"/>
  <c r="F80" i="57" s="1"/>
  <c r="S80" i="57"/>
  <c r="R80" i="57"/>
  <c r="Q80" i="57"/>
  <c r="N80" i="57"/>
  <c r="M80" i="57"/>
  <c r="K80" i="57"/>
  <c r="J80" i="57"/>
  <c r="I80" i="57"/>
  <c r="W73" i="57"/>
  <c r="V73" i="57"/>
  <c r="U73" i="57"/>
  <c r="F73" i="57" s="1"/>
  <c r="S73" i="57"/>
  <c r="R73" i="57"/>
  <c r="Q73" i="57"/>
  <c r="M73" i="57"/>
  <c r="K73" i="57"/>
  <c r="J73" i="57"/>
  <c r="I73" i="57"/>
  <c r="W72" i="57"/>
  <c r="V72" i="57"/>
  <c r="U72" i="57"/>
  <c r="S72" i="57"/>
  <c r="R72" i="57"/>
  <c r="Q72" i="57"/>
  <c r="M72" i="57"/>
  <c r="K72" i="57"/>
  <c r="J72" i="57"/>
  <c r="I72" i="57"/>
  <c r="W71" i="57"/>
  <c r="V71" i="57"/>
  <c r="U71" i="57"/>
  <c r="F71" i="57" s="1"/>
  <c r="S71" i="57"/>
  <c r="R71" i="57"/>
  <c r="Q71" i="57"/>
  <c r="M71" i="57"/>
  <c r="K71" i="57"/>
  <c r="J71" i="57"/>
  <c r="I71" i="57"/>
  <c r="W70" i="57"/>
  <c r="V70" i="57"/>
  <c r="U70" i="57"/>
  <c r="S70" i="57"/>
  <c r="R70" i="57"/>
  <c r="Q70" i="57"/>
  <c r="M70" i="57"/>
  <c r="K70" i="57"/>
  <c r="J70" i="57"/>
  <c r="I70" i="57"/>
  <c r="W69" i="57"/>
  <c r="V69" i="57"/>
  <c r="U69" i="57"/>
  <c r="F69" i="57" s="1"/>
  <c r="S69" i="57"/>
  <c r="R69" i="57"/>
  <c r="Q69" i="57"/>
  <c r="M69" i="57"/>
  <c r="K69" i="57"/>
  <c r="J69" i="57"/>
  <c r="I69" i="57"/>
  <c r="W68" i="57"/>
  <c r="V68" i="57"/>
  <c r="U68" i="57"/>
  <c r="F68" i="57" s="1"/>
  <c r="S68" i="57"/>
  <c r="R68" i="57"/>
  <c r="Q68" i="57"/>
  <c r="M68" i="57"/>
  <c r="K68" i="57"/>
  <c r="J68" i="57"/>
  <c r="I68" i="57"/>
  <c r="W67" i="57"/>
  <c r="V67" i="57"/>
  <c r="U67" i="57"/>
  <c r="F67" i="57" s="1"/>
  <c r="S67" i="57"/>
  <c r="R67" i="57"/>
  <c r="Q67" i="57"/>
  <c r="M67" i="57"/>
  <c r="K67" i="57"/>
  <c r="J67" i="57"/>
  <c r="I67" i="57"/>
  <c r="W66" i="57"/>
  <c r="V66" i="57"/>
  <c r="U66" i="57"/>
  <c r="F66" i="57" s="1"/>
  <c r="S66" i="57"/>
  <c r="R66" i="57"/>
  <c r="Q66" i="57"/>
  <c r="M66" i="57"/>
  <c r="K66" i="57"/>
  <c r="J66" i="57"/>
  <c r="I66" i="57"/>
  <c r="W65" i="57"/>
  <c r="V65" i="57"/>
  <c r="U65" i="57"/>
  <c r="F65" i="57" s="1"/>
  <c r="S65" i="57"/>
  <c r="R65" i="57"/>
  <c r="Q65" i="57"/>
  <c r="M65" i="57"/>
  <c r="K65" i="57"/>
  <c r="J65" i="57"/>
  <c r="I65" i="57"/>
  <c r="W64" i="57"/>
  <c r="V64" i="57"/>
  <c r="U64" i="57"/>
  <c r="F64" i="57" s="1"/>
  <c r="S64" i="57"/>
  <c r="R64" i="57"/>
  <c r="Q64" i="57"/>
  <c r="M64" i="57"/>
  <c r="K64" i="57"/>
  <c r="J64" i="57"/>
  <c r="I64" i="57"/>
  <c r="W63" i="57"/>
  <c r="V63" i="57"/>
  <c r="U63" i="57"/>
  <c r="F63" i="57" s="1"/>
  <c r="S63" i="57"/>
  <c r="R63" i="57"/>
  <c r="Q63" i="57"/>
  <c r="M63" i="57"/>
  <c r="K63" i="57"/>
  <c r="J63" i="57"/>
  <c r="I63" i="57"/>
  <c r="W62" i="57"/>
  <c r="V62" i="57"/>
  <c r="U62" i="57"/>
  <c r="F62" i="57" s="1"/>
  <c r="S62" i="57"/>
  <c r="R62" i="57"/>
  <c r="Q62" i="57"/>
  <c r="M62" i="57"/>
  <c r="K62" i="57"/>
  <c r="J62" i="57"/>
  <c r="I62" i="57"/>
  <c r="W61" i="57"/>
  <c r="V61" i="57"/>
  <c r="U61" i="57"/>
  <c r="F61" i="57" s="1"/>
  <c r="S61" i="57"/>
  <c r="R61" i="57"/>
  <c r="Q61" i="57"/>
  <c r="M61" i="57"/>
  <c r="K61" i="57"/>
  <c r="J61" i="57"/>
  <c r="I61" i="57"/>
  <c r="W60" i="57"/>
  <c r="V60" i="57"/>
  <c r="U60" i="57"/>
  <c r="S60" i="57"/>
  <c r="R60" i="57"/>
  <c r="Q60" i="57"/>
  <c r="N60" i="57"/>
  <c r="M60" i="57"/>
  <c r="K60" i="57"/>
  <c r="J60" i="57"/>
  <c r="I60" i="57"/>
  <c r="W59" i="57"/>
  <c r="V59" i="57"/>
  <c r="U59" i="57"/>
  <c r="F59" i="57" s="1"/>
  <c r="S59" i="57"/>
  <c r="R59" i="57"/>
  <c r="Q59" i="57"/>
  <c r="M59" i="57"/>
  <c r="K59" i="57"/>
  <c r="J59" i="57"/>
  <c r="I59" i="57"/>
  <c r="W58" i="57"/>
  <c r="V58" i="57"/>
  <c r="U58" i="57"/>
  <c r="S58" i="57"/>
  <c r="R58" i="57"/>
  <c r="Q58" i="57"/>
  <c r="M58" i="57"/>
  <c r="K58" i="57"/>
  <c r="J58" i="57"/>
  <c r="I58" i="57"/>
  <c r="W57" i="57"/>
  <c r="V57" i="57"/>
  <c r="U57" i="57"/>
  <c r="S57" i="57"/>
  <c r="R57" i="57"/>
  <c r="Q57" i="57"/>
  <c r="N57" i="57"/>
  <c r="M57" i="57"/>
  <c r="K57" i="57"/>
  <c r="J57" i="57"/>
  <c r="I57" i="57"/>
  <c r="W56" i="57"/>
  <c r="V56" i="57"/>
  <c r="U56" i="57"/>
  <c r="S56" i="57"/>
  <c r="R56" i="57"/>
  <c r="Q56" i="57"/>
  <c r="M56" i="57"/>
  <c r="K56" i="57"/>
  <c r="J56" i="57"/>
  <c r="I56" i="57"/>
  <c r="Z55" i="57"/>
  <c r="Y55" i="57"/>
  <c r="G55" i="57"/>
  <c r="W54" i="57"/>
  <c r="V54" i="57"/>
  <c r="U54" i="57"/>
  <c r="F54" i="57" s="1"/>
  <c r="S54" i="57"/>
  <c r="R54" i="57"/>
  <c r="Q54" i="57"/>
  <c r="N54" i="57"/>
  <c r="M54" i="57"/>
  <c r="K54" i="57"/>
  <c r="J54" i="57"/>
  <c r="I54" i="57"/>
  <c r="W53" i="57"/>
  <c r="V53" i="57"/>
  <c r="U53" i="57"/>
  <c r="F53" i="57" s="1"/>
  <c r="S53" i="57"/>
  <c r="R53" i="57"/>
  <c r="Q53" i="57"/>
  <c r="N53" i="57"/>
  <c r="M53" i="57"/>
  <c r="K53" i="57"/>
  <c r="J53" i="57"/>
  <c r="I53" i="57"/>
  <c r="W52" i="57"/>
  <c r="V52" i="57"/>
  <c r="U52" i="57"/>
  <c r="S52" i="57"/>
  <c r="R52" i="57"/>
  <c r="Q52" i="57"/>
  <c r="N52" i="57"/>
  <c r="M52" i="57"/>
  <c r="K52" i="57"/>
  <c r="J52" i="57"/>
  <c r="I52" i="57"/>
  <c r="Z51" i="57"/>
  <c r="Y51" i="57"/>
  <c r="G51" i="57"/>
  <c r="W50" i="57"/>
  <c r="V50" i="57"/>
  <c r="U50" i="57"/>
  <c r="S50" i="57"/>
  <c r="R50" i="57"/>
  <c r="Q50" i="57"/>
  <c r="O50" i="57"/>
  <c r="N50" i="57"/>
  <c r="M50" i="57"/>
  <c r="K50" i="57"/>
  <c r="J50" i="57"/>
  <c r="I50" i="57"/>
  <c r="W49" i="57"/>
  <c r="V49" i="57"/>
  <c r="U49" i="57"/>
  <c r="S49" i="57"/>
  <c r="R49" i="57"/>
  <c r="Q49" i="57"/>
  <c r="O49" i="57"/>
  <c r="N49" i="57"/>
  <c r="M49" i="57"/>
  <c r="K49" i="57"/>
  <c r="J49" i="57"/>
  <c r="I49" i="57"/>
  <c r="W48" i="57"/>
  <c r="V48" i="57"/>
  <c r="U48" i="57"/>
  <c r="S48" i="57"/>
  <c r="R48" i="57"/>
  <c r="Q48" i="57"/>
  <c r="N48" i="57"/>
  <c r="M48" i="57"/>
  <c r="K48" i="57"/>
  <c r="J48" i="57"/>
  <c r="I48" i="57"/>
  <c r="Z47" i="57"/>
  <c r="Y47" i="57"/>
  <c r="G47" i="57"/>
  <c r="W46" i="57"/>
  <c r="V46" i="57"/>
  <c r="U46" i="57"/>
  <c r="F46" i="57" s="1"/>
  <c r="S46" i="57"/>
  <c r="R46" i="57"/>
  <c r="Q46" i="57"/>
  <c r="N46" i="57"/>
  <c r="M46" i="57"/>
  <c r="K46" i="57"/>
  <c r="J46" i="57"/>
  <c r="I46" i="57"/>
  <c r="W45" i="57"/>
  <c r="V45" i="57"/>
  <c r="U45" i="57"/>
  <c r="F45" i="57" s="1"/>
  <c r="S45" i="57"/>
  <c r="R45" i="57"/>
  <c r="Q45" i="57"/>
  <c r="N45" i="57"/>
  <c r="M45" i="57"/>
  <c r="K45" i="57"/>
  <c r="J45" i="57"/>
  <c r="I45" i="57"/>
  <c r="G45" i="57"/>
  <c r="G35" i="57"/>
  <c r="W44" i="57"/>
  <c r="V44" i="57"/>
  <c r="U44" i="57"/>
  <c r="S44" i="57"/>
  <c r="R44" i="57"/>
  <c r="Q44" i="57"/>
  <c r="N44" i="57"/>
  <c r="M44" i="57"/>
  <c r="K44" i="57"/>
  <c r="J44" i="57"/>
  <c r="I44" i="57"/>
  <c r="W43" i="57"/>
  <c r="V43" i="57"/>
  <c r="U43" i="57"/>
  <c r="S43" i="57"/>
  <c r="R43" i="57"/>
  <c r="Q43" i="57"/>
  <c r="N43" i="57"/>
  <c r="M43" i="57"/>
  <c r="K43" i="57"/>
  <c r="J43" i="57"/>
  <c r="I43" i="57"/>
  <c r="W42" i="57"/>
  <c r="V42" i="57"/>
  <c r="U42" i="57"/>
  <c r="F42" i="57" s="1"/>
  <c r="S42" i="57"/>
  <c r="R42" i="57"/>
  <c r="Q42" i="57"/>
  <c r="N42" i="57"/>
  <c r="M42" i="57"/>
  <c r="K42" i="57"/>
  <c r="J42" i="57"/>
  <c r="I42" i="57"/>
  <c r="W41" i="57"/>
  <c r="V41" i="57"/>
  <c r="S41" i="57"/>
  <c r="R41" i="57"/>
  <c r="Q41" i="57"/>
  <c r="N41" i="57"/>
  <c r="M41" i="57"/>
  <c r="K41" i="57"/>
  <c r="J41" i="57"/>
  <c r="I41" i="57"/>
  <c r="W40" i="57"/>
  <c r="V40" i="57"/>
  <c r="U40" i="57"/>
  <c r="F40" i="57" s="1"/>
  <c r="S40" i="57"/>
  <c r="R40" i="57"/>
  <c r="Q40" i="57"/>
  <c r="N40" i="57"/>
  <c r="M40" i="57"/>
  <c r="K40" i="57"/>
  <c r="J40" i="57"/>
  <c r="I40" i="57"/>
  <c r="W39" i="57"/>
  <c r="V39" i="57"/>
  <c r="U39" i="57"/>
  <c r="F39" i="57" s="1"/>
  <c r="S39" i="57"/>
  <c r="R39" i="57"/>
  <c r="Q39" i="57"/>
  <c r="N39" i="57"/>
  <c r="M39" i="57"/>
  <c r="K39" i="57"/>
  <c r="J39" i="57"/>
  <c r="I39" i="57"/>
  <c r="W38" i="57"/>
  <c r="V38" i="57"/>
  <c r="U38" i="57"/>
  <c r="S38" i="57"/>
  <c r="R38" i="57"/>
  <c r="Q38" i="57"/>
  <c r="N38" i="57"/>
  <c r="M38" i="57"/>
  <c r="K38" i="57"/>
  <c r="J38" i="57"/>
  <c r="I38" i="57"/>
  <c r="W37" i="57"/>
  <c r="V37" i="57"/>
  <c r="U37" i="57"/>
  <c r="S37" i="57"/>
  <c r="R37" i="57"/>
  <c r="Q37" i="57"/>
  <c r="N37" i="57"/>
  <c r="M37" i="57"/>
  <c r="K37" i="57"/>
  <c r="J37" i="57"/>
  <c r="I37" i="57"/>
  <c r="W36" i="57"/>
  <c r="V36" i="57"/>
  <c r="U36" i="57"/>
  <c r="S36" i="57"/>
  <c r="R36" i="57"/>
  <c r="Q36" i="57"/>
  <c r="N36" i="57"/>
  <c r="M36" i="57"/>
  <c r="K36" i="57"/>
  <c r="J36" i="57"/>
  <c r="I36" i="57"/>
  <c r="Z35" i="57"/>
  <c r="Y35" i="57"/>
  <c r="W34" i="57"/>
  <c r="V34" i="57"/>
  <c r="F34" i="57" s="1"/>
  <c r="K34" i="57"/>
  <c r="J34" i="57"/>
  <c r="I34" i="57"/>
  <c r="W33" i="57"/>
  <c r="V33" i="57"/>
  <c r="U33" i="57"/>
  <c r="F33" i="57" s="1"/>
  <c r="S33" i="57"/>
  <c r="R33" i="57"/>
  <c r="Q33" i="57"/>
  <c r="N33" i="57"/>
  <c r="M33" i="57"/>
  <c r="K33" i="57"/>
  <c r="J33" i="57"/>
  <c r="I33" i="57"/>
  <c r="W32" i="57"/>
  <c r="V32" i="57"/>
  <c r="U32" i="57"/>
  <c r="F32" i="57" s="1"/>
  <c r="S32" i="57"/>
  <c r="R32" i="57"/>
  <c r="Q32" i="57"/>
  <c r="N32" i="57"/>
  <c r="M32" i="57"/>
  <c r="K32" i="57"/>
  <c r="J32" i="57"/>
  <c r="I32" i="57"/>
  <c r="W31" i="57"/>
  <c r="V31" i="57"/>
  <c r="U31" i="57"/>
  <c r="S31" i="57"/>
  <c r="R31" i="57"/>
  <c r="Q31" i="57"/>
  <c r="N31" i="57"/>
  <c r="M31" i="57"/>
  <c r="K31" i="57"/>
  <c r="J31" i="57"/>
  <c r="I31" i="57"/>
  <c r="W30" i="57"/>
  <c r="V30" i="57"/>
  <c r="U30" i="57"/>
  <c r="F30" i="57" s="1"/>
  <c r="S30" i="57"/>
  <c r="R30" i="57"/>
  <c r="Q30" i="57"/>
  <c r="N30" i="57"/>
  <c r="M30" i="57"/>
  <c r="K30" i="57"/>
  <c r="J30" i="57"/>
  <c r="I30" i="57"/>
  <c r="W29" i="57"/>
  <c r="V29" i="57"/>
  <c r="U29" i="57"/>
  <c r="F29" i="57" s="1"/>
  <c r="S29" i="57"/>
  <c r="R29" i="57"/>
  <c r="Q29" i="57"/>
  <c r="N29" i="57"/>
  <c r="M29" i="57"/>
  <c r="K29" i="57"/>
  <c r="J29" i="57"/>
  <c r="I29" i="57"/>
  <c r="W28" i="57"/>
  <c r="V28" i="57"/>
  <c r="U28" i="57"/>
  <c r="F28" i="57" s="1"/>
  <c r="S28" i="57"/>
  <c r="R28" i="57"/>
  <c r="Q28" i="57"/>
  <c r="N28" i="57"/>
  <c r="M28" i="57"/>
  <c r="K28" i="57"/>
  <c r="J28" i="57"/>
  <c r="I28" i="57"/>
  <c r="W27" i="57"/>
  <c r="V27" i="57"/>
  <c r="U27" i="57"/>
  <c r="S27" i="57"/>
  <c r="R27" i="57"/>
  <c r="Q27" i="57"/>
  <c r="N27" i="57"/>
  <c r="M27" i="57"/>
  <c r="K27" i="57"/>
  <c r="J27" i="57"/>
  <c r="I27" i="57"/>
  <c r="W26" i="57"/>
  <c r="V26" i="57"/>
  <c r="U26" i="57"/>
  <c r="F26" i="57" s="1"/>
  <c r="S26" i="57"/>
  <c r="R26" i="57"/>
  <c r="Q26" i="57"/>
  <c r="N26" i="57"/>
  <c r="M26" i="57"/>
  <c r="K26" i="57"/>
  <c r="J26" i="57"/>
  <c r="I26" i="57"/>
  <c r="W25" i="57"/>
  <c r="V25" i="57"/>
  <c r="U25" i="57"/>
  <c r="F25" i="57" s="1"/>
  <c r="S25" i="57"/>
  <c r="R25" i="57"/>
  <c r="Q25" i="57"/>
  <c r="N25" i="57"/>
  <c r="M25" i="57"/>
  <c r="K25" i="57"/>
  <c r="J25" i="57"/>
  <c r="I25" i="57"/>
  <c r="W24" i="57"/>
  <c r="V24" i="57"/>
  <c r="U24" i="57"/>
  <c r="S24" i="57"/>
  <c r="R24" i="57"/>
  <c r="Q24" i="57"/>
  <c r="N24" i="57"/>
  <c r="M24" i="57"/>
  <c r="K24" i="57"/>
  <c r="J24" i="57"/>
  <c r="I24" i="57"/>
  <c r="W23" i="57"/>
  <c r="V23" i="57"/>
  <c r="U23" i="57"/>
  <c r="F23" i="57" s="1"/>
  <c r="S23" i="57"/>
  <c r="R23" i="57"/>
  <c r="Q23" i="57"/>
  <c r="N23" i="57"/>
  <c r="M23" i="57"/>
  <c r="K23" i="57"/>
  <c r="J23" i="57"/>
  <c r="I23" i="57"/>
  <c r="W22" i="57"/>
  <c r="V22" i="57"/>
  <c r="U22" i="57"/>
  <c r="S22" i="57"/>
  <c r="R22" i="57"/>
  <c r="Q22" i="57"/>
  <c r="N22" i="57"/>
  <c r="M22" i="57"/>
  <c r="K22" i="57"/>
  <c r="J22" i="57"/>
  <c r="I22" i="57"/>
  <c r="W21" i="57"/>
  <c r="V21" i="57"/>
  <c r="U21" i="57"/>
  <c r="S21" i="57"/>
  <c r="R21" i="57"/>
  <c r="Q21" i="57"/>
  <c r="N21" i="57"/>
  <c r="M21" i="57"/>
  <c r="K21" i="57"/>
  <c r="J21" i="57"/>
  <c r="I21" i="57"/>
  <c r="W20" i="57"/>
  <c r="V20" i="57"/>
  <c r="U20" i="57"/>
  <c r="S20" i="57"/>
  <c r="R20" i="57"/>
  <c r="Q20" i="57"/>
  <c r="N20" i="57"/>
  <c r="M20" i="57"/>
  <c r="K20" i="57"/>
  <c r="J20" i="57"/>
  <c r="I20" i="57"/>
  <c r="W19" i="57"/>
  <c r="V19" i="57"/>
  <c r="U19" i="57"/>
  <c r="S19" i="57"/>
  <c r="R19" i="57"/>
  <c r="Q19" i="57"/>
  <c r="N19" i="57"/>
  <c r="M19" i="57"/>
  <c r="K19" i="57"/>
  <c r="J19" i="57"/>
  <c r="I19" i="57"/>
  <c r="Z18" i="57"/>
  <c r="Y18" i="57"/>
  <c r="G18" i="57"/>
  <c r="C17" i="57"/>
  <c r="Z16" i="57"/>
  <c r="Y16" i="57"/>
  <c r="G16" i="57"/>
  <c r="W15" i="57"/>
  <c r="V15" i="57"/>
  <c r="U15" i="57"/>
  <c r="F15" i="57" s="1"/>
  <c r="S15" i="57"/>
  <c r="R15" i="57"/>
  <c r="Q15" i="57"/>
  <c r="N15" i="57"/>
  <c r="M15" i="57"/>
  <c r="K15" i="57"/>
  <c r="J15" i="57"/>
  <c r="I15" i="57"/>
  <c r="W14" i="57"/>
  <c r="V14" i="57"/>
  <c r="U14" i="57"/>
  <c r="F14" i="57" s="1"/>
  <c r="S14" i="57"/>
  <c r="R14" i="57"/>
  <c r="Q14" i="57"/>
  <c r="O14" i="57"/>
  <c r="N14" i="57"/>
  <c r="M14" i="57"/>
  <c r="K14" i="57"/>
  <c r="J14" i="57"/>
  <c r="I14" i="57"/>
  <c r="G13" i="57"/>
  <c r="W12" i="57"/>
  <c r="V12" i="57"/>
  <c r="U12" i="57"/>
  <c r="F12" i="57" s="1"/>
  <c r="S12" i="57"/>
  <c r="R12" i="57"/>
  <c r="Q12" i="57"/>
  <c r="O12" i="57"/>
  <c r="N12" i="57"/>
  <c r="M12" i="57"/>
  <c r="K12" i="57"/>
  <c r="J12" i="57"/>
  <c r="I12" i="57"/>
  <c r="W11" i="57"/>
  <c r="V11" i="57"/>
  <c r="U11" i="57"/>
  <c r="F11" i="57" s="1"/>
  <c r="S11" i="57"/>
  <c r="R11" i="57"/>
  <c r="Q11" i="57"/>
  <c r="N11" i="57"/>
  <c r="M11" i="57"/>
  <c r="K11" i="57"/>
  <c r="J11" i="57"/>
  <c r="I11" i="57"/>
  <c r="W10" i="57"/>
  <c r="V10" i="57"/>
  <c r="U10" i="57"/>
  <c r="S10" i="57"/>
  <c r="R10" i="57"/>
  <c r="Q10" i="57"/>
  <c r="N10" i="57"/>
  <c r="M10" i="57"/>
  <c r="K10" i="57"/>
  <c r="J10" i="57"/>
  <c r="I10" i="57"/>
  <c r="G74" i="57"/>
  <c r="Y74" i="57"/>
  <c r="Z74" i="57"/>
  <c r="X78" i="42"/>
  <c r="Y71" i="3"/>
  <c r="Y92" i="40"/>
  <c r="Z92" i="40"/>
  <c r="Y136" i="40"/>
  <c r="Y149" i="40"/>
  <c r="Y107" i="3"/>
  <c r="Y92" i="3" s="1"/>
  <c r="Z136" i="40"/>
  <c r="X70" i="42"/>
  <c r="AG38" i="38"/>
  <c r="AG37" i="38"/>
  <c r="Y57" i="3"/>
  <c r="Y10" i="3"/>
  <c r="X27" i="42"/>
  <c r="U41" i="57"/>
  <c r="F41" i="57" s="1"/>
  <c r="Y57" i="40"/>
  <c r="Y36" i="40"/>
  <c r="Y71" i="40"/>
  <c r="T18" i="41"/>
  <c r="Y118" i="42"/>
  <c r="Y70" i="42"/>
  <c r="Y52" i="42"/>
  <c r="Y51" i="42"/>
  <c r="Z57" i="40"/>
  <c r="Y48" i="42"/>
  <c r="Z36" i="40"/>
  <c r="AA135" i="3"/>
  <c r="Z48" i="42"/>
  <c r="X48" i="42"/>
  <c r="W48" i="42"/>
  <c r="U48" i="42"/>
  <c r="T48" i="42"/>
  <c r="R48" i="42"/>
  <c r="P48" i="42"/>
  <c r="O48" i="42"/>
  <c r="Z70" i="42"/>
  <c r="Z69" i="42"/>
  <c r="AA57" i="42"/>
  <c r="AC57" i="40"/>
  <c r="AD57" i="3"/>
  <c r="AA115" i="3"/>
  <c r="AA36" i="3"/>
  <c r="AA57" i="3"/>
  <c r="AA32" i="3"/>
  <c r="Z99" i="42"/>
  <c r="Y99" i="42"/>
  <c r="X99" i="42"/>
  <c r="W99" i="42"/>
  <c r="U99" i="42"/>
  <c r="T99" i="42"/>
  <c r="S99" i="42"/>
  <c r="R99" i="42"/>
  <c r="O99" i="42"/>
  <c r="AA148" i="3"/>
  <c r="AG15" i="38"/>
  <c r="AC15" i="38"/>
  <c r="Y15" i="38"/>
  <c r="U15" i="38"/>
  <c r="I2" i="45"/>
  <c r="AA135" i="42"/>
  <c r="AA136" i="40"/>
  <c r="Z52" i="42"/>
  <c r="AA36" i="42"/>
  <c r="AC36" i="40"/>
  <c r="AD36" i="3"/>
  <c r="Z118" i="42"/>
  <c r="Z51" i="42"/>
  <c r="AG36" i="38"/>
  <c r="AG35" i="38"/>
  <c r="AG32" i="38"/>
  <c r="AG31" i="38"/>
  <c r="AG30" i="38"/>
  <c r="AG29" i="38"/>
  <c r="AG28" i="38"/>
  <c r="AG27" i="38"/>
  <c r="AG26" i="38"/>
  <c r="AG24" i="38"/>
  <c r="AG23" i="38"/>
  <c r="AG22" i="38"/>
  <c r="AG21" i="38"/>
  <c r="AG20" i="38"/>
  <c r="P75" i="42"/>
  <c r="AD115" i="3"/>
  <c r="AA148" i="42"/>
  <c r="AA115" i="42"/>
  <c r="AA92" i="42"/>
  <c r="AA80" i="42"/>
  <c r="AA71" i="42"/>
  <c r="AA32" i="42"/>
  <c r="AA10" i="42"/>
  <c r="AC149" i="40"/>
  <c r="AC136" i="40"/>
  <c r="AC115" i="40"/>
  <c r="AC92" i="40"/>
  <c r="AC80" i="40"/>
  <c r="AC71" i="40"/>
  <c r="AC32" i="40"/>
  <c r="AC10" i="40"/>
  <c r="AD148" i="3"/>
  <c r="AD135" i="3"/>
  <c r="AD92" i="3"/>
  <c r="AD80" i="3"/>
  <c r="AD71" i="3"/>
  <c r="AD32" i="3"/>
  <c r="AD10" i="3"/>
  <c r="AQ122" i="41"/>
  <c r="AQ65" i="41"/>
  <c r="AQ60" i="41"/>
  <c r="AQ56" i="41"/>
  <c r="AQ39" i="41"/>
  <c r="AQ19" i="41"/>
  <c r="AQ17" i="41"/>
  <c r="AP65" i="41"/>
  <c r="AP60" i="41"/>
  <c r="AP56" i="41"/>
  <c r="AP39" i="41"/>
  <c r="AP19" i="41"/>
  <c r="AP17" i="41"/>
  <c r="AM122" i="38"/>
  <c r="AM65" i="38"/>
  <c r="AM60" i="38"/>
  <c r="AM56" i="38"/>
  <c r="AM39" i="38"/>
  <c r="AM19" i="38"/>
  <c r="AL65" i="38"/>
  <c r="AL60" i="38"/>
  <c r="AL56" i="38"/>
  <c r="AL39" i="38"/>
  <c r="AL19" i="38"/>
  <c r="AL14" i="38"/>
  <c r="AL17" i="38" s="1"/>
  <c r="D70" i="45"/>
  <c r="D69" i="45"/>
  <c r="D68" i="45"/>
  <c r="D67" i="45"/>
  <c r="D66" i="45"/>
  <c r="H61" i="45"/>
  <c r="E70" i="45"/>
  <c r="G61" i="45"/>
  <c r="E69" i="45"/>
  <c r="F61" i="45"/>
  <c r="E68" i="45"/>
  <c r="E61" i="45"/>
  <c r="E67" i="45"/>
  <c r="D61" i="45"/>
  <c r="E66" i="45"/>
  <c r="C61" i="45"/>
  <c r="E65" i="45"/>
  <c r="I60" i="45"/>
  <c r="I59" i="45"/>
  <c r="I58" i="45"/>
  <c r="I57" i="45"/>
  <c r="I56" i="45"/>
  <c r="I55" i="45"/>
  <c r="I54" i="45"/>
  <c r="I53" i="45"/>
  <c r="I52" i="45"/>
  <c r="I51" i="45"/>
  <c r="I50" i="45"/>
  <c r="I49" i="45"/>
  <c r="I48" i="45"/>
  <c r="I47" i="45"/>
  <c r="I46" i="45"/>
  <c r="I45" i="45"/>
  <c r="I44" i="45"/>
  <c r="I43" i="45"/>
  <c r="I42" i="45"/>
  <c r="I41" i="45"/>
  <c r="I40" i="45"/>
  <c r="I39" i="45"/>
  <c r="I38" i="45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I7" i="45"/>
  <c r="I6" i="45"/>
  <c r="I5" i="45"/>
  <c r="I4" i="45"/>
  <c r="I3" i="45"/>
  <c r="A3" i="45"/>
  <c r="A4" i="45"/>
  <c r="A5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44" i="45"/>
  <c r="A45" i="45"/>
  <c r="A46" i="45"/>
  <c r="A47" i="45"/>
  <c r="A48" i="45"/>
  <c r="A49" i="45"/>
  <c r="A50" i="45"/>
  <c r="A51" i="45"/>
  <c r="A52" i="45"/>
  <c r="A53" i="45"/>
  <c r="A54" i="45"/>
  <c r="A55" i="45"/>
  <c r="A56" i="45"/>
  <c r="A57" i="45"/>
  <c r="A58" i="45"/>
  <c r="A59" i="45"/>
  <c r="A60" i="45"/>
  <c r="AA10" i="40"/>
  <c r="AA71" i="40"/>
  <c r="AA57" i="40"/>
  <c r="AA36" i="40"/>
  <c r="I61" i="45"/>
  <c r="AA10" i="3"/>
  <c r="AP122" i="41"/>
  <c r="AP125" i="41" s="1"/>
  <c r="E71" i="45"/>
  <c r="F71" i="45"/>
  <c r="F65" i="45"/>
  <c r="F66" i="45"/>
  <c r="F69" i="45"/>
  <c r="F70" i="45"/>
  <c r="F68" i="45"/>
  <c r="F67" i="45"/>
  <c r="Z75" i="42"/>
  <c r="Y75" i="42"/>
  <c r="X75" i="42"/>
  <c r="W75" i="42"/>
  <c r="U75" i="42"/>
  <c r="T75" i="42"/>
  <c r="S75" i="42"/>
  <c r="R75" i="42"/>
  <c r="O75" i="42"/>
  <c r="Z73" i="42"/>
  <c r="Y73" i="42"/>
  <c r="X73" i="42"/>
  <c r="W73" i="42"/>
  <c r="U73" i="42"/>
  <c r="T73" i="42"/>
  <c r="S73" i="42"/>
  <c r="R73" i="42"/>
  <c r="P73" i="42"/>
  <c r="O73" i="42"/>
  <c r="Z81" i="42"/>
  <c r="Z80" i="42" s="1"/>
  <c r="Y81" i="42"/>
  <c r="Y80" i="42" s="1"/>
  <c r="X81" i="42"/>
  <c r="X80" i="42" s="1"/>
  <c r="W81" i="42"/>
  <c r="W80" i="42" s="1"/>
  <c r="V81" i="42"/>
  <c r="V80" i="42" s="1"/>
  <c r="U81" i="42"/>
  <c r="U80" i="42" s="1"/>
  <c r="T81" i="42"/>
  <c r="T80" i="42" s="1"/>
  <c r="S81" i="42"/>
  <c r="S80" i="42" s="1"/>
  <c r="R81" i="42"/>
  <c r="R80" i="42" s="1"/>
  <c r="Q80" i="42"/>
  <c r="P81" i="42"/>
  <c r="P80" i="42" s="1"/>
  <c r="O81" i="42"/>
  <c r="O80" i="42" s="1"/>
  <c r="Q80" i="3"/>
  <c r="Q84" i="3" s="1"/>
  <c r="Q87" i="3" s="1"/>
  <c r="P80" i="3"/>
  <c r="P84" i="3" s="1"/>
  <c r="P87" i="3" s="1"/>
  <c r="P152" i="3" s="1"/>
  <c r="AA80" i="3"/>
  <c r="Y80" i="3"/>
  <c r="X80" i="3"/>
  <c r="W80" i="3"/>
  <c r="U80" i="3"/>
  <c r="S80" i="3"/>
  <c r="S84" i="3" s="1"/>
  <c r="R80" i="3"/>
  <c r="R84" i="3" s="1"/>
  <c r="R87" i="3" s="1"/>
  <c r="R152" i="3" s="1"/>
  <c r="AA80" i="40"/>
  <c r="Z80" i="40"/>
  <c r="Y80" i="40"/>
  <c r="X80" i="40"/>
  <c r="T80" i="40"/>
  <c r="P80" i="40"/>
  <c r="Z45" i="42"/>
  <c r="Y45" i="42"/>
  <c r="X45" i="42"/>
  <c r="W45" i="42"/>
  <c r="U45" i="42"/>
  <c r="T45" i="42"/>
  <c r="R45" i="42"/>
  <c r="P45" i="42"/>
  <c r="O45" i="42"/>
  <c r="Z71" i="40"/>
  <c r="AA71" i="3"/>
  <c r="AD60" i="38"/>
  <c r="U95" i="38"/>
  <c r="T95" i="38" s="1"/>
  <c r="U120" i="38"/>
  <c r="T120" i="38" s="1"/>
  <c r="U118" i="38"/>
  <c r="U116" i="38"/>
  <c r="U114" i="38"/>
  <c r="U104" i="38"/>
  <c r="U102" i="38"/>
  <c r="U100" i="38"/>
  <c r="U98" i="38"/>
  <c r="U38" i="38"/>
  <c r="U37" i="38"/>
  <c r="U86" i="38"/>
  <c r="U85" i="38"/>
  <c r="U84" i="38"/>
  <c r="U83" i="38"/>
  <c r="U82" i="38"/>
  <c r="U81" i="38"/>
  <c r="U79" i="38"/>
  <c r="U78" i="38"/>
  <c r="U77" i="38"/>
  <c r="U76" i="38"/>
  <c r="U75" i="38"/>
  <c r="U74" i="38"/>
  <c r="U73" i="38"/>
  <c r="U70" i="38"/>
  <c r="U69" i="38"/>
  <c r="U68" i="38"/>
  <c r="U66" i="38"/>
  <c r="U40" i="38"/>
  <c r="U21" i="38"/>
  <c r="O146" i="42"/>
  <c r="O144" i="42"/>
  <c r="O142" i="42"/>
  <c r="O140" i="42"/>
  <c r="O138" i="42"/>
  <c r="O133" i="42"/>
  <c r="O131" i="42"/>
  <c r="O117" i="42"/>
  <c r="O116" i="42"/>
  <c r="O113" i="42"/>
  <c r="O112" i="42"/>
  <c r="O110" i="42"/>
  <c r="O109" i="42"/>
  <c r="O107" i="42"/>
  <c r="O106" i="42"/>
  <c r="O104" i="42"/>
  <c r="O103" i="42"/>
  <c r="O102" i="42"/>
  <c r="O101" i="42"/>
  <c r="O100" i="42"/>
  <c r="O98" i="42"/>
  <c r="O97" i="42"/>
  <c r="O96" i="42"/>
  <c r="O94" i="42"/>
  <c r="O93" i="42"/>
  <c r="O67" i="42"/>
  <c r="O64" i="42"/>
  <c r="O63" i="42"/>
  <c r="O62" i="42"/>
  <c r="O60" i="42"/>
  <c r="O59" i="42"/>
  <c r="O58" i="42"/>
  <c r="O51" i="42"/>
  <c r="O50" i="42"/>
  <c r="O49" i="42"/>
  <c r="O47" i="42"/>
  <c r="O46" i="42"/>
  <c r="O43" i="42"/>
  <c r="O42" i="42"/>
  <c r="O41" i="42"/>
  <c r="O40" i="42"/>
  <c r="O39" i="42"/>
  <c r="O38" i="42"/>
  <c r="O37" i="42"/>
  <c r="O33" i="42"/>
  <c r="O29" i="42"/>
  <c r="O26" i="42"/>
  <c r="O25" i="42"/>
  <c r="O24" i="42"/>
  <c r="O21" i="42"/>
  <c r="O20" i="42"/>
  <c r="O19" i="42"/>
  <c r="O18" i="42"/>
  <c r="O17" i="42"/>
  <c r="O16" i="42"/>
  <c r="O15" i="42"/>
  <c r="O14" i="42"/>
  <c r="O13" i="42"/>
  <c r="O12" i="42"/>
  <c r="O11" i="42"/>
  <c r="P149" i="40"/>
  <c r="P136" i="40"/>
  <c r="P92" i="40"/>
  <c r="P32" i="40"/>
  <c r="T119" i="38"/>
  <c r="T117" i="38"/>
  <c r="T115" i="38"/>
  <c r="T105" i="38"/>
  <c r="T103" i="38"/>
  <c r="T101" i="38"/>
  <c r="T99" i="38"/>
  <c r="T97" i="38"/>
  <c r="T94" i="38"/>
  <c r="P146" i="42"/>
  <c r="P144" i="42"/>
  <c r="P142" i="42"/>
  <c r="P140" i="42"/>
  <c r="P138" i="42"/>
  <c r="P133" i="42"/>
  <c r="P131" i="42"/>
  <c r="P117" i="42"/>
  <c r="P116" i="42"/>
  <c r="P113" i="42"/>
  <c r="P112" i="42"/>
  <c r="P110" i="42"/>
  <c r="P109" i="42"/>
  <c r="P107" i="42"/>
  <c r="P106" i="42"/>
  <c r="P104" i="42"/>
  <c r="P103" i="42"/>
  <c r="P102" i="42"/>
  <c r="P101" i="42"/>
  <c r="P100" i="42"/>
  <c r="P97" i="42"/>
  <c r="P96" i="42"/>
  <c r="P94" i="42"/>
  <c r="P93" i="42"/>
  <c r="P67" i="42"/>
  <c r="P64" i="42"/>
  <c r="P63" i="42"/>
  <c r="P62" i="42"/>
  <c r="P60" i="42"/>
  <c r="P59" i="42"/>
  <c r="P58" i="42"/>
  <c r="P51" i="42"/>
  <c r="P50" i="42"/>
  <c r="P49" i="42"/>
  <c r="P47" i="42"/>
  <c r="P46" i="42"/>
  <c r="P43" i="42"/>
  <c r="P41" i="42"/>
  <c r="P40" i="42"/>
  <c r="P39" i="42"/>
  <c r="P38" i="42"/>
  <c r="P37" i="42"/>
  <c r="P33" i="42"/>
  <c r="P32" i="42" s="1"/>
  <c r="P29" i="42"/>
  <c r="P26" i="42"/>
  <c r="P25" i="42"/>
  <c r="P21" i="42"/>
  <c r="P20" i="42"/>
  <c r="P19" i="42"/>
  <c r="P18" i="42"/>
  <c r="P17" i="42"/>
  <c r="P16" i="42"/>
  <c r="P15" i="42"/>
  <c r="P14" i="42"/>
  <c r="P13" i="42"/>
  <c r="P12" i="42"/>
  <c r="P11" i="42"/>
  <c r="S148" i="3"/>
  <c r="S151" i="3" s="1"/>
  <c r="R101" i="42"/>
  <c r="S101" i="42"/>
  <c r="T101" i="42"/>
  <c r="U101" i="42"/>
  <c r="W101" i="42"/>
  <c r="X101" i="42"/>
  <c r="Y101" i="42"/>
  <c r="Q146" i="42"/>
  <c r="Q144" i="42"/>
  <c r="Q142" i="42"/>
  <c r="Q140" i="42"/>
  <c r="Q138" i="42"/>
  <c r="Q133" i="42"/>
  <c r="Q131" i="42"/>
  <c r="Q37" i="42"/>
  <c r="Q36" i="42" s="1"/>
  <c r="Q33" i="42"/>
  <c r="Q32" i="42" s="1"/>
  <c r="Q29" i="42"/>
  <c r="Q26" i="42"/>
  <c r="Q25" i="42"/>
  <c r="Q24" i="42"/>
  <c r="Q21" i="42"/>
  <c r="Q20" i="42"/>
  <c r="Q19" i="42"/>
  <c r="Q18" i="42"/>
  <c r="Q15" i="42"/>
  <c r="Q14" i="42"/>
  <c r="Q13" i="42"/>
  <c r="Q12" i="42"/>
  <c r="Q11" i="42"/>
  <c r="R144" i="42"/>
  <c r="R103" i="42"/>
  <c r="Z146" i="42"/>
  <c r="Y146" i="42"/>
  <c r="X146" i="42"/>
  <c r="W146" i="42"/>
  <c r="U146" i="42"/>
  <c r="T146" i="42"/>
  <c r="S146" i="42"/>
  <c r="R146" i="42"/>
  <c r="Y144" i="42"/>
  <c r="X144" i="42"/>
  <c r="W144" i="42"/>
  <c r="U144" i="42"/>
  <c r="S144" i="42"/>
  <c r="Z142" i="42"/>
  <c r="Y142" i="42"/>
  <c r="X142" i="42"/>
  <c r="W142" i="42"/>
  <c r="U142" i="42"/>
  <c r="T142" i="42"/>
  <c r="S142" i="42"/>
  <c r="R142" i="42"/>
  <c r="Z140" i="42"/>
  <c r="U140" i="42"/>
  <c r="T140" i="42"/>
  <c r="S140" i="42"/>
  <c r="R140" i="42"/>
  <c r="Z138" i="42"/>
  <c r="Y138" i="42"/>
  <c r="X138" i="42"/>
  <c r="U138" i="42"/>
  <c r="T138" i="42"/>
  <c r="S138" i="42"/>
  <c r="R138" i="42"/>
  <c r="Z133" i="42"/>
  <c r="Y133" i="42"/>
  <c r="X133" i="42"/>
  <c r="W133" i="42"/>
  <c r="U133" i="42"/>
  <c r="T133" i="42"/>
  <c r="S133" i="42"/>
  <c r="R133" i="42"/>
  <c r="Z131" i="42"/>
  <c r="Y131" i="42"/>
  <c r="X131" i="42"/>
  <c r="W131" i="42"/>
  <c r="U131" i="42"/>
  <c r="T131" i="42"/>
  <c r="S131" i="42"/>
  <c r="R131" i="42"/>
  <c r="Z117" i="42"/>
  <c r="U117" i="42"/>
  <c r="T117" i="42"/>
  <c r="S117" i="42"/>
  <c r="R117" i="42"/>
  <c r="Z116" i="42"/>
  <c r="Y116" i="42"/>
  <c r="X116" i="42"/>
  <c r="W116" i="42"/>
  <c r="U116" i="42"/>
  <c r="T116" i="42"/>
  <c r="S116" i="42"/>
  <c r="Z112" i="42"/>
  <c r="Y112" i="42"/>
  <c r="X112" i="42"/>
  <c r="W112" i="42"/>
  <c r="R112" i="42"/>
  <c r="Z110" i="42"/>
  <c r="Y110" i="42"/>
  <c r="X110" i="42"/>
  <c r="W110" i="42"/>
  <c r="U110" i="42"/>
  <c r="T110" i="42"/>
  <c r="S110" i="42"/>
  <c r="R110" i="42"/>
  <c r="Z109" i="42"/>
  <c r="Y109" i="42"/>
  <c r="X109" i="42"/>
  <c r="W109" i="42"/>
  <c r="U109" i="42"/>
  <c r="T109" i="42"/>
  <c r="S109" i="42"/>
  <c r="R109" i="42"/>
  <c r="Z107" i="42"/>
  <c r="Y107" i="42"/>
  <c r="W107" i="42"/>
  <c r="U107" i="42"/>
  <c r="T107" i="42"/>
  <c r="S107" i="42"/>
  <c r="R107" i="42"/>
  <c r="Z106" i="42"/>
  <c r="Y106" i="42"/>
  <c r="X106" i="42"/>
  <c r="W106" i="42"/>
  <c r="U106" i="42"/>
  <c r="T106" i="42"/>
  <c r="S106" i="42"/>
  <c r="R106" i="42"/>
  <c r="Z104" i="42"/>
  <c r="Y104" i="42"/>
  <c r="X104" i="42"/>
  <c r="W104" i="42"/>
  <c r="U104" i="42"/>
  <c r="S104" i="42"/>
  <c r="R104" i="42"/>
  <c r="Z103" i="42"/>
  <c r="Y103" i="42"/>
  <c r="X103" i="42"/>
  <c r="W103" i="42"/>
  <c r="U103" i="42"/>
  <c r="T103" i="42"/>
  <c r="S103" i="42"/>
  <c r="Z102" i="42"/>
  <c r="Y102" i="42"/>
  <c r="X102" i="42"/>
  <c r="W102" i="42"/>
  <c r="U102" i="42"/>
  <c r="S102" i="42"/>
  <c r="R102" i="42"/>
  <c r="Z101" i="42"/>
  <c r="Z100" i="42"/>
  <c r="Y100" i="42"/>
  <c r="X100" i="42"/>
  <c r="W100" i="42"/>
  <c r="U100" i="42"/>
  <c r="T100" i="42"/>
  <c r="S100" i="42"/>
  <c r="R100" i="42"/>
  <c r="Z98" i="42"/>
  <c r="Y98" i="42"/>
  <c r="X98" i="42"/>
  <c r="W98" i="42"/>
  <c r="U98" i="42"/>
  <c r="S98" i="42"/>
  <c r="R98" i="42"/>
  <c r="Z97" i="42"/>
  <c r="Y97" i="42"/>
  <c r="X97" i="42"/>
  <c r="W97" i="42"/>
  <c r="U97" i="42"/>
  <c r="T97" i="42"/>
  <c r="S97" i="42"/>
  <c r="R97" i="42"/>
  <c r="Z96" i="42"/>
  <c r="Y96" i="42"/>
  <c r="X96" i="42"/>
  <c r="W96" i="42"/>
  <c r="U96" i="42"/>
  <c r="T96" i="42"/>
  <c r="S96" i="42"/>
  <c r="R96" i="42"/>
  <c r="Z94" i="42"/>
  <c r="Y94" i="42"/>
  <c r="X94" i="42"/>
  <c r="W94" i="42"/>
  <c r="Z93" i="42"/>
  <c r="Y93" i="42"/>
  <c r="X93" i="42"/>
  <c r="U93" i="42"/>
  <c r="T93" i="42"/>
  <c r="S93" i="42"/>
  <c r="R93" i="42"/>
  <c r="Z67" i="42"/>
  <c r="Y67" i="42"/>
  <c r="X67" i="42"/>
  <c r="W67" i="42"/>
  <c r="U67" i="42"/>
  <c r="T67" i="42"/>
  <c r="S67" i="42"/>
  <c r="R67" i="42"/>
  <c r="Z64" i="42"/>
  <c r="Y64" i="42"/>
  <c r="X64" i="42"/>
  <c r="W64" i="42"/>
  <c r="U64" i="42"/>
  <c r="T64" i="42"/>
  <c r="S64" i="42"/>
  <c r="R64" i="42"/>
  <c r="Z63" i="42"/>
  <c r="Y63" i="42"/>
  <c r="X63" i="42"/>
  <c r="W63" i="42"/>
  <c r="U63" i="42"/>
  <c r="T63" i="42"/>
  <c r="S63" i="42"/>
  <c r="R63" i="42"/>
  <c r="Z62" i="42"/>
  <c r="Y62" i="42"/>
  <c r="X62" i="42"/>
  <c r="W62" i="42"/>
  <c r="U62" i="42"/>
  <c r="T62" i="42"/>
  <c r="S62" i="42"/>
  <c r="R62" i="42"/>
  <c r="Z60" i="42"/>
  <c r="Y60" i="42"/>
  <c r="X60" i="42"/>
  <c r="W60" i="42"/>
  <c r="U60" i="42"/>
  <c r="T60" i="42"/>
  <c r="S60" i="42"/>
  <c r="R60" i="42"/>
  <c r="Z59" i="42"/>
  <c r="Y59" i="42"/>
  <c r="X59" i="42"/>
  <c r="W59" i="42"/>
  <c r="U59" i="42"/>
  <c r="T59" i="42"/>
  <c r="S59" i="42"/>
  <c r="R59" i="42"/>
  <c r="Z58" i="42"/>
  <c r="Y58" i="42"/>
  <c r="X58" i="42"/>
  <c r="W58" i="42"/>
  <c r="U58" i="42"/>
  <c r="T58" i="42"/>
  <c r="S58" i="42"/>
  <c r="R58" i="42"/>
  <c r="Z50" i="42"/>
  <c r="Y50" i="42"/>
  <c r="X50" i="42"/>
  <c r="W50" i="42"/>
  <c r="U50" i="42"/>
  <c r="T50" i="42"/>
  <c r="R50" i="42"/>
  <c r="Z49" i="42"/>
  <c r="Y49" i="42"/>
  <c r="X49" i="42"/>
  <c r="W49" i="42"/>
  <c r="U49" i="42"/>
  <c r="T49" i="42"/>
  <c r="R49" i="42"/>
  <c r="Z47" i="42"/>
  <c r="Y47" i="42"/>
  <c r="X47" i="42"/>
  <c r="W47" i="42"/>
  <c r="U47" i="42"/>
  <c r="T47" i="42"/>
  <c r="R47" i="42"/>
  <c r="Z46" i="42"/>
  <c r="Y46" i="42"/>
  <c r="X46" i="42"/>
  <c r="W46" i="42"/>
  <c r="U46" i="42"/>
  <c r="T46" i="42"/>
  <c r="R46" i="42"/>
  <c r="Z43" i="42"/>
  <c r="Y43" i="42"/>
  <c r="X43" i="42"/>
  <c r="W43" i="42"/>
  <c r="U43" i="42"/>
  <c r="T43" i="42"/>
  <c r="R43" i="42"/>
  <c r="Z42" i="42"/>
  <c r="Y42" i="42"/>
  <c r="X42" i="42"/>
  <c r="W42" i="42"/>
  <c r="U42" i="42"/>
  <c r="T42" i="42"/>
  <c r="R42" i="42"/>
  <c r="Z41" i="42"/>
  <c r="Y41" i="42"/>
  <c r="X41" i="42"/>
  <c r="W41" i="42"/>
  <c r="U41" i="42"/>
  <c r="T41" i="42"/>
  <c r="R41" i="42"/>
  <c r="Z40" i="42"/>
  <c r="Y40" i="42"/>
  <c r="X40" i="42"/>
  <c r="W40" i="42"/>
  <c r="U40" i="42"/>
  <c r="T40" i="42"/>
  <c r="R40" i="42"/>
  <c r="Z39" i="42"/>
  <c r="Y39" i="42"/>
  <c r="X39" i="42"/>
  <c r="W39" i="42"/>
  <c r="U39" i="42"/>
  <c r="T39" i="42"/>
  <c r="R39" i="42"/>
  <c r="Z38" i="42"/>
  <c r="Y38" i="42"/>
  <c r="X38" i="42"/>
  <c r="W38" i="42"/>
  <c r="U38" i="42"/>
  <c r="T38" i="42"/>
  <c r="Z37" i="42"/>
  <c r="Y37" i="42"/>
  <c r="X37" i="42"/>
  <c r="W37" i="42"/>
  <c r="U37" i="42"/>
  <c r="T37" i="42"/>
  <c r="R37" i="42"/>
  <c r="Z34" i="42"/>
  <c r="T34" i="42"/>
  <c r="S34" i="42"/>
  <c r="R34" i="42"/>
  <c r="Z33" i="42"/>
  <c r="Y33" i="42"/>
  <c r="X33" i="42"/>
  <c r="W33" i="42"/>
  <c r="U33" i="42"/>
  <c r="T33" i="42"/>
  <c r="S33" i="42"/>
  <c r="R33" i="42"/>
  <c r="Z29" i="42"/>
  <c r="Y29" i="42"/>
  <c r="X29" i="42"/>
  <c r="W29" i="42"/>
  <c r="U29" i="42"/>
  <c r="R29" i="42"/>
  <c r="Z26" i="42"/>
  <c r="Y26" i="42"/>
  <c r="X26" i="42"/>
  <c r="W26" i="42"/>
  <c r="U26" i="42"/>
  <c r="R26" i="42"/>
  <c r="Z25" i="42"/>
  <c r="Y25" i="42"/>
  <c r="X25" i="42"/>
  <c r="W25" i="42"/>
  <c r="U25" i="42"/>
  <c r="R25" i="42"/>
  <c r="Z24" i="42"/>
  <c r="Y24" i="42"/>
  <c r="X24" i="42"/>
  <c r="W24" i="42"/>
  <c r="U24" i="42"/>
  <c r="R24" i="42"/>
  <c r="Z21" i="42"/>
  <c r="Y21" i="42"/>
  <c r="X21" i="42"/>
  <c r="W21" i="42"/>
  <c r="U21" i="42"/>
  <c r="T21" i="42"/>
  <c r="R21" i="42"/>
  <c r="Z20" i="42"/>
  <c r="Y20" i="42"/>
  <c r="X20" i="42"/>
  <c r="W20" i="42"/>
  <c r="U20" i="42"/>
  <c r="T20" i="42"/>
  <c r="R20" i="42"/>
  <c r="Z19" i="42"/>
  <c r="Y19" i="42"/>
  <c r="X19" i="42"/>
  <c r="W19" i="42"/>
  <c r="U19" i="42"/>
  <c r="T19" i="42"/>
  <c r="R19" i="42"/>
  <c r="Z18" i="42"/>
  <c r="Y18" i="42"/>
  <c r="X18" i="42"/>
  <c r="W18" i="42"/>
  <c r="U18" i="42"/>
  <c r="T18" i="42"/>
  <c r="R18" i="42"/>
  <c r="Z17" i="42"/>
  <c r="Y17" i="42"/>
  <c r="X17" i="42"/>
  <c r="W17" i="42"/>
  <c r="U17" i="42"/>
  <c r="T17" i="42"/>
  <c r="R17" i="42"/>
  <c r="Z16" i="42"/>
  <c r="Y16" i="42"/>
  <c r="X16" i="42"/>
  <c r="W16" i="42"/>
  <c r="U16" i="42"/>
  <c r="T16" i="42"/>
  <c r="R16" i="42"/>
  <c r="Z15" i="42"/>
  <c r="Y15" i="42"/>
  <c r="X15" i="42"/>
  <c r="W15" i="42"/>
  <c r="U15" i="42"/>
  <c r="T15" i="42"/>
  <c r="R15" i="42"/>
  <c r="Z14" i="42"/>
  <c r="Y14" i="42"/>
  <c r="X14" i="42"/>
  <c r="W14" i="42"/>
  <c r="U14" i="42"/>
  <c r="T14" i="42"/>
  <c r="R14" i="42"/>
  <c r="Z13" i="42"/>
  <c r="Y13" i="42"/>
  <c r="X13" i="42"/>
  <c r="W13" i="42"/>
  <c r="U13" i="42"/>
  <c r="T13" i="42"/>
  <c r="R13" i="42"/>
  <c r="Z12" i="42"/>
  <c r="Y12" i="42"/>
  <c r="X12" i="42"/>
  <c r="W12" i="42"/>
  <c r="U12" i="42"/>
  <c r="T12" i="42"/>
  <c r="R12" i="42"/>
  <c r="R11" i="42"/>
  <c r="S11" i="42"/>
  <c r="S10" i="42" s="1"/>
  <c r="T11" i="42"/>
  <c r="U11" i="42"/>
  <c r="W11" i="42"/>
  <c r="X11" i="42"/>
  <c r="Y11" i="42"/>
  <c r="Z11" i="42"/>
  <c r="AC116" i="38"/>
  <c r="AE19" i="38"/>
  <c r="S10" i="40"/>
  <c r="U135" i="3"/>
  <c r="AE65" i="38"/>
  <c r="AD65" i="38"/>
  <c r="AC24" i="38"/>
  <c r="U24" i="38"/>
  <c r="AC36" i="38"/>
  <c r="U36" i="38"/>
  <c r="AG85" i="38"/>
  <c r="AC85" i="38"/>
  <c r="AC53" i="38"/>
  <c r="AC48" i="38"/>
  <c r="AC47" i="38"/>
  <c r="AC29" i="38"/>
  <c r="U148" i="3"/>
  <c r="T149" i="40"/>
  <c r="T136" i="40"/>
  <c r="T92" i="40"/>
  <c r="T36" i="40"/>
  <c r="T10" i="40"/>
  <c r="W53" i="42"/>
  <c r="AC151" i="3"/>
  <c r="U10" i="40"/>
  <c r="AC40" i="38"/>
  <c r="AC79" i="38"/>
  <c r="J27" i="50"/>
  <c r="I27" i="50"/>
  <c r="H27" i="50"/>
  <c r="G27" i="50"/>
  <c r="AL18" i="50"/>
  <c r="AK18" i="50"/>
  <c r="AJ18" i="50"/>
  <c r="AI18" i="50"/>
  <c r="AH18" i="50"/>
  <c r="AG18" i="50"/>
  <c r="AF18" i="50"/>
  <c r="AE18" i="50"/>
  <c r="AD18" i="50"/>
  <c r="AC18" i="50"/>
  <c r="AB18" i="50"/>
  <c r="AA18" i="50"/>
  <c r="Z18" i="50"/>
  <c r="Y18" i="50"/>
  <c r="X18" i="50"/>
  <c r="W18" i="50"/>
  <c r="V18" i="50"/>
  <c r="U18" i="50"/>
  <c r="T18" i="50"/>
  <c r="S18" i="50"/>
  <c r="R18" i="50"/>
  <c r="Q18" i="50"/>
  <c r="P18" i="50"/>
  <c r="O18" i="50"/>
  <c r="N18" i="50"/>
  <c r="M18" i="50"/>
  <c r="L18" i="50"/>
  <c r="K18" i="50"/>
  <c r="J18" i="50"/>
  <c r="I18" i="50"/>
  <c r="H18" i="50"/>
  <c r="G18" i="50"/>
  <c r="F18" i="50"/>
  <c r="E18" i="50"/>
  <c r="D18" i="50"/>
  <c r="C18" i="50"/>
  <c r="AL17" i="50"/>
  <c r="AK17" i="50"/>
  <c r="AJ17" i="50"/>
  <c r="AI17" i="50"/>
  <c r="AH17" i="50"/>
  <c r="AG17" i="50"/>
  <c r="AF17" i="50"/>
  <c r="AE17" i="50"/>
  <c r="AD17" i="50"/>
  <c r="AC17" i="50"/>
  <c r="AB17" i="50"/>
  <c r="AA17" i="50"/>
  <c r="Z17" i="50"/>
  <c r="Y17" i="50"/>
  <c r="X17" i="50"/>
  <c r="W17" i="50"/>
  <c r="V17" i="50"/>
  <c r="U17" i="50"/>
  <c r="T17" i="50"/>
  <c r="S17" i="50"/>
  <c r="R17" i="50"/>
  <c r="Q17" i="50"/>
  <c r="P17" i="50"/>
  <c r="O17" i="50"/>
  <c r="N17" i="50"/>
  <c r="M17" i="50"/>
  <c r="L17" i="50"/>
  <c r="K17" i="50"/>
  <c r="J17" i="50"/>
  <c r="I17" i="50"/>
  <c r="H17" i="50"/>
  <c r="G17" i="50"/>
  <c r="F17" i="50"/>
  <c r="E17" i="50"/>
  <c r="D17" i="50"/>
  <c r="C17" i="50"/>
  <c r="AL8" i="50"/>
  <c r="AL22" i="50"/>
  <c r="AK8" i="50"/>
  <c r="AK22" i="50"/>
  <c r="AJ8" i="50"/>
  <c r="AJ22" i="50"/>
  <c r="AI8" i="50"/>
  <c r="AI22" i="50"/>
  <c r="AH8" i="50"/>
  <c r="AH22" i="50"/>
  <c r="AG8" i="50"/>
  <c r="AG22" i="50"/>
  <c r="AF8" i="50"/>
  <c r="AF22" i="50"/>
  <c r="AE8" i="50"/>
  <c r="AE22" i="50"/>
  <c r="AD8" i="50"/>
  <c r="AD22" i="50"/>
  <c r="AC8" i="50"/>
  <c r="AC22" i="50"/>
  <c r="AB8" i="50"/>
  <c r="AB22" i="50"/>
  <c r="AA8" i="50"/>
  <c r="AA22" i="50"/>
  <c r="Z8" i="50"/>
  <c r="Z22" i="50"/>
  <c r="Y8" i="50"/>
  <c r="Y22" i="50"/>
  <c r="X8" i="50"/>
  <c r="X22" i="50"/>
  <c r="W8" i="50"/>
  <c r="W22" i="50"/>
  <c r="V8" i="50"/>
  <c r="V22" i="50"/>
  <c r="U8" i="50"/>
  <c r="U22" i="50"/>
  <c r="T8" i="50"/>
  <c r="T22" i="50"/>
  <c r="S8" i="50"/>
  <c r="S22" i="50"/>
  <c r="R8" i="50"/>
  <c r="R22" i="50"/>
  <c r="Q8" i="50"/>
  <c r="Q22" i="50"/>
  <c r="P8" i="50"/>
  <c r="P22" i="50"/>
  <c r="O8" i="50"/>
  <c r="O22" i="50"/>
  <c r="N8" i="50"/>
  <c r="N27" i="50"/>
  <c r="M8" i="50"/>
  <c r="M22" i="50"/>
  <c r="M25" i="50"/>
  <c r="M26" i="50"/>
  <c r="L8" i="50"/>
  <c r="L22" i="50"/>
  <c r="L25" i="50"/>
  <c r="L26" i="50"/>
  <c r="K8" i="50"/>
  <c r="K22" i="50"/>
  <c r="K25" i="50"/>
  <c r="K26" i="50"/>
  <c r="J8" i="50"/>
  <c r="J22" i="50"/>
  <c r="J25" i="50"/>
  <c r="J26" i="50"/>
  <c r="I8" i="50"/>
  <c r="I22" i="50"/>
  <c r="I25" i="50"/>
  <c r="I26" i="50"/>
  <c r="H8" i="50"/>
  <c r="H22" i="50"/>
  <c r="H25" i="50"/>
  <c r="H26" i="50"/>
  <c r="G8" i="50"/>
  <c r="G22" i="50"/>
  <c r="G25" i="50"/>
  <c r="G26" i="50"/>
  <c r="F8" i="50"/>
  <c r="F27" i="50"/>
  <c r="E8" i="50"/>
  <c r="E22" i="50"/>
  <c r="E25" i="50"/>
  <c r="E26" i="50"/>
  <c r="D8" i="50"/>
  <c r="D22" i="50"/>
  <c r="D25" i="50"/>
  <c r="D26" i="50"/>
  <c r="D29" i="50"/>
  <c r="C8" i="50"/>
  <c r="C22" i="50"/>
  <c r="C25" i="50"/>
  <c r="C26" i="50"/>
  <c r="AL7" i="50"/>
  <c r="AL21" i="50"/>
  <c r="AK7" i="50"/>
  <c r="AK21" i="50"/>
  <c r="AJ7" i="50"/>
  <c r="AJ21" i="50"/>
  <c r="AI7" i="50"/>
  <c r="AI21" i="50"/>
  <c r="AH7" i="50"/>
  <c r="AH21" i="50"/>
  <c r="AG7" i="50"/>
  <c r="AG21" i="50"/>
  <c r="AF7" i="50"/>
  <c r="AF21" i="50"/>
  <c r="AE7" i="50"/>
  <c r="AE21" i="50"/>
  <c r="AD7" i="50"/>
  <c r="AD21" i="50"/>
  <c r="AC7" i="50"/>
  <c r="AC21" i="50"/>
  <c r="AB7" i="50"/>
  <c r="AB21" i="50"/>
  <c r="AA7" i="50"/>
  <c r="AA21" i="50"/>
  <c r="Z7" i="50"/>
  <c r="Z21" i="50"/>
  <c r="Y7" i="50"/>
  <c r="Y21" i="50"/>
  <c r="X7" i="50"/>
  <c r="X21" i="50"/>
  <c r="W7" i="50"/>
  <c r="W21" i="50"/>
  <c r="V7" i="50"/>
  <c r="V21" i="50"/>
  <c r="U7" i="50"/>
  <c r="U21" i="50"/>
  <c r="T7" i="50"/>
  <c r="T21" i="50"/>
  <c r="S7" i="50"/>
  <c r="S21" i="50"/>
  <c r="R7" i="50"/>
  <c r="R21" i="50"/>
  <c r="Q7" i="50"/>
  <c r="Q21" i="50"/>
  <c r="P7" i="50"/>
  <c r="P21" i="50"/>
  <c r="O7" i="50"/>
  <c r="O21" i="50"/>
  <c r="N7" i="50"/>
  <c r="N21" i="50"/>
  <c r="M7" i="50"/>
  <c r="M21" i="50"/>
  <c r="L7" i="50"/>
  <c r="L21" i="50"/>
  <c r="K7" i="50"/>
  <c r="K21" i="50"/>
  <c r="J7" i="50"/>
  <c r="J21" i="50"/>
  <c r="I7" i="50"/>
  <c r="I21" i="50"/>
  <c r="H7" i="50"/>
  <c r="H21" i="50"/>
  <c r="G7" i="50"/>
  <c r="G21" i="50"/>
  <c r="F7" i="50"/>
  <c r="F21" i="50"/>
  <c r="E7" i="50"/>
  <c r="E21" i="50"/>
  <c r="D7" i="50"/>
  <c r="D21" i="50"/>
  <c r="C7" i="50"/>
  <c r="C21" i="50"/>
  <c r="AL6" i="50"/>
  <c r="AL20" i="50"/>
  <c r="AK6" i="50"/>
  <c r="AK20" i="50"/>
  <c r="AJ6" i="50"/>
  <c r="AJ20" i="50"/>
  <c r="AI6" i="50"/>
  <c r="AI20" i="50"/>
  <c r="AH6" i="50"/>
  <c r="AH20" i="50"/>
  <c r="AG6" i="50"/>
  <c r="AG20" i="50"/>
  <c r="AF6" i="50"/>
  <c r="AF20" i="50"/>
  <c r="AE6" i="50"/>
  <c r="AE20" i="50"/>
  <c r="AD6" i="50"/>
  <c r="AD20" i="50"/>
  <c r="AC6" i="50"/>
  <c r="AC20" i="50"/>
  <c r="AB6" i="50"/>
  <c r="AB20" i="50"/>
  <c r="AA6" i="50"/>
  <c r="AA20" i="50"/>
  <c r="Z6" i="50"/>
  <c r="Z20" i="50"/>
  <c r="Y6" i="50"/>
  <c r="Y20" i="50"/>
  <c r="X6" i="50"/>
  <c r="X20" i="50"/>
  <c r="W6" i="50"/>
  <c r="W20" i="50"/>
  <c r="V6" i="50"/>
  <c r="V20" i="50"/>
  <c r="U6" i="50"/>
  <c r="U20" i="50"/>
  <c r="T6" i="50"/>
  <c r="T20" i="50"/>
  <c r="S6" i="50"/>
  <c r="S20" i="50"/>
  <c r="R6" i="50"/>
  <c r="R20" i="50"/>
  <c r="Q6" i="50"/>
  <c r="Q20" i="50"/>
  <c r="P6" i="50"/>
  <c r="P20" i="50"/>
  <c r="O6" i="50"/>
  <c r="O20" i="50"/>
  <c r="N6" i="50"/>
  <c r="N20" i="50"/>
  <c r="M6" i="50"/>
  <c r="M20" i="50"/>
  <c r="L6" i="50"/>
  <c r="L20" i="50"/>
  <c r="K6" i="50"/>
  <c r="K20" i="50"/>
  <c r="J6" i="50"/>
  <c r="J20" i="50"/>
  <c r="I6" i="50"/>
  <c r="I20" i="50"/>
  <c r="H6" i="50"/>
  <c r="H20" i="50"/>
  <c r="G6" i="50"/>
  <c r="G20" i="50"/>
  <c r="F6" i="50"/>
  <c r="F20" i="50"/>
  <c r="E6" i="50"/>
  <c r="E20" i="50"/>
  <c r="D6" i="50"/>
  <c r="D20" i="50"/>
  <c r="C6" i="50"/>
  <c r="C20" i="50"/>
  <c r="AL5" i="50"/>
  <c r="AL19" i="50"/>
  <c r="AK5" i="50"/>
  <c r="AK19" i="50"/>
  <c r="AJ5" i="50"/>
  <c r="AJ19" i="50"/>
  <c r="AI5" i="50"/>
  <c r="AI19" i="50"/>
  <c r="AH5" i="50"/>
  <c r="AH19" i="50"/>
  <c r="AG5" i="50"/>
  <c r="AG19" i="50"/>
  <c r="AF5" i="50"/>
  <c r="AF19" i="50"/>
  <c r="AE5" i="50"/>
  <c r="AE19" i="50"/>
  <c r="AD5" i="50"/>
  <c r="AD19" i="50"/>
  <c r="AC5" i="50"/>
  <c r="AC19" i="50"/>
  <c r="AB5" i="50"/>
  <c r="AB19" i="50"/>
  <c r="AA5" i="50"/>
  <c r="AA19" i="50"/>
  <c r="Z5" i="50"/>
  <c r="Z19" i="50"/>
  <c r="Y5" i="50"/>
  <c r="Y19" i="50"/>
  <c r="X5" i="50"/>
  <c r="X19" i="50"/>
  <c r="W5" i="50"/>
  <c r="W19" i="50"/>
  <c r="V5" i="50"/>
  <c r="V19" i="50"/>
  <c r="U5" i="50"/>
  <c r="U19" i="50"/>
  <c r="T5" i="50"/>
  <c r="T19" i="50"/>
  <c r="S5" i="50"/>
  <c r="S19" i="50"/>
  <c r="R5" i="50"/>
  <c r="R19" i="50"/>
  <c r="Q5" i="50"/>
  <c r="Q19" i="50"/>
  <c r="P5" i="50"/>
  <c r="P19" i="50"/>
  <c r="O5" i="50"/>
  <c r="O19" i="50"/>
  <c r="N5" i="50"/>
  <c r="N19" i="50"/>
  <c r="M5" i="50"/>
  <c r="M19" i="50"/>
  <c r="L5" i="50"/>
  <c r="L19" i="50"/>
  <c r="K5" i="50"/>
  <c r="K19" i="50"/>
  <c r="J5" i="50"/>
  <c r="J19" i="50"/>
  <c r="I5" i="50"/>
  <c r="I19" i="50"/>
  <c r="H5" i="50"/>
  <c r="H19" i="50"/>
  <c r="G5" i="50"/>
  <c r="G19" i="50"/>
  <c r="F5" i="50"/>
  <c r="F19" i="50"/>
  <c r="E5" i="50"/>
  <c r="E19" i="50"/>
  <c r="D5" i="50"/>
  <c r="D19" i="50"/>
  <c r="C5" i="50"/>
  <c r="C19" i="50"/>
  <c r="F22" i="50"/>
  <c r="F25" i="50"/>
  <c r="F26" i="50"/>
  <c r="N22" i="50"/>
  <c r="N25" i="50"/>
  <c r="N26" i="50"/>
  <c r="C27" i="50"/>
  <c r="K27" i="50"/>
  <c r="D27" i="50"/>
  <c r="E27" i="50"/>
  <c r="M27" i="50"/>
  <c r="L27" i="50"/>
  <c r="O27" i="50"/>
  <c r="Q27" i="50"/>
  <c r="AC86" i="38"/>
  <c r="AC84" i="38"/>
  <c r="AC83" i="38"/>
  <c r="AC82" i="38"/>
  <c r="AC81" i="38"/>
  <c r="AC78" i="38"/>
  <c r="AC77" i="38"/>
  <c r="AC76" i="38"/>
  <c r="AC75" i="38"/>
  <c r="AC74" i="38"/>
  <c r="AC73" i="38"/>
  <c r="AC70" i="38"/>
  <c r="AC69" i="38"/>
  <c r="W10" i="40"/>
  <c r="AC93" i="38"/>
  <c r="Y93" i="38"/>
  <c r="U93" i="38"/>
  <c r="AG75" i="38"/>
  <c r="X10" i="40"/>
  <c r="Y10" i="40"/>
  <c r="AG79" i="38"/>
  <c r="AG81" i="38"/>
  <c r="Z149" i="40"/>
  <c r="X149" i="40"/>
  <c r="U149" i="40"/>
  <c r="Q149" i="40"/>
  <c r="AA92" i="40"/>
  <c r="AA32" i="40"/>
  <c r="Z32" i="40"/>
  <c r="Y32" i="40"/>
  <c r="X32" i="40"/>
  <c r="W32" i="40"/>
  <c r="U32" i="40"/>
  <c r="S32" i="40"/>
  <c r="R32" i="40"/>
  <c r="R54" i="40" s="1"/>
  <c r="R87" i="40" s="1"/>
  <c r="Q32" i="40"/>
  <c r="Q54" i="40" s="1"/>
  <c r="Q87" i="40" s="1"/>
  <c r="Z10" i="40"/>
  <c r="U26" i="38"/>
  <c r="AC26" i="38"/>
  <c r="AG84" i="38"/>
  <c r="AG83" i="38"/>
  <c r="AG82" i="38"/>
  <c r="AG78" i="38"/>
  <c r="AG77" i="38"/>
  <c r="AG76" i="38"/>
  <c r="AG74" i="38"/>
  <c r="AG70" i="38"/>
  <c r="AC118" i="38"/>
  <c r="Y118" i="38"/>
  <c r="AC100" i="38"/>
  <c r="Y100" i="38"/>
  <c r="AC98" i="38"/>
  <c r="Y98" i="38"/>
  <c r="AC66" i="38"/>
  <c r="AC64" i="38"/>
  <c r="Y64" i="38"/>
  <c r="U64" i="38"/>
  <c r="AC62" i="38"/>
  <c r="U62" i="38"/>
  <c r="AC61" i="38"/>
  <c r="Y61" i="38"/>
  <c r="U61" i="38"/>
  <c r="AE60" i="38"/>
  <c r="AB60" i="38"/>
  <c r="AA60" i="38"/>
  <c r="Z60" i="38"/>
  <c r="Z87" i="38" s="1"/>
  <c r="AC59" i="38"/>
  <c r="Y59" i="38"/>
  <c r="U59" i="38"/>
  <c r="AC58" i="38"/>
  <c r="Y58" i="38"/>
  <c r="U58" i="38"/>
  <c r="U57" i="38"/>
  <c r="AE56" i="38"/>
  <c r="AD56" i="38"/>
  <c r="AC55" i="38"/>
  <c r="U55" i="38"/>
  <c r="AC54" i="38"/>
  <c r="U54" i="38"/>
  <c r="U53" i="38"/>
  <c r="AC44" i="38"/>
  <c r="Y44" i="38"/>
  <c r="U44" i="38"/>
  <c r="AC43" i="38"/>
  <c r="U43" i="38"/>
  <c r="AC42" i="38"/>
  <c r="U42" i="38"/>
  <c r="AE39" i="38"/>
  <c r="AC32" i="38"/>
  <c r="Y32" i="38"/>
  <c r="U32" i="38"/>
  <c r="AC31" i="38"/>
  <c r="U31" i="38"/>
  <c r="AC30" i="38"/>
  <c r="U30" i="38"/>
  <c r="AC13" i="38"/>
  <c r="Y13" i="38"/>
  <c r="U13" i="38"/>
  <c r="Y29" i="38"/>
  <c r="U29" i="38"/>
  <c r="AC28" i="38"/>
  <c r="Y28" i="38"/>
  <c r="U28" i="38"/>
  <c r="AC27" i="38"/>
  <c r="U27" i="38"/>
  <c r="AC23" i="38"/>
  <c r="Y23" i="38"/>
  <c r="U23" i="38"/>
  <c r="AC22" i="38"/>
  <c r="Y22" i="38"/>
  <c r="U22" i="38"/>
  <c r="AC21" i="38"/>
  <c r="Y21" i="38"/>
  <c r="AC20" i="38"/>
  <c r="U20" i="38"/>
  <c r="AC16" i="38"/>
  <c r="Y16" i="38"/>
  <c r="U16" i="38"/>
  <c r="AC12" i="38"/>
  <c r="Y12" i="38"/>
  <c r="U12" i="38"/>
  <c r="AC10" i="38"/>
  <c r="Y10" i="38"/>
  <c r="U10" i="38"/>
  <c r="AG13" i="38"/>
  <c r="AG43" i="38"/>
  <c r="AG55" i="38"/>
  <c r="AG57" i="38"/>
  <c r="AG44" i="38"/>
  <c r="AG61" i="38"/>
  <c r="AG54" i="38"/>
  <c r="AG53" i="38"/>
  <c r="AG12" i="38"/>
  <c r="AG58" i="38"/>
  <c r="AG40" i="38"/>
  <c r="AG59" i="38"/>
  <c r="AG10" i="38"/>
  <c r="AG64" i="38"/>
  <c r="AG69" i="38"/>
  <c r="AG16" i="38"/>
  <c r="AG66" i="38"/>
  <c r="AG42" i="38"/>
  <c r="AG62" i="38"/>
  <c r="AA149" i="40"/>
  <c r="Z144" i="42"/>
  <c r="X136" i="3"/>
  <c r="S32" i="3"/>
  <c r="S54" i="3" s="1"/>
  <c r="AG87" i="3"/>
  <c r="N87" i="42" l="1"/>
  <c r="N152" i="42" s="1"/>
  <c r="O32" i="42"/>
  <c r="T68" i="38"/>
  <c r="T53" i="38"/>
  <c r="T47" i="38"/>
  <c r="O71" i="42"/>
  <c r="O10" i="42"/>
  <c r="P71" i="42"/>
  <c r="O115" i="42"/>
  <c r="O36" i="42"/>
  <c r="O92" i="42"/>
  <c r="O57" i="42"/>
  <c r="P10" i="42"/>
  <c r="P36" i="42"/>
  <c r="P92" i="42"/>
  <c r="P115" i="42"/>
  <c r="P57" i="42"/>
  <c r="U60" i="4"/>
  <c r="U39" i="4"/>
  <c r="U56" i="4"/>
  <c r="U19" i="4"/>
  <c r="U14" i="4"/>
  <c r="W127" i="40"/>
  <c r="W152" i="40" s="1"/>
  <c r="Q10" i="42"/>
  <c r="W17" i="38"/>
  <c r="W90" i="38"/>
  <c r="W122" i="38" s="1"/>
  <c r="X102" i="41"/>
  <c r="W102" i="41" s="1"/>
  <c r="W100" i="41"/>
  <c r="Y10" i="41"/>
  <c r="V47" i="57"/>
  <c r="AB65" i="41"/>
  <c r="W66" i="41"/>
  <c r="R57" i="42"/>
  <c r="R135" i="42"/>
  <c r="R71" i="42"/>
  <c r="AA126" i="42"/>
  <c r="AA151" i="42" s="1"/>
  <c r="V127" i="40"/>
  <c r="V152" i="40" s="1"/>
  <c r="R32" i="42"/>
  <c r="T44" i="57"/>
  <c r="U56" i="38"/>
  <c r="Z17" i="38"/>
  <c r="Y17" i="38" s="1"/>
  <c r="Z90" i="38"/>
  <c r="D85" i="57"/>
  <c r="H91" i="57"/>
  <c r="D44" i="57"/>
  <c r="D80" i="57"/>
  <c r="P41" i="57"/>
  <c r="P59" i="57"/>
  <c r="R47" i="57"/>
  <c r="R115" i="42"/>
  <c r="R10" i="42"/>
  <c r="R36" i="42"/>
  <c r="R92" i="42"/>
  <c r="Z127" i="40"/>
  <c r="Z152" i="40" s="1"/>
  <c r="S54" i="40"/>
  <c r="S87" i="40" s="1"/>
  <c r="AA54" i="42"/>
  <c r="AA84" i="42"/>
  <c r="V84" i="40"/>
  <c r="V126" i="3"/>
  <c r="V151" i="3" s="1"/>
  <c r="S115" i="42"/>
  <c r="U36" i="42"/>
  <c r="T10" i="42"/>
  <c r="S87" i="3"/>
  <c r="S152" i="3" s="1"/>
  <c r="V115" i="42"/>
  <c r="S32" i="42"/>
  <c r="U115" i="42"/>
  <c r="AC67" i="41"/>
  <c r="T49" i="4"/>
  <c r="S71" i="42"/>
  <c r="S92" i="42"/>
  <c r="S57" i="42"/>
  <c r="AD54" i="3"/>
  <c r="P54" i="40"/>
  <c r="Y127" i="40"/>
  <c r="Y152" i="40" s="1"/>
  <c r="P127" i="40"/>
  <c r="P152" i="40" s="1"/>
  <c r="T84" i="40"/>
  <c r="AC54" i="40"/>
  <c r="AC84" i="40"/>
  <c r="W84" i="40"/>
  <c r="Z54" i="40"/>
  <c r="T127" i="40"/>
  <c r="T152" i="40" s="1"/>
  <c r="V54" i="40"/>
  <c r="W54" i="40"/>
  <c r="T32" i="42"/>
  <c r="T92" i="42"/>
  <c r="T115" i="42"/>
  <c r="Y117" i="3"/>
  <c r="X117" i="42" s="1"/>
  <c r="X115" i="42" s="1"/>
  <c r="T36" i="42"/>
  <c r="T57" i="42"/>
  <c r="T71" i="42"/>
  <c r="AA84" i="3"/>
  <c r="D20" i="57"/>
  <c r="T86" i="38"/>
  <c r="AG14" i="38"/>
  <c r="D31" i="57"/>
  <c r="T19" i="57"/>
  <c r="H23" i="57"/>
  <c r="P28" i="57"/>
  <c r="P40" i="57"/>
  <c r="T43" i="57"/>
  <c r="P54" i="57"/>
  <c r="D19" i="57"/>
  <c r="H22" i="57"/>
  <c r="T32" i="57"/>
  <c r="T33" i="57"/>
  <c r="P39" i="57"/>
  <c r="Y80" i="41"/>
  <c r="T82" i="38"/>
  <c r="Y19" i="38"/>
  <c r="U39" i="38"/>
  <c r="D93" i="57"/>
  <c r="D95" i="57"/>
  <c r="AI14" i="41"/>
  <c r="AI17" i="41" s="1"/>
  <c r="AH14" i="41"/>
  <c r="AH17" i="41" s="1"/>
  <c r="T63" i="38"/>
  <c r="T114" i="38"/>
  <c r="T99" i="57"/>
  <c r="T15" i="38"/>
  <c r="D41" i="57"/>
  <c r="D42" i="57"/>
  <c r="D45" i="57"/>
  <c r="D46" i="57"/>
  <c r="T20" i="38"/>
  <c r="AE87" i="38"/>
  <c r="AE90" i="38" s="1"/>
  <c r="Y63" i="41"/>
  <c r="V63" i="41" s="1"/>
  <c r="T63" i="41" s="1"/>
  <c r="T50" i="4"/>
  <c r="AC127" i="40"/>
  <c r="AC152" i="40" s="1"/>
  <c r="X127" i="40"/>
  <c r="X152" i="40" s="1"/>
  <c r="Q152" i="40"/>
  <c r="Y84" i="40"/>
  <c r="AA54" i="40"/>
  <c r="AA126" i="3"/>
  <c r="AA151" i="3" s="1"/>
  <c r="Z32" i="3"/>
  <c r="Z54" i="3" s="1"/>
  <c r="Z135" i="42"/>
  <c r="Z71" i="42"/>
  <c r="X54" i="40"/>
  <c r="AA84" i="40"/>
  <c r="X84" i="40"/>
  <c r="P84" i="40"/>
  <c r="U84" i="40"/>
  <c r="AA127" i="40"/>
  <c r="AA152" i="40" s="1"/>
  <c r="Z84" i="40"/>
  <c r="T54" i="40"/>
  <c r="U54" i="40"/>
  <c r="U152" i="40"/>
  <c r="Y54" i="40"/>
  <c r="W71" i="42"/>
  <c r="Y135" i="42"/>
  <c r="Z57" i="3"/>
  <c r="Z84" i="3" s="1"/>
  <c r="X92" i="3"/>
  <c r="V71" i="42"/>
  <c r="X107" i="42"/>
  <c r="X92" i="42" s="1"/>
  <c r="P148" i="42"/>
  <c r="Z10" i="42"/>
  <c r="X135" i="42"/>
  <c r="V135" i="42"/>
  <c r="AD84" i="3"/>
  <c r="W36" i="42"/>
  <c r="W57" i="42"/>
  <c r="Z115" i="42"/>
  <c r="U135" i="42"/>
  <c r="R148" i="42"/>
  <c r="O135" i="42"/>
  <c r="U71" i="42"/>
  <c r="Q148" i="42"/>
  <c r="Y92" i="42"/>
  <c r="Z32" i="42"/>
  <c r="Y36" i="42"/>
  <c r="Y57" i="42"/>
  <c r="Z36" i="42"/>
  <c r="U57" i="42"/>
  <c r="T135" i="42"/>
  <c r="AA54" i="3"/>
  <c r="V36" i="42"/>
  <c r="Y10" i="42"/>
  <c r="W135" i="42"/>
  <c r="AD126" i="3"/>
  <c r="AD151" i="3" s="1"/>
  <c r="W92" i="42"/>
  <c r="Y34" i="42"/>
  <c r="Y32" i="42" s="1"/>
  <c r="V84" i="3"/>
  <c r="Z148" i="42"/>
  <c r="V92" i="42"/>
  <c r="X84" i="3"/>
  <c r="V57" i="42"/>
  <c r="X36" i="42"/>
  <c r="P135" i="42"/>
  <c r="W10" i="42"/>
  <c r="Z92" i="42"/>
  <c r="Y129" i="3"/>
  <c r="Y135" i="3" s="1"/>
  <c r="Z115" i="3"/>
  <c r="Z126" i="3" s="1"/>
  <c r="O148" i="42"/>
  <c r="V10" i="42"/>
  <c r="W126" i="3"/>
  <c r="W151" i="3" s="1"/>
  <c r="Y71" i="42"/>
  <c r="W84" i="3"/>
  <c r="S135" i="42"/>
  <c r="Q135" i="42"/>
  <c r="U10" i="42"/>
  <c r="Z57" i="42"/>
  <c r="Y115" i="42"/>
  <c r="S148" i="42"/>
  <c r="V148" i="42"/>
  <c r="X10" i="42"/>
  <c r="X57" i="42"/>
  <c r="U148" i="42"/>
  <c r="X71" i="42"/>
  <c r="Y84" i="3"/>
  <c r="Y148" i="3"/>
  <c r="X140" i="42"/>
  <c r="X148" i="42" s="1"/>
  <c r="X140" i="3"/>
  <c r="Y32" i="3"/>
  <c r="Y54" i="3" s="1"/>
  <c r="X34" i="42"/>
  <c r="X32" i="42" s="1"/>
  <c r="U92" i="42"/>
  <c r="Y140" i="42"/>
  <c r="Y148" i="42" s="1"/>
  <c r="Z148" i="3"/>
  <c r="T148" i="42"/>
  <c r="U54" i="3"/>
  <c r="U84" i="3"/>
  <c r="U126" i="3"/>
  <c r="U151" i="3" s="1"/>
  <c r="AC39" i="38"/>
  <c r="T35" i="38"/>
  <c r="Y56" i="38"/>
  <c r="AF104" i="41"/>
  <c r="AF81" i="41"/>
  <c r="AF79" i="41"/>
  <c r="Y62" i="38"/>
  <c r="T62" i="38" s="1"/>
  <c r="AB87" i="38"/>
  <c r="AF55" i="41"/>
  <c r="Y42" i="38"/>
  <c r="T42" i="38" s="1"/>
  <c r="O29" i="57"/>
  <c r="L29" i="57" s="1"/>
  <c r="AF31" i="41"/>
  <c r="O24" i="57"/>
  <c r="L24" i="57" s="1"/>
  <c r="T16" i="38"/>
  <c r="U87" i="41"/>
  <c r="U90" i="41" s="1"/>
  <c r="T98" i="38"/>
  <c r="U60" i="38"/>
  <c r="T83" i="38"/>
  <c r="T118" i="38"/>
  <c r="D12" i="57"/>
  <c r="AC56" i="38"/>
  <c r="T93" i="38"/>
  <c r="X87" i="38"/>
  <c r="X90" i="38" s="1"/>
  <c r="X122" i="38" s="1"/>
  <c r="T31" i="38"/>
  <c r="T70" i="38"/>
  <c r="H58" i="57"/>
  <c r="T108" i="38"/>
  <c r="T54" i="38"/>
  <c r="T36" i="38"/>
  <c r="D49" i="57"/>
  <c r="D50" i="57"/>
  <c r="D58" i="57"/>
  <c r="Y102" i="41"/>
  <c r="Y28" i="41"/>
  <c r="Y47" i="41"/>
  <c r="Y61" i="41"/>
  <c r="Y74" i="41"/>
  <c r="H53" i="57"/>
  <c r="AP87" i="41"/>
  <c r="Y13" i="41"/>
  <c r="T59" i="38"/>
  <c r="T77" i="38"/>
  <c r="AM56" i="41"/>
  <c r="Y60" i="38"/>
  <c r="T66" i="38"/>
  <c r="W13" i="57"/>
  <c r="W16" i="57" s="1"/>
  <c r="AI87" i="38"/>
  <c r="AI90" i="38" s="1"/>
  <c r="AD87" i="38"/>
  <c r="AG19" i="38"/>
  <c r="AF87" i="38"/>
  <c r="AF90" i="38" s="1"/>
  <c r="T64" i="38"/>
  <c r="T24" i="38"/>
  <c r="T21" i="38"/>
  <c r="T27" i="38"/>
  <c r="P12" i="57"/>
  <c r="H21" i="57"/>
  <c r="P26" i="57"/>
  <c r="D32" i="57"/>
  <c r="D33" i="57"/>
  <c r="P38" i="57"/>
  <c r="T42" i="57"/>
  <c r="D43" i="57"/>
  <c r="T45" i="57"/>
  <c r="T46" i="57"/>
  <c r="AJ87" i="38"/>
  <c r="AJ90" i="38" s="1"/>
  <c r="U14" i="38"/>
  <c r="T28" i="38"/>
  <c r="H87" i="57"/>
  <c r="T80" i="4"/>
  <c r="P21" i="57"/>
  <c r="T66" i="4"/>
  <c r="H15" i="57"/>
  <c r="H72" i="57"/>
  <c r="L12" i="57"/>
  <c r="N47" i="57"/>
  <c r="M51" i="57"/>
  <c r="H71" i="57"/>
  <c r="I47" i="57"/>
  <c r="T85" i="4"/>
  <c r="AH87" i="4"/>
  <c r="AH90" i="4" s="1"/>
  <c r="AH122" i="4" s="1"/>
  <c r="AL87" i="4"/>
  <c r="AL90" i="4" s="1"/>
  <c r="AL122" i="4" s="1"/>
  <c r="H93" i="57"/>
  <c r="L99" i="57"/>
  <c r="AE87" i="4"/>
  <c r="AE90" i="4" s="1"/>
  <c r="T49" i="57"/>
  <c r="P71" i="57"/>
  <c r="D82" i="57"/>
  <c r="H89" i="57"/>
  <c r="AA87" i="4"/>
  <c r="AA90" i="4" s="1"/>
  <c r="AQ87" i="41"/>
  <c r="AI56" i="41"/>
  <c r="AL14" i="41"/>
  <c r="AL17" i="41" s="1"/>
  <c r="T102" i="38"/>
  <c r="AG39" i="38"/>
  <c r="Y93" i="41"/>
  <c r="Y73" i="41"/>
  <c r="T12" i="38"/>
  <c r="U19" i="38"/>
  <c r="T55" i="38"/>
  <c r="K47" i="57"/>
  <c r="T67" i="57"/>
  <c r="T30" i="38"/>
  <c r="U17" i="38"/>
  <c r="T26" i="38"/>
  <c r="T44" i="38"/>
  <c r="T84" i="38"/>
  <c r="T85" i="38"/>
  <c r="AI17" i="38"/>
  <c r="AG17" i="38" s="1"/>
  <c r="T40" i="38"/>
  <c r="AG56" i="38"/>
  <c r="T69" i="38"/>
  <c r="U65" i="38"/>
  <c r="T37" i="38"/>
  <c r="AM87" i="38"/>
  <c r="AG60" i="38"/>
  <c r="T38" i="38"/>
  <c r="D28" i="57"/>
  <c r="T106" i="38"/>
  <c r="Y14" i="38"/>
  <c r="T10" i="38"/>
  <c r="T76" i="38"/>
  <c r="T100" i="38"/>
  <c r="D37" i="57"/>
  <c r="P67" i="57"/>
  <c r="T72" i="57"/>
  <c r="D73" i="57"/>
  <c r="H85" i="57"/>
  <c r="T104" i="38"/>
  <c r="Y45" i="41"/>
  <c r="Y71" i="41"/>
  <c r="T57" i="38"/>
  <c r="AC65" i="38"/>
  <c r="T116" i="38"/>
  <c r="H12" i="57"/>
  <c r="AM60" i="41"/>
  <c r="P23" i="57"/>
  <c r="K13" i="57"/>
  <c r="K16" i="57" s="1"/>
  <c r="P29" i="57"/>
  <c r="L49" i="57"/>
  <c r="L50" i="57"/>
  <c r="H57" i="57"/>
  <c r="H73" i="57"/>
  <c r="AB14" i="41"/>
  <c r="AB17" i="41" s="1"/>
  <c r="T91" i="57"/>
  <c r="T97" i="57"/>
  <c r="AL60" i="41"/>
  <c r="P15" i="57"/>
  <c r="H20" i="57"/>
  <c r="T87" i="57"/>
  <c r="T89" i="57"/>
  <c r="AC13" i="41"/>
  <c r="AH60" i="41"/>
  <c r="N13" i="57"/>
  <c r="N16" i="57" s="1"/>
  <c r="V51" i="57"/>
  <c r="J47" i="57"/>
  <c r="AL17" i="4"/>
  <c r="T106" i="4"/>
  <c r="F72" i="57"/>
  <c r="L20" i="57"/>
  <c r="P14" i="57"/>
  <c r="P73" i="57"/>
  <c r="AK118" i="41"/>
  <c r="Y12" i="41"/>
  <c r="Y58" i="41"/>
  <c r="Y31" i="41"/>
  <c r="AK93" i="41"/>
  <c r="AC15" i="41"/>
  <c r="Y37" i="41"/>
  <c r="Y42" i="41"/>
  <c r="Y68" i="41"/>
  <c r="AG12" i="41"/>
  <c r="AE56" i="41"/>
  <c r="Y104" i="41"/>
  <c r="AC116" i="41"/>
  <c r="AG46" i="41"/>
  <c r="Y22" i="41"/>
  <c r="Y82" i="41"/>
  <c r="AC19" i="38"/>
  <c r="T22" i="38"/>
  <c r="T13" i="38"/>
  <c r="T43" i="38"/>
  <c r="T58" i="38"/>
  <c r="T29" i="38"/>
  <c r="V87" i="38"/>
  <c r="F38" i="57"/>
  <c r="T38" i="57"/>
  <c r="F48" i="57"/>
  <c r="T48" i="57"/>
  <c r="F50" i="57"/>
  <c r="T50" i="57"/>
  <c r="T60" i="57"/>
  <c r="F60" i="57"/>
  <c r="AC17" i="38"/>
  <c r="T23" i="38"/>
  <c r="T61" i="38"/>
  <c r="S51" i="57"/>
  <c r="AG65" i="38"/>
  <c r="AK23" i="41"/>
  <c r="AL87" i="38"/>
  <c r="AL90" i="38" s="1"/>
  <c r="AL122" i="38" s="1"/>
  <c r="AH87" i="38"/>
  <c r="AC14" i="38"/>
  <c r="AC60" i="38"/>
  <c r="T74" i="38"/>
  <c r="T32" i="38"/>
  <c r="Y116" i="41"/>
  <c r="Y53" i="41"/>
  <c r="P19" i="57"/>
  <c r="H50" i="57"/>
  <c r="AC64" i="41"/>
  <c r="Y35" i="41"/>
  <c r="T11" i="57"/>
  <c r="H19" i="57"/>
  <c r="P53" i="57"/>
  <c r="P58" i="57"/>
  <c r="Y32" i="41"/>
  <c r="Y55" i="41"/>
  <c r="Y78" i="41"/>
  <c r="P91" i="57"/>
  <c r="P97" i="57"/>
  <c r="D14" i="57"/>
  <c r="P95" i="57"/>
  <c r="Y30" i="41"/>
  <c r="Y64" i="41"/>
  <c r="P20" i="57"/>
  <c r="D36" i="57"/>
  <c r="H49" i="57"/>
  <c r="H63" i="57"/>
  <c r="H66" i="57"/>
  <c r="AC118" i="41"/>
  <c r="J13" i="57"/>
  <c r="J16" i="57" s="1"/>
  <c r="Y59" i="41"/>
  <c r="D11" i="57"/>
  <c r="T12" i="57"/>
  <c r="T27" i="57"/>
  <c r="H31" i="57"/>
  <c r="H32" i="57"/>
  <c r="H44" i="57"/>
  <c r="P52" i="57"/>
  <c r="P57" i="57"/>
  <c r="D70" i="57"/>
  <c r="D71" i="57"/>
  <c r="H80" i="57"/>
  <c r="L95" i="57"/>
  <c r="F91" i="57"/>
  <c r="H39" i="57"/>
  <c r="H60" i="57"/>
  <c r="P80" i="57"/>
  <c r="F87" i="57"/>
  <c r="D91" i="57"/>
  <c r="AG48" i="41"/>
  <c r="L45" i="57"/>
  <c r="P33" i="57"/>
  <c r="H37" i="57"/>
  <c r="P43" i="57"/>
  <c r="P44" i="57"/>
  <c r="I51" i="57"/>
  <c r="J51" i="57"/>
  <c r="D87" i="57"/>
  <c r="T15" i="4"/>
  <c r="Q13" i="57"/>
  <c r="Q16" i="57" s="1"/>
  <c r="P10" i="57"/>
  <c r="P11" i="57"/>
  <c r="L14" i="57"/>
  <c r="K51" i="57"/>
  <c r="AG93" i="41"/>
  <c r="T120" i="4"/>
  <c r="AG45" i="41"/>
  <c r="AK108" i="41"/>
  <c r="AK37" i="41"/>
  <c r="AK22" i="41"/>
  <c r="AG118" i="41"/>
  <c r="AG44" i="41"/>
  <c r="AK35" i="41"/>
  <c r="AM87" i="4"/>
  <c r="AM90" i="4" s="1"/>
  <c r="AM122" i="4" s="1"/>
  <c r="AC60" i="4"/>
  <c r="AG37" i="41"/>
  <c r="AG22" i="41"/>
  <c r="AK32" i="41"/>
  <c r="H56" i="57"/>
  <c r="P62" i="57"/>
  <c r="P63" i="57"/>
  <c r="P64" i="57"/>
  <c r="P65" i="57"/>
  <c r="P68" i="57"/>
  <c r="P70" i="57"/>
  <c r="AG36" i="41"/>
  <c r="AK54" i="41"/>
  <c r="AK79" i="41"/>
  <c r="AC58" i="41"/>
  <c r="F43" i="57"/>
  <c r="T73" i="57"/>
  <c r="N35" i="57"/>
  <c r="AG35" i="41"/>
  <c r="AK58" i="41"/>
  <c r="AC95" i="41"/>
  <c r="R55" i="57"/>
  <c r="X87" i="4"/>
  <c r="X90" i="4" s="1"/>
  <c r="X122" i="4" s="1"/>
  <c r="AG86" i="41"/>
  <c r="AK73" i="41"/>
  <c r="AJ87" i="4"/>
  <c r="AJ90" i="4" s="1"/>
  <c r="AJ122" i="4" s="1"/>
  <c r="AG27" i="41"/>
  <c r="AG85" i="41"/>
  <c r="AK77" i="41"/>
  <c r="AK71" i="41"/>
  <c r="F49" i="57"/>
  <c r="Y62" i="4"/>
  <c r="T62" i="4" s="1"/>
  <c r="AK75" i="41"/>
  <c r="AK70" i="41"/>
  <c r="F27" i="57"/>
  <c r="H40" i="57"/>
  <c r="H41" i="57"/>
  <c r="H62" i="57"/>
  <c r="H64" i="57"/>
  <c r="H65" i="57"/>
  <c r="H67" i="57"/>
  <c r="H68" i="57"/>
  <c r="H70" i="57"/>
  <c r="P85" i="57"/>
  <c r="P87" i="57"/>
  <c r="P99" i="57"/>
  <c r="AC56" i="4"/>
  <c r="AG102" i="41"/>
  <c r="AK74" i="41"/>
  <c r="Y95" i="41"/>
  <c r="T11" i="4"/>
  <c r="O87" i="57"/>
  <c r="L87" i="57" s="1"/>
  <c r="T100" i="4"/>
  <c r="AK24" i="41"/>
  <c r="D48" i="57"/>
  <c r="H10" i="57"/>
  <c r="H11" i="57"/>
  <c r="D23" i="57"/>
  <c r="H48" i="57"/>
  <c r="D57" i="57"/>
  <c r="P82" i="57"/>
  <c r="AG84" i="41"/>
  <c r="F44" i="57"/>
  <c r="V13" i="57"/>
  <c r="V16" i="57" s="1"/>
  <c r="D10" i="57"/>
  <c r="AK114" i="41"/>
  <c r="T38" i="4"/>
  <c r="M18" i="57"/>
  <c r="P24" i="57"/>
  <c r="P61" i="57"/>
  <c r="AI60" i="41"/>
  <c r="AK55" i="41"/>
  <c r="AK102" i="41"/>
  <c r="AK57" i="41"/>
  <c r="G89" i="57"/>
  <c r="F89" i="57" s="1"/>
  <c r="AG71" i="41"/>
  <c r="AK31" i="41"/>
  <c r="AK12" i="41"/>
  <c r="R51" i="57"/>
  <c r="AF21" i="41"/>
  <c r="Q51" i="57"/>
  <c r="K35" i="57"/>
  <c r="W47" i="57"/>
  <c r="D61" i="57"/>
  <c r="D62" i="57"/>
  <c r="D64" i="57"/>
  <c r="D66" i="57"/>
  <c r="T68" i="57"/>
  <c r="AK48" i="41"/>
  <c r="AK64" i="41"/>
  <c r="AC62" i="41"/>
  <c r="T79" i="4"/>
  <c r="AD65" i="41"/>
  <c r="AI39" i="41"/>
  <c r="Y95" i="4"/>
  <c r="T95" i="4" s="1"/>
  <c r="K18" i="57"/>
  <c r="Y16" i="41"/>
  <c r="M35" i="57"/>
  <c r="T104" i="4"/>
  <c r="O22" i="57"/>
  <c r="L22" i="57" s="1"/>
  <c r="Y23" i="4"/>
  <c r="T23" i="4" s="1"/>
  <c r="T24" i="4"/>
  <c r="AB56" i="41"/>
  <c r="O25" i="57"/>
  <c r="L25" i="57" s="1"/>
  <c r="Y27" i="4"/>
  <c r="T27" i="4" s="1"/>
  <c r="T28" i="57"/>
  <c r="H26" i="57"/>
  <c r="H27" i="57"/>
  <c r="F52" i="57"/>
  <c r="U51" i="57"/>
  <c r="F51" i="57" s="1"/>
  <c r="T54" i="57"/>
  <c r="P56" i="57"/>
  <c r="D60" i="57"/>
  <c r="L93" i="57"/>
  <c r="T114" i="4"/>
  <c r="Y98" i="41"/>
  <c r="Y24" i="41"/>
  <c r="Y44" i="41"/>
  <c r="Y84" i="41"/>
  <c r="Y70" i="41"/>
  <c r="AB60" i="41"/>
  <c r="W60" i="41" s="1"/>
  <c r="AE19" i="41"/>
  <c r="AC47" i="41"/>
  <c r="AG104" i="41"/>
  <c r="AJ19" i="41"/>
  <c r="AG81" i="41"/>
  <c r="AJ65" i="41"/>
  <c r="AK47" i="41"/>
  <c r="AK10" i="41"/>
  <c r="S18" i="57"/>
  <c r="AK30" i="41"/>
  <c r="AJ14" i="41"/>
  <c r="AJ17" i="41" s="1"/>
  <c r="D22" i="57"/>
  <c r="H25" i="57"/>
  <c r="P31" i="57"/>
  <c r="P32" i="57"/>
  <c r="H38" i="57"/>
  <c r="T53" i="57"/>
  <c r="T56" i="57"/>
  <c r="F56" i="57"/>
  <c r="H61" i="57"/>
  <c r="J55" i="57"/>
  <c r="H69" i="57"/>
  <c r="O82" i="57"/>
  <c r="L82" i="57" s="1"/>
  <c r="O85" i="57"/>
  <c r="L85" i="57" s="1"/>
  <c r="AF87" i="4"/>
  <c r="AF90" i="4" s="1"/>
  <c r="AF122" i="4" s="1"/>
  <c r="AG60" i="4"/>
  <c r="Y38" i="41"/>
  <c r="V38" i="41" s="1"/>
  <c r="T38" i="41" s="1"/>
  <c r="Y23" i="41"/>
  <c r="Y43" i="41"/>
  <c r="Y83" i="41"/>
  <c r="Y69" i="41"/>
  <c r="Y27" i="41"/>
  <c r="Y46" i="41"/>
  <c r="AG108" i="41"/>
  <c r="AG70" i="41"/>
  <c r="AK98" i="41"/>
  <c r="Z14" i="41"/>
  <c r="Z17" i="41" s="1"/>
  <c r="AN56" i="41"/>
  <c r="AN14" i="41"/>
  <c r="AN17" i="41" s="1"/>
  <c r="T102" i="4"/>
  <c r="AK82" i="41"/>
  <c r="P27" i="57"/>
  <c r="T29" i="57"/>
  <c r="D29" i="57"/>
  <c r="AA19" i="41"/>
  <c r="AK66" i="41"/>
  <c r="Q35" i="57"/>
  <c r="AD19" i="41"/>
  <c r="AG100" i="41"/>
  <c r="AK104" i="41"/>
  <c r="AK15" i="41"/>
  <c r="AK53" i="41"/>
  <c r="AK13" i="41"/>
  <c r="AN60" i="41"/>
  <c r="AG61" i="41"/>
  <c r="P60" i="57"/>
  <c r="H82" i="57"/>
  <c r="Z65" i="41"/>
  <c r="Y54" i="41"/>
  <c r="AG32" i="41"/>
  <c r="AK116" i="41"/>
  <c r="AK78" i="41"/>
  <c r="AK29" i="41"/>
  <c r="I13" i="57"/>
  <c r="I16" i="57" s="1"/>
  <c r="T85" i="57"/>
  <c r="AC108" i="41"/>
  <c r="T41" i="57"/>
  <c r="F19" i="57"/>
  <c r="F20" i="57"/>
  <c r="T20" i="57"/>
  <c r="D21" i="57"/>
  <c r="H24" i="57"/>
  <c r="P30" i="57"/>
  <c r="P42" i="57"/>
  <c r="P45" i="57"/>
  <c r="H54" i="57"/>
  <c r="H59" i="57"/>
  <c r="V90" i="4"/>
  <c r="V122" i="4" s="1"/>
  <c r="Y98" i="4"/>
  <c r="T98" i="4" s="1"/>
  <c r="AG19" i="4"/>
  <c r="Y100" i="41"/>
  <c r="Y26" i="41"/>
  <c r="Y85" i="41"/>
  <c r="AD56" i="41"/>
  <c r="AC102" i="41"/>
  <c r="AG83" i="41"/>
  <c r="AG69" i="41"/>
  <c r="AD60" i="41"/>
  <c r="AG26" i="41"/>
  <c r="AG43" i="41"/>
  <c r="AK120" i="41"/>
  <c r="AK27" i="41"/>
  <c r="AN39" i="41"/>
  <c r="AC100" i="41"/>
  <c r="H34" i="57"/>
  <c r="E34" i="57" s="1"/>
  <c r="C34" i="57" s="1"/>
  <c r="R35" i="57"/>
  <c r="AK86" i="41"/>
  <c r="AK36" i="41"/>
  <c r="T82" i="57"/>
  <c r="T15" i="57"/>
  <c r="N18" i="57"/>
  <c r="T25" i="57"/>
  <c r="D27" i="57"/>
  <c r="H29" i="57"/>
  <c r="H30" i="57"/>
  <c r="H33" i="57"/>
  <c r="D39" i="57"/>
  <c r="D40" i="57"/>
  <c r="H42" i="57"/>
  <c r="H43" i="57"/>
  <c r="H45" i="57"/>
  <c r="P50" i="57"/>
  <c r="P66" i="57"/>
  <c r="P89" i="57"/>
  <c r="P93" i="57"/>
  <c r="AG14" i="4"/>
  <c r="AG17" i="4" s="1"/>
  <c r="Y108" i="41"/>
  <c r="Y36" i="41"/>
  <c r="AA39" i="41"/>
  <c r="Y81" i="41"/>
  <c r="AB39" i="41"/>
  <c r="W39" i="41" s="1"/>
  <c r="AC120" i="41"/>
  <c r="AC46" i="41"/>
  <c r="AG78" i="41"/>
  <c r="AG23" i="41"/>
  <c r="AG77" i="41"/>
  <c r="AJ56" i="41"/>
  <c r="AK44" i="41"/>
  <c r="AK84" i="41"/>
  <c r="AK81" i="41"/>
  <c r="H14" i="57"/>
  <c r="D24" i="57"/>
  <c r="H28" i="57"/>
  <c r="D38" i="57"/>
  <c r="H46" i="57"/>
  <c r="U47" i="57"/>
  <c r="F47" i="57" s="1"/>
  <c r="O53" i="57"/>
  <c r="L53" i="57" s="1"/>
  <c r="O54" i="57"/>
  <c r="L54" i="57" s="1"/>
  <c r="P72" i="57"/>
  <c r="T80" i="57"/>
  <c r="T118" i="4"/>
  <c r="AG65" i="4"/>
  <c r="AC14" i="4"/>
  <c r="Y114" i="41"/>
  <c r="Y29" i="41"/>
  <c r="Y48" i="41"/>
  <c r="Y62" i="41"/>
  <c r="Y75" i="41"/>
  <c r="AA56" i="41"/>
  <c r="Y79" i="41"/>
  <c r="Y15" i="41"/>
  <c r="AG76" i="41"/>
  <c r="AK43" i="41"/>
  <c r="AK40" i="41"/>
  <c r="AG116" i="41"/>
  <c r="AG82" i="41"/>
  <c r="AH65" i="41"/>
  <c r="AG68" i="41"/>
  <c r="AG30" i="41"/>
  <c r="AF16" i="41"/>
  <c r="O15" i="57"/>
  <c r="L15" i="57" s="1"/>
  <c r="Y16" i="4"/>
  <c r="T16" i="4" s="1"/>
  <c r="AF32" i="41"/>
  <c r="Y32" i="4"/>
  <c r="T32" i="4" s="1"/>
  <c r="Y48" i="4"/>
  <c r="T48" i="4" s="1"/>
  <c r="O43" i="57"/>
  <c r="L43" i="57" s="1"/>
  <c r="AF48" i="41"/>
  <c r="Y68" i="4"/>
  <c r="T68" i="4" s="1"/>
  <c r="O57" i="57"/>
  <c r="L57" i="57" s="1"/>
  <c r="Y82" i="4"/>
  <c r="T82" i="4" s="1"/>
  <c r="O69" i="57"/>
  <c r="AF82" i="41"/>
  <c r="F95" i="57"/>
  <c r="T95" i="57"/>
  <c r="AF68" i="41"/>
  <c r="AF20" i="41"/>
  <c r="O19" i="57"/>
  <c r="L19" i="57" s="1"/>
  <c r="Y20" i="4"/>
  <c r="T20" i="4" s="1"/>
  <c r="O31" i="57"/>
  <c r="L31" i="57" s="1"/>
  <c r="Y35" i="4"/>
  <c r="T35" i="4" s="1"/>
  <c r="Y53" i="4"/>
  <c r="T53" i="4" s="1"/>
  <c r="AF53" i="41"/>
  <c r="O44" i="57"/>
  <c r="L44" i="57" s="1"/>
  <c r="O58" i="57"/>
  <c r="Y69" i="4"/>
  <c r="T69" i="4" s="1"/>
  <c r="Y83" i="4"/>
  <c r="T83" i="4" s="1"/>
  <c r="AF83" i="41"/>
  <c r="O70" i="57"/>
  <c r="D69" i="57"/>
  <c r="T69" i="57"/>
  <c r="T58" i="57"/>
  <c r="F58" i="57"/>
  <c r="U55" i="57"/>
  <c r="AN19" i="41"/>
  <c r="AM19" i="41"/>
  <c r="AM65" i="41"/>
  <c r="AG95" i="41"/>
  <c r="AK68" i="41"/>
  <c r="AL65" i="41"/>
  <c r="AM39" i="41"/>
  <c r="W55" i="57"/>
  <c r="AL56" i="41"/>
  <c r="AK59" i="41"/>
  <c r="AK20" i="41"/>
  <c r="AG47" i="41"/>
  <c r="AE39" i="41"/>
  <c r="T52" i="57"/>
  <c r="W51" i="57"/>
  <c r="T57" i="57"/>
  <c r="F57" i="57"/>
  <c r="D63" i="57"/>
  <c r="T63" i="57"/>
  <c r="D65" i="57"/>
  <c r="T65" i="57"/>
  <c r="AD87" i="4"/>
  <c r="T31" i="4"/>
  <c r="AC19" i="4"/>
  <c r="AA65" i="41"/>
  <c r="AB19" i="41"/>
  <c r="O32" i="57"/>
  <c r="L32" i="57" s="1"/>
  <c r="AF36" i="41"/>
  <c r="Y36" i="4"/>
  <c r="T36" i="4" s="1"/>
  <c r="Y70" i="4"/>
  <c r="T70" i="4" s="1"/>
  <c r="O59" i="57"/>
  <c r="AF70" i="41"/>
  <c r="Y84" i="4"/>
  <c r="T84" i="4" s="1"/>
  <c r="O71" i="57"/>
  <c r="P22" i="57"/>
  <c r="R18" i="57"/>
  <c r="F24" i="57"/>
  <c r="T24" i="57"/>
  <c r="D26" i="57"/>
  <c r="T26" i="57"/>
  <c r="P37" i="57"/>
  <c r="S35" i="57"/>
  <c r="AF54" i="41"/>
  <c r="AN65" i="41"/>
  <c r="AG10" i="41"/>
  <c r="Z60" i="41"/>
  <c r="AG67" i="41"/>
  <c r="O21" i="57"/>
  <c r="L21" i="57" s="1"/>
  <c r="Y22" i="4"/>
  <c r="T22" i="4" s="1"/>
  <c r="AF37" i="41"/>
  <c r="Y37" i="4"/>
  <c r="T37" i="4" s="1"/>
  <c r="O46" i="57"/>
  <c r="L46" i="57" s="1"/>
  <c r="Y55" i="4"/>
  <c r="T55" i="4" s="1"/>
  <c r="Y71" i="4"/>
  <c r="T71" i="4" s="1"/>
  <c r="AF71" i="41"/>
  <c r="O60" i="57"/>
  <c r="L60" i="57" s="1"/>
  <c r="AF85" i="41"/>
  <c r="O72" i="57"/>
  <c r="D54" i="57"/>
  <c r="F37" i="57"/>
  <c r="T37" i="57"/>
  <c r="Q47" i="57"/>
  <c r="P48" i="57"/>
  <c r="V55" i="57"/>
  <c r="D56" i="57"/>
  <c r="D59" i="57"/>
  <c r="T59" i="57"/>
  <c r="AJ39" i="41"/>
  <c r="AG42" i="41"/>
  <c r="AF57" i="41"/>
  <c r="Y57" i="4"/>
  <c r="T57" i="4" s="1"/>
  <c r="AB56" i="4"/>
  <c r="AB87" i="4" s="1"/>
  <c r="AB90" i="4" s="1"/>
  <c r="AB122" i="4" s="1"/>
  <c r="O61" i="57"/>
  <c r="Y73" i="4"/>
  <c r="T73" i="4" s="1"/>
  <c r="O73" i="57"/>
  <c r="AF86" i="41"/>
  <c r="Y86" i="4"/>
  <c r="T86" i="4" s="1"/>
  <c r="T23" i="57"/>
  <c r="D53" i="57"/>
  <c r="T39" i="57"/>
  <c r="T22" i="57"/>
  <c r="F22" i="57"/>
  <c r="U35" i="57"/>
  <c r="F35" i="57" s="1"/>
  <c r="AI87" i="4"/>
  <c r="AI90" i="4" s="1"/>
  <c r="AI122" i="4" s="1"/>
  <c r="AG11" i="41"/>
  <c r="V11" i="41" s="1"/>
  <c r="T11" i="41" s="1"/>
  <c r="T108" i="4"/>
  <c r="AF40" i="41"/>
  <c r="O80" i="57"/>
  <c r="L80" i="57" s="1"/>
  <c r="Y93" i="4"/>
  <c r="T93" i="4" s="1"/>
  <c r="R13" i="57"/>
  <c r="P36" i="57"/>
  <c r="V35" i="57"/>
  <c r="T66" i="57"/>
  <c r="T61" i="57"/>
  <c r="D52" i="57"/>
  <c r="T21" i="57"/>
  <c r="F21" i="57"/>
  <c r="O33" i="57"/>
  <c r="L33" i="57" s="1"/>
  <c r="L91" i="57"/>
  <c r="AG75" i="41"/>
  <c r="AG58" i="41"/>
  <c r="AG40" i="41"/>
  <c r="AG28" i="41"/>
  <c r="AK28" i="41"/>
  <c r="AH39" i="41"/>
  <c r="AG13" i="41"/>
  <c r="AC42" i="41"/>
  <c r="Y59" i="4"/>
  <c r="T59" i="4" s="1"/>
  <c r="AF59" i="41"/>
  <c r="S13" i="57"/>
  <c r="S55" i="57"/>
  <c r="Q18" i="57"/>
  <c r="T62" i="57"/>
  <c r="D68" i="57"/>
  <c r="W35" i="57"/>
  <c r="S47" i="57"/>
  <c r="P49" i="57"/>
  <c r="I55" i="57"/>
  <c r="L89" i="57"/>
  <c r="Y58" i="4"/>
  <c r="T58" i="4" s="1"/>
  <c r="AC106" i="41"/>
  <c r="AF84" i="41"/>
  <c r="AG16" i="41"/>
  <c r="AG74" i="41"/>
  <c r="AG57" i="41"/>
  <c r="AI19" i="41"/>
  <c r="AH56" i="41"/>
  <c r="AG98" i="41"/>
  <c r="AC98" i="41"/>
  <c r="T64" i="57"/>
  <c r="N51" i="57"/>
  <c r="AE17" i="4"/>
  <c r="AA60" i="41"/>
  <c r="AC22" i="41"/>
  <c r="AC93" i="41"/>
  <c r="AG73" i="41"/>
  <c r="AG55" i="41"/>
  <c r="AG24" i="41"/>
  <c r="AI65" i="41"/>
  <c r="AG21" i="41"/>
  <c r="AJ60" i="41"/>
  <c r="AK100" i="41"/>
  <c r="AK16" i="41"/>
  <c r="V18" i="57"/>
  <c r="U18" i="57"/>
  <c r="F18" i="57" s="1"/>
  <c r="M47" i="57"/>
  <c r="T40" i="57"/>
  <c r="D25" i="57"/>
  <c r="U13" i="57"/>
  <c r="T10" i="57"/>
  <c r="F10" i="57"/>
  <c r="F31" i="57"/>
  <c r="T31" i="57"/>
  <c r="I35" i="57"/>
  <c r="H36" i="57"/>
  <c r="K55" i="57"/>
  <c r="Y57" i="41"/>
  <c r="AF17" i="4"/>
  <c r="AC39" i="4"/>
  <c r="AG56" i="4"/>
  <c r="T13" i="4"/>
  <c r="AD39" i="41"/>
  <c r="AG54" i="41"/>
  <c r="I18" i="57"/>
  <c r="W18" i="57"/>
  <c r="J35" i="57"/>
  <c r="Y21" i="4"/>
  <c r="T21" i="4" s="1"/>
  <c r="Y54" i="4"/>
  <c r="T54" i="4" s="1"/>
  <c r="Y21" i="41"/>
  <c r="Z39" i="41"/>
  <c r="AC29" i="41"/>
  <c r="AL19" i="41"/>
  <c r="F36" i="57"/>
  <c r="T36" i="57"/>
  <c r="H52" i="57"/>
  <c r="J18" i="57"/>
  <c r="F70" i="57"/>
  <c r="T70" i="57"/>
  <c r="T71" i="57"/>
  <c r="D72" i="57"/>
  <c r="AA14" i="41"/>
  <c r="AG39" i="4"/>
  <c r="AF23" i="41"/>
  <c r="AF73" i="41"/>
  <c r="AG106" i="41"/>
  <c r="AG31" i="41"/>
  <c r="AK61" i="41"/>
  <c r="AB17" i="4"/>
  <c r="Y17" i="4" s="1"/>
  <c r="O10" i="57"/>
  <c r="L10" i="57" s="1"/>
  <c r="T10" i="4"/>
  <c r="AF10" i="41"/>
  <c r="T43" i="4"/>
  <c r="Y61" i="4"/>
  <c r="D30" i="57"/>
  <c r="T30" i="57"/>
  <c r="M55" i="57"/>
  <c r="T28" i="4"/>
  <c r="T44" i="4"/>
  <c r="T93" i="57"/>
  <c r="Y66" i="41"/>
  <c r="AK21" i="41"/>
  <c r="AK42" i="41"/>
  <c r="Y12" i="4"/>
  <c r="T12" i="4" s="1"/>
  <c r="AC12" i="41"/>
  <c r="O11" i="57"/>
  <c r="L11" i="57" s="1"/>
  <c r="AF45" i="41"/>
  <c r="Y45" i="4"/>
  <c r="T45" i="4" s="1"/>
  <c r="T14" i="57"/>
  <c r="Y40" i="41"/>
  <c r="AE14" i="41"/>
  <c r="T29" i="4"/>
  <c r="Y106" i="41"/>
  <c r="Y20" i="41"/>
  <c r="AC114" i="41"/>
  <c r="AK106" i="41"/>
  <c r="AK45" i="41"/>
  <c r="AM14" i="41"/>
  <c r="AM17" i="41" s="1"/>
  <c r="Z19" i="41"/>
  <c r="AF77" i="41"/>
  <c r="Y77" i="4"/>
  <c r="T77" i="4" s="1"/>
  <c r="T64" i="4"/>
  <c r="AF61" i="41"/>
  <c r="AG15" i="41"/>
  <c r="AK95" i="41"/>
  <c r="AK85" i="41"/>
  <c r="L27" i="57"/>
  <c r="D15" i="57"/>
  <c r="P69" i="57"/>
  <c r="H95" i="57"/>
  <c r="L97" i="57"/>
  <c r="T116" i="4"/>
  <c r="AC30" i="41"/>
  <c r="AG59" i="41"/>
  <c r="AG20" i="41"/>
  <c r="AL39" i="41"/>
  <c r="AK83" i="41"/>
  <c r="AK69" i="41"/>
  <c r="AH19" i="41"/>
  <c r="AG62" i="41"/>
  <c r="AC65" i="4"/>
  <c r="Z56" i="41"/>
  <c r="Y77" i="41"/>
  <c r="AG114" i="41"/>
  <c r="AG66" i="41"/>
  <c r="AG29" i="41"/>
  <c r="T46" i="4"/>
  <c r="P46" i="57"/>
  <c r="Q55" i="57"/>
  <c r="Y76" i="41"/>
  <c r="AG120" i="41"/>
  <c r="AG79" i="41"/>
  <c r="AG64" i="41"/>
  <c r="Y86" i="41"/>
  <c r="AK26" i="41"/>
  <c r="AK46" i="41"/>
  <c r="AK62" i="41"/>
  <c r="AK76" i="41"/>
  <c r="T30" i="4"/>
  <c r="L41" i="57"/>
  <c r="P25" i="57"/>
  <c r="D67" i="57"/>
  <c r="Z122" i="4"/>
  <c r="AE60" i="41"/>
  <c r="AG53" i="41"/>
  <c r="T67" i="4"/>
  <c r="T47" i="4"/>
  <c r="T81" i="4"/>
  <c r="AF74" i="41"/>
  <c r="Y74" i="4"/>
  <c r="O62" i="57"/>
  <c r="O63" i="57"/>
  <c r="AF75" i="41"/>
  <c r="O64" i="57"/>
  <c r="AF76" i="41"/>
  <c r="Y76" i="4"/>
  <c r="T76" i="4" s="1"/>
  <c r="Y75" i="4"/>
  <c r="T75" i="4" s="1"/>
  <c r="Y78" i="4"/>
  <c r="T78" i="4" s="1"/>
  <c r="AF78" i="41"/>
  <c r="O65" i="57"/>
  <c r="O66" i="57"/>
  <c r="O56" i="57"/>
  <c r="O52" i="57"/>
  <c r="O48" i="57"/>
  <c r="Y42" i="4"/>
  <c r="T42" i="4" s="1"/>
  <c r="O36" i="57"/>
  <c r="O37" i="57"/>
  <c r="L37" i="57" s="1"/>
  <c r="O39" i="57"/>
  <c r="L39" i="57" s="1"/>
  <c r="AF44" i="41"/>
  <c r="O38" i="57"/>
  <c r="L38" i="57" s="1"/>
  <c r="O40" i="57"/>
  <c r="L40" i="57" s="1"/>
  <c r="O42" i="57"/>
  <c r="L42" i="57" s="1"/>
  <c r="Y40" i="4"/>
  <c r="AF43" i="41"/>
  <c r="AF26" i="41"/>
  <c r="O23" i="57"/>
  <c r="L23" i="57" s="1"/>
  <c r="O26" i="57"/>
  <c r="L26" i="57" s="1"/>
  <c r="O28" i="57"/>
  <c r="L28" i="57" s="1"/>
  <c r="O30" i="57"/>
  <c r="L30" i="57" s="1"/>
  <c r="AF35" i="41"/>
  <c r="AF28" i="41"/>
  <c r="AF27" i="41"/>
  <c r="Y26" i="4"/>
  <c r="T26" i="4" s="1"/>
  <c r="AF24" i="41"/>
  <c r="M13" i="57"/>
  <c r="AD14" i="41"/>
  <c r="AF122" i="38" l="1"/>
  <c r="AJ122" i="38"/>
  <c r="AI122" i="38"/>
  <c r="AE122" i="38"/>
  <c r="Z122" i="38"/>
  <c r="AE122" i="4"/>
  <c r="AA87" i="42"/>
  <c r="AA152" i="42" s="1"/>
  <c r="U87" i="4"/>
  <c r="U90" i="4" s="1"/>
  <c r="U122" i="4" s="1"/>
  <c r="U17" i="4"/>
  <c r="T14" i="4"/>
  <c r="W87" i="40"/>
  <c r="W153" i="40" s="1"/>
  <c r="AC87" i="40"/>
  <c r="AC153" i="40" s="1"/>
  <c r="W187" i="38"/>
  <c r="Y65" i="41"/>
  <c r="Y39" i="41"/>
  <c r="Y60" i="41"/>
  <c r="Y56" i="41"/>
  <c r="AB87" i="41"/>
  <c r="W19" i="41"/>
  <c r="W14" i="41"/>
  <c r="V67" i="41"/>
  <c r="T67" i="41" s="1"/>
  <c r="V102" i="41"/>
  <c r="V116" i="41"/>
  <c r="T116" i="41" s="1"/>
  <c r="R54" i="42"/>
  <c r="R126" i="42"/>
  <c r="R151" i="42" s="1"/>
  <c r="V87" i="40"/>
  <c r="V153" i="40" s="1"/>
  <c r="Z87" i="40"/>
  <c r="Z153" i="40" s="1"/>
  <c r="AD87" i="3"/>
  <c r="AD152" i="3" s="1"/>
  <c r="Y115" i="3"/>
  <c r="Y126" i="3" s="1"/>
  <c r="Y151" i="3" s="1"/>
  <c r="O84" i="42"/>
  <c r="P87" i="40"/>
  <c r="P153" i="40" s="1"/>
  <c r="AA87" i="3"/>
  <c r="AA152" i="3" s="1"/>
  <c r="AE69" i="41"/>
  <c r="N58" i="57"/>
  <c r="L58" i="57" s="1"/>
  <c r="E58" i="57" s="1"/>
  <c r="C58" i="57" s="1"/>
  <c r="N65" i="57"/>
  <c r="L65" i="57" s="1"/>
  <c r="E65" i="57" s="1"/>
  <c r="C65" i="57" s="1"/>
  <c r="AE77" i="41"/>
  <c r="N62" i="57"/>
  <c r="L62" i="57" s="1"/>
  <c r="E62" i="57" s="1"/>
  <c r="C62" i="57" s="1"/>
  <c r="AE74" i="41"/>
  <c r="N72" i="57"/>
  <c r="L72" i="57" s="1"/>
  <c r="E72" i="57" s="1"/>
  <c r="C72" i="57" s="1"/>
  <c r="AE85" i="41"/>
  <c r="N64" i="57"/>
  <c r="L64" i="57" s="1"/>
  <c r="E64" i="57" s="1"/>
  <c r="C64" i="57" s="1"/>
  <c r="AE76" i="41"/>
  <c r="AE84" i="41"/>
  <c r="N71" i="57"/>
  <c r="L71" i="57" s="1"/>
  <c r="E71" i="57" s="1"/>
  <c r="C71" i="57" s="1"/>
  <c r="AA65" i="38"/>
  <c r="AA87" i="38" s="1"/>
  <c r="AA90" i="38" s="1"/>
  <c r="N56" i="57"/>
  <c r="L56" i="57" s="1"/>
  <c r="AE66" i="41"/>
  <c r="AE70" i="41"/>
  <c r="N59" i="57"/>
  <c r="L59" i="57" s="1"/>
  <c r="E59" i="57" s="1"/>
  <c r="C59" i="57" s="1"/>
  <c r="N70" i="57"/>
  <c r="L70" i="57" s="1"/>
  <c r="E70" i="57" s="1"/>
  <c r="C70" i="57" s="1"/>
  <c r="AE83" i="41"/>
  <c r="AE82" i="41"/>
  <c r="N69" i="57"/>
  <c r="L69" i="57" s="1"/>
  <c r="E69" i="57" s="1"/>
  <c r="C69" i="57" s="1"/>
  <c r="N73" i="57"/>
  <c r="L73" i="57" s="1"/>
  <c r="E73" i="57" s="1"/>
  <c r="C73" i="57" s="1"/>
  <c r="AE86" i="41"/>
  <c r="Z87" i="3"/>
  <c r="X117" i="3"/>
  <c r="X115" i="3" s="1"/>
  <c r="X126" i="3" s="1"/>
  <c r="S153" i="40"/>
  <c r="R153" i="40"/>
  <c r="T87" i="40"/>
  <c r="T153" i="40" s="1"/>
  <c r="Q153" i="40"/>
  <c r="AA87" i="40"/>
  <c r="AA153" i="40" s="1"/>
  <c r="U87" i="40"/>
  <c r="U153" i="40" s="1"/>
  <c r="T54" i="42"/>
  <c r="T126" i="42"/>
  <c r="T151" i="42" s="1"/>
  <c r="Q84" i="42"/>
  <c r="AA122" i="4"/>
  <c r="T50" i="41"/>
  <c r="AC31" i="41"/>
  <c r="V31" i="41" s="1"/>
  <c r="T31" i="41" s="1"/>
  <c r="AC17" i="4"/>
  <c r="AC61" i="41"/>
  <c r="AC60" i="41" s="1"/>
  <c r="AC55" i="41"/>
  <c r="V55" i="41" s="1"/>
  <c r="T55" i="41" s="1"/>
  <c r="AC27" i="41"/>
  <c r="V27" i="41" s="1"/>
  <c r="T27" i="41" s="1"/>
  <c r="AC28" i="41"/>
  <c r="V28" i="41" s="1"/>
  <c r="T28" i="41" s="1"/>
  <c r="AC44" i="41"/>
  <c r="V44" i="41" s="1"/>
  <c r="T44" i="41" s="1"/>
  <c r="AC35" i="41"/>
  <c r="V35" i="41" s="1"/>
  <c r="AC71" i="41"/>
  <c r="V71" i="41" s="1"/>
  <c r="T71" i="41" s="1"/>
  <c r="AC21" i="41"/>
  <c r="V21" i="41" s="1"/>
  <c r="T21" i="41" s="1"/>
  <c r="AC104" i="41"/>
  <c r="V104" i="41" s="1"/>
  <c r="U104" i="41" s="1"/>
  <c r="T104" i="41" s="1"/>
  <c r="AC16" i="41"/>
  <c r="V16" i="41" s="1"/>
  <c r="T16" i="41" s="1"/>
  <c r="V30" i="41"/>
  <c r="T30" i="41" s="1"/>
  <c r="AC45" i="41"/>
  <c r="V45" i="41" s="1"/>
  <c r="T45" i="41" s="1"/>
  <c r="AC10" i="41"/>
  <c r="V10" i="41" s="1"/>
  <c r="T10" i="41" s="1"/>
  <c r="AF14" i="41"/>
  <c r="AC68" i="41"/>
  <c r="V68" i="41" s="1"/>
  <c r="T68" i="41" s="1"/>
  <c r="AC54" i="41"/>
  <c r="V54" i="41" s="1"/>
  <c r="T54" i="41" s="1"/>
  <c r="AC48" i="41"/>
  <c r="V48" i="41" s="1"/>
  <c r="T48" i="41" s="1"/>
  <c r="AC43" i="41"/>
  <c r="V43" i="41" s="1"/>
  <c r="T43" i="41" s="1"/>
  <c r="AC37" i="41"/>
  <c r="V37" i="41" s="1"/>
  <c r="T37" i="41" s="1"/>
  <c r="AC36" i="41"/>
  <c r="V36" i="41" s="1"/>
  <c r="T36" i="41" s="1"/>
  <c r="AC32" i="41"/>
  <c r="V32" i="41" s="1"/>
  <c r="T32" i="41" s="1"/>
  <c r="AC57" i="41"/>
  <c r="V57" i="41" s="1"/>
  <c r="AC53" i="41"/>
  <c r="V53" i="41" s="1"/>
  <c r="T53" i="41" s="1"/>
  <c r="AC23" i="41"/>
  <c r="V23" i="41" s="1"/>
  <c r="T23" i="41" s="1"/>
  <c r="AC26" i="41"/>
  <c r="V26" i="41" s="1"/>
  <c r="T26" i="41" s="1"/>
  <c r="AC40" i="41"/>
  <c r="V40" i="41" s="1"/>
  <c r="AC59" i="41"/>
  <c r="V59" i="41" s="1"/>
  <c r="T59" i="41" s="1"/>
  <c r="AC24" i="41"/>
  <c r="V24" i="41" s="1"/>
  <c r="T24" i="41" s="1"/>
  <c r="X87" i="40"/>
  <c r="X153" i="40" s="1"/>
  <c r="Q54" i="42"/>
  <c r="Y87" i="40"/>
  <c r="Y153" i="40" s="1"/>
  <c r="Z151" i="3"/>
  <c r="Z84" i="42"/>
  <c r="V126" i="42"/>
  <c r="V151" i="42" s="1"/>
  <c r="V84" i="42"/>
  <c r="Z126" i="42"/>
  <c r="Z151" i="42" s="1"/>
  <c r="X84" i="42"/>
  <c r="P84" i="42"/>
  <c r="P126" i="42"/>
  <c r="P151" i="42" s="1"/>
  <c r="W84" i="42"/>
  <c r="S84" i="42"/>
  <c r="Y54" i="42"/>
  <c r="Q152" i="3"/>
  <c r="U126" i="42"/>
  <c r="U151" i="42" s="1"/>
  <c r="Y126" i="42"/>
  <c r="Y151" i="42" s="1"/>
  <c r="S126" i="42"/>
  <c r="S151" i="42" s="1"/>
  <c r="P54" i="42"/>
  <c r="X126" i="42"/>
  <c r="X151" i="42" s="1"/>
  <c r="Z54" i="42"/>
  <c r="U84" i="42"/>
  <c r="O126" i="42"/>
  <c r="O151" i="42" s="1"/>
  <c r="R84" i="42"/>
  <c r="Q126" i="42"/>
  <c r="Q151" i="42" s="1"/>
  <c r="X54" i="42"/>
  <c r="U87" i="3"/>
  <c r="U152" i="3" s="1"/>
  <c r="Y87" i="3"/>
  <c r="Y84" i="42"/>
  <c r="O54" i="42"/>
  <c r="T84" i="42"/>
  <c r="S54" i="42"/>
  <c r="X148" i="3"/>
  <c r="W140" i="42"/>
  <c r="W148" i="42" s="1"/>
  <c r="X32" i="3"/>
  <c r="X54" i="3" s="1"/>
  <c r="X87" i="3" s="1"/>
  <c r="W34" i="42"/>
  <c r="W32" i="42" s="1"/>
  <c r="W54" i="42" s="1"/>
  <c r="X17" i="41"/>
  <c r="W17" i="41" s="1"/>
  <c r="V106" i="41"/>
  <c r="T49" i="41"/>
  <c r="V114" i="41"/>
  <c r="T114" i="41" s="1"/>
  <c r="AC20" i="41"/>
  <c r="AF19" i="41"/>
  <c r="Y39" i="38"/>
  <c r="AC87" i="38"/>
  <c r="D47" i="57"/>
  <c r="T56" i="38"/>
  <c r="AD90" i="38"/>
  <c r="AD122" i="38" s="1"/>
  <c r="AG87" i="38"/>
  <c r="AH90" i="38"/>
  <c r="T14" i="38"/>
  <c r="E99" i="57"/>
  <c r="T47" i="57"/>
  <c r="E50" i="57"/>
  <c r="C50" i="57" s="1"/>
  <c r="E12" i="57"/>
  <c r="C12" i="57" s="1"/>
  <c r="E89" i="57"/>
  <c r="T60" i="38"/>
  <c r="E20" i="57"/>
  <c r="C20" i="57" s="1"/>
  <c r="T17" i="38"/>
  <c r="T19" i="38"/>
  <c r="E60" i="57"/>
  <c r="C60" i="57" s="1"/>
  <c r="E53" i="57"/>
  <c r="C53" i="57" s="1"/>
  <c r="H47" i="57"/>
  <c r="AK56" i="41"/>
  <c r="T39" i="38"/>
  <c r="H51" i="57"/>
  <c r="E91" i="57"/>
  <c r="C91" i="57" s="1"/>
  <c r="E25" i="57"/>
  <c r="C25" i="57" s="1"/>
  <c r="D89" i="57"/>
  <c r="E49" i="57"/>
  <c r="C49" i="57" s="1"/>
  <c r="V118" i="41"/>
  <c r="T118" i="41" s="1"/>
  <c r="G101" i="57"/>
  <c r="P51" i="57"/>
  <c r="V100" i="41"/>
  <c r="U100" i="41" s="1"/>
  <c r="P55" i="57"/>
  <c r="E85" i="57"/>
  <c r="C85" i="57" s="1"/>
  <c r="H13" i="57"/>
  <c r="E45" i="57"/>
  <c r="C45" i="57" s="1"/>
  <c r="D13" i="57"/>
  <c r="D16" i="57" s="1"/>
  <c r="AD87" i="41"/>
  <c r="AD90" i="41" s="1"/>
  <c r="AD122" i="41" s="1"/>
  <c r="AD124" i="41" s="1"/>
  <c r="E87" i="57"/>
  <c r="C87" i="57" s="1"/>
  <c r="E10" i="57"/>
  <c r="C10" i="57" s="1"/>
  <c r="V58" i="41"/>
  <c r="T58" i="41" s="1"/>
  <c r="E22" i="57"/>
  <c r="C22" i="57" s="1"/>
  <c r="E93" i="57"/>
  <c r="C93" i="57" s="1"/>
  <c r="U87" i="38"/>
  <c r="V90" i="38"/>
  <c r="V62" i="41"/>
  <c r="T62" i="41" s="1"/>
  <c r="AK14" i="41"/>
  <c r="AK17" i="41" s="1"/>
  <c r="E44" i="57"/>
  <c r="C44" i="57" s="1"/>
  <c r="E15" i="57"/>
  <c r="C15" i="57" s="1"/>
  <c r="E32" i="57"/>
  <c r="C32" i="57" s="1"/>
  <c r="E97" i="57"/>
  <c r="C97" i="57" s="1"/>
  <c r="AB90" i="38"/>
  <c r="P18" i="57"/>
  <c r="V12" i="41"/>
  <c r="T12" i="41" s="1"/>
  <c r="V108" i="41"/>
  <c r="D35" i="57"/>
  <c r="E41" i="57"/>
  <c r="C41" i="57" s="1"/>
  <c r="E11" i="57"/>
  <c r="C11" i="57" s="1"/>
  <c r="E80" i="57"/>
  <c r="C80" i="57" s="1"/>
  <c r="E54" i="57"/>
  <c r="C54" i="57" s="1"/>
  <c r="H18" i="57"/>
  <c r="E37" i="57"/>
  <c r="C37" i="57" s="1"/>
  <c r="E23" i="57"/>
  <c r="C23" i="57" s="1"/>
  <c r="E33" i="57"/>
  <c r="C33" i="57" s="1"/>
  <c r="K74" i="57"/>
  <c r="K77" i="57" s="1"/>
  <c r="K101" i="57" s="1"/>
  <c r="V47" i="41"/>
  <c r="T47" i="41" s="1"/>
  <c r="E43" i="57"/>
  <c r="C43" i="57" s="1"/>
  <c r="E95" i="57"/>
  <c r="C95" i="57" s="1"/>
  <c r="O13" i="57"/>
  <c r="L13" i="57" s="1"/>
  <c r="AF39" i="41"/>
  <c r="V93" i="41"/>
  <c r="T93" i="41" s="1"/>
  <c r="V22" i="41"/>
  <c r="T22" i="41" s="1"/>
  <c r="E82" i="57"/>
  <c r="C82" i="57" s="1"/>
  <c r="V13" i="41"/>
  <c r="T13" i="41" s="1"/>
  <c r="D51" i="57"/>
  <c r="D55" i="57"/>
  <c r="AG60" i="41"/>
  <c r="Y19" i="41"/>
  <c r="AK39" i="41"/>
  <c r="AG87" i="4"/>
  <c r="AG90" i="4" s="1"/>
  <c r="AG122" i="4" s="1"/>
  <c r="D18" i="57"/>
  <c r="V74" i="57"/>
  <c r="V77" i="57" s="1"/>
  <c r="V101" i="57" s="1"/>
  <c r="T51" i="57"/>
  <c r="E29" i="57"/>
  <c r="C29" i="57" s="1"/>
  <c r="E31" i="57"/>
  <c r="C31" i="57" s="1"/>
  <c r="AK60" i="41"/>
  <c r="AJ87" i="41"/>
  <c r="AJ90" i="41" s="1"/>
  <c r="AJ122" i="41" s="1"/>
  <c r="AJ124" i="41" s="1"/>
  <c r="E24" i="57"/>
  <c r="C24" i="57" s="1"/>
  <c r="E42" i="57"/>
  <c r="C42" i="57" s="1"/>
  <c r="R74" i="57"/>
  <c r="R77" i="57" s="1"/>
  <c r="R101" i="57" s="1"/>
  <c r="P47" i="57"/>
  <c r="AN87" i="41"/>
  <c r="AN90" i="41" s="1"/>
  <c r="AN122" i="41" s="1"/>
  <c r="AN124" i="41" s="1"/>
  <c r="V95" i="41"/>
  <c r="T95" i="41" s="1"/>
  <c r="T18" i="57"/>
  <c r="V15" i="41"/>
  <c r="T15" i="41" s="1"/>
  <c r="AG14" i="41"/>
  <c r="AG17" i="41" s="1"/>
  <c r="E38" i="57"/>
  <c r="C38" i="57" s="1"/>
  <c r="V120" i="41"/>
  <c r="J74" i="57"/>
  <c r="J77" i="57" s="1"/>
  <c r="J101" i="57" s="1"/>
  <c r="E46" i="57"/>
  <c r="C46" i="57" s="1"/>
  <c r="Y19" i="4"/>
  <c r="E14" i="57"/>
  <c r="C14" i="57" s="1"/>
  <c r="E27" i="57"/>
  <c r="C27" i="57" s="1"/>
  <c r="V46" i="41"/>
  <c r="T46" i="41" s="1"/>
  <c r="T55" i="57"/>
  <c r="E28" i="57"/>
  <c r="C28" i="57" s="1"/>
  <c r="T35" i="57"/>
  <c r="V98" i="41"/>
  <c r="T98" i="41" s="1"/>
  <c r="AL87" i="41"/>
  <c r="AL90" i="41" s="1"/>
  <c r="AL122" i="41" s="1"/>
  <c r="AL124" i="41" s="1"/>
  <c r="AD90" i="4"/>
  <c r="AD122" i="4" s="1"/>
  <c r="AC87" i="4"/>
  <c r="AC90" i="4" s="1"/>
  <c r="AC122" i="4" s="1"/>
  <c r="F55" i="57"/>
  <c r="U74" i="57"/>
  <c r="F74" i="57" s="1"/>
  <c r="AG65" i="41"/>
  <c r="AH87" i="41"/>
  <c r="AA17" i="41"/>
  <c r="Y14" i="41"/>
  <c r="Y17" i="41" s="1"/>
  <c r="T56" i="4"/>
  <c r="AK65" i="41"/>
  <c r="T19" i="4"/>
  <c r="AG19" i="41"/>
  <c r="V64" i="41"/>
  <c r="T64" i="41" s="1"/>
  <c r="AG39" i="41"/>
  <c r="Y56" i="4"/>
  <c r="S74" i="57"/>
  <c r="S77" i="57" s="1"/>
  <c r="S101" i="57" s="1"/>
  <c r="M74" i="57"/>
  <c r="M77" i="57" s="1"/>
  <c r="M101" i="57" s="1"/>
  <c r="V29" i="41"/>
  <c r="T29" i="41" s="1"/>
  <c r="H35" i="57"/>
  <c r="AF56" i="41"/>
  <c r="P13" i="57"/>
  <c r="P16" i="57" s="1"/>
  <c r="E40" i="57"/>
  <c r="C40" i="57" s="1"/>
  <c r="AK19" i="41"/>
  <c r="AM87" i="41"/>
  <c r="AM90" i="41" s="1"/>
  <c r="AM122" i="41" s="1"/>
  <c r="AM124" i="41" s="1"/>
  <c r="E30" i="57"/>
  <c r="C30" i="57" s="1"/>
  <c r="AF60" i="41"/>
  <c r="AF65" i="41"/>
  <c r="Q74" i="57"/>
  <c r="Q77" i="57" s="1"/>
  <c r="Q101" i="57" s="1"/>
  <c r="Y60" i="4"/>
  <c r="T61" i="4"/>
  <c r="T60" i="4" s="1"/>
  <c r="V42" i="41"/>
  <c r="T42" i="41" s="1"/>
  <c r="E21" i="57"/>
  <c r="C21" i="57" s="1"/>
  <c r="AA87" i="41"/>
  <c r="AA90" i="41" s="1"/>
  <c r="AA122" i="41" s="1"/>
  <c r="AA124" i="41" s="1"/>
  <c r="Y14" i="4"/>
  <c r="S16" i="57"/>
  <c r="AG56" i="41"/>
  <c r="H55" i="57"/>
  <c r="I74" i="57"/>
  <c r="P35" i="57"/>
  <c r="Z87" i="41"/>
  <c r="H16" i="57"/>
  <c r="E26" i="57"/>
  <c r="C26" i="57" s="1"/>
  <c r="E39" i="57"/>
  <c r="C39" i="57" s="1"/>
  <c r="AE17" i="41"/>
  <c r="R16" i="57"/>
  <c r="T13" i="57"/>
  <c r="T16" i="57" s="1"/>
  <c r="F13" i="57"/>
  <c r="U16" i="57"/>
  <c r="AI87" i="41"/>
  <c r="AI90" i="41" s="1"/>
  <c r="AI122" i="41" s="1"/>
  <c r="AI124" i="41" s="1"/>
  <c r="W74" i="57"/>
  <c r="W77" i="57" s="1"/>
  <c r="W101" i="57" s="1"/>
  <c r="E57" i="57"/>
  <c r="C57" i="57" s="1"/>
  <c r="T74" i="4"/>
  <c r="T65" i="4" s="1"/>
  <c r="Y65" i="4"/>
  <c r="O55" i="57"/>
  <c r="L52" i="57"/>
  <c r="O51" i="57"/>
  <c r="L48" i="57"/>
  <c r="O47" i="57"/>
  <c r="Y39" i="4"/>
  <c r="T40" i="4"/>
  <c r="T39" i="4" s="1"/>
  <c r="L36" i="57"/>
  <c r="O35" i="57"/>
  <c r="E19" i="57"/>
  <c r="L18" i="57"/>
  <c r="O18" i="57"/>
  <c r="AD17" i="41"/>
  <c r="M16" i="57"/>
  <c r="AG90" i="38" l="1"/>
  <c r="AG122" i="38" s="1"/>
  <c r="AH122" i="38"/>
  <c r="AB122" i="38"/>
  <c r="AA122" i="38"/>
  <c r="V122" i="38"/>
  <c r="T17" i="4"/>
  <c r="Y87" i="41"/>
  <c r="AB90" i="41"/>
  <c r="AB122" i="41" s="1"/>
  <c r="AB124" i="41" s="1"/>
  <c r="AC70" i="41"/>
  <c r="V70" i="41" s="1"/>
  <c r="T70" i="41" s="1"/>
  <c r="AC85" i="41"/>
  <c r="V85" i="41" s="1"/>
  <c r="AC86" i="41"/>
  <c r="V86" i="41" s="1"/>
  <c r="T86" i="41" s="1"/>
  <c r="AC77" i="41"/>
  <c r="V77" i="41" s="1"/>
  <c r="T77" i="41" s="1"/>
  <c r="T35" i="41"/>
  <c r="Y87" i="38"/>
  <c r="O87" i="42"/>
  <c r="O152" i="42" s="1"/>
  <c r="W117" i="42"/>
  <c r="AC76" i="41"/>
  <c r="V76" i="41" s="1"/>
  <c r="AC74" i="41"/>
  <c r="V74" i="41" s="1"/>
  <c r="T74" i="41" s="1"/>
  <c r="AC82" i="41"/>
  <c r="V82" i="41" s="1"/>
  <c r="T82" i="41" s="1"/>
  <c r="AC83" i="41"/>
  <c r="V83" i="41" s="1"/>
  <c r="T83" i="41" s="1"/>
  <c r="AC84" i="41"/>
  <c r="V84" i="41" s="1"/>
  <c r="T84" i="41" s="1"/>
  <c r="AC69" i="41"/>
  <c r="V69" i="41" s="1"/>
  <c r="T69" i="41" s="1"/>
  <c r="AC66" i="41"/>
  <c r="V66" i="41" s="1"/>
  <c r="T66" i="41" s="1"/>
  <c r="Z152" i="3"/>
  <c r="P87" i="42"/>
  <c r="P152" i="42" s="1"/>
  <c r="X87" i="42"/>
  <c r="X152" i="42" s="1"/>
  <c r="Z87" i="42"/>
  <c r="Z152" i="42" s="1"/>
  <c r="Q87" i="42"/>
  <c r="Q152" i="42" s="1"/>
  <c r="U108" i="41"/>
  <c r="T108" i="41" s="1"/>
  <c r="U106" i="41"/>
  <c r="T106" i="41" s="1"/>
  <c r="V61" i="41"/>
  <c r="T61" i="41" s="1"/>
  <c r="AC19" i="41"/>
  <c r="AC39" i="41"/>
  <c r="T100" i="41"/>
  <c r="AC56" i="41"/>
  <c r="AF17" i="41"/>
  <c r="V20" i="41"/>
  <c r="T20" i="41" s="1"/>
  <c r="W87" i="42"/>
  <c r="S87" i="42"/>
  <c r="S152" i="42" s="1"/>
  <c r="Y87" i="42"/>
  <c r="Y152" i="42" s="1"/>
  <c r="R87" i="42"/>
  <c r="R152" i="42" s="1"/>
  <c r="T87" i="42"/>
  <c r="T152" i="42" s="1"/>
  <c r="Y152" i="3"/>
  <c r="X151" i="3"/>
  <c r="X152" i="3" s="1"/>
  <c r="V34" i="42"/>
  <c r="V32" i="42" s="1"/>
  <c r="V54" i="42" s="1"/>
  <c r="V87" i="42" s="1"/>
  <c r="V152" i="42" s="1"/>
  <c r="W32" i="3"/>
  <c r="W54" i="3" s="1"/>
  <c r="W87" i="3" s="1"/>
  <c r="W152" i="3" s="1"/>
  <c r="X56" i="41"/>
  <c r="W56" i="41" s="1"/>
  <c r="Y87" i="4"/>
  <c r="Y90" i="4" s="1"/>
  <c r="Y122" i="4" s="1"/>
  <c r="AC90" i="38"/>
  <c r="AC122" i="38" s="1"/>
  <c r="C89" i="57"/>
  <c r="D74" i="57"/>
  <c r="O16" i="57"/>
  <c r="U90" i="38"/>
  <c r="U122" i="38" s="1"/>
  <c r="T74" i="57"/>
  <c r="T77" i="57" s="1"/>
  <c r="T101" i="57" s="1"/>
  <c r="AC14" i="41"/>
  <c r="AC17" i="41" s="1"/>
  <c r="Y90" i="38"/>
  <c r="Y122" i="38" s="1"/>
  <c r="P74" i="57"/>
  <c r="P77" i="57" s="1"/>
  <c r="P101" i="57" s="1"/>
  <c r="AG87" i="41"/>
  <c r="AG90" i="41" s="1"/>
  <c r="AG122" i="41" s="1"/>
  <c r="AH90" i="41"/>
  <c r="AH122" i="41" s="1"/>
  <c r="AH124" i="41" s="1"/>
  <c r="T87" i="4"/>
  <c r="T90" i="4" s="1"/>
  <c r="T122" i="4" s="1"/>
  <c r="Z90" i="41"/>
  <c r="Z122" i="41" s="1"/>
  <c r="Z124" i="41" s="1"/>
  <c r="F16" i="57"/>
  <c r="U77" i="57"/>
  <c r="H74" i="57"/>
  <c r="I77" i="57"/>
  <c r="AF87" i="41"/>
  <c r="D77" i="57"/>
  <c r="D101" i="57"/>
  <c r="AK87" i="41"/>
  <c r="AK90" i="41" s="1"/>
  <c r="AK122" i="41" s="1"/>
  <c r="E56" i="57"/>
  <c r="L51" i="57"/>
  <c r="E52" i="57"/>
  <c r="V56" i="41"/>
  <c r="T56" i="41" s="1"/>
  <c r="T57" i="41"/>
  <c r="L47" i="57"/>
  <c r="E48" i="57"/>
  <c r="T40" i="41"/>
  <c r="V39" i="41"/>
  <c r="O74" i="57"/>
  <c r="O77" i="57" s="1"/>
  <c r="O101" i="57" s="1"/>
  <c r="E36" i="57"/>
  <c r="L35" i="57"/>
  <c r="C19" i="57"/>
  <c r="E18" i="57"/>
  <c r="L16" i="57"/>
  <c r="E13" i="57"/>
  <c r="U102" i="41" l="1"/>
  <c r="U122" i="41" s="1"/>
  <c r="W115" i="42"/>
  <c r="W126" i="42" s="1"/>
  <c r="W151" i="42" s="1"/>
  <c r="W152" i="42" s="1"/>
  <c r="V60" i="41"/>
  <c r="T60" i="41" s="1"/>
  <c r="V19" i="41"/>
  <c r="AF90" i="41"/>
  <c r="AF122" i="41" s="1"/>
  <c r="AF124" i="41" s="1"/>
  <c r="U34" i="42"/>
  <c r="U32" i="42" s="1"/>
  <c r="U54" i="42" s="1"/>
  <c r="U87" i="42" s="1"/>
  <c r="U152" i="42" s="1"/>
  <c r="V32" i="3"/>
  <c r="V54" i="3" s="1"/>
  <c r="V87" i="3" s="1"/>
  <c r="T39" i="41"/>
  <c r="V14" i="41"/>
  <c r="T14" i="41" s="1"/>
  <c r="I101" i="57"/>
  <c r="H77" i="57"/>
  <c r="H101" i="57" s="1"/>
  <c r="F77" i="57"/>
  <c r="U101" i="57"/>
  <c r="F101" i="57" s="1"/>
  <c r="Y90" i="41"/>
  <c r="Y122" i="41" s="1"/>
  <c r="C56" i="57"/>
  <c r="C52" i="57"/>
  <c r="E51" i="57"/>
  <c r="C51" i="57" s="1"/>
  <c r="E47" i="57"/>
  <c r="C47" i="57" s="1"/>
  <c r="C48" i="57"/>
  <c r="C36" i="57"/>
  <c r="E35" i="57"/>
  <c r="C35" i="57" s="1"/>
  <c r="C18" i="57"/>
  <c r="C13" i="57"/>
  <c r="E16" i="57"/>
  <c r="C16" i="57" s="1"/>
  <c r="T102" i="41" l="1"/>
  <c r="T19" i="41"/>
  <c r="V152" i="3"/>
  <c r="V17" i="41"/>
  <c r="T17" i="41" s="1"/>
  <c r="X65" i="41" l="1"/>
  <c r="T76" i="41"/>
  <c r="T85" i="41"/>
  <c r="X87" i="41" l="1"/>
  <c r="W87" i="41" s="1"/>
  <c r="W65" i="41"/>
  <c r="X90" i="41" l="1"/>
  <c r="N67" i="57"/>
  <c r="L67" i="57" s="1"/>
  <c r="E67" i="57" s="1"/>
  <c r="C67" i="57" s="1"/>
  <c r="N61" i="57"/>
  <c r="N68" i="57"/>
  <c r="L68" i="57" s="1"/>
  <c r="E68" i="57" s="1"/>
  <c r="C68" i="57" s="1"/>
  <c r="N63" i="57"/>
  <c r="L63" i="57" s="1"/>
  <c r="E63" i="57" s="1"/>
  <c r="C63" i="57" s="1"/>
  <c r="N66" i="57"/>
  <c r="L66" i="57" s="1"/>
  <c r="E66" i="57" s="1"/>
  <c r="C66" i="57" s="1"/>
  <c r="Y78" i="38"/>
  <c r="T78" i="38" s="1"/>
  <c r="AE78" i="41"/>
  <c r="Y79" i="38"/>
  <c r="T79" i="38" s="1"/>
  <c r="AE79" i="41"/>
  <c r="Y80" i="38"/>
  <c r="T80" i="38" s="1"/>
  <c r="AE80" i="41"/>
  <c r="Y73" i="38"/>
  <c r="T73" i="38" s="1"/>
  <c r="AE73" i="41"/>
  <c r="Y81" i="38"/>
  <c r="T81" i="38" s="1"/>
  <c r="AE81" i="41"/>
  <c r="AC81" i="41" s="1"/>
  <c r="V81" i="41" s="1"/>
  <c r="T81" i="41" s="1"/>
  <c r="Y75" i="38"/>
  <c r="T75" i="38" s="1"/>
  <c r="AE75" i="41"/>
  <c r="AC75" i="41" s="1"/>
  <c r="V75" i="41" s="1"/>
  <c r="T75" i="41" s="1"/>
  <c r="AC78" i="41" l="1"/>
  <c r="V78" i="41" s="1"/>
  <c r="T78" i="41" s="1"/>
  <c r="AC80" i="41"/>
  <c r="V80" i="41" s="1"/>
  <c r="T80" i="41" s="1"/>
  <c r="AC79" i="41"/>
  <c r="V79" i="41" s="1"/>
  <c r="T79" i="41" s="1"/>
  <c r="N55" i="57"/>
  <c r="N74" i="57" s="1"/>
  <c r="N77" i="57" s="1"/>
  <c r="N101" i="57" s="1"/>
  <c r="AE65" i="41"/>
  <c r="L61" i="57"/>
  <c r="T65" i="38"/>
  <c r="T87" i="38" s="1"/>
  <c r="T90" i="38" s="1"/>
  <c r="T122" i="38" s="1"/>
  <c r="Y65" i="38"/>
  <c r="AC73" i="41"/>
  <c r="AE87" i="41" l="1"/>
  <c r="AE90" i="41" s="1"/>
  <c r="AE122" i="41" s="1"/>
  <c r="AE124" i="41" s="1"/>
  <c r="AC65" i="41"/>
  <c r="AC87" i="41" s="1"/>
  <c r="AC90" i="41" s="1"/>
  <c r="AC122" i="41" s="1"/>
  <c r="V73" i="41"/>
  <c r="L55" i="57"/>
  <c r="L74" i="57" s="1"/>
  <c r="L77" i="57" s="1"/>
  <c r="E61" i="57"/>
  <c r="L101" i="57" l="1"/>
  <c r="E77" i="57"/>
  <c r="W90" i="41"/>
  <c r="V65" i="41"/>
  <c r="V87" i="41" s="1"/>
  <c r="T73" i="41"/>
  <c r="E55" i="57"/>
  <c r="C61" i="57"/>
  <c r="V90" i="41"/>
  <c r="V122" i="41" s="1"/>
  <c r="C55" i="57" l="1"/>
  <c r="E74" i="57"/>
  <c r="C74" i="57" s="1"/>
  <c r="T65" i="41"/>
  <c r="T87" i="41"/>
  <c r="T122" i="41"/>
  <c r="T90" i="41"/>
  <c r="C77" i="57"/>
  <c r="E101" i="57"/>
  <c r="C101" i="57" s="1"/>
  <c r="W116" i="41"/>
  <c r="W114" i="41"/>
  <c r="X122" i="41"/>
  <c r="W122" i="41" s="1"/>
</calcChain>
</file>

<file path=xl/sharedStrings.xml><?xml version="1.0" encoding="utf-8"?>
<sst xmlns="http://schemas.openxmlformats.org/spreadsheetml/2006/main" count="1853" uniqueCount="631">
  <si>
    <t>INCOME STATEMENT (KSA SAR)</t>
  </si>
  <si>
    <t>YTD</t>
  </si>
  <si>
    <t>Q4</t>
  </si>
  <si>
    <t>MTD</t>
  </si>
  <si>
    <t>Q3</t>
  </si>
  <si>
    <t>Q2</t>
  </si>
  <si>
    <t>Q1</t>
  </si>
  <si>
    <t>2025</t>
  </si>
  <si>
    <t>Sales</t>
  </si>
  <si>
    <t>Sales Discount</t>
  </si>
  <si>
    <t>Cost of Goods Sold</t>
  </si>
  <si>
    <t>Purchase Discounts</t>
  </si>
  <si>
    <t>Gross Profit / (Loss)</t>
  </si>
  <si>
    <t>Other Income</t>
  </si>
  <si>
    <t>Consultation Income</t>
  </si>
  <si>
    <t>Gross Income</t>
  </si>
  <si>
    <t>General and Administrative Expenses</t>
  </si>
  <si>
    <t>Bad Debt</t>
  </si>
  <si>
    <t>Bank Fees and Charges</t>
  </si>
  <si>
    <t>Office Supplies</t>
  </si>
  <si>
    <t>Office Utilities - Electricity/Water/Janitorial</t>
  </si>
  <si>
    <t>Office Expenses</t>
  </si>
  <si>
    <t>Travel Expense</t>
  </si>
  <si>
    <t>Printing and Stationery</t>
  </si>
  <si>
    <t>Rent Expense (G&amp;A)</t>
  </si>
  <si>
    <t>Meals and Entertainment</t>
  </si>
  <si>
    <t>Audit &amp; Consultancy expense</t>
  </si>
  <si>
    <t>Communication Exp - Mobile &amp; Internet</t>
  </si>
  <si>
    <t>Subscriptions &amp; Memberships</t>
  </si>
  <si>
    <t>Penny Difference</t>
  </si>
  <si>
    <t>Low Value Assets</t>
  </si>
  <si>
    <t>Charity</t>
  </si>
  <si>
    <t>Witholding Tax</t>
  </si>
  <si>
    <t>Selling Expenses</t>
  </si>
  <si>
    <t>Business travel expenses</t>
  </si>
  <si>
    <t>Collection Commission</t>
  </si>
  <si>
    <t>Dinar commission</t>
  </si>
  <si>
    <t>New customer commission</t>
  </si>
  <si>
    <t>New Approved client Commission (SDA)</t>
  </si>
  <si>
    <t>Sales Commission-Employee</t>
  </si>
  <si>
    <t>Cash Purchase - Backend Margin</t>
  </si>
  <si>
    <t>Cash Sale Commission</t>
  </si>
  <si>
    <t>Fuel/Mileage Expenses</t>
  </si>
  <si>
    <t>Marketing &amp; Advertising</t>
  </si>
  <si>
    <t>Trade Credit Insurance</t>
  </si>
  <si>
    <t>Legal &amp; Consultation Expenses</t>
  </si>
  <si>
    <t>Consultant Expense</t>
  </si>
  <si>
    <t>Government &amp; Compliance Expense</t>
  </si>
  <si>
    <t>Legal</t>
  </si>
  <si>
    <t>Depreciation Expenses</t>
  </si>
  <si>
    <t>Depreciation - Furniture &amp; Fixture</t>
  </si>
  <si>
    <t>Depreciation - Motor Vehicle</t>
  </si>
  <si>
    <t>Depreciation - Office Equipment's</t>
  </si>
  <si>
    <t>Personnel Expenses</t>
  </si>
  <si>
    <t>Employee Insurance</t>
  </si>
  <si>
    <t>Leave Air Fare Expense</t>
  </si>
  <si>
    <t>Leave Pay Expense</t>
  </si>
  <si>
    <t>Employee Referral Allowance</t>
  </si>
  <si>
    <t>Maintenance Allowance</t>
  </si>
  <si>
    <t>Per Diem Allowance</t>
  </si>
  <si>
    <t>Employee Related Govt Fees</t>
  </si>
  <si>
    <t>Telecome Allowance</t>
  </si>
  <si>
    <t>US Employer Taxes</t>
  </si>
  <si>
    <t>GOSI</t>
  </si>
  <si>
    <t>HUMAN RESOUACES DEVELOPMENT FUND</t>
  </si>
  <si>
    <t>Recruitments &amp; Visas</t>
  </si>
  <si>
    <t>Bonus</t>
  </si>
  <si>
    <t>Salaries - Basic</t>
  </si>
  <si>
    <t>Salaries - Housing</t>
  </si>
  <si>
    <t>Salaries - Others</t>
  </si>
  <si>
    <t>Salaries - Transportation</t>
  </si>
  <si>
    <t>End Of Service Benefits</t>
  </si>
  <si>
    <t>Staff Education/Growth Allowance</t>
  </si>
  <si>
    <t>Operating expenses</t>
  </si>
  <si>
    <t>Net operating profit / (loss)</t>
  </si>
  <si>
    <t>Exchange Gain or Loss</t>
  </si>
  <si>
    <t>Gain Or Loss on Disposal</t>
  </si>
  <si>
    <t>Investor's Profit sharing (Unrealized)</t>
  </si>
  <si>
    <t>Financing expense (Al-Raeda)</t>
  </si>
  <si>
    <t>Financing expense (Arbah)</t>
  </si>
  <si>
    <t>Financing expense (STV)</t>
  </si>
  <si>
    <t>Financing Expense (Anas Ibrahim Al Hozaimi)</t>
  </si>
  <si>
    <t>Financing Processing Fee Expense</t>
  </si>
  <si>
    <t>Fundraising Expense</t>
  </si>
  <si>
    <t>Non-operating Income/(Expenses)</t>
  </si>
  <si>
    <t>Zakat / Income Tax</t>
  </si>
  <si>
    <t>Net income / (loss)</t>
  </si>
  <si>
    <t>STATEMENT OF FINANCIAL POSITION (KSA SAR)</t>
  </si>
  <si>
    <t>ASSETS</t>
  </si>
  <si>
    <t>Cash and Bank Balances</t>
  </si>
  <si>
    <t>ALINMA BILDNW FEE</t>
  </si>
  <si>
    <t>ALINMA BILDNW PROFIT</t>
  </si>
  <si>
    <t>ALINMA CLIENT PROFIT  </t>
  </si>
  <si>
    <t>ALINMA DINAR DEALs PROFIT</t>
  </si>
  <si>
    <t>ALINMA DINAR DEALs VAT</t>
  </si>
  <si>
    <t>ALINMA EQUITY</t>
  </si>
  <si>
    <t>ALINMA USD</t>
  </si>
  <si>
    <t>ALINMA VAT</t>
  </si>
  <si>
    <t>ALINMA-DEBT</t>
  </si>
  <si>
    <t>ANB-BILDNW TRADINGCOMPANY</t>
  </si>
  <si>
    <t>Riyadh Bank</t>
  </si>
  <si>
    <t>US Checking Account</t>
  </si>
  <si>
    <t>anb - Tanmeya Debt Acct</t>
  </si>
  <si>
    <t>Simplifi</t>
  </si>
  <si>
    <t>SiFi Wallet</t>
  </si>
  <si>
    <t>Petty Cash</t>
  </si>
  <si>
    <t>Control/ Adjustment</t>
  </si>
  <si>
    <t>Trade Receivables (net)</t>
  </si>
  <si>
    <t>Trade Receivables - Gross</t>
  </si>
  <si>
    <t>Closing Provision for doubtful Accounts</t>
  </si>
  <si>
    <t>Prepaid Expenses &amp; Other recievables</t>
  </si>
  <si>
    <t>Prepaid Vendors</t>
  </si>
  <si>
    <t>Prepaid Accommodation Rent Expense</t>
  </si>
  <si>
    <t>Prepaid Financing Expense</t>
  </si>
  <si>
    <t>Prepaid Govt. Legal Expense</t>
  </si>
  <si>
    <t>Prepaid IT Subscriptions Expense</t>
  </si>
  <si>
    <t>Prepaid Office Rent Expense</t>
  </si>
  <si>
    <t>Prepaid Other Expense</t>
  </si>
  <si>
    <t>Fund Raising Expense receivable</t>
  </si>
  <si>
    <t>Employee Receivable</t>
  </si>
  <si>
    <t>Security deposits</t>
  </si>
  <si>
    <t>Advance to Other Vendors</t>
  </si>
  <si>
    <t>Other Receivables</t>
  </si>
  <si>
    <t>Input VAT</t>
  </si>
  <si>
    <t>Profit Reserve Account (Deposit)</t>
  </si>
  <si>
    <t>Short-term Investments</t>
  </si>
  <si>
    <t>TOTAL CURRENT ASSETS</t>
  </si>
  <si>
    <t>Fixed Assets (net)</t>
  </si>
  <si>
    <t>Accumulated Depreciation -  Furniture &amp; Fixture</t>
  </si>
  <si>
    <t>Accumulated Depreciation - Motor Vehicle</t>
  </si>
  <si>
    <t>Accumulated Depreciation - Office Equipment's</t>
  </si>
  <si>
    <t>Fixed Asset not yet in use</t>
  </si>
  <si>
    <t>Furniture &amp; Fixture</t>
  </si>
  <si>
    <t>Motor Vehicle</t>
  </si>
  <si>
    <t>Intangible Assets</t>
  </si>
  <si>
    <t>Office Equipment</t>
  </si>
  <si>
    <t>Capital Work in Progress (Tangible)</t>
  </si>
  <si>
    <t>Capital Work in Progress (Intangible)</t>
  </si>
  <si>
    <t>Intercompany Receivable</t>
  </si>
  <si>
    <t>Buildnow Inc. (US)</t>
  </si>
  <si>
    <t>Buildnow Tech BD</t>
  </si>
  <si>
    <t>Buildnow Trading Co (KSA)</t>
  </si>
  <si>
    <t>MISA KSA</t>
  </si>
  <si>
    <t>Buildnow UK</t>
  </si>
  <si>
    <t>Investment in Subsidiaries</t>
  </si>
  <si>
    <t>Buildnow BD Technology Subsidiary</t>
  </si>
  <si>
    <t>TOTAL NON CURRENT ASSETS</t>
  </si>
  <si>
    <t>TOTAL ASSETS</t>
  </si>
  <si>
    <t>LIABILITIES &amp; OWNER'S EQUITY</t>
  </si>
  <si>
    <t>Other Payables and Accruals</t>
  </si>
  <si>
    <t>Zakat Provision</t>
  </si>
  <si>
    <t>Misc. Payables</t>
  </si>
  <si>
    <t>Consultancy Fee Payable</t>
  </si>
  <si>
    <t>Other Payables</t>
  </si>
  <si>
    <t>Unearned Revenue</t>
  </si>
  <si>
    <t>Employee Payable</t>
  </si>
  <si>
    <t>Employee Allowance Payable</t>
  </si>
  <si>
    <t>Accounts Payable</t>
  </si>
  <si>
    <t>Accrued Expenses</t>
  </si>
  <si>
    <t>VAT Payable (GAZT)</t>
  </si>
  <si>
    <t>Accrued Investor Profit</t>
  </si>
  <si>
    <t>Accrued Investor Profit (Unrealized)</t>
  </si>
  <si>
    <t>Leave Pay Payable</t>
  </si>
  <si>
    <t>Salary Control Account</t>
  </si>
  <si>
    <t>Accrued COGS</t>
  </si>
  <si>
    <t>Output VAT</t>
  </si>
  <si>
    <t>GOSI Payable</t>
  </si>
  <si>
    <t>Deferred Revenue</t>
  </si>
  <si>
    <t>Dividend Payable (Investor)</t>
  </si>
  <si>
    <t>Debt Settlement Payable</t>
  </si>
  <si>
    <t>Short term Financing</t>
  </si>
  <si>
    <t>Interest payable (Al-Raeda)</t>
  </si>
  <si>
    <t>Short-term Financing (Al Raedah)</t>
  </si>
  <si>
    <t>Arbah Murabaha Facility</t>
  </si>
  <si>
    <t>Profit Payable (Anas Ibrahim Al Hozaimi)</t>
  </si>
  <si>
    <t>TOTAL CURRENT LIABILITIES</t>
  </si>
  <si>
    <t xml:space="preserve"> </t>
  </si>
  <si>
    <t>Related parties Loan (Family)</t>
  </si>
  <si>
    <t>External Debt Investor</t>
  </si>
  <si>
    <t>End of Service Indemnity</t>
  </si>
  <si>
    <t>TOTAL LONG-TERM LIABILITIES</t>
  </si>
  <si>
    <t>Equity Financing</t>
  </si>
  <si>
    <t>Contribution from Owners</t>
  </si>
  <si>
    <t>Statutory Reserve</t>
  </si>
  <si>
    <t>Profit &amp; Loss for the period</t>
  </si>
  <si>
    <t>Retained Earnings/(Accumulated Losses)</t>
  </si>
  <si>
    <t>TOTAL OWNER'S EQUITY</t>
  </si>
  <si>
    <t>TOTAL LIABILITIES &amp; EQUITY</t>
  </si>
  <si>
    <t>INCOME STATEMENT (US SAR)</t>
  </si>
  <si>
    <t>Short term financing expense (Al-Raeda)</t>
  </si>
  <si>
    <t>STATEMENT OF FINANCIAL POSITION (US SAR)</t>
  </si>
  <si>
    <t xml:space="preserve"> ALINMA BILDNW FEE</t>
  </si>
  <si>
    <t xml:space="preserve"> ALINMA BILDNW PROFIT</t>
  </si>
  <si>
    <t xml:space="preserve"> ALINMA CLIENT PROFIT  </t>
  </si>
  <si>
    <t>Riyad Bank</t>
  </si>
  <si>
    <t>ANB Tanmeya Debt A/C</t>
  </si>
  <si>
    <t>Other Receivable</t>
  </si>
  <si>
    <t>Profit Reserve Account (Depsoit)</t>
  </si>
  <si>
    <t>Fixed Assets not in use</t>
  </si>
  <si>
    <t xml:space="preserve">Intercompany </t>
  </si>
  <si>
    <t xml:space="preserve"> Related parties (Family)</t>
  </si>
  <si>
    <t>YTD-Variance</t>
  </si>
  <si>
    <t>YTD-Projected</t>
  </si>
  <si>
    <t>YTD-Actual</t>
  </si>
  <si>
    <t>MTD Variance</t>
  </si>
  <si>
    <t>MTD-Projected</t>
  </si>
  <si>
    <t>Q4 - A</t>
  </si>
  <si>
    <t>Q3 - A</t>
  </si>
  <si>
    <t>Q2 - A</t>
  </si>
  <si>
    <t>MTD-Actual</t>
  </si>
  <si>
    <t>Q1 A</t>
  </si>
  <si>
    <t>NPL Loss Expense</t>
  </si>
  <si>
    <t>Telecom Allowance</t>
  </si>
  <si>
    <t>FOR THE PERIOD 31 March 2025</t>
  </si>
  <si>
    <t>ANB - Tanmeya Debt A/C</t>
  </si>
  <si>
    <t>Fixed Assets not in Use</t>
  </si>
  <si>
    <t>Intercompany</t>
  </si>
  <si>
    <t>`</t>
  </si>
  <si>
    <t>External Debt Investor (Cur8, STV, Anas Ibrahim)</t>
  </si>
  <si>
    <t>Date</t>
  </si>
  <si>
    <t>Account</t>
  </si>
  <si>
    <t>Transaction Details</t>
  </si>
  <si>
    <t>Transaction Type</t>
  </si>
  <si>
    <t>Transaction#</t>
  </si>
  <si>
    <t>Reference#</t>
  </si>
  <si>
    <t>Debit</t>
  </si>
  <si>
    <t>Credit</t>
  </si>
  <si>
    <t>Amount</t>
  </si>
  <si>
    <t>Remarks</t>
  </si>
  <si>
    <t>Opening Balance</t>
  </si>
  <si>
    <t/>
  </si>
  <si>
    <t>Closing Balance</t>
  </si>
  <si>
    <t>As On 01 Dec 2024</t>
  </si>
  <si>
    <t>07 Jan 2025</t>
  </si>
  <si>
    <t>Expense</t>
  </si>
  <si>
    <t>FT250070ZYYC</t>
  </si>
  <si>
    <t>WIP from Miracle</t>
  </si>
  <si>
    <t>14 Jan 2025</t>
  </si>
  <si>
    <t>FT2501444MCL</t>
  </si>
  <si>
    <t>01 Apr 2025</t>
  </si>
  <si>
    <t>FT250070ZYYC &amp; FT2501444MCL Miracle</t>
  </si>
  <si>
    <t>Remaining Bal not in Miracle Invoice</t>
  </si>
  <si>
    <t>03 Feb 2025</t>
  </si>
  <si>
    <t>FT25034CY5XT</t>
  </si>
  <si>
    <t>Paid to Almtab Alaqaryt Hotel for Hotel accommodation</t>
  </si>
  <si>
    <t>04 Feb 2025</t>
  </si>
  <si>
    <t>FT25035XK4BN</t>
  </si>
  <si>
    <t>Paid to Almtab Alaqaryt Hotel for Zaheed's Hotel accommodation</t>
  </si>
  <si>
    <t>21 Feb 2025</t>
  </si>
  <si>
    <t>FT25052GZ7FW</t>
  </si>
  <si>
    <t>Paid to Almtab Alaqaryt Hotel for Wahids Hotel accommodation</t>
  </si>
  <si>
    <t>FT250521Y3HD</t>
  </si>
  <si>
    <t>Paid to Almtab Alaqaryt Hotel for Gulsaba's Hotel accommodation</t>
  </si>
  <si>
    <t>05 Mar 2025</t>
  </si>
  <si>
    <t>ATM02201597506418008600184018030619</t>
  </si>
  <si>
    <t>Paid toHoliday Inn</t>
  </si>
  <si>
    <t>22 Mar 2025</t>
  </si>
  <si>
    <t>FT25081RGZV0</t>
  </si>
  <si>
    <t>Paid to Almtab Alaqaryt Hotel for Abdul Jabbar's Hotel accommodation</t>
  </si>
  <si>
    <t>03 Apr 2025</t>
  </si>
  <si>
    <t>ATM02201597509710590678105906040782</t>
  </si>
  <si>
    <t>Paid to almuteb real estate co</t>
  </si>
  <si>
    <t>ATM02201597509223393998233939040316</t>
  </si>
  <si>
    <t>Paid to VITTORI PALACE</t>
  </si>
  <si>
    <t xml:space="preserve">Total Debits and Credits </t>
  </si>
  <si>
    <t>As On 30 Apr 2025</t>
  </si>
  <si>
    <t>As On 01 Jan 2022</t>
  </si>
  <si>
    <t>SAR0.00</t>
  </si>
  <si>
    <t>Funds received from Tanmeya for Samatel Deal
NCBK9962327800WRNCBK82423278AUIEشراء بضاعة كامل قيمة مواد</t>
  </si>
  <si>
    <t>Journal</t>
  </si>
  <si>
    <t>JV137</t>
  </si>
  <si>
    <t>SD22204332</t>
  </si>
  <si>
    <t>158,987.50 Cr</t>
  </si>
  <si>
    <t>Funds received from Tanmeya for Samatel Deal</t>
  </si>
  <si>
    <t>Total Debits and Credits (01 Jan 2022 - 31 Mar 2025)</t>
  </si>
  <si>
    <t>SAR158,987.50</t>
  </si>
  <si>
    <t>As On 01 Apr 2025</t>
  </si>
  <si>
    <t>07 Apr 2025</t>
  </si>
  <si>
    <t>Salaries &amp; Wages Payables</t>
  </si>
  <si>
    <t xml:space="preserve">Youssef Final Payment Settlement.
</t>
  </si>
  <si>
    <t>US-JV22-334</t>
  </si>
  <si>
    <t>Youssef Final Payment Settlement.</t>
  </si>
  <si>
    <t>8,090.18 Dr</t>
  </si>
  <si>
    <t xml:space="preserve">Sheikh Hanif Mar25 increment payment
</t>
  </si>
  <si>
    <t>US-JV22-336</t>
  </si>
  <si>
    <t>Sheikh Hanif Mar25 increment payment</t>
  </si>
  <si>
    <t>3,382.20 Dr</t>
  </si>
  <si>
    <t>24 Apr 2025</t>
  </si>
  <si>
    <t>FT251143815N</t>
  </si>
  <si>
    <t>190,743.40 Dr</t>
  </si>
  <si>
    <t>25 Apr 2025</t>
  </si>
  <si>
    <t>US employer Taxes for US employee payroll Apr 25</t>
  </si>
  <si>
    <t>US-JV22-341</t>
  </si>
  <si>
    <t>3,931.17 Cr</t>
  </si>
  <si>
    <t>28 Apr 2025</t>
  </si>
  <si>
    <t>FT25118WJKKR</t>
  </si>
  <si>
    <t>6,500.00 Dr</t>
  </si>
  <si>
    <t>FT251185PQGZ</t>
  </si>
  <si>
    <t>25,000.00 Dr</t>
  </si>
  <si>
    <t>Arisha Payroll-Apr'25</t>
  </si>
  <si>
    <t>US-JV22-343</t>
  </si>
  <si>
    <t>6,000.00 Dr</t>
  </si>
  <si>
    <t>Kashif Ayaz Salary payment Apr'25</t>
  </si>
  <si>
    <t>US-JV22-344</t>
  </si>
  <si>
    <t>10,500.00 Dr</t>
  </si>
  <si>
    <t>Cash Salary of Hasan, Tushar, Din Islam for Apr'25</t>
  </si>
  <si>
    <t>JV807</t>
  </si>
  <si>
    <t>23,000.00 Dr</t>
  </si>
  <si>
    <t>29 Apr 2025</t>
  </si>
  <si>
    <t>Omar Jarad Salary Payroll-Apr'25</t>
  </si>
  <si>
    <t>US-JV22-346</t>
  </si>
  <si>
    <t>21,386.66 Dr</t>
  </si>
  <si>
    <t>Sheikh Md Hanif Hossain Apr 25 Payroll Payment</t>
  </si>
  <si>
    <t>US-JV22-347</t>
  </si>
  <si>
    <t>13,500.00 Dr</t>
  </si>
  <si>
    <t>Mohammed Ejaz Salary payment Apr'25</t>
  </si>
  <si>
    <t>US-JV22-348</t>
  </si>
  <si>
    <t>7,999.99 Dr</t>
  </si>
  <si>
    <t>Islam Alsoultan Payroll-Apr'25</t>
  </si>
  <si>
    <t>US-JV22-349</t>
  </si>
  <si>
    <t>6,292.50 Dr</t>
  </si>
  <si>
    <t>Syed Umair Tirmizi Payroll-Apr 25</t>
  </si>
  <si>
    <t>US-JV22-350</t>
  </si>
  <si>
    <t>14,043.75 Dr</t>
  </si>
  <si>
    <t>30 Apr 2025</t>
  </si>
  <si>
    <t>BD Remote employee Apr'25 Salary Payoneer</t>
  </si>
  <si>
    <t>US-JV22-351</t>
  </si>
  <si>
    <t>16,366.88 Dr</t>
  </si>
  <si>
    <t>Brehan Ibrahim Payroll-Apr 25</t>
  </si>
  <si>
    <t>US-JV22-352</t>
  </si>
  <si>
    <t>9,375.00 Dr</t>
  </si>
  <si>
    <t>ABDULJABBAR SALKINI Payroll-Mar &amp; Apr 25</t>
  </si>
  <si>
    <t>US-JV22-353</t>
  </si>
  <si>
    <t>24,931.50 Dr</t>
  </si>
  <si>
    <t>Salary Apr 2025 USA Payroll</t>
  </si>
  <si>
    <t>US-JV22-358</t>
  </si>
  <si>
    <t>195,639.00 Cr</t>
  </si>
  <si>
    <t>Salary Apr 2025</t>
  </si>
  <si>
    <t>JV810</t>
  </si>
  <si>
    <t>264,561.57 Cr</t>
  </si>
  <si>
    <t>Salary &amp; US employer Tax adjustment for US employee Rahat &amp; Suha Apr 25-Rippling</t>
  </si>
  <si>
    <t>US-JV22-342</t>
  </si>
  <si>
    <t>Salary &amp; US employer Tax adjustment for Rahat &amp; Suha Apr 25</t>
  </si>
  <si>
    <t>50,808.64 Dr</t>
  </si>
  <si>
    <t>Total Debits and Credits (01 Apr 2025 - 30 Apr 2025)</t>
  </si>
  <si>
    <t>Employee</t>
  </si>
  <si>
    <t>USD</t>
  </si>
  <si>
    <t>SAR</t>
  </si>
  <si>
    <t>Abdullah Sheikh Apr'25</t>
  </si>
  <si>
    <t>Abdulrahman Al-Osman Final Salary Apr'25</t>
  </si>
  <si>
    <t>Mustaha Apr'25</t>
  </si>
  <si>
    <t>Osama Apr'25</t>
  </si>
  <si>
    <t>excess prov. Release due to exc rate change</t>
  </si>
  <si>
    <t>01 Jan 2025</t>
  </si>
  <si>
    <t>2,378.27 Cr</t>
  </si>
  <si>
    <t>Fixed Asset prov.</t>
  </si>
  <si>
    <t>Manual update of SIMAH report</t>
  </si>
  <si>
    <t>1,150.00 Cr</t>
  </si>
  <si>
    <t>SIMAH Exp prov.</t>
  </si>
  <si>
    <t>Extraction of Financial Statement-SIMAH</t>
  </si>
  <si>
    <t>3,312.00 Cr</t>
  </si>
  <si>
    <t>Extraction of Business sector feature report-SIMAH</t>
  </si>
  <si>
    <t>29,555.00 Cr</t>
  </si>
  <si>
    <t>Extraction of individual report-SIMAH</t>
  </si>
  <si>
    <t>1,184.50 Cr</t>
  </si>
  <si>
    <t>Extraction of Financial statement-SIMAH</t>
  </si>
  <si>
    <t>4,347.00 Cr</t>
  </si>
  <si>
    <t>23,632.50 Cr</t>
  </si>
  <si>
    <t>Extraction of individuals report-SIMAH</t>
  </si>
  <si>
    <t>632.50 Cr</t>
  </si>
  <si>
    <t>1,081.00 Cr</t>
  </si>
  <si>
    <t>30,360.00 Cr</t>
  </si>
  <si>
    <t>Extraction of Financial Statements-SIMAH</t>
  </si>
  <si>
    <t>5,175.00 Cr</t>
  </si>
  <si>
    <t>31 Jan 2025</t>
  </si>
  <si>
    <t>2,000.00 Cr</t>
  </si>
  <si>
    <t>Charity Provision</t>
  </si>
  <si>
    <t>Extrctn of individuals report-SIMAH INV-022445-25</t>
  </si>
  <si>
    <t>1,679.00 Cr</t>
  </si>
  <si>
    <t>31,107.50 Cr</t>
  </si>
  <si>
    <t>4,554.00 Cr</t>
  </si>
  <si>
    <t>Technical operation service-SIMAH</t>
  </si>
  <si>
    <t>40,250.00 Cr</t>
  </si>
  <si>
    <t>1,000.50 Cr</t>
  </si>
  <si>
    <t>13,455.00 Cr</t>
  </si>
  <si>
    <t>1,242.00 Cr</t>
  </si>
  <si>
    <t>10,695.00 Cr</t>
  </si>
  <si>
    <t>414.00 Cr</t>
  </si>
  <si>
    <t>483.00 Cr</t>
  </si>
  <si>
    <t>Provision for Anant, Hashish &amp; Daudi Payment Apr'25</t>
  </si>
  <si>
    <t>US-JV22-357</t>
  </si>
  <si>
    <t>7,339.80 Cr</t>
  </si>
  <si>
    <t>Monthly Provision</t>
  </si>
  <si>
    <t>Total Debits and Credits (01 Dec 2024 - 31 Mar 2025)</t>
  </si>
  <si>
    <t>As On 01 Jan 2025</t>
  </si>
  <si>
    <t>06 Jan 2025</t>
  </si>
  <si>
    <t>Bait Al Jazira Trading &amp; Contracting</t>
  </si>
  <si>
    <t>Customer Payment</t>
  </si>
  <si>
    <t>705</t>
  </si>
  <si>
    <t>FT25006HTYLG</t>
  </si>
  <si>
    <t>145,098.35 Cr</t>
  </si>
  <si>
    <t>INV-000296</t>
  </si>
  <si>
    <t>145,098.19 Dr</t>
  </si>
  <si>
    <t>23 Jan 2025</t>
  </si>
  <si>
    <t>Samatel Trading and Genaral Contracting Co.</t>
  </si>
  <si>
    <t>730</t>
  </si>
  <si>
    <t>FT250235CXJP</t>
  </si>
  <si>
    <t>88,372.00 Cr</t>
  </si>
  <si>
    <t>INV-000364</t>
  </si>
  <si>
    <t>88,371.91 Dr</t>
  </si>
  <si>
    <t>19 Feb 2025</t>
  </si>
  <si>
    <t>Amount received through Najiz (Legal Action)</t>
  </si>
  <si>
    <t>JV679</t>
  </si>
  <si>
    <t>FT25050DV6LL</t>
  </si>
  <si>
    <t>10,644.46 Cr</t>
  </si>
  <si>
    <t>24 Feb 2025</t>
  </si>
  <si>
    <t>شركة الانماء المتكامل</t>
  </si>
  <si>
    <t>767</t>
  </si>
  <si>
    <t>FT25055K8R25</t>
  </si>
  <si>
    <t>442,000.00 Cr</t>
  </si>
  <si>
    <t>INV-000609</t>
  </si>
  <si>
    <t>441,999.34 Dr</t>
  </si>
  <si>
    <t>INV-000610</t>
  </si>
  <si>
    <t>0.66 Dr</t>
  </si>
  <si>
    <t>24 Mar 2025</t>
  </si>
  <si>
    <t>811</t>
  </si>
  <si>
    <t>FT250838WDPT</t>
  </si>
  <si>
    <t>441,998.68 Dr</t>
  </si>
  <si>
    <t>08 Apr 2025</t>
  </si>
  <si>
    <t>Almosleh Corner</t>
  </si>
  <si>
    <t>834</t>
  </si>
  <si>
    <t>FT25098HTK84</t>
  </si>
  <si>
    <t>351,791.95 Cr</t>
  </si>
  <si>
    <t>INV-000486</t>
  </si>
  <si>
    <t>351,791.28 Dr</t>
  </si>
  <si>
    <t>12 Apr 2025</t>
  </si>
  <si>
    <t>enaayh al enshaat general contracting</t>
  </si>
  <si>
    <t>839</t>
  </si>
  <si>
    <t>FT25102LGS7V</t>
  </si>
  <si>
    <t>1.00 Cr</t>
  </si>
  <si>
    <t>INV-000596</t>
  </si>
  <si>
    <t>0.02 Dr</t>
  </si>
  <si>
    <t>16 Apr 2025</t>
  </si>
  <si>
    <t>شركة تراث المشرق للمقاولات</t>
  </si>
  <si>
    <t>852</t>
  </si>
  <si>
    <t>FT25106W5WFC</t>
  </si>
  <si>
    <t>142,372.42 Cr</t>
  </si>
  <si>
    <t>INV-000631</t>
  </si>
  <si>
    <t>142,372.41 Dr</t>
  </si>
  <si>
    <t>Total Debits and Credits (01 Jan 2025 - 31 Mar 2025)</t>
  </si>
  <si>
    <t>External Investor</t>
  </si>
  <si>
    <t>Loan Amount</t>
  </si>
  <si>
    <t>Cur8 Debt</t>
  </si>
  <si>
    <t>STV Debt</t>
  </si>
  <si>
    <t>Anas Ibrahim Al Hozaimi</t>
  </si>
  <si>
    <t>Total External Debt Investor</t>
  </si>
  <si>
    <t>Beginning Cash Balance</t>
  </si>
  <si>
    <t>Cash Flow from Operating Activities</t>
  </si>
  <si>
    <t>Net cash provided by Operating Activities</t>
  </si>
  <si>
    <t>Cash Flow from Investing Activities</t>
  </si>
  <si>
    <t>Net cash provided by Investing Activities</t>
  </si>
  <si>
    <t>Cash Flow from Financing Activities</t>
  </si>
  <si>
    <t>Net cash provided by Financing Activities</t>
  </si>
  <si>
    <t>Net Change in cash</t>
  </si>
  <si>
    <t>Ending Cash Balance</t>
  </si>
  <si>
    <t>Sl. No.</t>
  </si>
  <si>
    <t>Customer</t>
  </si>
  <si>
    <t>Current</t>
  </si>
  <si>
    <t>1-30 Days</t>
  </si>
  <si>
    <t>31-60 Days</t>
  </si>
  <si>
    <t>61-90 Days</t>
  </si>
  <si>
    <t>91-180 Days</t>
  </si>
  <si>
    <t>Above 180 Days</t>
  </si>
  <si>
    <t>Total AR</t>
  </si>
  <si>
    <t>Abraj Al Madaen Contracting Company</t>
  </si>
  <si>
    <t>Dur Arabia Company Limited</t>
  </si>
  <si>
    <t>Factory Ercon Middle East Industries Saudi Co</t>
  </si>
  <si>
    <t>Inshaat Al Awtan General Contracting Co</t>
  </si>
  <si>
    <t>Jawahr Al-Hadid Est.</t>
  </si>
  <si>
    <t>Modern Housing Contracting Company</t>
  </si>
  <si>
    <t>Rahat's Test Account</t>
  </si>
  <si>
    <t>Rawnaq Al Emar Contracting Company</t>
  </si>
  <si>
    <t>Rkaez Al Modn Al Motakdma Contracting Co</t>
  </si>
  <si>
    <t>RLCO - Renewable Lighting Factory for Industry</t>
  </si>
  <si>
    <t>Road Services Contracting Company</t>
  </si>
  <si>
    <t>RS Infratech Saudi Ltd.</t>
  </si>
  <si>
    <t>Saudi Merqab Trading Co.</t>
  </si>
  <si>
    <t>Tabrak Najd Contracting Company</t>
  </si>
  <si>
    <t>Taif Al-Mimar Contracting Est</t>
  </si>
  <si>
    <t>شركة آفاق العمران المتحدة للمقاولات</t>
  </si>
  <si>
    <t>شركة اعتماد التكييف للمقاولات شركة شخص واحد</t>
  </si>
  <si>
    <t>شركة البنايات المطورة العصرية للمقاولات</t>
  </si>
  <si>
    <t>شركة الكفاح العالمية للمقاولات</t>
  </si>
  <si>
    <t>شركة بدائل للجدران</t>
  </si>
  <si>
    <t>شركة تعمير الوادي للمقاولات المعمارية</t>
  </si>
  <si>
    <t>شركة شهامة الخليج للتجارة</t>
  </si>
  <si>
    <t>شركة لؤلؤة التطوير للمقاولات شركة شخص واحد</t>
  </si>
  <si>
    <t>شركة مصنع تكنولوجيا الظل المحدودة</t>
  </si>
  <si>
    <t>شركة مواني المها للتجارة ذات مسؤلية محدودة</t>
  </si>
  <si>
    <t>فرع شركة اوفرسيزر كونستركشن كومباني برايفت ليمتد</t>
  </si>
  <si>
    <t>Receivable Grade</t>
  </si>
  <si>
    <t>% of Total</t>
  </si>
  <si>
    <t xml:space="preserve">Current </t>
  </si>
  <si>
    <t>Total</t>
  </si>
  <si>
    <t>Al Mosleh Corner For Cont.</t>
  </si>
  <si>
    <t>Clean Technologies Contracting Co.</t>
  </si>
  <si>
    <t>Dinar Investments Company</t>
  </si>
  <si>
    <t>Leader Wolf General Contracting</t>
  </si>
  <si>
    <t>Monaqsat Al Khaleej For Communication &amp; Information Technology</t>
  </si>
  <si>
    <t>Nipras Steel Factory</t>
  </si>
  <si>
    <t>شركة أوتاد الفهد المحدودة</t>
  </si>
  <si>
    <t>شركة اس كي العربية المحدودة</t>
  </si>
  <si>
    <t>شركة اصالة الخليج للتطوير والاستثمار العقاري</t>
  </si>
  <si>
    <t>شركة الابتهاج للمقاولات شركة شخص واحد</t>
  </si>
  <si>
    <t>شركة البناء الأهلي للمقاولات العامة شركة شخص واحد</t>
  </si>
  <si>
    <t>شركة التخصص السعودي للمقاولات العامة</t>
  </si>
  <si>
    <t>شركة الجسور المعدنية للتجارة</t>
  </si>
  <si>
    <t>شركة الراية الخليجية للصناعة شركة شخص واحد</t>
  </si>
  <si>
    <t>شركة المعمار العربي للمقاولات شركة شخص واحد</t>
  </si>
  <si>
    <t>شركة اوزود المحدودة شركة شخص واحد</t>
  </si>
  <si>
    <t>شركة بلكس للمقاولات العامة</t>
  </si>
  <si>
    <t>شركة ربوع الاتحاد للمقاولات</t>
  </si>
  <si>
    <t>شركة ركن التباريج</t>
  </si>
  <si>
    <t>شركة روابي احد للمقاولات العامة</t>
  </si>
  <si>
    <t>شركة روابي الحديد التجارية</t>
  </si>
  <si>
    <t>شركة سافانا الدولية للأنشاءات المحدودة</t>
  </si>
  <si>
    <t>شركة شبكة الشام للمقاولات</t>
  </si>
  <si>
    <t>شركة عمق التشييد للمقاولات</t>
  </si>
  <si>
    <t>شركة مجد المعالي للتجارة والمقاولات شركة شخص واحد</t>
  </si>
  <si>
    <t>شركة مسار الرواد لتجارة الجملة و التجزئة شركة شخص واحد</t>
  </si>
  <si>
    <t>شركة ملاءة للمقاولات</t>
  </si>
  <si>
    <t>شركة موج بحيرة الركن للمقاولات شركة شخص واحد</t>
  </si>
  <si>
    <t>شركة هدف الاعمار التجارية</t>
  </si>
  <si>
    <t>شركة وجهات العربية للمقاولات شركة شخص واحد</t>
  </si>
  <si>
    <t>مؤسسة عناية الانشاءات للمقاولات العامة</t>
  </si>
  <si>
    <t>Amount (Mil)</t>
  </si>
  <si>
    <t>Dinar &amp; Cash Sales Projections</t>
  </si>
  <si>
    <t>Scenario</t>
  </si>
  <si>
    <t>Dinar &amp; Cash Sales</t>
  </si>
  <si>
    <t>Best</t>
  </si>
  <si>
    <t>Dinar deals</t>
  </si>
  <si>
    <t>Cash deals</t>
  </si>
  <si>
    <t>Worst</t>
  </si>
  <si>
    <t>Base</t>
  </si>
  <si>
    <t>Cash Profit Rate</t>
  </si>
  <si>
    <t>Dinar Commission Rate</t>
  </si>
  <si>
    <t>Dinar &amp; Cash Sales Commission Projections</t>
  </si>
  <si>
    <t>Dinar Commission</t>
  </si>
  <si>
    <t>Cash Commission</t>
  </si>
  <si>
    <t>Revenue</t>
  </si>
  <si>
    <t>COGS</t>
  </si>
  <si>
    <t>Financing Expense (Salimuddin Siraj)</t>
  </si>
  <si>
    <t>Profit Payable (Salimuddin Siraj)</t>
  </si>
  <si>
    <t>Accrued Investor Profit (STV)</t>
  </si>
  <si>
    <t>Accounts Receivable</t>
  </si>
  <si>
    <t>Total for Accrued Expenses</t>
  </si>
  <si>
    <t>Current Receivables</t>
  </si>
  <si>
    <t>Employee Advance</t>
  </si>
  <si>
    <t>Prepaid vendors Bildnw Inc.</t>
  </si>
  <si>
    <t>Total for Prepaid Vendors</t>
  </si>
  <si>
    <t>Total for Current Receivables</t>
  </si>
  <si>
    <t>End of Service Benefits Payable</t>
  </si>
  <si>
    <t>GCC VAT Payable</t>
  </si>
  <si>
    <t>Interst/Profit Payable</t>
  </si>
  <si>
    <t>Profit Payable (Arbah)</t>
  </si>
  <si>
    <t>Profit Payable (STV)</t>
  </si>
  <si>
    <t>Total for Interst/Profit Payable</t>
  </si>
  <si>
    <t>Net Income</t>
  </si>
  <si>
    <t>Non-cash adjustments</t>
  </si>
  <si>
    <t>Non-cash adjustments Total</t>
  </si>
  <si>
    <t>Prepaid Expenses</t>
  </si>
  <si>
    <t>Total for Prepaid Expenses</t>
  </si>
  <si>
    <t>Provision for Leave Pay</t>
  </si>
  <si>
    <t>Tag Adjustments</t>
  </si>
  <si>
    <t>Related Party (Loan Receivable)</t>
  </si>
  <si>
    <t>Total for Related Party (Loan Receivable)</t>
  </si>
  <si>
    <t>Related parties Loan Payable</t>
  </si>
  <si>
    <t>Related parties Loan KSA</t>
  </si>
  <si>
    <t>Total for Related parties Loan Payable</t>
  </si>
  <si>
    <t>As On 30 Jun 2025</t>
  </si>
  <si>
    <t>FT251544HZM0</t>
  </si>
  <si>
    <t>JV896</t>
  </si>
  <si>
    <t>Tanmeya principal + profit repayment</t>
  </si>
  <si>
    <t>Depreciation-Building Improvement</t>
  </si>
  <si>
    <t>Third Party Referral Incentive</t>
  </si>
  <si>
    <t>Quarterly Bonus</t>
  </si>
  <si>
    <t>Bonus Commission</t>
  </si>
  <si>
    <t>Building Improvement</t>
  </si>
  <si>
    <t>Accumulated Depreciation-Building Improvement</t>
  </si>
  <si>
    <t>BNPL-CMA</t>
  </si>
  <si>
    <t>Cashflow Statement</t>
  </si>
  <si>
    <t>Business Accommodation Expense</t>
  </si>
  <si>
    <t>Office Repair &amp; Maintenance Expense</t>
  </si>
  <si>
    <t>Financing Expense (Amal Abdulmohsen)</t>
  </si>
  <si>
    <t>Product Development</t>
  </si>
  <si>
    <t>Sinking Fund Account</t>
  </si>
  <si>
    <t>Sinking Fund</t>
  </si>
  <si>
    <t>Profit payable (Amal Abdulmohsen)</t>
  </si>
  <si>
    <t>RHQ Company</t>
  </si>
  <si>
    <t>Prepaid Employment Expense (Iqama)</t>
  </si>
  <si>
    <t>Events &amp; Activity Expense</t>
  </si>
  <si>
    <t>Team Building Activities</t>
  </si>
  <si>
    <t>Deal-related expenses</t>
  </si>
  <si>
    <t>Employee Benefit expense</t>
  </si>
  <si>
    <t>Marketing, Promotion &amp; Advertising</t>
  </si>
  <si>
    <t>Total for External Debt Investor</t>
  </si>
  <si>
    <t>Financing Expense (SIDF)</t>
  </si>
  <si>
    <t>Profit Payable (SIDF)-Current</t>
  </si>
  <si>
    <t>Profit Payable (SIDF)-Non Current</t>
  </si>
  <si>
    <t>SIDF Loan Facility</t>
  </si>
  <si>
    <t>Saudi Awwal Bank (SAB)-5001</t>
  </si>
  <si>
    <t>Saudi Awwal Bank (SAB)-5002</t>
  </si>
  <si>
    <t>Leave Air Fare Payable</t>
  </si>
  <si>
    <t>Debt Financing</t>
  </si>
  <si>
    <t>Total for Debt Financing</t>
  </si>
  <si>
    <t>Lenders Debt Pool</t>
  </si>
  <si>
    <t>SIDF Debt Pool</t>
  </si>
  <si>
    <t>Total for Lenders Debt Pool</t>
  </si>
  <si>
    <t>Provision for Doubtful Debts</t>
  </si>
  <si>
    <t>2026</t>
  </si>
  <si>
    <t>Credit Assessment Expense</t>
  </si>
  <si>
    <t>FOR THE PERIOD 28 Feb 2026</t>
  </si>
  <si>
    <t xml:space="preserve"> AS OF 28 Feb 2026</t>
  </si>
  <si>
    <t xml:space="preserve"> As of 28 Feb 2026</t>
  </si>
  <si>
    <t>Provision for Zakat</t>
  </si>
  <si>
    <t>Debt Financing (Al Raedah 2)</t>
  </si>
  <si>
    <t>Owner's Equity</t>
  </si>
  <si>
    <t>Total for Shareholder's Equity (US Holdco.)</t>
  </si>
  <si>
    <t>Current Year Earnings</t>
  </si>
  <si>
    <t>Retained Earnings</t>
  </si>
  <si>
    <t>Feb'26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</si>
</sst>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0_)"/>
    <numFmt numFmtId="167" formatCode="#,##0.00_);\(#,##0.00\);&quot;-  &quot;"/>
    <numFmt numFmtId="168" formatCode="[$-409]d\-mmm\-yy;@"/>
    <numFmt numFmtId="169" formatCode="_(* #,##0_);_(* \(#,##0\);_(* &quot;-&quot;??_);_(@_)"/>
    <numFmt numFmtId="170" formatCode="0.0%"/>
    <numFmt numFmtId="171" formatCode="[$SAR]\ #,##0.00"/>
    <numFmt numFmtId="172" formatCode="_-* #,##0.000_-;\-* #,##0.000_-;_-* &quot;-&quot;??_-;_-@_-"/>
    <numFmt numFmtId="173" formatCode="_-* #,##0.0_-;\-* #,##0.0_-;_-* &quot;-&quot;??_-;_-@_-"/>
    <numFmt numFmtId="174" formatCode="_-* #,##0.00000_-;\-* #,##0.00000_-;_-* &quot;-&quot;??_-;_-@_-"/>
  </numFmts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sz val="12"/>
      <color theme="8" tint="-0.249977111117893"/>
      <name val="Arial"/>
      <family val="2"/>
    </font>
    <font>
      <b/>
      <sz val="12"/>
      <name val="Arial"/>
      <family val="2"/>
    </font>
    <font>
      <sz val="12"/>
      <name val="Cambria"/>
      <family val="1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charset val="186"/>
    </font>
    <font>
      <sz val="12"/>
      <color theme="1"/>
      <name val="Calibri"/>
      <family val="2"/>
      <scheme val="minor"/>
    </font>
    <font>
      <u/>
      <sz val="10"/>
      <color indexed="12"/>
      <name val="Times New Roman"/>
      <family val="1"/>
      <charset val="204"/>
    </font>
    <font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 Light"/>
      <family val="2"/>
      <scheme val="major"/>
    </font>
    <font>
      <b/>
      <sz val="11"/>
      <name val="Calibri"/>
      <family val="2"/>
      <scheme val="minor"/>
    </font>
    <font>
      <b/>
      <i/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sz val="11"/>
      <color rgb="FF3F3F76"/>
      <name val="Calibri"/>
      <family val="2"/>
      <scheme val="minor"/>
    </font>
    <font>
      <b/>
      <u/>
      <sz val="11"/>
      <color theme="3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1"/>
      <name val="Lato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2"/>
      <name val="Aptos"/>
      <family val="2"/>
    </font>
    <font>
      <b/>
      <sz val="12"/>
      <color theme="8" tint="-0.249977111117893"/>
      <name val="Aptos"/>
      <family val="2"/>
    </font>
    <font>
      <b/>
      <sz val="12"/>
      <name val="Aptos"/>
      <family val="2"/>
    </font>
    <font>
      <sz val="12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b/>
      <i/>
      <sz val="11"/>
      <color theme="1"/>
      <name val="Aptos"/>
      <family val="2"/>
    </font>
    <font>
      <sz val="10"/>
      <name val="Aptos"/>
      <family val="2"/>
    </font>
    <font>
      <sz val="12"/>
      <color indexed="9"/>
      <name val="Aptos"/>
      <family val="2"/>
    </font>
    <font>
      <sz val="12"/>
      <color rgb="FFFF0000"/>
      <name val="Aptos"/>
      <family val="2"/>
    </font>
    <font>
      <b/>
      <sz val="11"/>
      <name val="timesnewroman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newroman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sz val="12"/>
      <color theme="1"/>
      <name val="Cambria"/>
      <family val="1"/>
    </font>
    <font>
      <i/>
      <sz val="11"/>
      <color theme="0"/>
      <name val="Arial"/>
      <family val="2"/>
    </font>
    <font>
      <sz val="12"/>
      <color theme="0"/>
      <name val="Arial"/>
      <family val="2"/>
    </font>
    <font>
      <sz val="11"/>
      <color theme="0"/>
      <name val="Arial"/>
      <family val="2"/>
    </font>
    <font>
      <sz val="12"/>
      <color theme="0"/>
      <name val="Cambria"/>
      <family val="1"/>
    </font>
    <font>
      <sz val="11"/>
      <color rgb="FFFF0000"/>
      <name val="Calibri"/>
      <family val="2"/>
      <scheme val="minor"/>
    </font>
    <font>
      <i/>
      <sz val="11"/>
      <color rgb="FFFF0000"/>
      <name val="Arial"/>
      <family val="2"/>
    </font>
    <font>
      <i/>
      <sz val="11"/>
      <color rgb="FFFF0000"/>
      <name val="Aptos"/>
      <family val="2"/>
    </font>
    <font>
      <sz val="11"/>
      <color rgb="FFFF0000"/>
      <name val="Aptos"/>
      <family val="2"/>
    </font>
    <font>
      <i/>
      <sz val="11"/>
      <color theme="0"/>
      <name val="Aptos"/>
      <family val="2"/>
    </font>
    <font>
      <sz val="12"/>
      <color theme="0"/>
      <name val="Aptos"/>
      <family val="2"/>
    </font>
    <font>
      <sz val="11"/>
      <color theme="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DA0C"/>
        <bgColor indexed="64"/>
      </patternFill>
    </fill>
    <fill>
      <patternFill patternType="solid">
        <fgColor rgb="FFFFCC99"/>
      </patternFill>
    </fill>
    <fill>
      <patternFill patternType="solid">
        <fgColor theme="6"/>
        <bgColor theme="6"/>
      </patternFill>
    </fill>
    <fill>
      <patternFill patternType="solid">
        <fgColor rgb="FFF5F5F5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5" fillId="0" borderId="0"/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4" borderId="9" applyNumberFormat="0" applyAlignment="0" applyProtection="0"/>
    <xf numFmtId="0" fontId="34" fillId="0" borderId="0" applyNumberFormat="0" applyFill="0" applyBorder="0" applyAlignment="0" applyProtection="0"/>
  </cellStyleXfs>
  <cellXfs count="337">
    <xf numFmtId="0" fontId="0" fillId="0" borderId="0" xfId="0"/>
    <xf numFmtId="0" fontId="2" fillId="0" borderId="0" xfId="0" applyFont="1"/>
    <xf numFmtId="164" fontId="0" fillId="0" borderId="0" xfId="0" applyNumberFormat="1"/>
    <xf numFmtId="0" fontId="4" fillId="0" borderId="0" xfId="2" applyFont="1" applyAlignment="1" applyProtection="1">
      <alignment vertical="center"/>
      <protection hidden="1"/>
    </xf>
    <xf numFmtId="164" fontId="5" fillId="0" borderId="1" xfId="3" applyFont="1" applyFill="1" applyBorder="1" applyAlignment="1" applyProtection="1">
      <alignment horizontal="left"/>
      <protection hidden="1"/>
    </xf>
    <xf numFmtId="165" fontId="6" fillId="0" borderId="0" xfId="2" applyNumberFormat="1" applyFont="1" applyAlignment="1" applyProtection="1">
      <alignment horizontal="center" vertical="center"/>
      <protection hidden="1"/>
    </xf>
    <xf numFmtId="0" fontId="7" fillId="0" borderId="0" xfId="2" applyFont="1" applyAlignment="1" applyProtection="1">
      <alignment vertical="center"/>
      <protection hidden="1"/>
    </xf>
    <xf numFmtId="0" fontId="9" fillId="0" borderId="0" xfId="0" applyFont="1"/>
    <xf numFmtId="165" fontId="8" fillId="0" borderId="0" xfId="2" applyNumberFormat="1" applyFont="1" applyAlignment="1" applyProtection="1">
      <alignment horizontal="center" vertical="center"/>
      <protection hidden="1"/>
    </xf>
    <xf numFmtId="164" fontId="6" fillId="0" borderId="0" xfId="3" applyFont="1" applyFill="1" applyBorder="1" applyAlignment="1" applyProtection="1">
      <alignment horizontal="left"/>
      <protection hidden="1"/>
    </xf>
    <xf numFmtId="17" fontId="6" fillId="0" borderId="0" xfId="2" applyNumberFormat="1" applyFont="1" applyAlignment="1" applyProtection="1">
      <alignment horizontal="center" vertical="center"/>
      <protection hidden="1"/>
    </xf>
    <xf numFmtId="166" fontId="10" fillId="0" borderId="0" xfId="2" applyNumberFormat="1" applyFont="1" applyAlignment="1" applyProtection="1">
      <alignment vertical="center"/>
      <protection hidden="1"/>
    </xf>
    <xf numFmtId="164" fontId="9" fillId="0" borderId="0" xfId="1" applyFont="1" applyFill="1" applyBorder="1" applyAlignment="1" applyProtection="1">
      <alignment horizontal="left" vertical="center"/>
      <protection locked="0"/>
    </xf>
    <xf numFmtId="166" fontId="10" fillId="0" borderId="5" xfId="2" applyNumberFormat="1" applyFont="1" applyBorder="1" applyAlignment="1" applyProtection="1">
      <alignment vertical="center"/>
      <protection hidden="1"/>
    </xf>
    <xf numFmtId="166" fontId="3" fillId="0" borderId="0" xfId="2" applyNumberFormat="1" applyAlignment="1" applyProtection="1">
      <alignment vertical="center"/>
      <protection hidden="1"/>
    </xf>
    <xf numFmtId="166" fontId="10" fillId="0" borderId="1" xfId="2" applyNumberFormat="1" applyFont="1" applyBorder="1" applyAlignment="1" applyProtection="1">
      <alignment vertical="center"/>
      <protection hidden="1"/>
    </xf>
    <xf numFmtId="166" fontId="3" fillId="0" borderId="0" xfId="2" applyNumberFormat="1" applyAlignment="1" applyProtection="1">
      <alignment horizontal="left" vertical="center" indent="1"/>
      <protection hidden="1"/>
    </xf>
    <xf numFmtId="164" fontId="0" fillId="0" borderId="0" xfId="1" applyFont="1" applyBorder="1"/>
    <xf numFmtId="43" fontId="0" fillId="0" borderId="0" xfId="0" applyNumberFormat="1"/>
    <xf numFmtId="166" fontId="8" fillId="0" borderId="5" xfId="2" applyNumberFormat="1" applyFont="1" applyBorder="1" applyAlignment="1" applyProtection="1">
      <alignment vertical="center"/>
      <protection hidden="1"/>
    </xf>
    <xf numFmtId="164" fontId="5" fillId="0" borderId="0" xfId="3" applyFont="1" applyFill="1" applyBorder="1" applyAlignment="1" applyProtection="1">
      <alignment horizontal="left"/>
      <protection hidden="1"/>
    </xf>
    <xf numFmtId="164" fontId="13" fillId="0" borderId="6" xfId="3" applyFont="1" applyFill="1" applyBorder="1" applyAlignment="1" applyProtection="1">
      <alignment horizontal="left"/>
      <protection hidden="1"/>
    </xf>
    <xf numFmtId="17" fontId="6" fillId="0" borderId="6" xfId="2" applyNumberFormat="1" applyFont="1" applyBorder="1" applyAlignment="1" applyProtection="1">
      <alignment horizontal="center" vertical="center"/>
      <protection hidden="1"/>
    </xf>
    <xf numFmtId="2" fontId="6" fillId="0" borderId="0" xfId="2" applyNumberFormat="1" applyFont="1" applyAlignment="1" applyProtection="1">
      <alignment horizontal="left" vertical="center"/>
      <protection hidden="1"/>
    </xf>
    <xf numFmtId="17" fontId="6" fillId="0" borderId="0" xfId="2" applyNumberFormat="1" applyFont="1" applyAlignment="1" applyProtection="1">
      <alignment horizontal="left" vertical="center"/>
      <protection hidden="1"/>
    </xf>
    <xf numFmtId="166" fontId="12" fillId="0" borderId="0" xfId="2" applyNumberFormat="1" applyFont="1" applyAlignment="1" applyProtection="1">
      <alignment vertical="center"/>
      <protection hidden="1"/>
    </xf>
    <xf numFmtId="9" fontId="2" fillId="0" borderId="0" xfId="4" applyFont="1"/>
    <xf numFmtId="0" fontId="0" fillId="0" borderId="0" xfId="0" applyAlignment="1">
      <alignment horizontal="left"/>
    </xf>
    <xf numFmtId="164" fontId="6" fillId="0" borderId="6" xfId="3" applyFont="1" applyFill="1" applyBorder="1" applyAlignment="1" applyProtection="1">
      <alignment horizontal="left"/>
      <protection hidden="1"/>
    </xf>
    <xf numFmtId="164" fontId="13" fillId="0" borderId="0" xfId="3" applyFont="1" applyFill="1" applyBorder="1" applyAlignment="1" applyProtection="1">
      <alignment horizontal="left"/>
      <protection hidden="1"/>
    </xf>
    <xf numFmtId="9" fontId="3" fillId="0" borderId="0" xfId="5" applyFont="1" applyAlignment="1" applyProtection="1">
      <alignment vertical="center"/>
      <protection hidden="1"/>
    </xf>
    <xf numFmtId="164" fontId="0" fillId="0" borderId="0" xfId="1" applyFont="1"/>
    <xf numFmtId="168" fontId="8" fillId="0" borderId="0" xfId="3" applyNumberFormat="1" applyFont="1" applyFill="1" applyBorder="1" applyAlignment="1" applyProtection="1">
      <alignment horizontal="center" vertical="center"/>
      <protection hidden="1"/>
    </xf>
    <xf numFmtId="165" fontId="8" fillId="0" borderId="0" xfId="2" quotePrefix="1" applyNumberFormat="1" applyFont="1" applyAlignment="1" applyProtection="1">
      <alignment horizontal="center" vertical="center"/>
      <protection hidden="1"/>
    </xf>
    <xf numFmtId="164" fontId="0" fillId="0" borderId="0" xfId="1" applyFont="1" applyAlignment="1">
      <alignment horizontal="left"/>
    </xf>
    <xf numFmtId="164" fontId="6" fillId="0" borderId="0" xfId="1" applyFont="1" applyAlignment="1" applyProtection="1">
      <alignment horizontal="center" vertical="center"/>
      <protection hidden="1"/>
    </xf>
    <xf numFmtId="43" fontId="0" fillId="0" borderId="0" xfId="0" applyNumberFormat="1" applyAlignment="1">
      <alignment horizontal="left"/>
    </xf>
    <xf numFmtId="43" fontId="16" fillId="0" borderId="0" xfId="0" applyNumberFormat="1" applyFont="1"/>
    <xf numFmtId="164" fontId="6" fillId="0" borderId="6" xfId="1" applyFont="1" applyBorder="1" applyAlignment="1" applyProtection="1">
      <alignment horizontal="center" vertical="center"/>
      <protection hidden="1"/>
    </xf>
    <xf numFmtId="164" fontId="8" fillId="3" borderId="2" xfId="3" applyFont="1" applyFill="1" applyBorder="1" applyAlignment="1" applyProtection="1">
      <alignment horizontal="left" vertical="center"/>
      <protection hidden="1"/>
    </xf>
    <xf numFmtId="164" fontId="8" fillId="3" borderId="2" xfId="3" applyFont="1" applyFill="1" applyBorder="1" applyAlignment="1" applyProtection="1">
      <alignment horizontal="center" vertical="center"/>
      <protection hidden="1"/>
    </xf>
    <xf numFmtId="164" fontId="8" fillId="3" borderId="3" xfId="3" applyFont="1" applyFill="1" applyBorder="1" applyAlignment="1" applyProtection="1">
      <alignment horizontal="center" vertical="center"/>
      <protection hidden="1"/>
    </xf>
    <xf numFmtId="164" fontId="6" fillId="3" borderId="2" xfId="3" applyFont="1" applyFill="1" applyBorder="1" applyAlignment="1" applyProtection="1">
      <alignment horizontal="left" vertical="center"/>
      <protection hidden="1"/>
    </xf>
    <xf numFmtId="168" fontId="8" fillId="3" borderId="3" xfId="3" applyNumberFormat="1" applyFont="1" applyFill="1" applyBorder="1" applyAlignment="1" applyProtection="1">
      <alignment horizontal="center" vertical="center"/>
      <protection hidden="1"/>
    </xf>
    <xf numFmtId="168" fontId="8" fillId="3" borderId="4" xfId="3" applyNumberFormat="1" applyFont="1" applyFill="1" applyBorder="1" applyAlignment="1" applyProtection="1">
      <alignment horizontal="center" vertical="center"/>
      <protection hidden="1"/>
    </xf>
    <xf numFmtId="169" fontId="9" fillId="0" borderId="0" xfId="1" applyNumberFormat="1" applyFont="1" applyFill="1" applyBorder="1" applyAlignment="1" applyProtection="1">
      <alignment horizontal="left" vertical="center"/>
      <protection locked="0"/>
    </xf>
    <xf numFmtId="169" fontId="14" fillId="0" borderId="0" xfId="1" applyNumberFormat="1" applyFont="1" applyFill="1" applyBorder="1" applyAlignment="1" applyProtection="1">
      <alignment horizontal="left" vertical="center"/>
      <protection locked="0"/>
    </xf>
    <xf numFmtId="169" fontId="9" fillId="0" borderId="5" xfId="1" applyNumberFormat="1" applyFont="1" applyFill="1" applyBorder="1" applyAlignment="1" applyProtection="1">
      <alignment horizontal="left" vertical="center"/>
      <protection locked="0"/>
    </xf>
    <xf numFmtId="169" fontId="11" fillId="0" borderId="5" xfId="1" applyNumberFormat="1" applyFont="1" applyFill="1" applyBorder="1" applyAlignment="1" applyProtection="1">
      <alignment horizontal="left" vertical="center"/>
      <protection locked="0"/>
    </xf>
    <xf numFmtId="169" fontId="11" fillId="0" borderId="0" xfId="1" applyNumberFormat="1" applyFont="1" applyFill="1" applyBorder="1" applyAlignment="1" applyProtection="1">
      <alignment horizontal="left" vertical="center"/>
      <protection locked="0"/>
    </xf>
    <xf numFmtId="169" fontId="0" fillId="0" borderId="0" xfId="0" applyNumberFormat="1" applyAlignment="1">
      <alignment horizontal="left"/>
    </xf>
    <xf numFmtId="169" fontId="14" fillId="0" borderId="6" xfId="1" applyNumberFormat="1" applyFont="1" applyFill="1" applyBorder="1" applyAlignment="1" applyProtection="1">
      <alignment horizontal="left" vertical="center"/>
      <protection locked="0"/>
    </xf>
    <xf numFmtId="169" fontId="12" fillId="0" borderId="0" xfId="1" applyNumberFormat="1" applyFont="1" applyBorder="1" applyAlignment="1" applyProtection="1">
      <alignment horizontal="left" vertical="center"/>
      <protection hidden="1"/>
    </xf>
    <xf numFmtId="169" fontId="12" fillId="0" borderId="0" xfId="1" applyNumberFormat="1" applyFont="1" applyFill="1" applyBorder="1" applyAlignment="1" applyProtection="1">
      <alignment horizontal="left" vertical="center"/>
      <protection hidden="1"/>
    </xf>
    <xf numFmtId="169" fontId="0" fillId="0" borderId="0" xfId="0" applyNumberFormat="1"/>
    <xf numFmtId="169" fontId="9" fillId="0" borderId="0" xfId="1" applyNumberFormat="1" applyFont="1" applyFill="1" applyBorder="1" applyAlignment="1" applyProtection="1">
      <alignment horizontal="center" vertical="center"/>
      <protection locked="0"/>
    </xf>
    <xf numFmtId="169" fontId="9" fillId="0" borderId="1" xfId="1" applyNumberFormat="1" applyFont="1" applyFill="1" applyBorder="1" applyAlignment="1" applyProtection="1">
      <alignment horizontal="left" vertical="center"/>
      <protection locked="0"/>
    </xf>
    <xf numFmtId="169" fontId="9" fillId="0" borderId="5" xfId="1" applyNumberFormat="1" applyFont="1" applyBorder="1" applyAlignment="1" applyProtection="1">
      <alignment horizontal="left" vertical="center"/>
      <protection locked="0"/>
    </xf>
    <xf numFmtId="0" fontId="15" fillId="0" borderId="0" xfId="14"/>
    <xf numFmtId="0" fontId="21" fillId="0" borderId="0" xfId="14" applyFont="1"/>
    <xf numFmtId="164" fontId="0" fillId="0" borderId="0" xfId="15" applyFont="1"/>
    <xf numFmtId="0" fontId="20" fillId="0" borderId="7" xfId="14" applyFont="1" applyBorder="1" applyAlignment="1">
      <alignment horizontal="left"/>
    </xf>
    <xf numFmtId="0" fontId="24" fillId="0" borderId="0" xfId="14" applyFont="1"/>
    <xf numFmtId="164" fontId="25" fillId="2" borderId="7" xfId="15" applyFont="1" applyFill="1" applyBorder="1"/>
    <xf numFmtId="0" fontId="25" fillId="2" borderId="7" xfId="14" applyFont="1" applyFill="1" applyBorder="1"/>
    <xf numFmtId="164" fontId="8" fillId="0" borderId="0" xfId="3" applyFont="1" applyFill="1" applyBorder="1" applyAlignment="1" applyProtection="1">
      <alignment horizontal="center" vertical="center"/>
      <protection hidden="1"/>
    </xf>
    <xf numFmtId="164" fontId="6" fillId="0" borderId="0" xfId="1" applyFont="1" applyBorder="1" applyAlignment="1" applyProtection="1">
      <alignment horizontal="center" vertical="center"/>
      <protection hidden="1"/>
    </xf>
    <xf numFmtId="166" fontId="8" fillId="0" borderId="1" xfId="2" applyNumberFormat="1" applyFont="1" applyBorder="1" applyAlignment="1" applyProtection="1">
      <alignment vertical="center"/>
      <protection hidden="1"/>
    </xf>
    <xf numFmtId="0" fontId="26" fillId="0" borderId="0" xfId="0" applyFont="1"/>
    <xf numFmtId="0" fontId="16" fillId="0" borderId="0" xfId="0" applyFont="1"/>
    <xf numFmtId="164" fontId="16" fillId="0" borderId="0" xfId="1" applyFont="1" applyBorder="1"/>
    <xf numFmtId="164" fontId="16" fillId="0" borderId="0" xfId="0" applyNumberFormat="1" applyFont="1"/>
    <xf numFmtId="169" fontId="11" fillId="0" borderId="1" xfId="1" applyNumberFormat="1" applyFont="1" applyFill="1" applyBorder="1" applyAlignment="1" applyProtection="1">
      <alignment horizontal="left" vertical="center"/>
      <protection locked="0"/>
    </xf>
    <xf numFmtId="169" fontId="16" fillId="0" borderId="0" xfId="0" applyNumberFormat="1" applyFont="1"/>
    <xf numFmtId="169" fontId="11" fillId="0" borderId="0" xfId="1" applyNumberFormat="1" applyFont="1" applyFill="1" applyBorder="1" applyAlignment="1" applyProtection="1">
      <alignment horizontal="center" vertical="center"/>
      <protection locked="0"/>
    </xf>
    <xf numFmtId="166" fontId="10" fillId="0" borderId="8" xfId="2" applyNumberFormat="1" applyFont="1" applyBorder="1" applyAlignment="1" applyProtection="1">
      <alignment vertical="center"/>
      <protection hidden="1"/>
    </xf>
    <xf numFmtId="169" fontId="9" fillId="0" borderId="8" xfId="1" applyNumberFormat="1" applyFont="1" applyFill="1" applyBorder="1" applyAlignment="1" applyProtection="1">
      <alignment horizontal="left" vertical="center"/>
      <protection locked="0"/>
    </xf>
    <xf numFmtId="169" fontId="0" fillId="0" borderId="0" xfId="1" applyNumberFormat="1" applyFont="1"/>
    <xf numFmtId="164" fontId="24" fillId="0" borderId="0" xfId="1" applyFont="1"/>
    <xf numFmtId="164" fontId="15" fillId="0" borderId="0" xfId="1" applyFont="1"/>
    <xf numFmtId="9" fontId="0" fillId="0" borderId="0" xfId="5" applyFont="1"/>
    <xf numFmtId="169" fontId="20" fillId="0" borderId="7" xfId="15" applyNumberFormat="1" applyFont="1" applyBorder="1"/>
    <xf numFmtId="9" fontId="9" fillId="0" borderId="0" xfId="5" applyFont="1" applyFill="1" applyBorder="1" applyAlignment="1" applyProtection="1">
      <alignment horizontal="center" vertical="center"/>
      <protection locked="0"/>
    </xf>
    <xf numFmtId="164" fontId="9" fillId="0" borderId="5" xfId="1" applyFont="1" applyFill="1" applyBorder="1" applyAlignment="1" applyProtection="1">
      <alignment horizontal="left" vertical="center"/>
      <protection locked="0"/>
    </xf>
    <xf numFmtId="164" fontId="11" fillId="0" borderId="5" xfId="1" applyFont="1" applyFill="1" applyBorder="1" applyAlignment="1" applyProtection="1">
      <alignment horizontal="left" vertical="center"/>
      <protection locked="0"/>
    </xf>
    <xf numFmtId="164" fontId="10" fillId="0" borderId="5" xfId="1" applyFont="1" applyBorder="1" applyAlignment="1" applyProtection="1">
      <alignment vertical="center"/>
      <protection hidden="1"/>
    </xf>
    <xf numFmtId="169" fontId="6" fillId="0" borderId="0" xfId="3" applyNumberFormat="1" applyFont="1" applyFill="1" applyBorder="1" applyAlignment="1" applyProtection="1">
      <alignment horizontal="left"/>
      <protection hidden="1"/>
    </xf>
    <xf numFmtId="169" fontId="6" fillId="0" borderId="0" xfId="2" applyNumberFormat="1" applyFont="1" applyAlignment="1" applyProtection="1">
      <alignment horizontal="center" vertical="center"/>
      <protection hidden="1"/>
    </xf>
    <xf numFmtId="169" fontId="6" fillId="0" borderId="6" xfId="2" applyNumberFormat="1" applyFont="1" applyBorder="1" applyAlignment="1" applyProtection="1">
      <alignment horizontal="center" vertical="center"/>
      <protection hidden="1"/>
    </xf>
    <xf numFmtId="169" fontId="6" fillId="0" borderId="0" xfId="2" applyNumberFormat="1" applyFont="1" applyAlignment="1" applyProtection="1">
      <alignment horizontal="left" vertical="center"/>
      <protection hidden="1"/>
    </xf>
    <xf numFmtId="164" fontId="9" fillId="0" borderId="0" xfId="1" applyFont="1" applyFill="1" applyBorder="1" applyAlignment="1" applyProtection="1">
      <alignment horizontal="center" vertical="center"/>
      <protection locked="0"/>
    </xf>
    <xf numFmtId="164" fontId="0" fillId="0" borderId="7" xfId="15" applyFont="1" applyBorder="1"/>
    <xf numFmtId="164" fontId="16" fillId="0" borderId="7" xfId="15" applyFont="1" applyBorder="1"/>
    <xf numFmtId="170" fontId="16" fillId="0" borderId="7" xfId="5" applyNumberFormat="1" applyFont="1" applyBorder="1" applyAlignment="1">
      <alignment horizontal="center"/>
    </xf>
    <xf numFmtId="169" fontId="10" fillId="0" borderId="5" xfId="1" applyNumberFormat="1" applyFont="1" applyBorder="1" applyAlignment="1" applyProtection="1">
      <alignment vertical="center"/>
      <protection hidden="1"/>
    </xf>
    <xf numFmtId="0" fontId="29" fillId="0" borderId="0" xfId="17" applyFont="1" applyAlignment="1">
      <alignment horizontal="left" vertical="center"/>
    </xf>
    <xf numFmtId="0" fontId="30" fillId="0" borderId="0" xfId="0" applyFont="1"/>
    <xf numFmtId="0" fontId="31" fillId="5" borderId="10" xfId="0" applyFont="1" applyFill="1" applyBorder="1" applyAlignment="1">
      <alignment horizontal="center"/>
    </xf>
    <xf numFmtId="17" fontId="32" fillId="5" borderId="10" xfId="0" applyNumberFormat="1" applyFont="1" applyFill="1" applyBorder="1" applyAlignment="1">
      <alignment horizontal="center"/>
    </xf>
    <xf numFmtId="17" fontId="32" fillId="5" borderId="11" xfId="0" applyNumberFormat="1" applyFont="1" applyFill="1" applyBorder="1" applyAlignment="1">
      <alignment horizontal="center"/>
    </xf>
    <xf numFmtId="169" fontId="30" fillId="0" borderId="0" xfId="1" applyNumberFormat="1" applyFont="1"/>
    <xf numFmtId="0" fontId="28" fillId="4" borderId="9" xfId="18"/>
    <xf numFmtId="10" fontId="28" fillId="4" borderId="9" xfId="18" applyNumberFormat="1"/>
    <xf numFmtId="10" fontId="30" fillId="0" borderId="0" xfId="0" applyNumberFormat="1" applyFont="1"/>
    <xf numFmtId="169" fontId="30" fillId="0" borderId="0" xfId="0" applyNumberFormat="1" applyFont="1"/>
    <xf numFmtId="164" fontId="30" fillId="0" borderId="0" xfId="1" applyFont="1"/>
    <xf numFmtId="164" fontId="30" fillId="0" borderId="0" xfId="0" applyNumberFormat="1" applyFont="1"/>
    <xf numFmtId="169" fontId="10" fillId="0" borderId="0" xfId="1" applyNumberFormat="1" applyFont="1" applyFill="1" applyBorder="1" applyAlignment="1" applyProtection="1">
      <alignment horizontal="left" vertical="center"/>
      <protection locked="0"/>
    </xf>
    <xf numFmtId="169" fontId="12" fillId="0" borderId="0" xfId="1" applyNumberFormat="1" applyFont="1" applyFill="1" applyBorder="1" applyAlignment="1" applyProtection="1">
      <alignment horizontal="left" vertical="center"/>
      <protection locked="0"/>
    </xf>
    <xf numFmtId="169" fontId="8" fillId="0" borderId="5" xfId="1" applyNumberFormat="1" applyFont="1" applyFill="1" applyBorder="1" applyAlignment="1" applyProtection="1">
      <alignment horizontal="left" vertical="center"/>
      <protection locked="0"/>
    </xf>
    <xf numFmtId="169" fontId="12" fillId="0" borderId="6" xfId="1" applyNumberFormat="1" applyFont="1" applyFill="1" applyBorder="1" applyAlignment="1" applyProtection="1">
      <alignment horizontal="left" vertical="center"/>
      <protection locked="0"/>
    </xf>
    <xf numFmtId="164" fontId="8" fillId="0" borderId="5" xfId="1" applyFont="1" applyFill="1" applyBorder="1" applyAlignment="1" applyProtection="1">
      <alignment horizontal="left" vertical="center"/>
      <protection locked="0"/>
    </xf>
    <xf numFmtId="0" fontId="33" fillId="0" borderId="0" xfId="0" applyFont="1" applyAlignment="1">
      <alignment horizontal="left"/>
    </xf>
    <xf numFmtId="43" fontId="33" fillId="0" borderId="0" xfId="0" applyNumberFormat="1" applyFont="1" applyAlignment="1">
      <alignment horizontal="left"/>
    </xf>
    <xf numFmtId="10" fontId="0" fillId="0" borderId="0" xfId="5" applyNumberFormat="1" applyFont="1"/>
    <xf numFmtId="166" fontId="10" fillId="0" borderId="5" xfId="2" applyNumberFormat="1" applyFont="1" applyBorder="1" applyAlignment="1" applyProtection="1">
      <alignment horizontal="left" vertical="center"/>
      <protection hidden="1"/>
    </xf>
    <xf numFmtId="170" fontId="0" fillId="0" borderId="0" xfId="5" applyNumberFormat="1" applyFont="1"/>
    <xf numFmtId="4" fontId="34" fillId="0" borderId="0" xfId="19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7" xfId="5" applyNumberFormat="1" applyFont="1" applyBorder="1" applyAlignment="1">
      <alignment horizontal="center"/>
    </xf>
    <xf numFmtId="0" fontId="35" fillId="0" borderId="0" xfId="0" applyFont="1"/>
    <xf numFmtId="0" fontId="36" fillId="0" borderId="0" xfId="0" applyFont="1"/>
    <xf numFmtId="171" fontId="36" fillId="0" borderId="0" xfId="0" applyNumberFormat="1" applyFont="1"/>
    <xf numFmtId="43" fontId="36" fillId="0" borderId="0" xfId="0" applyNumberFormat="1" applyFont="1"/>
    <xf numFmtId="3" fontId="36" fillId="0" borderId="0" xfId="0" applyNumberFormat="1" applyFont="1"/>
    <xf numFmtId="169" fontId="36" fillId="0" borderId="0" xfId="1" applyNumberFormat="1" applyFont="1" applyBorder="1"/>
    <xf numFmtId="164" fontId="36" fillId="0" borderId="0" xfId="0" applyNumberFormat="1" applyFont="1"/>
    <xf numFmtId="164" fontId="36" fillId="0" borderId="0" xfId="1" applyFont="1"/>
    <xf numFmtId="0" fontId="38" fillId="0" borderId="0" xfId="2" applyFont="1" applyAlignment="1" applyProtection="1">
      <alignment vertical="center"/>
      <protection hidden="1"/>
    </xf>
    <xf numFmtId="164" fontId="39" fillId="0" borderId="1" xfId="3" applyFont="1" applyFill="1" applyBorder="1" applyAlignment="1" applyProtection="1">
      <alignment horizontal="left"/>
      <protection hidden="1"/>
    </xf>
    <xf numFmtId="165" fontId="40" fillId="0" borderId="0" xfId="2" applyNumberFormat="1" applyFont="1" applyAlignment="1" applyProtection="1">
      <alignment horizontal="center" vertical="center"/>
      <protection hidden="1"/>
    </xf>
    <xf numFmtId="164" fontId="40" fillId="0" borderId="0" xfId="1" applyFont="1" applyAlignment="1" applyProtection="1">
      <alignment horizontal="center" vertical="center"/>
      <protection hidden="1"/>
    </xf>
    <xf numFmtId="0" fontId="41" fillId="0" borderId="0" xfId="2" applyFont="1" applyAlignment="1" applyProtection="1">
      <alignment vertical="center"/>
      <protection hidden="1"/>
    </xf>
    <xf numFmtId="171" fontId="41" fillId="0" borderId="0" xfId="2" applyNumberFormat="1" applyFont="1" applyAlignment="1" applyProtection="1">
      <alignment vertical="center"/>
      <protection hidden="1"/>
    </xf>
    <xf numFmtId="164" fontId="42" fillId="3" borderId="2" xfId="3" applyFont="1" applyFill="1" applyBorder="1" applyAlignment="1" applyProtection="1">
      <alignment horizontal="left" vertical="center"/>
      <protection hidden="1"/>
    </xf>
    <xf numFmtId="164" fontId="42" fillId="3" borderId="2" xfId="3" applyFont="1" applyFill="1" applyBorder="1" applyAlignment="1" applyProtection="1">
      <alignment horizontal="center" vertical="center"/>
      <protection hidden="1"/>
    </xf>
    <xf numFmtId="164" fontId="42" fillId="3" borderId="3" xfId="3" applyFont="1" applyFill="1" applyBorder="1" applyAlignment="1" applyProtection="1">
      <alignment horizontal="center" vertical="center"/>
      <protection hidden="1"/>
    </xf>
    <xf numFmtId="164" fontId="42" fillId="0" borderId="0" xfId="3" applyFont="1" applyFill="1" applyBorder="1" applyAlignment="1" applyProtection="1">
      <alignment horizontal="center" vertical="center"/>
      <protection hidden="1"/>
    </xf>
    <xf numFmtId="165" fontId="42" fillId="0" borderId="0" xfId="2" quotePrefix="1" applyNumberFormat="1" applyFont="1" applyAlignment="1" applyProtection="1">
      <alignment horizontal="center" vertical="center"/>
      <protection hidden="1"/>
    </xf>
    <xf numFmtId="165" fontId="42" fillId="0" borderId="0" xfId="2" applyNumberFormat="1" applyFont="1" applyAlignment="1" applyProtection="1">
      <alignment horizontal="center" vertical="center"/>
      <protection hidden="1"/>
    </xf>
    <xf numFmtId="164" fontId="40" fillId="0" borderId="0" xfId="3" applyFont="1" applyFill="1" applyBorder="1" applyAlignment="1" applyProtection="1">
      <alignment horizontal="left"/>
      <protection hidden="1"/>
    </xf>
    <xf numFmtId="169" fontId="40" fillId="0" borderId="0" xfId="2" applyNumberFormat="1" applyFont="1" applyAlignment="1" applyProtection="1">
      <alignment horizontal="center" vertical="center"/>
      <protection hidden="1"/>
    </xf>
    <xf numFmtId="17" fontId="40" fillId="0" borderId="0" xfId="2" applyNumberFormat="1" applyFont="1" applyAlignment="1" applyProtection="1">
      <alignment horizontal="center" vertical="center"/>
      <protection hidden="1"/>
    </xf>
    <xf numFmtId="166" fontId="43" fillId="0" borderId="7" xfId="2" applyNumberFormat="1" applyFont="1" applyBorder="1" applyAlignment="1" applyProtection="1">
      <alignment vertical="center"/>
      <protection hidden="1"/>
    </xf>
    <xf numFmtId="169" fontId="36" fillId="0" borderId="7" xfId="1" applyNumberFormat="1" applyFont="1" applyFill="1" applyBorder="1" applyAlignment="1" applyProtection="1">
      <alignment horizontal="left" vertical="center"/>
      <protection locked="0"/>
    </xf>
    <xf numFmtId="169" fontId="36" fillId="0" borderId="0" xfId="1" applyNumberFormat="1" applyFont="1" applyFill="1" applyBorder="1" applyAlignment="1" applyProtection="1">
      <alignment horizontal="left" vertical="center"/>
      <protection locked="0"/>
    </xf>
    <xf numFmtId="169" fontId="36" fillId="0" borderId="0" xfId="1" applyNumberFormat="1" applyFont="1" applyFill="1" applyBorder="1" applyAlignment="1" applyProtection="1">
      <alignment horizontal="center" vertical="center"/>
      <protection locked="0"/>
    </xf>
    <xf numFmtId="0" fontId="44" fillId="0" borderId="0" xfId="0" applyFont="1"/>
    <xf numFmtId="166" fontId="42" fillId="0" borderId="7" xfId="2" applyNumberFormat="1" applyFont="1" applyBorder="1" applyAlignment="1" applyProtection="1">
      <alignment vertical="center"/>
      <protection hidden="1"/>
    </xf>
    <xf numFmtId="169" fontId="37" fillId="0" borderId="7" xfId="1" applyNumberFormat="1" applyFont="1" applyFill="1" applyBorder="1" applyAlignment="1" applyProtection="1">
      <alignment horizontal="left" vertical="center"/>
      <protection locked="0"/>
    </xf>
    <xf numFmtId="169" fontId="37" fillId="0" borderId="0" xfId="1" applyNumberFormat="1" applyFont="1" applyFill="1" applyBorder="1" applyAlignment="1" applyProtection="1">
      <alignment horizontal="left" vertical="center"/>
      <protection locked="0"/>
    </xf>
    <xf numFmtId="0" fontId="37" fillId="0" borderId="0" xfId="0" applyFont="1"/>
    <xf numFmtId="9" fontId="37" fillId="0" borderId="0" xfId="5" applyFont="1"/>
    <xf numFmtId="9" fontId="45" fillId="0" borderId="7" xfId="5" applyFont="1" applyBorder="1" applyAlignment="1" applyProtection="1">
      <alignment vertical="center"/>
      <protection hidden="1"/>
    </xf>
    <xf numFmtId="169" fontId="36" fillId="0" borderId="7" xfId="1" applyNumberFormat="1" applyFont="1" applyFill="1" applyBorder="1" applyAlignment="1" applyProtection="1">
      <alignment horizontal="center" vertical="center"/>
      <protection locked="0"/>
    </xf>
    <xf numFmtId="170" fontId="36" fillId="0" borderId="7" xfId="5" applyNumberFormat="1" applyFont="1" applyFill="1" applyBorder="1" applyAlignment="1" applyProtection="1">
      <alignment horizontal="center" vertical="center"/>
      <protection locked="0"/>
    </xf>
    <xf numFmtId="164" fontId="37" fillId="0" borderId="0" xfId="0" applyNumberFormat="1" applyFont="1"/>
    <xf numFmtId="166" fontId="45" fillId="0" borderId="7" xfId="2" applyNumberFormat="1" applyFont="1" applyBorder="1" applyAlignment="1" applyProtection="1">
      <alignment horizontal="left" vertical="center" indent="1"/>
      <protection hidden="1"/>
    </xf>
    <xf numFmtId="169" fontId="37" fillId="0" borderId="0" xfId="1" applyNumberFormat="1" applyFont="1" applyFill="1" applyBorder="1" applyAlignment="1" applyProtection="1">
      <alignment horizontal="center" vertical="center"/>
      <protection locked="0"/>
    </xf>
    <xf numFmtId="164" fontId="37" fillId="0" borderId="0" xfId="1" applyFont="1" applyBorder="1"/>
    <xf numFmtId="166" fontId="45" fillId="0" borderId="0" xfId="2" applyNumberFormat="1" applyFont="1" applyAlignment="1" applyProtection="1">
      <alignment vertical="center"/>
      <protection hidden="1"/>
    </xf>
    <xf numFmtId="170" fontId="36" fillId="0" borderId="0" xfId="5" applyNumberFormat="1" applyFont="1" applyFill="1" applyBorder="1" applyAlignment="1" applyProtection="1">
      <alignment horizontal="center" vertical="center"/>
      <protection locked="0"/>
    </xf>
    <xf numFmtId="164" fontId="43" fillId="0" borderId="5" xfId="1" applyFont="1" applyBorder="1" applyAlignment="1" applyProtection="1">
      <alignment vertical="center"/>
      <protection hidden="1"/>
    </xf>
    <xf numFmtId="0" fontId="46" fillId="0" borderId="0" xfId="2" applyFont="1" applyAlignment="1" applyProtection="1">
      <alignment vertical="center"/>
      <protection hidden="1"/>
    </xf>
    <xf numFmtId="164" fontId="47" fillId="0" borderId="0" xfId="1" applyFont="1" applyAlignment="1" applyProtection="1">
      <alignment horizontal="center" vertical="center"/>
      <protection hidden="1"/>
    </xf>
    <xf numFmtId="167" fontId="47" fillId="0" borderId="0" xfId="2" applyNumberFormat="1" applyFont="1" applyAlignment="1" applyProtection="1">
      <alignment horizontal="center" vertical="center"/>
      <protection hidden="1"/>
    </xf>
    <xf numFmtId="4" fontId="36" fillId="0" borderId="0" xfId="0" applyNumberFormat="1" applyFont="1"/>
    <xf numFmtId="169" fontId="36" fillId="0" borderId="0" xfId="0" applyNumberFormat="1" applyFont="1"/>
    <xf numFmtId="164" fontId="16" fillId="3" borderId="7" xfId="15" applyFont="1" applyFill="1" applyBorder="1" applyAlignment="1">
      <alignment horizontal="center"/>
    </xf>
    <xf numFmtId="170" fontId="0" fillId="0" borderId="7" xfId="5" applyNumberFormat="1" applyFont="1" applyBorder="1" applyAlignment="1">
      <alignment horizontal="center"/>
    </xf>
    <xf numFmtId="170" fontId="36" fillId="0" borderId="0" xfId="5" applyNumberFormat="1" applyFont="1"/>
    <xf numFmtId="166" fontId="43" fillId="0" borderId="12" xfId="2" applyNumberFormat="1" applyFont="1" applyBorder="1" applyAlignment="1" applyProtection="1">
      <alignment vertical="center"/>
      <protection hidden="1"/>
    </xf>
    <xf numFmtId="164" fontId="36" fillId="0" borderId="7" xfId="1" applyFont="1" applyFill="1" applyBorder="1" applyAlignment="1" applyProtection="1">
      <alignment horizontal="left" vertical="center"/>
      <protection locked="0"/>
    </xf>
    <xf numFmtId="166" fontId="10" fillId="0" borderId="13" xfId="2" applyNumberFormat="1" applyFont="1" applyBorder="1" applyAlignment="1" applyProtection="1">
      <alignment vertical="center"/>
      <protection hidden="1"/>
    </xf>
    <xf numFmtId="169" fontId="10" fillId="0" borderId="13" xfId="1" applyNumberFormat="1" applyFont="1" applyFill="1" applyBorder="1" applyAlignment="1" applyProtection="1">
      <alignment horizontal="left" vertical="center"/>
      <protection locked="0"/>
    </xf>
    <xf numFmtId="169" fontId="12" fillId="0" borderId="14" xfId="1" applyNumberFormat="1" applyFont="1" applyFill="1" applyBorder="1" applyAlignment="1" applyProtection="1">
      <alignment horizontal="left" vertical="center"/>
      <protection hidden="1"/>
    </xf>
    <xf numFmtId="169" fontId="12" fillId="0" borderId="14" xfId="1" applyNumberFormat="1" applyFont="1" applyBorder="1" applyAlignment="1" applyProtection="1">
      <alignment horizontal="left" vertical="center"/>
      <protection hidden="1"/>
    </xf>
    <xf numFmtId="169" fontId="12" fillId="0" borderId="15" xfId="1" applyNumberFormat="1" applyFont="1" applyFill="1" applyBorder="1" applyAlignment="1" applyProtection="1">
      <alignment horizontal="left" vertical="center"/>
      <protection hidden="1"/>
    </xf>
    <xf numFmtId="169" fontId="12" fillId="0" borderId="15" xfId="1" applyNumberFormat="1" applyFont="1" applyBorder="1" applyAlignment="1" applyProtection="1">
      <alignment horizontal="left" vertical="center"/>
      <protection hidden="1"/>
    </xf>
    <xf numFmtId="169" fontId="10" fillId="0" borderId="14" xfId="1" applyNumberFormat="1" applyFont="1" applyFill="1" applyBorder="1" applyAlignment="1" applyProtection="1">
      <alignment horizontal="left" vertical="center"/>
      <protection locked="0"/>
    </xf>
    <xf numFmtId="169" fontId="8" fillId="0" borderId="1" xfId="1" applyNumberFormat="1" applyFont="1" applyFill="1" applyBorder="1" applyAlignment="1" applyProtection="1">
      <alignment horizontal="left" vertical="center"/>
      <protection locked="0"/>
    </xf>
    <xf numFmtId="1" fontId="0" fillId="0" borderId="0" xfId="0" applyNumberFormat="1" applyAlignment="1">
      <alignment horizontal="left"/>
    </xf>
    <xf numFmtId="0" fontId="20" fillId="0" borderId="0" xfId="14" applyFont="1" applyAlignment="1">
      <alignment horizontal="left"/>
    </xf>
    <xf numFmtId="169" fontId="20" fillId="0" borderId="0" xfId="15" applyNumberFormat="1" applyFont="1" applyBorder="1"/>
    <xf numFmtId="0" fontId="22" fillId="0" borderId="0" xfId="14" applyFont="1" applyAlignment="1">
      <alignment horizontal="left"/>
    </xf>
    <xf numFmtId="169" fontId="22" fillId="0" borderId="0" xfId="15" applyNumberFormat="1" applyFont="1" applyBorder="1"/>
    <xf numFmtId="164" fontId="21" fillId="0" borderId="0" xfId="1" applyFont="1"/>
    <xf numFmtId="165" fontId="42" fillId="0" borderId="10" xfId="2" quotePrefix="1" applyNumberFormat="1" applyFont="1" applyBorder="1" applyAlignment="1" applyProtection="1">
      <alignment horizontal="center" vertical="center"/>
      <protection hidden="1"/>
    </xf>
    <xf numFmtId="172" fontId="36" fillId="0" borderId="0" xfId="0" applyNumberFormat="1" applyFont="1"/>
    <xf numFmtId="169" fontId="40" fillId="0" borderId="1" xfId="1" applyNumberFormat="1" applyFont="1" applyBorder="1" applyAlignment="1" applyProtection="1">
      <alignment horizontal="center" vertical="center"/>
      <protection hidden="1"/>
    </xf>
    <xf numFmtId="169" fontId="36" fillId="0" borderId="0" xfId="1" applyNumberFormat="1" applyFont="1" applyFill="1" applyBorder="1"/>
    <xf numFmtId="0" fontId="37" fillId="0" borderId="0" xfId="0" applyFont="1" applyAlignment="1">
      <alignment horizontal="center"/>
    </xf>
    <xf numFmtId="169" fontId="40" fillId="0" borderId="0" xfId="1" applyNumberFormat="1" applyFont="1" applyBorder="1" applyAlignment="1" applyProtection="1">
      <alignment horizontal="center" vertical="center"/>
      <protection hidden="1"/>
    </xf>
    <xf numFmtId="164" fontId="42" fillId="3" borderId="5" xfId="3" applyFont="1" applyFill="1" applyBorder="1" applyAlignment="1" applyProtection="1">
      <alignment horizontal="center" vertical="center"/>
      <protection hidden="1"/>
    </xf>
    <xf numFmtId="1" fontId="8" fillId="0" borderId="0" xfId="2" applyNumberFormat="1" applyFont="1" applyAlignment="1" applyProtection="1">
      <alignment horizontal="center" vertical="center"/>
      <protection hidden="1"/>
    </xf>
    <xf numFmtId="1" fontId="42" fillId="0" borderId="10" xfId="2" quotePrefix="1" applyNumberFormat="1" applyFont="1" applyBorder="1" applyAlignment="1" applyProtection="1">
      <alignment horizontal="center" vertical="center"/>
      <protection hidden="1"/>
    </xf>
    <xf numFmtId="164" fontId="39" fillId="0" borderId="0" xfId="3" applyFont="1" applyFill="1" applyBorder="1" applyAlignment="1" applyProtection="1">
      <alignment horizontal="left"/>
      <protection hidden="1"/>
    </xf>
    <xf numFmtId="169" fontId="43" fillId="0" borderId="7" xfId="1" applyNumberFormat="1" applyFont="1" applyBorder="1" applyAlignment="1" applyProtection="1">
      <alignment vertical="center"/>
      <protection hidden="1"/>
    </xf>
    <xf numFmtId="169" fontId="36" fillId="0" borderId="0" xfId="1" applyNumberFormat="1" applyFont="1"/>
    <xf numFmtId="169" fontId="39" fillId="0" borderId="0" xfId="1" applyNumberFormat="1" applyFont="1" applyFill="1" applyBorder="1" applyAlignment="1" applyProtection="1">
      <alignment horizontal="left"/>
      <protection hidden="1"/>
    </xf>
    <xf numFmtId="169" fontId="42" fillId="3" borderId="2" xfId="1" applyNumberFormat="1" applyFont="1" applyFill="1" applyBorder="1" applyAlignment="1" applyProtection="1">
      <alignment horizontal="center" vertical="center"/>
      <protection hidden="1"/>
    </xf>
    <xf numFmtId="169" fontId="40" fillId="0" borderId="0" xfId="1" applyNumberFormat="1" applyFont="1" applyFill="1" applyBorder="1" applyAlignment="1" applyProtection="1">
      <alignment horizontal="left"/>
      <protection hidden="1"/>
    </xf>
    <xf numFmtId="169" fontId="45" fillId="0" borderId="7" xfId="1" applyNumberFormat="1" applyFont="1" applyBorder="1" applyAlignment="1" applyProtection="1">
      <alignment vertical="center"/>
      <protection hidden="1"/>
    </xf>
    <xf numFmtId="169" fontId="42" fillId="0" borderId="7" xfId="1" applyNumberFormat="1" applyFont="1" applyBorder="1" applyAlignment="1" applyProtection="1">
      <alignment vertical="center"/>
      <protection hidden="1"/>
    </xf>
    <xf numFmtId="169" fontId="45" fillId="0" borderId="0" xfId="1" applyNumberFormat="1" applyFont="1" applyAlignment="1" applyProtection="1">
      <alignment vertical="center"/>
      <protection hidden="1"/>
    </xf>
    <xf numFmtId="169" fontId="47" fillId="0" borderId="0" xfId="1" applyNumberFormat="1" applyFont="1" applyAlignment="1" applyProtection="1">
      <alignment vertical="center"/>
      <protection hidden="1"/>
    </xf>
    <xf numFmtId="166" fontId="36" fillId="0" borderId="7" xfId="2" applyNumberFormat="1" applyFont="1" applyBorder="1" applyAlignment="1" applyProtection="1">
      <alignment vertical="center"/>
      <protection hidden="1"/>
    </xf>
    <xf numFmtId="166" fontId="36" fillId="0" borderId="12" xfId="2" applyNumberFormat="1" applyFont="1" applyBorder="1" applyAlignment="1" applyProtection="1">
      <alignment vertical="center"/>
      <protection hidden="1"/>
    </xf>
    <xf numFmtId="173" fontId="36" fillId="0" borderId="0" xfId="0" applyNumberFormat="1" applyFont="1"/>
    <xf numFmtId="169" fontId="9" fillId="7" borderId="0" xfId="1" applyNumberFormat="1" applyFont="1" applyFill="1" applyBorder="1" applyAlignment="1" applyProtection="1">
      <alignment horizontal="left" vertical="center"/>
      <protection locked="0"/>
    </xf>
    <xf numFmtId="0" fontId="49" fillId="0" borderId="0" xfId="0" applyFont="1"/>
    <xf numFmtId="4" fontId="0" fillId="0" borderId="0" xfId="0" applyNumberFormat="1"/>
    <xf numFmtId="0" fontId="23" fillId="0" borderId="0" xfId="0" applyFont="1"/>
    <xf numFmtId="0" fontId="0" fillId="0" borderId="0" xfId="0" applyAlignment="1">
      <alignment vertical="center"/>
    </xf>
    <xf numFmtId="0" fontId="25" fillId="6" borderId="7" xfId="0" applyFont="1" applyFill="1" applyBorder="1"/>
    <xf numFmtId="0" fontId="25" fillId="8" borderId="7" xfId="0" applyFont="1" applyFill="1" applyBorder="1"/>
    <xf numFmtId="0" fontId="25" fillId="0" borderId="7" xfId="0" applyFont="1" applyBorder="1"/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4" fontId="0" fillId="0" borderId="7" xfId="0" applyNumberFormat="1" applyBorder="1" applyAlignment="1">
      <alignment vertical="center"/>
    </xf>
    <xf numFmtId="4" fontId="0" fillId="0" borderId="7" xfId="0" applyNumberFormat="1" applyBorder="1"/>
    <xf numFmtId="0" fontId="48" fillId="6" borderId="7" xfId="0" applyFont="1" applyFill="1" applyBorder="1"/>
    <xf numFmtId="0" fontId="48" fillId="0" borderId="7" xfId="0" applyFont="1" applyBorder="1"/>
    <xf numFmtId="164" fontId="0" fillId="0" borderId="7" xfId="1" applyFont="1" applyBorder="1"/>
    <xf numFmtId="0" fontId="16" fillId="0" borderId="7" xfId="0" applyFont="1" applyBorder="1"/>
    <xf numFmtId="4" fontId="48" fillId="0" borderId="7" xfId="0" applyNumberFormat="1" applyFont="1" applyBorder="1"/>
    <xf numFmtId="0" fontId="50" fillId="0" borderId="0" xfId="0" applyFont="1"/>
    <xf numFmtId="164" fontId="48" fillId="0" borderId="7" xfId="1" applyFont="1" applyBorder="1"/>
    <xf numFmtId="0" fontId="48" fillId="6" borderId="7" xfId="0" applyFont="1" applyFill="1" applyBorder="1" applyAlignment="1">
      <alignment horizontal="left"/>
    </xf>
    <xf numFmtId="0" fontId="48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51" fillId="0" borderId="0" xfId="0" applyFont="1"/>
    <xf numFmtId="0" fontId="0" fillId="9" borderId="7" xfId="0" applyFill="1" applyBorder="1"/>
    <xf numFmtId="0" fontId="0" fillId="9" borderId="7" xfId="0" applyFill="1" applyBorder="1" applyAlignment="1">
      <alignment horizontal="left"/>
    </xf>
    <xf numFmtId="4" fontId="0" fillId="9" borderId="7" xfId="0" applyNumberFormat="1" applyFill="1" applyBorder="1"/>
    <xf numFmtId="164" fontId="37" fillId="0" borderId="7" xfId="1" applyFont="1" applyFill="1" applyBorder="1" applyAlignment="1" applyProtection="1">
      <alignment horizontal="left" vertical="center"/>
      <protection locked="0"/>
    </xf>
    <xf numFmtId="164" fontId="0" fillId="0" borderId="0" xfId="0" applyNumberFormat="1" applyAlignment="1">
      <alignment horizontal="left"/>
    </xf>
    <xf numFmtId="2" fontId="0" fillId="0" borderId="0" xfId="0" applyNumberFormat="1"/>
    <xf numFmtId="0" fontId="48" fillId="0" borderId="0" xfId="0" applyFont="1"/>
    <xf numFmtId="4" fontId="52" fillId="0" borderId="7" xfId="0" applyNumberFormat="1" applyFont="1" applyBorder="1"/>
    <xf numFmtId="0" fontId="0" fillId="0" borderId="7" xfId="0" quotePrefix="1" applyBorder="1"/>
    <xf numFmtId="4" fontId="16" fillId="0" borderId="7" xfId="0" applyNumberFormat="1" applyFont="1" applyBorder="1"/>
    <xf numFmtId="164" fontId="16" fillId="0" borderId="7" xfId="0" applyNumberFormat="1" applyFont="1" applyBorder="1"/>
    <xf numFmtId="164" fontId="0" fillId="0" borderId="7" xfId="0" applyNumberFormat="1" applyBorder="1"/>
    <xf numFmtId="15" fontId="0" fillId="0" borderId="7" xfId="0" applyNumberFormat="1" applyBorder="1" applyAlignment="1">
      <alignment horizontal="left" vertical="center"/>
    </xf>
    <xf numFmtId="169" fontId="11" fillId="0" borderId="5" xfId="1" applyNumberFormat="1" applyFont="1" applyFill="1" applyBorder="1" applyAlignment="1" applyProtection="1">
      <alignment horizontal="left" vertical="center"/>
    </xf>
    <xf numFmtId="164" fontId="10" fillId="0" borderId="0" xfId="1" applyFont="1" applyFill="1" applyBorder="1" applyAlignment="1" applyProtection="1">
      <alignment horizontal="left" vertical="center"/>
      <protection locked="0"/>
    </xf>
    <xf numFmtId="0" fontId="54" fillId="8" borderId="16" xfId="0" applyFont="1" applyFill="1" applyBorder="1" applyAlignment="1">
      <alignment horizontal="left"/>
    </xf>
    <xf numFmtId="0" fontId="53" fillId="6" borderId="16" xfId="0" applyFont="1" applyFill="1" applyBorder="1" applyAlignment="1">
      <alignment horizontal="left"/>
    </xf>
    <xf numFmtId="0" fontId="3" fillId="0" borderId="0" xfId="0" applyFont="1"/>
    <xf numFmtId="164" fontId="55" fillId="0" borderId="0" xfId="0" applyNumberFormat="1" applyFont="1"/>
    <xf numFmtId="164" fontId="56" fillId="0" borderId="0" xfId="1" applyFont="1" applyAlignment="1" applyProtection="1">
      <alignment horizontal="center" vertical="center"/>
      <protection hidden="1"/>
    </xf>
    <xf numFmtId="166" fontId="8" fillId="0" borderId="0" xfId="2" applyNumberFormat="1" applyFont="1" applyAlignment="1" applyProtection="1">
      <alignment vertical="center"/>
      <protection hidden="1"/>
    </xf>
    <xf numFmtId="169" fontId="8" fillId="0" borderId="0" xfId="1" applyNumberFormat="1" applyFont="1" applyFill="1" applyBorder="1" applyAlignment="1" applyProtection="1">
      <alignment horizontal="left" vertical="center"/>
      <protection locked="0"/>
    </xf>
    <xf numFmtId="0" fontId="57" fillId="10" borderId="16" xfId="0" applyFont="1" applyFill="1" applyBorder="1" applyAlignment="1">
      <alignment horizontal="left"/>
    </xf>
    <xf numFmtId="169" fontId="53" fillId="6" borderId="16" xfId="1" applyNumberFormat="1" applyFont="1" applyFill="1" applyBorder="1" applyAlignment="1">
      <alignment horizontal="right"/>
    </xf>
    <xf numFmtId="169" fontId="54" fillId="8" borderId="16" xfId="1" applyNumberFormat="1" applyFont="1" applyFill="1" applyBorder="1" applyAlignment="1">
      <alignment horizontal="right"/>
    </xf>
    <xf numFmtId="164" fontId="33" fillId="0" borderId="0" xfId="1" applyFont="1"/>
    <xf numFmtId="0" fontId="58" fillId="0" borderId="0" xfId="0" applyFont="1"/>
    <xf numFmtId="0" fontId="33" fillId="0" borderId="0" xfId="0" applyFont="1"/>
    <xf numFmtId="164" fontId="33" fillId="0" borderId="0" xfId="0" applyNumberFormat="1" applyFont="1"/>
    <xf numFmtId="43" fontId="33" fillId="0" borderId="0" xfId="0" applyNumberFormat="1" applyFont="1"/>
    <xf numFmtId="43" fontId="25" fillId="0" borderId="0" xfId="0" applyNumberFormat="1" applyFont="1"/>
    <xf numFmtId="0" fontId="25" fillId="0" borderId="0" xfId="0" applyFont="1"/>
    <xf numFmtId="0" fontId="53" fillId="6" borderId="16" xfId="0" applyFont="1" applyFill="1" applyBorder="1" applyAlignment="1">
      <alignment horizontal="right"/>
    </xf>
    <xf numFmtId="0" fontId="59" fillId="0" borderId="0" xfId="2" applyFont="1" applyAlignment="1" applyProtection="1">
      <alignment vertical="center"/>
      <protection locked="0"/>
    </xf>
    <xf numFmtId="164" fontId="14" fillId="0" borderId="0" xfId="1" applyFont="1" applyFill="1" applyAlignment="1" applyProtection="1">
      <alignment vertical="center"/>
      <protection hidden="1"/>
    </xf>
    <xf numFmtId="169" fontId="14" fillId="0" borderId="0" xfId="1" applyNumberFormat="1" applyFont="1" applyFill="1" applyAlignment="1" applyProtection="1">
      <alignment vertical="center"/>
      <protection hidden="1"/>
    </xf>
    <xf numFmtId="164" fontId="14" fillId="0" borderId="0" xfId="1" applyFont="1" applyFill="1" applyBorder="1" applyAlignment="1" applyProtection="1">
      <alignment vertical="center"/>
      <protection hidden="1"/>
    </xf>
    <xf numFmtId="164" fontId="14" fillId="0" borderId="0" xfId="1" applyFont="1" applyAlignment="1" applyProtection="1">
      <alignment vertical="center"/>
      <protection hidden="1"/>
    </xf>
    <xf numFmtId="169" fontId="14" fillId="0" borderId="0" xfId="1" applyNumberFormat="1" applyFont="1" applyAlignment="1" applyProtection="1">
      <alignment vertical="center"/>
      <protection hidden="1"/>
    </xf>
    <xf numFmtId="0" fontId="1" fillId="0" borderId="0" xfId="0" applyFont="1"/>
    <xf numFmtId="4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7" fillId="0" borderId="0" xfId="1" applyFont="1" applyAlignment="1" applyProtection="1">
      <alignment vertical="center"/>
      <protection hidden="1"/>
    </xf>
    <xf numFmtId="164" fontId="16" fillId="0" borderId="0" xfId="1" applyFont="1"/>
    <xf numFmtId="169" fontId="0" fillId="0" borderId="0" xfId="1" applyNumberFormat="1" applyFont="1" applyAlignment="1">
      <alignment horizontal="left"/>
    </xf>
    <xf numFmtId="169" fontId="6" fillId="0" borderId="0" xfId="1" applyNumberFormat="1" applyFont="1" applyFill="1" applyBorder="1" applyAlignment="1" applyProtection="1">
      <alignment horizontal="left"/>
      <protection hidden="1"/>
    </xf>
    <xf numFmtId="169" fontId="6" fillId="0" borderId="0" xfId="1" applyNumberFormat="1" applyFont="1" applyAlignment="1" applyProtection="1">
      <alignment horizontal="center" vertical="center"/>
      <protection hidden="1"/>
    </xf>
    <xf numFmtId="169" fontId="6" fillId="0" borderId="6" xfId="1" applyNumberFormat="1" applyFont="1" applyBorder="1" applyAlignment="1" applyProtection="1">
      <alignment horizontal="center" vertical="center"/>
      <protection hidden="1"/>
    </xf>
    <xf numFmtId="169" fontId="6" fillId="0" borderId="0" xfId="1" applyNumberFormat="1" applyFont="1" applyAlignment="1" applyProtection="1">
      <alignment horizontal="left" vertical="center"/>
      <protection hidden="1"/>
    </xf>
    <xf numFmtId="0" fontId="14" fillId="0" borderId="0" xfId="2" applyFont="1" applyAlignment="1" applyProtection="1">
      <alignment vertical="center"/>
      <protection hidden="1"/>
    </xf>
    <xf numFmtId="166" fontId="11" fillId="0" borderId="5" xfId="2" applyNumberFormat="1" applyFont="1" applyBorder="1" applyAlignment="1" applyProtection="1">
      <alignment vertical="center"/>
      <protection hidden="1"/>
    </xf>
    <xf numFmtId="169" fontId="9" fillId="0" borderId="5" xfId="1" applyNumberFormat="1" applyFont="1" applyFill="1" applyBorder="1" applyAlignment="1" applyProtection="1">
      <alignment vertical="center"/>
      <protection locked="0"/>
    </xf>
    <xf numFmtId="169" fontId="2" fillId="0" borderId="0" xfId="1" applyNumberFormat="1" applyFont="1"/>
    <xf numFmtId="169" fontId="1" fillId="0" borderId="0" xfId="1" applyNumberFormat="1" applyFont="1"/>
    <xf numFmtId="1" fontId="42" fillId="0" borderId="0" xfId="2" quotePrefix="1" applyNumberFormat="1" applyFont="1" applyAlignment="1" applyProtection="1">
      <alignment horizontal="center" vertical="center"/>
      <protection hidden="1"/>
    </xf>
    <xf numFmtId="0" fontId="60" fillId="0" borderId="0" xfId="0" applyFont="1"/>
    <xf numFmtId="0" fontId="61" fillId="0" borderId="0" xfId="2" applyFont="1" applyAlignment="1" applyProtection="1">
      <alignment vertical="center"/>
      <protection hidden="1"/>
    </xf>
    <xf numFmtId="169" fontId="62" fillId="0" borderId="8" xfId="1" applyNumberFormat="1" applyFont="1" applyFill="1" applyBorder="1" applyAlignment="1" applyProtection="1">
      <alignment horizontal="left" vertical="center"/>
      <protection locked="0"/>
    </xf>
    <xf numFmtId="164" fontId="61" fillId="0" borderId="0" xfId="1" applyFont="1" applyAlignment="1" applyProtection="1">
      <alignment horizontal="center" vertical="center"/>
      <protection hidden="1"/>
    </xf>
    <xf numFmtId="167" fontId="61" fillId="0" borderId="0" xfId="2" applyNumberFormat="1" applyFont="1" applyAlignment="1" applyProtection="1">
      <alignment horizontal="center" vertical="center"/>
      <protection hidden="1"/>
    </xf>
    <xf numFmtId="0" fontId="55" fillId="0" borderId="0" xfId="0" applyFont="1"/>
    <xf numFmtId="164" fontId="60" fillId="0" borderId="0" xfId="1" applyFont="1"/>
    <xf numFmtId="164" fontId="55" fillId="0" borderId="0" xfId="1" applyFont="1"/>
    <xf numFmtId="164" fontId="55" fillId="0" borderId="0" xfId="1" applyFont="1" applyBorder="1"/>
    <xf numFmtId="169" fontId="55" fillId="0" borderId="0" xfId="1" applyNumberFormat="1" applyFont="1"/>
    <xf numFmtId="0" fontId="63" fillId="0" borderId="0" xfId="2" applyFont="1" applyAlignment="1" applyProtection="1">
      <alignment vertical="center"/>
      <protection locked="0"/>
    </xf>
    <xf numFmtId="169" fontId="62" fillId="0" borderId="0" xfId="1" applyNumberFormat="1" applyFont="1" applyFill="1" applyBorder="1" applyAlignment="1" applyProtection="1">
      <alignment horizontal="left" vertical="center"/>
      <protection locked="0"/>
    </xf>
    <xf numFmtId="43" fontId="55" fillId="0" borderId="0" xfId="0" applyNumberFormat="1" applyFont="1"/>
    <xf numFmtId="169" fontId="55" fillId="0" borderId="0" xfId="0" applyNumberFormat="1" applyFont="1"/>
    <xf numFmtId="0" fontId="65" fillId="0" borderId="0" xfId="0" applyFont="1"/>
    <xf numFmtId="0" fontId="64" fillId="0" borderId="0" xfId="0" applyFont="1"/>
    <xf numFmtId="164" fontId="64" fillId="0" borderId="0" xfId="1" applyFont="1"/>
    <xf numFmtId="169" fontId="64" fillId="0" borderId="0" xfId="1" applyNumberFormat="1" applyFont="1"/>
    <xf numFmtId="164" fontId="64" fillId="0" borderId="0" xfId="0" applyNumberFormat="1" applyFont="1"/>
    <xf numFmtId="169" fontId="64" fillId="0" borderId="0" xfId="0" applyNumberFormat="1" applyFont="1"/>
    <xf numFmtId="170" fontId="64" fillId="0" borderId="0" xfId="5" applyNumberFormat="1" applyFont="1"/>
    <xf numFmtId="164" fontId="6" fillId="3" borderId="3" xfId="3" applyFont="1" applyFill="1" applyBorder="1" applyAlignment="1" applyProtection="1">
      <alignment horizontal="left" vertical="center"/>
      <protection hidden="1"/>
    </xf>
    <xf numFmtId="164" fontId="10" fillId="0" borderId="5" xfId="1" applyFont="1" applyBorder="1" applyAlignment="1" applyProtection="1">
      <alignment horizontal="left" vertical="center"/>
      <protection hidden="1"/>
    </xf>
    <xf numFmtId="169" fontId="10" fillId="0" borderId="5" xfId="1" applyNumberFormat="1" applyFont="1" applyBorder="1" applyAlignment="1" applyProtection="1">
      <alignment horizontal="right" vertical="center"/>
      <protection hidden="1"/>
    </xf>
    <xf numFmtId="0" fontId="57" fillId="10" borderId="16" xfId="0" applyFont="1" applyFill="1" applyBorder="1" applyAlignment="1">
      <alignment horizontal="right"/>
    </xf>
    <xf numFmtId="0" fontId="8" fillId="0" borderId="0" xfId="2" quotePrefix="1" applyFont="1" applyAlignment="1" applyProtection="1">
      <alignment horizontal="center" vertical="center"/>
      <protection hidden="1"/>
    </xf>
    <xf numFmtId="0" fontId="66" fillId="0" borderId="0" xfId="0" applyFont="1"/>
    <xf numFmtId="164" fontId="67" fillId="0" borderId="0" xfId="1" applyFont="1"/>
    <xf numFmtId="164" fontId="67" fillId="0" borderId="0" xfId="0" applyNumberFormat="1" applyFont="1"/>
    <xf numFmtId="0" fontId="67" fillId="0" borderId="0" xfId="0" applyFont="1"/>
    <xf numFmtId="169" fontId="67" fillId="0" borderId="0" xfId="0" applyNumberFormat="1" applyFont="1"/>
    <xf numFmtId="172" fontId="67" fillId="0" borderId="0" xfId="0" applyNumberFormat="1" applyFont="1"/>
    <xf numFmtId="43" fontId="67" fillId="0" borderId="0" xfId="0" applyNumberFormat="1" applyFont="1"/>
    <xf numFmtId="174" fontId="67" fillId="0" borderId="0" xfId="0" applyNumberFormat="1" applyFont="1"/>
    <xf numFmtId="169" fontId="67" fillId="0" borderId="0" xfId="1" applyNumberFormat="1" applyFont="1"/>
    <xf numFmtId="170" fontId="67" fillId="0" borderId="0" xfId="5" applyNumberFormat="1" applyFont="1"/>
    <xf numFmtId="164" fontId="42" fillId="0" borderId="0" xfId="3" applyFont="1" applyFill="1" applyBorder="1" applyAlignment="1" applyProtection="1">
      <alignment horizontal="center" vertical="center"/>
      <protection hidden="1"/>
    </xf>
    <xf numFmtId="0" fontId="68" fillId="0" borderId="0" xfId="0" applyFont="1"/>
    <xf numFmtId="0" fontId="69" fillId="0" borderId="0" xfId="2" applyFont="1" applyAlignment="1" applyProtection="1">
      <alignment vertical="center"/>
      <protection hidden="1"/>
    </xf>
    <xf numFmtId="164" fontId="70" fillId="0" borderId="0" xfId="1" applyFont="1"/>
    <xf numFmtId="164" fontId="69" fillId="0" borderId="0" xfId="1" applyFont="1" applyAlignment="1" applyProtection="1">
      <alignment horizontal="center" vertical="center"/>
      <protection hidden="1"/>
    </xf>
    <xf numFmtId="167" fontId="69" fillId="0" borderId="0" xfId="2" applyNumberFormat="1" applyFont="1" applyAlignment="1" applyProtection="1">
      <alignment horizontal="center" vertical="center"/>
      <protection hidden="1"/>
    </xf>
    <xf numFmtId="164" fontId="70" fillId="0" borderId="0" xfId="0" applyNumberFormat="1" applyFont="1"/>
    <xf numFmtId="169" fontId="69" fillId="0" borderId="0" xfId="1" applyNumberFormat="1" applyFont="1" applyAlignment="1" applyProtection="1">
      <alignment vertical="center"/>
      <protection hidden="1"/>
    </xf>
    <xf numFmtId="0" fontId="70" fillId="0" borderId="0" xfId="0" applyFont="1"/>
    <xf numFmtId="4" fontId="70" fillId="0" borderId="0" xfId="0" applyNumberFormat="1" applyFont="1"/>
    <xf numFmtId="169" fontId="70" fillId="0" borderId="0" xfId="0" applyNumberFormat="1" applyFont="1"/>
  </cellXfs>
  <cellStyles count="20">
    <cellStyle name="Comma" xfId="1" builtinId="3"/>
    <cellStyle name="Comma 2" xfId="6" xr:uid="{E46470C1-9B5A-4595-B209-B5A22F6FD35E}"/>
    <cellStyle name="Comma 2 2" xfId="7" xr:uid="{BA0C3283-85F2-41BD-9661-20BB2D881126}"/>
    <cellStyle name="Comma 3" xfId="3" xr:uid="{147C344F-3D53-4FE3-8774-243D3CF11B01}"/>
    <cellStyle name="Comma 3 2" xfId="16" xr:uid="{3758C139-D6F1-4644-901C-53F30D40E40A}"/>
    <cellStyle name="Comma 4" xfId="9" xr:uid="{191F8C21-BA55-403F-BC42-DFE1138F8939}"/>
    <cellStyle name="Comma 5" xfId="15" xr:uid="{24C21BC8-A91C-4AFE-9022-64F6AC64A7DA}"/>
    <cellStyle name="Hyperlink" xfId="19" builtinId="8"/>
    <cellStyle name="Hyperlink 2" xfId="12" xr:uid="{350FA1E1-E5C7-4199-AF70-85B280018591}"/>
    <cellStyle name="Input" xfId="18" builtinId="20"/>
    <cellStyle name="Normal" xfId="0" builtinId="0"/>
    <cellStyle name="Normal 2" xfId="8" xr:uid="{681FB9BE-6DC9-4FB1-A33D-E24E61A47736}"/>
    <cellStyle name="Normal 3" xfId="2" xr:uid="{E39BFA08-FE75-4DFC-A8E8-664EABCEF1BE}"/>
    <cellStyle name="Normal 3 2" xfId="11" xr:uid="{60DEF4BE-60B7-4F32-872F-44EA9054FC58}"/>
    <cellStyle name="Normal 4" xfId="13" xr:uid="{BB154376-835B-4ED8-9B12-C6EA34D5846E}"/>
    <cellStyle name="Normal 5" xfId="14" xr:uid="{F7A7360B-B185-477C-A0F4-1810C6835428}"/>
    <cellStyle name="Percent" xfId="5" builtinId="5"/>
    <cellStyle name="Percent 2" xfId="4" xr:uid="{D01D47D2-8288-454C-920B-CA85C2E1B8E3}"/>
    <cellStyle name="Percent 3" xfId="10" xr:uid="{CD6283D0-F5C1-46A2-B2E2-954EC1CA2F95}"/>
    <cellStyle name="Title" xfId="17" builtinId="15"/>
  </cellStyles>
  <dxfs count="1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DA0C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41238</xdr:colOff>
      <xdr:row>0</xdr:row>
      <xdr:rowOff>122122</xdr:rowOff>
    </xdr:from>
    <xdr:to>
      <xdr:col>2</xdr:col>
      <xdr:colOff>324830</xdr:colOff>
      <xdr:row>4</xdr:row>
      <xdr:rowOff>100781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89B25-1FA7-40B8-A654-929BB6B70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58" y="122122"/>
          <a:ext cx="3179192" cy="712719"/>
        </a:xfrm>
        <a:prstGeom prst="rect">
          <a:avLst/>
        </a:prstGeom>
      </xdr:spPr>
    </xdr:pic>
    <xdr:clientData/>
  </xdr:twoCellAnchor>
  <xdr:twoCellAnchor editAs="oneCell">
    <xdr:from>
      <xdr:col>1</xdr:col>
      <xdr:colOff>41238</xdr:colOff>
      <xdr:row>0</xdr:row>
      <xdr:rowOff>122122</xdr:rowOff>
    </xdr:from>
    <xdr:to>
      <xdr:col>2</xdr:col>
      <xdr:colOff>324830</xdr:colOff>
      <xdr:row>4</xdr:row>
      <xdr:rowOff>100781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BA1BC5-2352-4DC6-A30E-FF4E076A4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58" y="122122"/>
          <a:ext cx="3179192" cy="712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43025</xdr:colOff>
      <xdr:row>0</xdr:row>
      <xdr:rowOff>67235</xdr:rowOff>
    </xdr:from>
    <xdr:to>
      <xdr:col>13</xdr:col>
      <xdr:colOff>508777</xdr:colOff>
      <xdr:row>4</xdr:row>
      <xdr:rowOff>152960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50F125-00A4-42BB-B159-083124B44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729" y="67235"/>
          <a:ext cx="3531532" cy="8006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38100</xdr:rowOff>
    </xdr:from>
    <xdr:to>
      <xdr:col>2</xdr:col>
      <xdr:colOff>314072</xdr:colOff>
      <xdr:row>4</xdr:row>
      <xdr:rowOff>193712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F1EA96-5A66-42A8-B032-588F3BE2F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220980"/>
          <a:ext cx="3179192" cy="7042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42583</xdr:colOff>
      <xdr:row>0</xdr:row>
      <xdr:rowOff>76200</xdr:rowOff>
    </xdr:from>
    <xdr:to>
      <xdr:col>1</xdr:col>
      <xdr:colOff>3565225</xdr:colOff>
      <xdr:row>4</xdr:row>
      <xdr:rowOff>172085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C71AE-9579-4E57-A8DD-1003A8F18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065" y="76200"/>
          <a:ext cx="3531532" cy="802901"/>
        </a:xfrm>
        <a:prstGeom prst="rect">
          <a:avLst/>
        </a:prstGeom>
      </xdr:spPr>
    </xdr:pic>
    <xdr:clientData/>
  </xdr:twoCellAnchor>
  <xdr:twoCellAnchor editAs="oneCell">
    <xdr:from>
      <xdr:col>1</xdr:col>
      <xdr:colOff>43025</xdr:colOff>
      <xdr:row>0</xdr:row>
      <xdr:rowOff>67235</xdr:rowOff>
    </xdr:from>
    <xdr:to>
      <xdr:col>1</xdr:col>
      <xdr:colOff>3564397</xdr:colOff>
      <xdr:row>4</xdr:row>
      <xdr:rowOff>152960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8CA562-8E69-4AB6-B4E4-CF264779B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025" y="67235"/>
          <a:ext cx="3521372" cy="8172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25151</xdr:colOff>
      <xdr:row>2</xdr:row>
      <xdr:rowOff>20732</xdr:rowOff>
    </xdr:from>
    <xdr:to>
      <xdr:col>2</xdr:col>
      <xdr:colOff>554612</xdr:colOff>
      <xdr:row>5</xdr:row>
      <xdr:rowOff>136604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D95E8-F211-4726-A9A6-C3A849E57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218" y="393265"/>
          <a:ext cx="3167251" cy="6772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320040</xdr:colOff>
      <xdr:row>2</xdr:row>
      <xdr:rowOff>76200</xdr:rowOff>
    </xdr:from>
    <xdr:to>
      <xdr:col>13</xdr:col>
      <xdr:colOff>251012</xdr:colOff>
      <xdr:row>8</xdr:row>
      <xdr:rowOff>92784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8EADB1-0658-4714-B837-E5038977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240" y="441960"/>
          <a:ext cx="6636572" cy="1113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236220</xdr:colOff>
      <xdr:row>9</xdr:row>
      <xdr:rowOff>152400</xdr:rowOff>
    </xdr:from>
    <xdr:to>
      <xdr:col>15</xdr:col>
      <xdr:colOff>91440</xdr:colOff>
      <xdr:row>50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29D292-5360-6EE2-0AAF-3397290E6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" y="1798320"/>
          <a:ext cx="8389620" cy="7345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266700</xdr:colOff>
      <xdr:row>8</xdr:row>
      <xdr:rowOff>121920</xdr:rowOff>
    </xdr:from>
    <xdr:to>
      <xdr:col>21</xdr:col>
      <xdr:colOff>373380</xdr:colOff>
      <xdr:row>16</xdr:row>
      <xdr:rowOff>129540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B199F0-D827-B1A7-6C60-ADCB2D1E5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1584960"/>
          <a:ext cx="3154680" cy="147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2</xdr:row>
      <xdr:rowOff>20732</xdr:rowOff>
    </xdr:from>
    <xdr:to>
      <xdr:col>2</xdr:col>
      <xdr:colOff>415336</xdr:colOff>
      <xdr:row>5</xdr:row>
      <xdr:rowOff>139144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7D96D-27D1-407C-8995-D7837437F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38" y="386492"/>
          <a:ext cx="3163018" cy="6670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67235</xdr:rowOff>
    </xdr:from>
    <xdr:to>
      <xdr:col>1</xdr:col>
      <xdr:colOff>3567690</xdr:colOff>
      <xdr:row>4</xdr:row>
      <xdr:rowOff>152960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C114D-2475-4CC4-9253-4FA42C84D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93" y="67235"/>
          <a:ext cx="3531532" cy="847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ildnw-my.sharepoint.com/Excel/Fin/Fin/excel/Impwork/FLASH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AR%20Ajaz\01%20RAR%20Ajaz\00%20Accounts\Budget%202018%20with%20three%20mths%20Proj\01%20RAR%20BU's%20HO%20Budget%202018\4%20Industrial%20Units%20Budget%202018\01%20Steel%20-%202018%20Budget%20F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asood\Local%20Settings\Temporary%20Internet%20Files\OLKAFC\Personal\Budget_Planner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t-server\1-pmt\12-PMT%20Reports\000-PDI%20Excel%20sheet%20and%20Monthly%20reports%202011-2012\PMT-Rpt-Master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AUDIT\AUDIT9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yanapriya\AppData\Local\Microsoft\Windows\Temporary%20Internet%20Files\Content.Outlook\P456EJRQ\Chart%20of%20accounts%20final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ayroll\1-MS%20DATA\MASTER%20DAT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yanapriya\AppData\Local\Microsoft\Windows\Temporary%20Internet%20Files\Content.Outlook\P456EJRQ\Ledger%20balances\ledgertran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RSONAL%20FILES\Hisham\Specification%20development\Project%20list-%20DHW-Dec%202011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ildnw-my.sharepoint.com/Users/balshammari/Desktop/&#1582;&#1591;&#1577;%20&#1585;&#1608;&#1575;&#1578;&#1576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ildnw-my.sharepoint.com/excel/fin/TR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FLASH"/>
      <sheetName val="Print"/>
      <sheetName val="Sheet1"/>
      <sheetName val="Print (2)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_Bud"/>
      <sheetName val="validation_LY"/>
      <sheetName val="validation"/>
      <sheetName val="input"/>
      <sheetName val="reports list"/>
      <sheetName val="kpi"/>
      <sheetName val="rar01"/>
      <sheetName val="rar01A"/>
      <sheetName val="rar02"/>
      <sheetName val="rar02A"/>
      <sheetName val="rar03"/>
      <sheetName val="rar03A"/>
      <sheetName val="rar04"/>
      <sheetName val="rar05"/>
      <sheetName val="rar05A"/>
      <sheetName val="rar05B"/>
      <sheetName val="rar06"/>
      <sheetName val="rar07"/>
      <sheetName val="rar08"/>
      <sheetName val="Highlights"/>
      <sheetName val="KPIs"/>
      <sheetName val="Ratio_Bud"/>
      <sheetName val="CF_Bud"/>
      <sheetName val="BS_Bud"/>
      <sheetName val="PL_Bud"/>
      <sheetName val="RE_Bud"/>
      <sheetName val="Cash_Budget"/>
      <sheetName val="DSO_Bud"/>
      <sheetName val="CF_Budget"/>
      <sheetName val="CF_LY"/>
      <sheetName val="Other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Quick Budget"/>
      <sheetName val="Budget By Month"/>
      <sheetName val="Tracking"/>
      <sheetName val="Comparison"/>
      <sheetName val="Daily Spendin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t-Title"/>
      <sheetName val="PUF"/>
      <sheetName val="PDI"/>
      <sheetName val="Year-Smry"/>
      <sheetName val="PUF-1"/>
      <sheetName val="PUF-2"/>
      <sheetName val="PUF-3"/>
      <sheetName val="PDI-4"/>
      <sheetName val="PDI-3"/>
      <sheetName val="PDI-2"/>
      <sheetName val="PDI-1"/>
      <sheetName val="PUF-4"/>
      <sheetName val="PDI-9"/>
      <sheetName val="PDI-5"/>
      <sheetName val="PDI-8"/>
      <sheetName val="PDI-6"/>
      <sheetName val="PDI-7"/>
      <sheetName val="Sheet1"/>
      <sheetName val="Sheet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er94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ynamics Enum Cache"/>
      <sheetName val="MainAccount"/>
      <sheetName val="MainAccountCategory"/>
      <sheetName val="Dynamics AX Statu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-DATA (3)"/>
      <sheetName val="ACT-DATA (2)"/>
      <sheetName val="Grading Systems (2)"/>
      <sheetName val="AGE-Before final (2)"/>
      <sheetName val="AGE-Before final"/>
      <sheetName val="Add-Remove TAS"/>
      <sheetName val="رواتب شهر    -2010"/>
      <sheetName val="تعريف (2)"/>
      <sheetName val="Grading Structure"/>
      <sheetName val="Grading Systems"/>
      <sheetName val="Vacation Settlement"/>
      <sheetName val="عقد عمل"/>
      <sheetName val="SFC Summary"/>
      <sheetName val="SA SFC-OS"/>
      <sheetName val="SA Dept-Loctn"/>
      <sheetName val="SA RATIO BY SECTION"/>
      <sheetName val="SA RATIO (2)"/>
      <sheetName val="SA RATIO"/>
      <sheetName val="Report New App."/>
      <sheetName val="Report Res.Ter."/>
      <sheetName val="Monthly Report"/>
      <sheetName val="SA RATIO BY DEPTLOCA"/>
      <sheetName val="Postion By Branch"/>
      <sheetName val="Setting"/>
      <sheetName val="PicDATA"/>
      <sheetName val="Sheet2"/>
      <sheetName val="File Cover"/>
      <sheetName val="SIMAH"/>
      <sheetName val="PP-New Employee"/>
      <sheetName val="ADIB Academy"/>
      <sheetName val="Employee Information2"/>
      <sheetName val="ID Expiring Report"/>
      <sheetName val="ACT-DATA"/>
      <sheetName val="NACT-DATA"/>
      <sheetName val="قرار تعيين"/>
      <sheetName val="Families Data (Bupa)"/>
      <sheetName val="MI All"/>
      <sheetName val="Services"/>
      <sheetName val="Bupa"/>
      <sheetName val="PAYROLL"/>
      <sheetName val="PAYROLL1"/>
      <sheetName val="HA"/>
      <sheetName val="LOAN"/>
      <sheetName val="MI-Other Loan"/>
      <sheetName val="Other Deduction"/>
      <sheetName val="MI Upgrade"/>
      <sheetName val="MI Upgrade (2)"/>
      <sheetName val="Ref. No. maker"/>
      <sheetName val="EC Normal"/>
      <sheetName val="EC Normal EOS"/>
      <sheetName val="EC Full Details"/>
      <sheetName val="EC WO Salary"/>
      <sheetName val="خطاب تثبيت"/>
      <sheetName val="خطاب تثبيت (F)"/>
      <sheetName val="EN CERTIFICATE (2)"/>
      <sheetName val="قرار نقل"/>
      <sheetName val="قرار ترقية"/>
      <sheetName val="خبرة"/>
      <sheetName val="خبرة F"/>
      <sheetName val="Clearance"/>
      <sheetName val="EOS"/>
      <sheetName val="قرار"/>
      <sheetName val="EOS-B"/>
      <sheetName val="TO RATIO"/>
      <sheetName val="GOSI"/>
      <sheetName val="Warning Letter  (2)"/>
      <sheetName val="Warning Letter "/>
      <sheetName val="Warning Letter  (3)"/>
      <sheetName val="EN CERTIFIC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>
        <row r="2">
          <cell r="A2" t="str">
            <v>A1378_</v>
          </cell>
        </row>
      </sheetData>
      <sheetData sheetId="31"/>
      <sheetData sheetId="32">
        <row r="1">
          <cell r="A1" t="str">
            <v>IMP #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ynamics Enum Cache"/>
      <sheetName val="LedgerJournalTrans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Holidays"/>
    </sheetNames>
    <sheetDataSet>
      <sheetData sheetId="0" refreshError="1">
        <row r="4">
          <cell r="H4" t="str">
            <v>SUNDAY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TRIAL"/>
      <sheetName val="FA"/>
      <sheetName val="2006"/>
      <sheetName val="Sheet3"/>
      <sheetName val="2005"/>
      <sheetName val="2004"/>
      <sheetName val="Sheet1"/>
      <sheetName val="Sheet2"/>
      <sheetName val="TRIALMarch"/>
      <sheetName val="TRIAL (Dec)"/>
      <sheetName val="owner"/>
      <sheetName val="Sheet5"/>
      <sheetName val="Bs-Detail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8F99-DA19-4332-A4C0-5CCFC501E6FF}">
  <sheetPr codeName="Sheet1"/>
  <dimension ref="A4:AP185"/>
  <sheetViews>
    <sheetView showGridLines="0" zoomScale="90" zoomScaleNormal="90" workbookViewId="0">
      <pane xSplit="2" ySplit="9" topLeftCell="C118" activePane="bottomRight" state="frozen"/>
      <selection pane="topRight" activeCell="C1" sqref="C1"/>
      <selection pane="bottomLeft" activeCell="A10" sqref="A10"/>
      <selection pane="bottomRight" activeCell="R10" sqref="R10"/>
    </sheetView>
  </sheetViews>
  <sheetFormatPr defaultRowHeight="14.4" outlineLevelRow="1" outlineLevelCol="1"/>
  <cols>
    <col min="1" max="1" width="3.44140625" style="1" customWidth="1"/>
    <col min="2" max="2" width="42.44140625" bestFit="1" customWidth="1"/>
    <col min="3" max="3" width="15.33203125" customWidth="1"/>
    <col min="4" max="4" width="13.44140625" hidden="1" customWidth="1"/>
    <col min="5" max="5" width="15" hidden="1" customWidth="1" outlineLevel="1"/>
    <col min="6" max="6" width="15.109375" hidden="1" customWidth="1" outlineLevel="1"/>
    <col min="7" max="7" width="17.33203125" hidden="1" customWidth="1" outlineLevel="1"/>
    <col min="8" max="8" width="12.33203125" hidden="1" customWidth="1" collapsed="1"/>
    <col min="9" max="9" width="15.6640625" hidden="1" customWidth="1" outlineLevel="1"/>
    <col min="10" max="10" width="15.109375" hidden="1" customWidth="1" outlineLevel="1"/>
    <col min="11" max="11" width="14.109375" hidden="1" customWidth="1" outlineLevel="1"/>
    <col min="12" max="12" width="12.33203125" hidden="1" customWidth="1" collapsed="1"/>
    <col min="13" max="13" width="14.77734375" hidden="1" customWidth="1" outlineLevel="1"/>
    <col min="14" max="14" width="15.33203125" hidden="1" customWidth="1" outlineLevel="1"/>
    <col min="15" max="15" width="16.88671875" hidden="1" customWidth="1" outlineLevel="1"/>
    <col min="16" max="16" width="15.44140625" customWidth="1" collapsed="1"/>
    <col min="17" max="17" width="14.6640625" hidden="1" customWidth="1" outlineLevel="1"/>
    <col min="18" max="18" width="15.5546875" bestFit="1" customWidth="1" outlineLevel="1"/>
    <col min="19" max="19" width="17" customWidth="1" outlineLevel="1"/>
    <col min="20" max="20" width="15.33203125" hidden="1" customWidth="1"/>
    <col min="21" max="21" width="13.44140625" hidden="1" customWidth="1"/>
    <col min="22" max="22" width="15" hidden="1" customWidth="1" outlineLevel="1"/>
    <col min="23" max="23" width="15.109375" hidden="1" customWidth="1" outlineLevel="1"/>
    <col min="24" max="24" width="17.33203125" hidden="1" customWidth="1" outlineLevel="1"/>
    <col min="25" max="25" width="12.33203125" hidden="1" customWidth="1" collapsed="1"/>
    <col min="26" max="26" width="15.6640625" hidden="1" customWidth="1" outlineLevel="1"/>
    <col min="27" max="27" width="15.109375" hidden="1" customWidth="1" outlineLevel="1"/>
    <col min="28" max="28" width="14.109375" hidden="1" customWidth="1" outlineLevel="1"/>
    <col min="29" max="29" width="12.33203125" hidden="1" customWidth="1" collapsed="1"/>
    <col min="30" max="30" width="14.77734375" hidden="1" customWidth="1" outlineLevel="1"/>
    <col min="31" max="31" width="15.33203125" hidden="1" customWidth="1" outlineLevel="1"/>
    <col min="32" max="32" width="16.88671875" hidden="1" customWidth="1" outlineLevel="1"/>
    <col min="33" max="33" width="12.33203125" hidden="1" customWidth="1" collapsed="1"/>
    <col min="34" max="34" width="14.6640625" hidden="1" customWidth="1" outlineLevel="1"/>
    <col min="35" max="35" width="3.44140625" hidden="1" customWidth="1" outlineLevel="1"/>
    <col min="36" max="36" width="2" hidden="1" customWidth="1" outlineLevel="1"/>
    <col min="37" max="37" width="2.33203125" customWidth="1" outlineLevel="1"/>
    <col min="38" max="38" width="18.5546875" hidden="1" customWidth="1" outlineLevel="1"/>
    <col min="39" max="39" width="12.33203125" hidden="1" customWidth="1"/>
    <col min="40" max="40" width="11.5546875" bestFit="1" customWidth="1"/>
    <col min="41" max="41" width="10.5546875" bestFit="1" customWidth="1"/>
    <col min="42" max="42" width="11.5546875" bestFit="1" customWidth="1"/>
  </cols>
  <sheetData>
    <row r="4" spans="1:40">
      <c r="C4" s="116"/>
      <c r="D4" s="2"/>
      <c r="E4" s="2"/>
      <c r="F4" s="2"/>
      <c r="G4" s="2"/>
      <c r="H4" s="2"/>
      <c r="I4" s="251">
        <v>8980975.6300000008</v>
      </c>
      <c r="J4" s="2"/>
      <c r="K4" s="2"/>
      <c r="L4" s="2"/>
      <c r="M4" s="2"/>
      <c r="P4" s="2"/>
      <c r="Q4" s="2"/>
      <c r="T4" s="116"/>
      <c r="U4" s="2"/>
      <c r="V4" s="2"/>
      <c r="W4" s="2"/>
      <c r="X4" s="2"/>
      <c r="Y4" s="2"/>
      <c r="Z4" s="251">
        <v>8980975.6300000008</v>
      </c>
      <c r="AA4" s="2"/>
      <c r="AB4" s="2"/>
      <c r="AC4" s="2"/>
      <c r="AD4" s="2"/>
      <c r="AG4" s="2"/>
      <c r="AH4" s="2"/>
      <c r="AL4" s="2"/>
      <c r="AM4" s="116"/>
    </row>
    <row r="5" spans="1:40" s="6" customFormat="1" ht="15.6">
      <c r="A5" s="3"/>
      <c r="B5" s="4"/>
      <c r="C5" s="5"/>
      <c r="D5" s="35"/>
      <c r="E5" s="5"/>
      <c r="F5" s="35"/>
      <c r="G5" s="35"/>
      <c r="H5" s="35"/>
      <c r="I5" s="252">
        <f>I4-I12</f>
        <v>8980975.6300000008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5"/>
      <c r="U5" s="35"/>
      <c r="V5" s="5"/>
      <c r="W5" s="35"/>
      <c r="X5" s="35"/>
      <c r="Y5" s="35"/>
      <c r="Z5" s="252">
        <f>Z4-Z12</f>
        <v>1267.9199999999255</v>
      </c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66"/>
      <c r="AL5" s="5"/>
      <c r="AM5" s="5"/>
    </row>
    <row r="6" spans="1:40" s="6" customFormat="1" ht="16.2" thickBot="1">
      <c r="A6" s="3"/>
      <c r="B6" s="20"/>
      <c r="C6" s="5"/>
      <c r="D6" s="35"/>
      <c r="E6" s="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5"/>
      <c r="U6" s="35"/>
      <c r="V6" s="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66"/>
      <c r="AL6" s="5"/>
      <c r="AM6" s="5"/>
    </row>
    <row r="7" spans="1:40" ht="15" thickBot="1">
      <c r="B7" s="39" t="s">
        <v>0</v>
      </c>
      <c r="C7" s="40" t="s">
        <v>1</v>
      </c>
      <c r="D7" s="41" t="s">
        <v>2</v>
      </c>
      <c r="E7" s="41" t="s">
        <v>3</v>
      </c>
      <c r="F7" s="41" t="s">
        <v>3</v>
      </c>
      <c r="G7" s="41" t="s">
        <v>3</v>
      </c>
      <c r="H7" s="41" t="s">
        <v>4</v>
      </c>
      <c r="I7" s="41" t="s">
        <v>3</v>
      </c>
      <c r="J7" s="41" t="s">
        <v>3</v>
      </c>
      <c r="K7" s="41" t="s">
        <v>3</v>
      </c>
      <c r="L7" s="41" t="s">
        <v>5</v>
      </c>
      <c r="M7" s="41" t="s">
        <v>3</v>
      </c>
      <c r="N7" s="41" t="s">
        <v>3</v>
      </c>
      <c r="O7" s="41" t="s">
        <v>3</v>
      </c>
      <c r="P7" s="41" t="s">
        <v>6</v>
      </c>
      <c r="Q7" s="41" t="s">
        <v>3</v>
      </c>
      <c r="R7" s="41" t="s">
        <v>3</v>
      </c>
      <c r="S7" s="41" t="s">
        <v>3</v>
      </c>
      <c r="T7" s="40" t="s">
        <v>1</v>
      </c>
      <c r="U7" s="41" t="s">
        <v>2</v>
      </c>
      <c r="V7" s="41" t="s">
        <v>3</v>
      </c>
      <c r="W7" s="41" t="s">
        <v>3</v>
      </c>
      <c r="X7" s="41" t="s">
        <v>3</v>
      </c>
      <c r="Y7" s="41" t="s">
        <v>4</v>
      </c>
      <c r="Z7" s="41" t="s">
        <v>3</v>
      </c>
      <c r="AA7" s="41" t="s">
        <v>3</v>
      </c>
      <c r="AB7" s="41" t="s">
        <v>3</v>
      </c>
      <c r="AC7" s="41" t="s">
        <v>5</v>
      </c>
      <c r="AD7" s="41" t="s">
        <v>3</v>
      </c>
      <c r="AE7" s="41" t="s">
        <v>3</v>
      </c>
      <c r="AF7" s="41" t="s">
        <v>3</v>
      </c>
      <c r="AG7" s="41" t="s">
        <v>6</v>
      </c>
      <c r="AH7" s="41" t="s">
        <v>3</v>
      </c>
      <c r="AI7" s="41" t="s">
        <v>3</v>
      </c>
      <c r="AJ7" s="41" t="s">
        <v>3</v>
      </c>
      <c r="AK7" s="65"/>
      <c r="AL7" s="41" t="s">
        <v>3</v>
      </c>
      <c r="AM7" s="40" t="s">
        <v>1</v>
      </c>
    </row>
    <row r="8" spans="1:40">
      <c r="B8" s="7" t="s">
        <v>621</v>
      </c>
      <c r="C8" s="194">
        <v>2026</v>
      </c>
      <c r="D8" s="33" t="s">
        <v>619</v>
      </c>
      <c r="E8" s="8">
        <v>46387</v>
      </c>
      <c r="F8" s="8">
        <v>46356</v>
      </c>
      <c r="G8" s="8">
        <v>46326</v>
      </c>
      <c r="H8" s="33" t="s">
        <v>619</v>
      </c>
      <c r="I8" s="8">
        <v>46295</v>
      </c>
      <c r="J8" s="8">
        <v>46265</v>
      </c>
      <c r="K8" s="8">
        <v>46234</v>
      </c>
      <c r="L8" s="33" t="s">
        <v>619</v>
      </c>
      <c r="M8" s="8">
        <v>46203</v>
      </c>
      <c r="N8" s="8">
        <v>46173</v>
      </c>
      <c r="O8" s="8">
        <v>46142</v>
      </c>
      <c r="P8" s="315">
        <v>2026</v>
      </c>
      <c r="Q8" s="8">
        <v>46112</v>
      </c>
      <c r="R8" s="8">
        <v>46081</v>
      </c>
      <c r="S8" s="8">
        <v>46053</v>
      </c>
      <c r="T8" s="194">
        <v>2025</v>
      </c>
      <c r="U8" s="33" t="s">
        <v>7</v>
      </c>
      <c r="V8" s="8">
        <v>46022</v>
      </c>
      <c r="W8" s="8">
        <v>45991</v>
      </c>
      <c r="X8" s="8">
        <v>45961</v>
      </c>
      <c r="Y8" s="33" t="s">
        <v>7</v>
      </c>
      <c r="Z8" s="8">
        <v>45930</v>
      </c>
      <c r="AA8" s="8">
        <v>45900</v>
      </c>
      <c r="AB8" s="8">
        <v>45869</v>
      </c>
      <c r="AC8" s="33" t="s">
        <v>7</v>
      </c>
      <c r="AD8" s="8">
        <v>45838</v>
      </c>
      <c r="AE8" s="8">
        <v>45808</v>
      </c>
      <c r="AF8" s="8">
        <v>45777</v>
      </c>
      <c r="AG8" s="33" t="s">
        <v>7</v>
      </c>
      <c r="AH8" s="8">
        <v>45747</v>
      </c>
      <c r="AI8" s="8">
        <v>45716</v>
      </c>
      <c r="AJ8" s="8">
        <v>45688</v>
      </c>
      <c r="AK8" s="8"/>
      <c r="AL8" s="8">
        <v>45657</v>
      </c>
      <c r="AM8" s="194">
        <v>2024</v>
      </c>
    </row>
    <row r="9" spans="1:40" ht="15.6">
      <c r="B9" s="9"/>
      <c r="C9" s="10"/>
      <c r="D9" s="10"/>
      <c r="E9" s="10"/>
      <c r="F9" s="35"/>
      <c r="G9" s="35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35"/>
      <c r="X9" s="35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 spans="1:40">
      <c r="B10" s="11" t="s">
        <v>8</v>
      </c>
      <c r="C10" s="45">
        <f>SUM(D10:S10)-P10-L10-H10-D10</f>
        <v>32825790.09</v>
      </c>
      <c r="D10" s="45">
        <f>SUM(E10:G10)</f>
        <v>0</v>
      </c>
      <c r="E10" s="45"/>
      <c r="F10" s="45"/>
      <c r="G10" s="45"/>
      <c r="H10" s="45">
        <f>SUM(I10:K10)</f>
        <v>0</v>
      </c>
      <c r="I10" s="45"/>
      <c r="J10" s="45"/>
      <c r="K10" s="45"/>
      <c r="L10" s="45">
        <f>SUM(M10:O10)</f>
        <v>0</v>
      </c>
      <c r="M10" s="45"/>
      <c r="N10" s="45"/>
      <c r="O10" s="45"/>
      <c r="P10" s="45">
        <f>SUM(Q10:S10)</f>
        <v>32825790.09</v>
      </c>
      <c r="Q10" s="45"/>
      <c r="R10" s="45">
        <v>16439012.65</v>
      </c>
      <c r="S10" s="45">
        <v>16386777.439999999</v>
      </c>
      <c r="T10" s="45">
        <f>SUM(U10:AJ10)-AG10-AC10-Y10-U10</f>
        <v>157825704.61999995</v>
      </c>
      <c r="U10" s="45">
        <f>SUM(V10:X10)</f>
        <v>54905863.700000003</v>
      </c>
      <c r="V10" s="45">
        <v>20791022.670000002</v>
      </c>
      <c r="W10" s="45">
        <v>18885652.350000001</v>
      </c>
      <c r="X10" s="45">
        <f>15268743.82-39555.14</f>
        <v>15229188.68</v>
      </c>
      <c r="Y10" s="45">
        <f>SUM(Z10:AB10)</f>
        <v>37535436.420000002</v>
      </c>
      <c r="Z10" s="45">
        <v>9966234.8399999999</v>
      </c>
      <c r="AA10" s="45">
        <v>7379008.2599999998</v>
      </c>
      <c r="AB10" s="45">
        <v>20190193.32</v>
      </c>
      <c r="AC10" s="45">
        <f>SUM(AD10:AF10)</f>
        <v>32972334.800000001</v>
      </c>
      <c r="AD10" s="45">
        <v>11726375.869999999</v>
      </c>
      <c r="AE10" s="45">
        <v>11371330.73</v>
      </c>
      <c r="AF10" s="45">
        <v>9874628.1999999993</v>
      </c>
      <c r="AG10" s="45">
        <f>SUM(AH10:AJ10)</f>
        <v>32412069.700000003</v>
      </c>
      <c r="AH10" s="45">
        <v>13667110.41</v>
      </c>
      <c r="AI10" s="45">
        <v>10659012.9</v>
      </c>
      <c r="AJ10" s="45">
        <v>8085946.3899999997</v>
      </c>
      <c r="AK10" s="45"/>
      <c r="AL10" s="45">
        <v>10080211.189999999</v>
      </c>
      <c r="AM10" s="45">
        <v>76420879.800000027</v>
      </c>
      <c r="AN10" s="54"/>
    </row>
    <row r="11" spans="1:40">
      <c r="B11" s="11" t="s">
        <v>9</v>
      </c>
      <c r="C11" s="45">
        <f>SUM(D11:S11)-P11-L11-H11-D11</f>
        <v>14516.1</v>
      </c>
      <c r="D11" s="45"/>
      <c r="E11" s="45"/>
      <c r="F11" s="45"/>
      <c r="G11" s="45"/>
      <c r="H11" s="45">
        <f>SUM(I11:K11)</f>
        <v>0</v>
      </c>
      <c r="I11" s="45"/>
      <c r="J11" s="45"/>
      <c r="K11" s="45"/>
      <c r="L11" s="45">
        <f>SUM(M11:O11)</f>
        <v>0</v>
      </c>
      <c r="M11" s="45"/>
      <c r="N11" s="45"/>
      <c r="O11" s="45"/>
      <c r="P11" s="45">
        <f>SUM(Q11:S11)</f>
        <v>14516.1</v>
      </c>
      <c r="Q11" s="45"/>
      <c r="R11" s="45">
        <v>14516.1</v>
      </c>
      <c r="S11" s="45">
        <v>0</v>
      </c>
      <c r="T11" s="45">
        <f>SUM(U11:AJ11)-AG11-AC11-Y11-U11</f>
        <v>82363.379999999976</v>
      </c>
      <c r="U11" s="45"/>
      <c r="V11" s="45">
        <v>0</v>
      </c>
      <c r="W11" s="45"/>
      <c r="X11" s="45">
        <v>0</v>
      </c>
      <c r="Y11" s="45">
        <f>SUM(Z11:AB11)</f>
        <v>0</v>
      </c>
      <c r="Z11" s="45">
        <v>0</v>
      </c>
      <c r="AA11" s="45">
        <v>0</v>
      </c>
      <c r="AB11" s="45">
        <v>0</v>
      </c>
      <c r="AC11" s="45">
        <f>SUM(AD11:AF11)</f>
        <v>82363.38</v>
      </c>
      <c r="AD11" s="45">
        <v>-7558.83</v>
      </c>
      <c r="AE11" s="45">
        <v>78283.38</v>
      </c>
      <c r="AF11" s="45">
        <v>11638.83</v>
      </c>
      <c r="AG11" s="45"/>
      <c r="AH11" s="45"/>
      <c r="AI11" s="45"/>
      <c r="AJ11" s="45"/>
      <c r="AK11" s="45"/>
      <c r="AL11" s="45"/>
      <c r="AM11" s="45"/>
      <c r="AN11" s="54"/>
    </row>
    <row r="12" spans="1:40">
      <c r="B12" s="11" t="s">
        <v>10</v>
      </c>
      <c r="C12" s="45">
        <f>SUM(D12:S12)-P12-L12-H12-D12</f>
        <v>29328845.52</v>
      </c>
      <c r="D12" s="45">
        <f>SUM(E12:G12)</f>
        <v>0</v>
      </c>
      <c r="E12" s="45"/>
      <c r="F12" s="45"/>
      <c r="G12" s="45"/>
      <c r="H12" s="45">
        <f>SUM(I12:K12)</f>
        <v>0</v>
      </c>
      <c r="I12" s="45"/>
      <c r="J12" s="45"/>
      <c r="K12" s="45"/>
      <c r="L12" s="45">
        <f>SUM(M12:O12)</f>
        <v>0</v>
      </c>
      <c r="M12" s="45"/>
      <c r="N12" s="45"/>
      <c r="O12" s="45"/>
      <c r="P12" s="45">
        <f>SUM(Q12:S12)</f>
        <v>29328845.52</v>
      </c>
      <c r="Q12" s="45"/>
      <c r="R12" s="45">
        <v>14552432.84</v>
      </c>
      <c r="S12" s="45">
        <v>14776412.68</v>
      </c>
      <c r="T12" s="45">
        <f>SUM(U12:AJ12)-AG12-AC12-Y12-U12</f>
        <v>140912521.68000001</v>
      </c>
      <c r="U12" s="45">
        <f>SUM(V12:X12)</f>
        <v>48616544.590000004</v>
      </c>
      <c r="V12" s="45">
        <v>18140835</v>
      </c>
      <c r="W12" s="45">
        <v>16962082.07</v>
      </c>
      <c r="X12" s="45">
        <v>13513627.52</v>
      </c>
      <c r="Y12" s="45">
        <f>SUM(Z12:AB12)</f>
        <v>33436501.600000001</v>
      </c>
      <c r="Z12" s="45">
        <v>8979707.7100000009</v>
      </c>
      <c r="AA12" s="45">
        <v>6625405.4800000004</v>
      </c>
      <c r="AB12" s="45">
        <v>17831388.41</v>
      </c>
      <c r="AC12" s="45">
        <f>SUM(AD12:AF12)</f>
        <v>29582790.009999998</v>
      </c>
      <c r="AD12" s="45">
        <v>10608445.439999999</v>
      </c>
      <c r="AE12" s="45">
        <v>10128323.25</v>
      </c>
      <c r="AF12" s="45">
        <v>8846021.3200000003</v>
      </c>
      <c r="AG12" s="45">
        <f>SUM(AH12:AJ12)</f>
        <v>29276685.480000004</v>
      </c>
      <c r="AH12" s="45">
        <v>12403281.220000001</v>
      </c>
      <c r="AI12" s="45">
        <v>9631833.0199999996</v>
      </c>
      <c r="AJ12" s="45">
        <v>7241571.2400000002</v>
      </c>
      <c r="AK12" s="45"/>
      <c r="AL12" s="45">
        <v>9065157.9299999997</v>
      </c>
      <c r="AM12" s="45">
        <v>69127801.870000005</v>
      </c>
      <c r="AN12" s="54"/>
    </row>
    <row r="13" spans="1:40" outlineLevel="1">
      <c r="B13" s="11" t="s">
        <v>11</v>
      </c>
      <c r="C13" s="45">
        <f>SUM(D13:S13)-P13-L13-H13-D13</f>
        <v>-88806.57</v>
      </c>
      <c r="D13" s="45">
        <f>SUM(E13:G13)</f>
        <v>0</v>
      </c>
      <c r="E13" s="45"/>
      <c r="F13" s="45"/>
      <c r="G13" s="45"/>
      <c r="H13" s="45">
        <f>SUM(I13:K13)</f>
        <v>0</v>
      </c>
      <c r="I13" s="12">
        <v>0</v>
      </c>
      <c r="J13" s="45">
        <v>0</v>
      </c>
      <c r="K13" s="45">
        <v>0</v>
      </c>
      <c r="L13" s="45">
        <f>SUM(M13:O13)</f>
        <v>0</v>
      </c>
      <c r="M13" s="45"/>
      <c r="N13" s="45"/>
      <c r="O13" s="45"/>
      <c r="P13" s="45">
        <f>SUM(Q13:S13)</f>
        <v>-88806.57</v>
      </c>
      <c r="Q13" s="45"/>
      <c r="R13" s="45">
        <v>-12857.77</v>
      </c>
      <c r="S13" s="45">
        <v>-75948.800000000003</v>
      </c>
      <c r="T13" s="45">
        <f>SUM(U13:AJ13)-AG13-AC13-Y13-U13</f>
        <v>-222027.18999999994</v>
      </c>
      <c r="U13" s="45">
        <f>SUM(V13:X13)</f>
        <v>-148153.35999999999</v>
      </c>
      <c r="V13" s="45">
        <v>-131612.06</v>
      </c>
      <c r="W13" s="45">
        <v>-14990.36</v>
      </c>
      <c r="X13" s="45">
        <v>-1550.94</v>
      </c>
      <c r="Y13" s="45">
        <f>SUM(Z13:AB13)</f>
        <v>0</v>
      </c>
      <c r="Z13" s="12">
        <v>0</v>
      </c>
      <c r="AA13" s="45">
        <v>0</v>
      </c>
      <c r="AB13" s="45">
        <v>0</v>
      </c>
      <c r="AC13" s="45">
        <f>SUM(AD13:AF13)</f>
        <v>-62005.67</v>
      </c>
      <c r="AD13" s="45">
        <v>0</v>
      </c>
      <c r="AE13" s="45">
        <v>-62005.67</v>
      </c>
      <c r="AF13" s="45">
        <v>0</v>
      </c>
      <c r="AG13" s="45">
        <f>SUM(AH13:AJ13)</f>
        <v>-11868.16</v>
      </c>
      <c r="AH13" s="45">
        <v>-7728.16</v>
      </c>
      <c r="AI13" s="45">
        <v>-4140</v>
      </c>
      <c r="AJ13" s="45">
        <v>0</v>
      </c>
      <c r="AK13" s="55"/>
      <c r="AL13" s="45">
        <v>0</v>
      </c>
      <c r="AM13" s="45">
        <v>-93226.450000000012</v>
      </c>
      <c r="AN13" s="54"/>
    </row>
    <row r="14" spans="1:40">
      <c r="B14" s="75" t="s">
        <v>12</v>
      </c>
      <c r="C14" s="76">
        <f t="shared" ref="C14:Q14" si="0">+C10-C11-(C12+C13)</f>
        <v>3571235.0399999991</v>
      </c>
      <c r="D14" s="76">
        <f t="shared" si="0"/>
        <v>0</v>
      </c>
      <c r="E14" s="76">
        <f t="shared" si="0"/>
        <v>0</v>
      </c>
      <c r="F14" s="76">
        <f t="shared" si="0"/>
        <v>0</v>
      </c>
      <c r="G14" s="76">
        <f t="shared" si="0"/>
        <v>0</v>
      </c>
      <c r="H14" s="76">
        <f t="shared" si="0"/>
        <v>0</v>
      </c>
      <c r="I14" s="76">
        <f t="shared" si="0"/>
        <v>0</v>
      </c>
      <c r="J14" s="76">
        <f t="shared" si="0"/>
        <v>0</v>
      </c>
      <c r="K14" s="76">
        <f t="shared" si="0"/>
        <v>0</v>
      </c>
      <c r="L14" s="76">
        <f t="shared" si="0"/>
        <v>0</v>
      </c>
      <c r="M14" s="76">
        <f t="shared" si="0"/>
        <v>0</v>
      </c>
      <c r="N14" s="76">
        <f t="shared" si="0"/>
        <v>0</v>
      </c>
      <c r="O14" s="76">
        <f t="shared" si="0"/>
        <v>0</v>
      </c>
      <c r="P14" s="76">
        <f t="shared" si="0"/>
        <v>3571235.0399999991</v>
      </c>
      <c r="Q14" s="76">
        <f t="shared" si="0"/>
        <v>0</v>
      </c>
      <c r="R14" s="76">
        <f>+R10-R11-(R12+R13)</f>
        <v>1884921.4800000004</v>
      </c>
      <c r="S14" s="76">
        <f>+S10-S11-(S12+S13)</f>
        <v>1686313.5600000005</v>
      </c>
      <c r="T14" s="76">
        <f>+T10-T11-(T12+T13)</f>
        <v>17052846.74999994</v>
      </c>
      <c r="U14" s="76">
        <f>+U10-U11-(U12+U13)</f>
        <v>6437472.4699999988</v>
      </c>
      <c r="V14" s="76">
        <f t="shared" ref="V14:AA14" si="1">+V10-(V12+V13)</f>
        <v>2781799.7300000004</v>
      </c>
      <c r="W14" s="76">
        <f t="shared" si="1"/>
        <v>1938560.6400000006</v>
      </c>
      <c r="X14" s="76">
        <f t="shared" si="1"/>
        <v>1717112.0999999996</v>
      </c>
      <c r="Y14" s="76">
        <f t="shared" si="1"/>
        <v>4098934.8200000003</v>
      </c>
      <c r="Z14" s="76">
        <f t="shared" si="1"/>
        <v>986527.12999999896</v>
      </c>
      <c r="AA14" s="76">
        <f t="shared" si="1"/>
        <v>753602.77999999933</v>
      </c>
      <c r="AB14" s="76">
        <f>+AB10-AB11-(AB12+AB13)</f>
        <v>2358804.91</v>
      </c>
      <c r="AC14" s="76">
        <f>+AC10-AC11-(AC12+AC13)</f>
        <v>3369187.0800000057</v>
      </c>
      <c r="AD14" s="76">
        <f>+AD10-AD11-(AD12+AD13)</f>
        <v>1125489.2599999998</v>
      </c>
      <c r="AE14" s="76">
        <f>+AE10-AE11-(AE12+AE13)</f>
        <v>1226729.7699999996</v>
      </c>
      <c r="AF14" s="76">
        <f>+AF10-AF11-(AF12+AF13)</f>
        <v>1016968.0499999989</v>
      </c>
      <c r="AG14" s="76">
        <f>+AG10-(AG12+AG13)</f>
        <v>3147252.379999999</v>
      </c>
      <c r="AH14" s="76">
        <f>+AH10-(AH12+AH13)</f>
        <v>1271557.3499999996</v>
      </c>
      <c r="AI14" s="76">
        <f>+AI10-(AI12+AI13)</f>
        <v>1031319.8800000008</v>
      </c>
      <c r="AJ14" s="76">
        <f>+AJ10-(AJ12+AJ13)</f>
        <v>844375.14999999944</v>
      </c>
      <c r="AK14" s="45"/>
      <c r="AL14" s="76">
        <f>+AL10-(AL12+AL13)</f>
        <v>1015053.2599999998</v>
      </c>
      <c r="AM14" s="76">
        <f>+AM10-(AM12+AM13)</f>
        <v>7386304.380000025</v>
      </c>
      <c r="AN14" s="54"/>
    </row>
    <row r="15" spans="1:40">
      <c r="B15" s="11" t="s">
        <v>13</v>
      </c>
      <c r="C15" s="45">
        <f>SUM(D15:S15)-P15-L15-H15-D15</f>
        <v>0</v>
      </c>
      <c r="D15" s="45">
        <f>SUM(E15:G15)</f>
        <v>0</v>
      </c>
      <c r="E15" s="45">
        <v>0</v>
      </c>
      <c r="F15" s="45"/>
      <c r="G15" s="45">
        <v>0</v>
      </c>
      <c r="H15" s="45">
        <f>SUM(I15:K15)</f>
        <v>0</v>
      </c>
      <c r="I15" s="12">
        <v>0</v>
      </c>
      <c r="J15" s="45">
        <v>0</v>
      </c>
      <c r="K15" s="45">
        <v>0</v>
      </c>
      <c r="L15" s="45">
        <f>SUM(M15:O15)</f>
        <v>0</v>
      </c>
      <c r="M15" s="45">
        <v>0</v>
      </c>
      <c r="N15" s="45">
        <v>0</v>
      </c>
      <c r="O15" s="45">
        <v>0</v>
      </c>
      <c r="P15" s="45">
        <f>SUM(Q15:S15)</f>
        <v>0</v>
      </c>
      <c r="Q15" s="45"/>
      <c r="R15" s="45"/>
      <c r="S15" s="45"/>
      <c r="T15" s="45">
        <f>SUM(U15:AJ15)-AG15-AC15-Y15-U15</f>
        <v>18000</v>
      </c>
      <c r="U15" s="45">
        <f>SUM(V15:X15)</f>
        <v>0</v>
      </c>
      <c r="V15" s="45">
        <v>0</v>
      </c>
      <c r="W15" s="45"/>
      <c r="X15" s="45">
        <v>0</v>
      </c>
      <c r="Y15" s="45">
        <f>SUM(Z15:AB15)</f>
        <v>0</v>
      </c>
      <c r="Z15" s="12">
        <v>0</v>
      </c>
      <c r="AA15" s="45">
        <v>0</v>
      </c>
      <c r="AB15" s="45">
        <v>0</v>
      </c>
      <c r="AC15" s="45">
        <f>SUM(AD15:AF15)</f>
        <v>0</v>
      </c>
      <c r="AD15" s="45">
        <v>0</v>
      </c>
      <c r="AE15" s="45">
        <v>0</v>
      </c>
      <c r="AF15" s="45">
        <v>0</v>
      </c>
      <c r="AG15" s="45">
        <f>SUM(AH15:AJ15)</f>
        <v>18000</v>
      </c>
      <c r="AH15" s="45">
        <v>12000</v>
      </c>
      <c r="AI15" s="45">
        <v>6000</v>
      </c>
      <c r="AJ15" s="45">
        <v>0</v>
      </c>
      <c r="AK15" s="45"/>
      <c r="AL15" s="45"/>
      <c r="AM15" s="45"/>
      <c r="AN15" s="54"/>
    </row>
    <row r="16" spans="1:40">
      <c r="B16" s="15" t="s">
        <v>14</v>
      </c>
      <c r="C16" s="56">
        <f>+D16+H16+L16+P16</f>
        <v>0</v>
      </c>
      <c r="D16" s="45">
        <f>SUM(E16:G16)</f>
        <v>0</v>
      </c>
      <c r="E16" s="45">
        <v>0</v>
      </c>
      <c r="F16" s="56"/>
      <c r="G16" s="45">
        <v>0</v>
      </c>
      <c r="H16" s="56">
        <f>SUM(I16:K16)</f>
        <v>0</v>
      </c>
      <c r="I16" s="12">
        <v>0</v>
      </c>
      <c r="J16" s="56">
        <v>0</v>
      </c>
      <c r="K16" s="45">
        <v>0</v>
      </c>
      <c r="L16" s="56">
        <f>SUM(M16:O16)</f>
        <v>0</v>
      </c>
      <c r="M16" s="45">
        <v>0</v>
      </c>
      <c r="N16" s="45">
        <v>0</v>
      </c>
      <c r="O16" s="45">
        <v>0</v>
      </c>
      <c r="P16" s="56">
        <f>SUM(Q16:S16)</f>
        <v>0</v>
      </c>
      <c r="Q16" s="45"/>
      <c r="R16" s="45"/>
      <c r="S16" s="45"/>
      <c r="T16" s="56">
        <f>+U16+Y16+AC16+AG16</f>
        <v>65217.39</v>
      </c>
      <c r="U16" s="45">
        <f>SUM(V16:X16)</f>
        <v>0</v>
      </c>
      <c r="V16" s="45">
        <v>0</v>
      </c>
      <c r="W16" s="56"/>
      <c r="X16" s="45">
        <v>0</v>
      </c>
      <c r="Y16" s="56">
        <f>SUM(Z16:AB16)</f>
        <v>0</v>
      </c>
      <c r="Z16" s="12">
        <v>0</v>
      </c>
      <c r="AA16" s="56">
        <v>0</v>
      </c>
      <c r="AB16" s="45">
        <v>0</v>
      </c>
      <c r="AC16" s="56">
        <f>SUM(AD16:AF16)</f>
        <v>0</v>
      </c>
      <c r="AD16" s="45">
        <v>0</v>
      </c>
      <c r="AE16" s="45">
        <v>0</v>
      </c>
      <c r="AF16" s="45">
        <v>0</v>
      </c>
      <c r="AG16" s="56">
        <f>SUM(AH16:AJ16)</f>
        <v>65217.39</v>
      </c>
      <c r="AH16" s="45">
        <v>0</v>
      </c>
      <c r="AI16" s="45">
        <v>0</v>
      </c>
      <c r="AJ16" s="45">
        <v>65217.39</v>
      </c>
      <c r="AK16" s="45"/>
      <c r="AL16" s="45">
        <v>26086.959999999999</v>
      </c>
      <c r="AM16" s="56">
        <v>293478.27</v>
      </c>
      <c r="AN16" s="54"/>
    </row>
    <row r="17" spans="1:41" s="69" customFormat="1">
      <c r="A17" s="68"/>
      <c r="B17" s="19" t="s">
        <v>15</v>
      </c>
      <c r="C17" s="48">
        <f>+D17+H17+L17+P17</f>
        <v>3571235.0399999991</v>
      </c>
      <c r="D17" s="48">
        <f>+D16+D14</f>
        <v>0</v>
      </c>
      <c r="E17" s="48">
        <f>+E16+E14</f>
        <v>0</v>
      </c>
      <c r="F17" s="48">
        <f>+F16+F14</f>
        <v>0</v>
      </c>
      <c r="G17" s="48">
        <f>+G16+G14</f>
        <v>0</v>
      </c>
      <c r="H17" s="48">
        <f>SUM(I17:K17)</f>
        <v>0</v>
      </c>
      <c r="I17" s="48">
        <f>+I16+I14</f>
        <v>0</v>
      </c>
      <c r="J17" s="48">
        <f>+J16+J14</f>
        <v>0</v>
      </c>
      <c r="K17" s="48">
        <f>+K16+K14</f>
        <v>0</v>
      </c>
      <c r="L17" s="48">
        <f>SUM(M17:O17)</f>
        <v>0</v>
      </c>
      <c r="M17" s="48">
        <f>+M16+M14</f>
        <v>0</v>
      </c>
      <c r="N17" s="48">
        <f>+N16+N14</f>
        <v>0</v>
      </c>
      <c r="O17" s="48">
        <f>+O16+O14+O15</f>
        <v>0</v>
      </c>
      <c r="P17" s="48">
        <f>+P16+P14+P15</f>
        <v>3571235.0399999991</v>
      </c>
      <c r="Q17" s="48">
        <f>+Q16+Q14+Q15</f>
        <v>0</v>
      </c>
      <c r="R17" s="48">
        <f>+R16+R14+R15</f>
        <v>1884921.4800000004</v>
      </c>
      <c r="S17" s="48">
        <f>+S16+S14</f>
        <v>1686313.5600000005</v>
      </c>
      <c r="T17" s="48">
        <f>+U17+Y17+AC17+AG17</f>
        <v>17136064.139999993</v>
      </c>
      <c r="U17" s="48">
        <f>+U16+U14</f>
        <v>6437472.4699999988</v>
      </c>
      <c r="V17" s="48">
        <f>+V16+V14</f>
        <v>2781799.7300000004</v>
      </c>
      <c r="W17" s="48">
        <f>+W16+W14</f>
        <v>1938560.6400000006</v>
      </c>
      <c r="X17" s="48">
        <f>+X16+X14</f>
        <v>1717112.0999999996</v>
      </c>
      <c r="Y17" s="48">
        <f>SUM(Z17:AB17)</f>
        <v>4098934.8199999984</v>
      </c>
      <c r="Z17" s="48">
        <f>+Z16+Z14</f>
        <v>986527.12999999896</v>
      </c>
      <c r="AA17" s="48">
        <f>+AA16+AA14</f>
        <v>753602.77999999933</v>
      </c>
      <c r="AB17" s="48">
        <f>+AB16+AB14</f>
        <v>2358804.91</v>
      </c>
      <c r="AC17" s="48">
        <f>SUM(AD17:AF17)</f>
        <v>3369187.0799999982</v>
      </c>
      <c r="AD17" s="48">
        <f>+AD16+AD14</f>
        <v>1125489.2599999998</v>
      </c>
      <c r="AE17" s="48">
        <f>+AE16+AE14</f>
        <v>1226729.7699999996</v>
      </c>
      <c r="AF17" s="48">
        <f>+AF16+AF14+AF15</f>
        <v>1016968.0499999989</v>
      </c>
      <c r="AG17" s="48">
        <f>+AG16+AG14+AG15</f>
        <v>3230469.7699999991</v>
      </c>
      <c r="AH17" s="48">
        <f>+AH16+AH14+AH15</f>
        <v>1283557.3499999996</v>
      </c>
      <c r="AI17" s="48">
        <f>+AI16+AI14+AI15</f>
        <v>1037319.8800000008</v>
      </c>
      <c r="AJ17" s="48">
        <f>+AJ16+AJ14</f>
        <v>909592.53999999946</v>
      </c>
      <c r="AK17" s="49"/>
      <c r="AL17" s="48">
        <f>+AL16+AL14</f>
        <v>1041140.2199999997</v>
      </c>
      <c r="AM17" s="48">
        <f>+AM16+AM14</f>
        <v>7679782.6500000246</v>
      </c>
      <c r="AN17" s="54"/>
    </row>
    <row r="18" spans="1:41">
      <c r="B18" s="30"/>
      <c r="C18" s="55"/>
      <c r="D18" s="55"/>
      <c r="E18" s="55"/>
      <c r="F18" s="55"/>
      <c r="G18" s="55"/>
      <c r="H18" s="55"/>
      <c r="I18" s="82"/>
      <c r="J18" s="82"/>
      <c r="K18" s="55"/>
      <c r="L18" s="55"/>
      <c r="M18" s="55"/>
      <c r="N18" s="90"/>
      <c r="O18" s="82"/>
      <c r="P18" s="55"/>
      <c r="Q18" s="82"/>
      <c r="R18" s="82"/>
      <c r="S18" s="82"/>
      <c r="T18" s="55"/>
      <c r="U18" s="55"/>
      <c r="V18" s="55"/>
      <c r="W18" s="55"/>
      <c r="X18" s="55"/>
      <c r="Y18" s="55"/>
      <c r="Z18" s="82"/>
      <c r="AA18" s="82"/>
      <c r="AB18" s="55"/>
      <c r="AC18" s="55"/>
      <c r="AD18" s="55"/>
      <c r="AE18" s="90"/>
      <c r="AF18" s="82"/>
      <c r="AG18" s="55"/>
      <c r="AH18" s="82"/>
      <c r="AI18" s="82"/>
      <c r="AJ18" s="82"/>
      <c r="AK18" s="55"/>
      <c r="AL18" s="55"/>
      <c r="AM18" s="55"/>
      <c r="AN18" s="54"/>
    </row>
    <row r="19" spans="1:41" s="69" customFormat="1">
      <c r="A19" s="68"/>
      <c r="B19" s="67" t="s">
        <v>16</v>
      </c>
      <c r="C19" s="72">
        <f t="shared" ref="C19" si="2">SUM(C20:C38)</f>
        <v>330689.42</v>
      </c>
      <c r="D19" s="72">
        <f>SUM(D20:D38)</f>
        <v>0</v>
      </c>
      <c r="E19" s="72">
        <f t="shared" ref="E19:J19" si="3">SUM(E20:E38)</f>
        <v>0</v>
      </c>
      <c r="F19" s="72">
        <f t="shared" si="3"/>
        <v>0</v>
      </c>
      <c r="G19" s="72">
        <f t="shared" si="3"/>
        <v>0</v>
      </c>
      <c r="H19" s="72">
        <f t="shared" si="3"/>
        <v>0</v>
      </c>
      <c r="I19" s="72">
        <f t="shared" si="3"/>
        <v>0</v>
      </c>
      <c r="J19" s="72">
        <f t="shared" si="3"/>
        <v>0</v>
      </c>
      <c r="K19" s="72">
        <f>SUM(K20:K38)</f>
        <v>0</v>
      </c>
      <c r="L19" s="72">
        <f t="shared" ref="L19:N19" si="4">SUM(L20:L38)</f>
        <v>0</v>
      </c>
      <c r="M19" s="72">
        <f t="shared" si="4"/>
        <v>0</v>
      </c>
      <c r="N19" s="72">
        <f t="shared" si="4"/>
        <v>0</v>
      </c>
      <c r="O19" s="72">
        <f>SUM(O20:O38)</f>
        <v>0</v>
      </c>
      <c r="P19" s="72">
        <f t="shared" ref="P19:Q19" si="5">SUM(P20:P38)</f>
        <v>330689.42</v>
      </c>
      <c r="Q19" s="72">
        <f t="shared" si="5"/>
        <v>0</v>
      </c>
      <c r="R19" s="72">
        <f t="shared" ref="R19" si="6">SUM(R20:R38)</f>
        <v>95187.69</v>
      </c>
      <c r="S19" s="72">
        <f>SUM(S20:S38)</f>
        <v>235501.72999999998</v>
      </c>
      <c r="T19" s="72">
        <f t="shared" ref="T19:AJ19" si="7">SUM(T20:T38)</f>
        <v>3321024.9400000013</v>
      </c>
      <c r="U19" s="72">
        <f>SUM(U20:U38)</f>
        <v>2299499.6700000004</v>
      </c>
      <c r="V19" s="72">
        <f t="shared" si="7"/>
        <v>712377.67</v>
      </c>
      <c r="W19" s="72">
        <f t="shared" si="7"/>
        <v>945754.94999999984</v>
      </c>
      <c r="X19" s="72">
        <f t="shared" si="7"/>
        <v>641367.05000000005</v>
      </c>
      <c r="Y19" s="72">
        <f t="shared" si="7"/>
        <v>415552.7</v>
      </c>
      <c r="Z19" s="72">
        <f t="shared" si="7"/>
        <v>158404.76999999999</v>
      </c>
      <c r="AA19" s="72">
        <f t="shared" si="7"/>
        <v>106128.07</v>
      </c>
      <c r="AB19" s="72">
        <f>SUM(AB20:AB38)</f>
        <v>151019.85999999999</v>
      </c>
      <c r="AC19" s="72">
        <f t="shared" si="7"/>
        <v>310151.39999999997</v>
      </c>
      <c r="AD19" s="72">
        <f t="shared" si="7"/>
        <v>118061.48999999999</v>
      </c>
      <c r="AE19" s="72">
        <f t="shared" si="7"/>
        <v>100667.87999999999</v>
      </c>
      <c r="AF19" s="72">
        <f>SUM(AF20:AF38)</f>
        <v>91422.030000000013</v>
      </c>
      <c r="AG19" s="72">
        <f t="shared" si="7"/>
        <v>295821.17000000004</v>
      </c>
      <c r="AH19" s="72">
        <f t="shared" si="7"/>
        <v>94080.48</v>
      </c>
      <c r="AI19" s="72">
        <f>SUM(AI20:AI38)</f>
        <v>113255.54000000001</v>
      </c>
      <c r="AJ19" s="72">
        <f t="shared" si="7"/>
        <v>88485.15</v>
      </c>
      <c r="AK19" s="49"/>
      <c r="AL19" s="72">
        <f>SUM(AL20:AL38)</f>
        <v>293429.8</v>
      </c>
      <c r="AM19" s="72">
        <f>SUM(AM20:AM38)</f>
        <v>865548.78000000026</v>
      </c>
      <c r="AN19" s="54"/>
      <c r="AO19" s="71"/>
    </row>
    <row r="20" spans="1:41" outlineLevel="1">
      <c r="B20" s="16" t="s">
        <v>17</v>
      </c>
      <c r="C20" s="45">
        <f>SUM(D20:S20)-P20-L20-H20-D20</f>
        <v>114105.01</v>
      </c>
      <c r="D20" s="45">
        <f>SUM(E20:G20)</f>
        <v>0</v>
      </c>
      <c r="E20" s="45"/>
      <c r="F20" s="45"/>
      <c r="G20" s="45"/>
      <c r="H20" s="45">
        <f>SUM(I20:K20)</f>
        <v>0</v>
      </c>
      <c r="I20" s="12"/>
      <c r="J20" s="45"/>
      <c r="K20" s="45"/>
      <c r="L20" s="45">
        <f>SUM(M20:O20)</f>
        <v>0</v>
      </c>
      <c r="M20" s="45"/>
      <c r="N20" s="45"/>
      <c r="O20" s="45"/>
      <c r="P20" s="45">
        <f>SUM(Q20:S20)</f>
        <v>114105.01</v>
      </c>
      <c r="Q20" s="45"/>
      <c r="R20" s="45">
        <v>0</v>
      </c>
      <c r="S20" s="45">
        <v>114105.01</v>
      </c>
      <c r="T20" s="45">
        <f>SUM(U20:AJ20)-AG20-AC20-Y20-U20</f>
        <v>2044438.5099999998</v>
      </c>
      <c r="U20" s="45">
        <f>SUM(V20:X20)</f>
        <v>1820446.25</v>
      </c>
      <c r="V20" s="45">
        <v>526062.9</v>
      </c>
      <c r="W20" s="45">
        <v>857099.96</v>
      </c>
      <c r="X20" s="45">
        <v>437283.39</v>
      </c>
      <c r="Y20" s="45">
        <f>SUM(Z20:AB20)</f>
        <v>75000</v>
      </c>
      <c r="Z20" s="12">
        <v>25000</v>
      </c>
      <c r="AA20" s="45">
        <v>25000</v>
      </c>
      <c r="AB20" s="45">
        <v>25000</v>
      </c>
      <c r="AC20" s="45">
        <f>SUM(AD20:AF20)</f>
        <v>73991.16</v>
      </c>
      <c r="AD20" s="45">
        <v>25000</v>
      </c>
      <c r="AE20" s="45">
        <v>23991.16</v>
      </c>
      <c r="AF20" s="45">
        <v>25000</v>
      </c>
      <c r="AG20" s="45">
        <f>SUM(AH20:AJ20)</f>
        <v>75001.100000000006</v>
      </c>
      <c r="AH20" s="45">
        <v>25000.799999999999</v>
      </c>
      <c r="AI20" s="45">
        <v>25000.3</v>
      </c>
      <c r="AJ20" s="45">
        <v>25000</v>
      </c>
      <c r="AK20" s="55"/>
      <c r="AL20" s="45">
        <v>203009.5</v>
      </c>
      <c r="AM20" s="45">
        <v>203016.6400000001</v>
      </c>
      <c r="AN20" s="54"/>
    </row>
    <row r="21" spans="1:41" outlineLevel="1">
      <c r="B21" s="16" t="s">
        <v>18</v>
      </c>
      <c r="C21" s="45">
        <f t="shared" ref="C21:C36" si="8">SUM(D21:S21)-P21-L21-H21-D21</f>
        <v>954.62</v>
      </c>
      <c r="D21" s="45">
        <f t="shared" ref="D21:D23" si="9">SUM(E21:G21)</f>
        <v>0</v>
      </c>
      <c r="E21" s="45"/>
      <c r="F21" s="45"/>
      <c r="G21" s="45"/>
      <c r="H21" s="45">
        <f t="shared" ref="H21" si="10">SUM(I21:K21)</f>
        <v>0</v>
      </c>
      <c r="I21" s="12"/>
      <c r="J21" s="45"/>
      <c r="K21" s="45"/>
      <c r="L21" s="45">
        <f t="shared" ref="L21:L25" si="11">SUM(M21:O21)</f>
        <v>0</v>
      </c>
      <c r="M21" s="45"/>
      <c r="N21" s="45"/>
      <c r="O21" s="45"/>
      <c r="P21" s="45">
        <f t="shared" ref="P21:P25" si="12">SUM(Q21:S21)</f>
        <v>954.62</v>
      </c>
      <c r="Q21" s="45"/>
      <c r="R21" s="45">
        <v>152.63</v>
      </c>
      <c r="S21" s="45">
        <v>801.99</v>
      </c>
      <c r="T21" s="45">
        <f t="shared" ref="T21:T36" si="13">SUM(U21:AJ21)-AG21-AC21-Y21-U21</f>
        <v>10168.59</v>
      </c>
      <c r="U21" s="45">
        <f t="shared" ref="U21:U64" si="14">SUM(V21:X21)</f>
        <v>2486.04</v>
      </c>
      <c r="V21" s="45">
        <v>884.94</v>
      </c>
      <c r="W21" s="45">
        <v>797.09</v>
      </c>
      <c r="X21" s="45">
        <v>804.01</v>
      </c>
      <c r="Y21" s="45">
        <f t="shared" ref="Y21:Y67" si="15">SUM(Z21:AB21)</f>
        <v>1887.0400000000002</v>
      </c>
      <c r="Z21" s="12">
        <v>545.34</v>
      </c>
      <c r="AA21" s="45">
        <v>530.48</v>
      </c>
      <c r="AB21" s="45">
        <v>811.22</v>
      </c>
      <c r="AC21" s="45">
        <f t="shared" ref="AC21:AC38" si="16">SUM(AD21:AF21)</f>
        <v>3285.83</v>
      </c>
      <c r="AD21" s="45">
        <v>672.17</v>
      </c>
      <c r="AE21" s="45">
        <v>688.09</v>
      </c>
      <c r="AF21" s="45">
        <v>1925.57</v>
      </c>
      <c r="AG21" s="45">
        <f t="shared" ref="AG21:AG64" si="17">SUM(AH21:AJ21)</f>
        <v>2509.6800000000003</v>
      </c>
      <c r="AH21" s="45">
        <v>1049.44</v>
      </c>
      <c r="AI21" s="45">
        <v>852.65</v>
      </c>
      <c r="AJ21" s="45">
        <v>607.59</v>
      </c>
      <c r="AK21" s="55"/>
      <c r="AL21" s="45">
        <v>354.16</v>
      </c>
      <c r="AM21" s="45">
        <v>7108.2499999999982</v>
      </c>
      <c r="AN21" s="54"/>
    </row>
    <row r="22" spans="1:41" outlineLevel="1">
      <c r="B22" s="16" t="s">
        <v>19</v>
      </c>
      <c r="C22" s="45">
        <f t="shared" si="8"/>
        <v>11778.03</v>
      </c>
      <c r="D22" s="45">
        <f t="shared" si="9"/>
        <v>0</v>
      </c>
      <c r="E22" s="45"/>
      <c r="F22" s="45"/>
      <c r="G22" s="45"/>
      <c r="H22" s="45">
        <f>SUM(I22:K22)</f>
        <v>0</v>
      </c>
      <c r="I22" s="12"/>
      <c r="J22" s="45"/>
      <c r="K22" s="45"/>
      <c r="L22" s="45">
        <f t="shared" si="11"/>
        <v>0</v>
      </c>
      <c r="M22" s="45"/>
      <c r="N22" s="45"/>
      <c r="O22" s="45"/>
      <c r="P22" s="45">
        <f t="shared" si="12"/>
        <v>11778.03</v>
      </c>
      <c r="Q22" s="45"/>
      <c r="R22" s="45">
        <v>5544.51</v>
      </c>
      <c r="S22" s="45">
        <v>6233.52</v>
      </c>
      <c r="T22" s="45">
        <f t="shared" si="13"/>
        <v>75454.710000000006</v>
      </c>
      <c r="U22" s="45">
        <f t="shared" si="14"/>
        <v>18760.53</v>
      </c>
      <c r="V22" s="45">
        <v>4745.2700000000004</v>
      </c>
      <c r="W22" s="45">
        <v>6432.08</v>
      </c>
      <c r="X22" s="45">
        <f>47138.32-39555.14</f>
        <v>7583.18</v>
      </c>
      <c r="Y22" s="45">
        <f>SUM(Z22:AB22)</f>
        <v>26652.270000000004</v>
      </c>
      <c r="Z22" s="12">
        <v>9026.58</v>
      </c>
      <c r="AA22" s="45">
        <v>10858.29</v>
      </c>
      <c r="AB22" s="45">
        <v>6767.4</v>
      </c>
      <c r="AC22" s="45">
        <f t="shared" si="16"/>
        <v>17661.989999999998</v>
      </c>
      <c r="AD22" s="45">
        <v>5457.01</v>
      </c>
      <c r="AE22" s="45">
        <v>9625.3799999999992</v>
      </c>
      <c r="AF22" s="45">
        <v>2579.6</v>
      </c>
      <c r="AG22" s="45">
        <f t="shared" si="17"/>
        <v>12379.92</v>
      </c>
      <c r="AH22" s="45">
        <v>2845.92</v>
      </c>
      <c r="AI22" s="45">
        <v>5694.16</v>
      </c>
      <c r="AJ22" s="45">
        <v>3839.84</v>
      </c>
      <c r="AK22" s="55"/>
      <c r="AL22" s="45">
        <v>819.32</v>
      </c>
      <c r="AM22" s="45">
        <v>25690.34</v>
      </c>
      <c r="AN22" s="54"/>
    </row>
    <row r="23" spans="1:41" outlineLevel="1">
      <c r="B23" s="16" t="s">
        <v>20</v>
      </c>
      <c r="C23" s="45">
        <f t="shared" si="8"/>
        <v>0</v>
      </c>
      <c r="D23" s="45">
        <f t="shared" si="9"/>
        <v>0</v>
      </c>
      <c r="E23" s="45"/>
      <c r="F23" s="45"/>
      <c r="G23" s="45"/>
      <c r="H23" s="45">
        <f t="shared" ref="H23:H32" si="18">SUM(I23:K23)</f>
        <v>0</v>
      </c>
      <c r="I23" s="12"/>
      <c r="J23" s="45"/>
      <c r="K23" s="45"/>
      <c r="L23" s="45">
        <f t="shared" si="11"/>
        <v>0</v>
      </c>
      <c r="M23" s="45"/>
      <c r="N23" s="45"/>
      <c r="O23" s="45"/>
      <c r="P23" s="45">
        <f t="shared" si="12"/>
        <v>0</v>
      </c>
      <c r="Q23" s="45"/>
      <c r="R23" s="45">
        <v>0</v>
      </c>
      <c r="S23" s="45">
        <v>0</v>
      </c>
      <c r="T23" s="45">
        <f t="shared" si="13"/>
        <v>3541.19</v>
      </c>
      <c r="U23" s="45">
        <f t="shared" si="14"/>
        <v>0</v>
      </c>
      <c r="V23" s="45">
        <v>0</v>
      </c>
      <c r="W23" s="45">
        <v>0</v>
      </c>
      <c r="X23" s="45">
        <v>0</v>
      </c>
      <c r="Y23" s="45">
        <f t="shared" si="15"/>
        <v>1649.27</v>
      </c>
      <c r="Z23" s="12">
        <v>165.22</v>
      </c>
      <c r="AA23" s="45">
        <v>949.15</v>
      </c>
      <c r="AB23" s="45">
        <v>534.9</v>
      </c>
      <c r="AC23" s="45">
        <f t="shared" si="16"/>
        <v>1459.95</v>
      </c>
      <c r="AD23" s="45">
        <v>985.5</v>
      </c>
      <c r="AE23" s="45">
        <v>474.45</v>
      </c>
      <c r="AF23" s="45">
        <v>0</v>
      </c>
      <c r="AG23" s="45">
        <f t="shared" si="17"/>
        <v>431.97</v>
      </c>
      <c r="AH23" s="45">
        <v>0</v>
      </c>
      <c r="AI23" s="45">
        <v>99.3</v>
      </c>
      <c r="AJ23" s="45">
        <v>332.67</v>
      </c>
      <c r="AK23" s="55"/>
      <c r="AL23" s="45">
        <v>4705.55</v>
      </c>
      <c r="AM23" s="45">
        <v>24609.210000000003</v>
      </c>
      <c r="AN23" s="54"/>
    </row>
    <row r="24" spans="1:41" outlineLevel="1">
      <c r="B24" s="16" t="s">
        <v>21</v>
      </c>
      <c r="C24" s="45">
        <f t="shared" si="8"/>
        <v>24907.84</v>
      </c>
      <c r="D24" s="45">
        <f t="shared" ref="D24:D26" si="19">SUM(E24:G24)</f>
        <v>0</v>
      </c>
      <c r="E24" s="45"/>
      <c r="F24" s="45"/>
      <c r="G24" s="45"/>
      <c r="H24" s="45">
        <f t="shared" si="18"/>
        <v>0</v>
      </c>
      <c r="I24" s="12"/>
      <c r="J24" s="45"/>
      <c r="K24" s="45"/>
      <c r="L24" s="45">
        <f t="shared" si="11"/>
        <v>0</v>
      </c>
      <c r="M24" s="45"/>
      <c r="N24" s="45"/>
      <c r="O24" s="45"/>
      <c r="P24" s="45">
        <f t="shared" si="12"/>
        <v>24907.84</v>
      </c>
      <c r="Q24" s="45"/>
      <c r="R24" s="45">
        <v>7342.16</v>
      </c>
      <c r="S24" s="45">
        <v>17565.68</v>
      </c>
      <c r="T24" s="45">
        <f t="shared" si="13"/>
        <v>46991.430000000008</v>
      </c>
      <c r="U24" s="45">
        <f t="shared" ref="U24:U26" si="20">SUM(V24:X24)</f>
        <v>23520.550000000003</v>
      </c>
      <c r="V24" s="45">
        <v>3827.91</v>
      </c>
      <c r="W24" s="45">
        <v>9629.94</v>
      </c>
      <c r="X24" s="45">
        <v>10062.700000000001</v>
      </c>
      <c r="Y24" s="45">
        <f t="shared" si="15"/>
        <v>12223.31</v>
      </c>
      <c r="Z24" s="12">
        <v>641.74</v>
      </c>
      <c r="AA24" s="45">
        <v>2711.91</v>
      </c>
      <c r="AB24" s="45">
        <v>8869.66</v>
      </c>
      <c r="AC24" s="45">
        <f t="shared" si="16"/>
        <v>11113.66</v>
      </c>
      <c r="AD24" s="45">
        <v>3687.1</v>
      </c>
      <c r="AE24" s="45">
        <v>3555.84</v>
      </c>
      <c r="AF24" s="45">
        <v>3870.72</v>
      </c>
      <c r="AG24" s="45">
        <f t="shared" si="17"/>
        <v>133.91</v>
      </c>
      <c r="AH24" s="45">
        <v>0</v>
      </c>
      <c r="AI24" s="45">
        <v>133.91</v>
      </c>
      <c r="AJ24" s="45">
        <v>0</v>
      </c>
      <c r="AK24" s="55"/>
      <c r="AL24" s="45">
        <v>0</v>
      </c>
      <c r="AM24" s="45">
        <v>481</v>
      </c>
      <c r="AN24" s="54"/>
    </row>
    <row r="25" spans="1:41" outlineLevel="1">
      <c r="B25" s="16" t="s">
        <v>592</v>
      </c>
      <c r="C25" s="45">
        <f t="shared" si="8"/>
        <v>2985</v>
      </c>
      <c r="D25" s="45">
        <f t="shared" si="19"/>
        <v>0</v>
      </c>
      <c r="E25" s="45"/>
      <c r="F25" s="45"/>
      <c r="G25" s="45"/>
      <c r="H25" s="45">
        <f t="shared" si="18"/>
        <v>0</v>
      </c>
      <c r="I25" s="12"/>
      <c r="J25" s="45"/>
      <c r="K25" s="45"/>
      <c r="L25" s="45">
        <f t="shared" si="11"/>
        <v>0</v>
      </c>
      <c r="M25" s="45"/>
      <c r="N25" s="45"/>
      <c r="O25" s="45"/>
      <c r="P25" s="45">
        <f t="shared" si="12"/>
        <v>2985</v>
      </c>
      <c r="Q25" s="45"/>
      <c r="R25" s="45">
        <v>1560</v>
      </c>
      <c r="S25" s="45">
        <v>1425</v>
      </c>
      <c r="T25" s="45">
        <f t="shared" si="13"/>
        <v>16428.240000000005</v>
      </c>
      <c r="U25" s="45">
        <f t="shared" si="20"/>
        <v>8126.67</v>
      </c>
      <c r="V25" s="45">
        <v>3560</v>
      </c>
      <c r="W25" s="45">
        <v>760</v>
      </c>
      <c r="X25" s="45">
        <v>3806.67</v>
      </c>
      <c r="Y25" s="45">
        <f t="shared" si="15"/>
        <v>8301.57</v>
      </c>
      <c r="Z25" s="12">
        <v>4237.6099999999997</v>
      </c>
      <c r="AA25" s="45">
        <v>4063.96</v>
      </c>
      <c r="AB25" s="45"/>
      <c r="AC25" s="45"/>
      <c r="AD25" s="45"/>
      <c r="AE25" s="45"/>
      <c r="AF25" s="45"/>
      <c r="AG25" s="45"/>
      <c r="AH25" s="45"/>
      <c r="AI25" s="45"/>
      <c r="AJ25" s="45"/>
      <c r="AK25" s="55"/>
      <c r="AL25" s="45"/>
      <c r="AM25" s="45"/>
      <c r="AN25" s="54"/>
    </row>
    <row r="26" spans="1:41" outlineLevel="1">
      <c r="B26" s="16" t="s">
        <v>22</v>
      </c>
      <c r="C26" s="45">
        <f t="shared" si="8"/>
        <v>3957.14</v>
      </c>
      <c r="D26" s="45">
        <f t="shared" si="19"/>
        <v>0</v>
      </c>
      <c r="E26" s="45"/>
      <c r="F26" s="45"/>
      <c r="G26" s="45"/>
      <c r="H26" s="45">
        <f t="shared" si="18"/>
        <v>0</v>
      </c>
      <c r="I26" s="12"/>
      <c r="J26" s="45"/>
      <c r="K26" s="45"/>
      <c r="L26" s="45">
        <f t="shared" ref="L26:L35" si="21">SUM(M26:O26)</f>
        <v>0</v>
      </c>
      <c r="M26" s="45"/>
      <c r="N26" s="45"/>
      <c r="O26" s="45"/>
      <c r="P26" s="45">
        <f t="shared" ref="P26:P34" si="22">SUM(Q26:S26)</f>
        <v>3957.14</v>
      </c>
      <c r="Q26" s="45"/>
      <c r="R26" s="45">
        <v>1007.81</v>
      </c>
      <c r="S26" s="45">
        <v>2949.33</v>
      </c>
      <c r="T26" s="45">
        <f t="shared" si="13"/>
        <v>17063.53</v>
      </c>
      <c r="U26" s="45">
        <f t="shared" si="20"/>
        <v>4459.33</v>
      </c>
      <c r="V26" s="45">
        <v>1943.78</v>
      </c>
      <c r="W26" s="45">
        <v>1292.1300000000001</v>
      </c>
      <c r="X26" s="45">
        <v>1223.42</v>
      </c>
      <c r="Y26" s="45">
        <f t="shared" si="15"/>
        <v>857.98</v>
      </c>
      <c r="Z26" s="12">
        <v>812.75</v>
      </c>
      <c r="AA26" s="45">
        <v>0</v>
      </c>
      <c r="AB26" s="45">
        <v>45.23</v>
      </c>
      <c r="AC26" s="45">
        <f t="shared" si="16"/>
        <v>3180.5599999999995</v>
      </c>
      <c r="AD26" s="45">
        <v>343.75</v>
      </c>
      <c r="AE26" s="45">
        <v>457.09</v>
      </c>
      <c r="AF26" s="45">
        <v>2379.7199999999998</v>
      </c>
      <c r="AG26" s="45">
        <f t="shared" si="17"/>
        <v>8565.66</v>
      </c>
      <c r="AH26" s="45">
        <v>5067</v>
      </c>
      <c r="AI26" s="45">
        <v>3498.66</v>
      </c>
      <c r="AJ26" s="45">
        <v>0</v>
      </c>
      <c r="AK26" s="55"/>
      <c r="AL26" s="45">
        <v>3750</v>
      </c>
      <c r="AM26" s="45">
        <v>29931.989999999998</v>
      </c>
      <c r="AN26" s="54"/>
    </row>
    <row r="27" spans="1:41" outlineLevel="1">
      <c r="B27" s="16" t="s">
        <v>23</v>
      </c>
      <c r="C27" s="45">
        <f t="shared" si="8"/>
        <v>702.7</v>
      </c>
      <c r="D27" s="45">
        <f t="shared" ref="D27:D36" si="23">SUM(E27:G27)</f>
        <v>0</v>
      </c>
      <c r="E27" s="45"/>
      <c r="F27" s="45"/>
      <c r="G27" s="45"/>
      <c r="H27" s="45">
        <f t="shared" si="18"/>
        <v>0</v>
      </c>
      <c r="I27" s="12"/>
      <c r="J27" s="45"/>
      <c r="K27" s="45"/>
      <c r="L27" s="45">
        <f t="shared" si="21"/>
        <v>0</v>
      </c>
      <c r="M27" s="45"/>
      <c r="N27" s="45"/>
      <c r="O27" s="45"/>
      <c r="P27" s="45">
        <f t="shared" si="22"/>
        <v>702.7</v>
      </c>
      <c r="Q27" s="45"/>
      <c r="R27" s="45">
        <v>359.54</v>
      </c>
      <c r="S27" s="45">
        <v>343.16</v>
      </c>
      <c r="T27" s="45">
        <f t="shared" si="13"/>
        <v>8193.5999999999985</v>
      </c>
      <c r="U27" s="45">
        <f t="shared" si="14"/>
        <v>2051</v>
      </c>
      <c r="V27" s="45">
        <v>0</v>
      </c>
      <c r="W27" s="45">
        <v>671</v>
      </c>
      <c r="X27" s="45">
        <v>1380</v>
      </c>
      <c r="Y27" s="45">
        <f t="shared" si="15"/>
        <v>4360.6099999999997</v>
      </c>
      <c r="Z27" s="12">
        <v>46</v>
      </c>
      <c r="AA27" s="45">
        <v>3717.22</v>
      </c>
      <c r="AB27" s="45">
        <v>597.39</v>
      </c>
      <c r="AC27" s="45">
        <f t="shared" si="16"/>
        <v>1671.99</v>
      </c>
      <c r="AD27" s="45">
        <v>1219.99</v>
      </c>
      <c r="AE27" s="45">
        <v>452</v>
      </c>
      <c r="AF27" s="45">
        <v>0</v>
      </c>
      <c r="AG27" s="45">
        <f t="shared" si="17"/>
        <v>110</v>
      </c>
      <c r="AH27" s="45">
        <v>0</v>
      </c>
      <c r="AI27" s="45">
        <v>0</v>
      </c>
      <c r="AJ27" s="45">
        <v>110</v>
      </c>
      <c r="AK27" s="55"/>
      <c r="AL27" s="45">
        <v>241</v>
      </c>
      <c r="AM27" s="45">
        <v>4591.3599999999997</v>
      </c>
      <c r="AN27" s="54"/>
    </row>
    <row r="28" spans="1:41" outlineLevel="1">
      <c r="B28" s="16" t="s">
        <v>24</v>
      </c>
      <c r="C28" s="45">
        <f t="shared" si="8"/>
        <v>33396.49</v>
      </c>
      <c r="D28" s="45">
        <f t="shared" si="23"/>
        <v>0</v>
      </c>
      <c r="E28" s="45"/>
      <c r="F28" s="45"/>
      <c r="G28" s="45"/>
      <c r="H28" s="45">
        <f t="shared" si="18"/>
        <v>0</v>
      </c>
      <c r="I28" s="12"/>
      <c r="J28" s="45"/>
      <c r="K28" s="45"/>
      <c r="L28" s="45">
        <f t="shared" si="21"/>
        <v>0</v>
      </c>
      <c r="M28" s="45"/>
      <c r="N28" s="45"/>
      <c r="O28" s="45"/>
      <c r="P28" s="45">
        <f t="shared" si="22"/>
        <v>33396.49</v>
      </c>
      <c r="Q28" s="45"/>
      <c r="R28" s="45">
        <v>10311.48</v>
      </c>
      <c r="S28" s="45">
        <v>23085.01</v>
      </c>
      <c r="T28" s="45">
        <f t="shared" si="13"/>
        <v>303572.57999999996</v>
      </c>
      <c r="U28" s="45">
        <f t="shared" si="14"/>
        <v>71280.01999999999</v>
      </c>
      <c r="V28" s="45">
        <v>23085.01</v>
      </c>
      <c r="W28" s="45">
        <v>24097.51</v>
      </c>
      <c r="X28" s="45">
        <v>24097.5</v>
      </c>
      <c r="Y28" s="45">
        <f t="shared" si="15"/>
        <v>74907.58</v>
      </c>
      <c r="Z28" s="12">
        <v>24097.5</v>
      </c>
      <c r="AA28" s="45">
        <v>24579.25</v>
      </c>
      <c r="AB28" s="45">
        <v>26230.83</v>
      </c>
      <c r="AC28" s="45">
        <f t="shared" si="16"/>
        <v>78692.490000000005</v>
      </c>
      <c r="AD28" s="45">
        <v>26230.83</v>
      </c>
      <c r="AE28" s="45">
        <v>26230.83</v>
      </c>
      <c r="AF28" s="45">
        <v>26230.83</v>
      </c>
      <c r="AG28" s="45">
        <f t="shared" si="17"/>
        <v>78692.490000000005</v>
      </c>
      <c r="AH28" s="45">
        <v>26230.83</v>
      </c>
      <c r="AI28" s="45">
        <v>26230.83</v>
      </c>
      <c r="AJ28" s="45">
        <v>26230.83</v>
      </c>
      <c r="AK28" s="55"/>
      <c r="AL28" s="45">
        <v>32096.09</v>
      </c>
      <c r="AM28" s="45">
        <v>127377.94</v>
      </c>
      <c r="AN28" s="54"/>
    </row>
    <row r="29" spans="1:41" outlineLevel="1">
      <c r="B29" s="16" t="s">
        <v>25</v>
      </c>
      <c r="C29" s="45">
        <f t="shared" si="8"/>
        <v>8019.85</v>
      </c>
      <c r="D29" s="45">
        <f t="shared" si="23"/>
        <v>0</v>
      </c>
      <c r="E29" s="45"/>
      <c r="F29" s="45"/>
      <c r="G29" s="45"/>
      <c r="H29" s="45">
        <f t="shared" si="18"/>
        <v>0</v>
      </c>
      <c r="I29" s="12"/>
      <c r="J29" s="45"/>
      <c r="K29" s="45"/>
      <c r="L29" s="45">
        <f t="shared" si="21"/>
        <v>0</v>
      </c>
      <c r="M29" s="45"/>
      <c r="N29" s="45"/>
      <c r="O29" s="45"/>
      <c r="P29" s="45">
        <f t="shared" si="22"/>
        <v>8019.85</v>
      </c>
      <c r="Q29" s="45"/>
      <c r="R29" s="45">
        <v>4127.03</v>
      </c>
      <c r="S29" s="45">
        <v>3892.82</v>
      </c>
      <c r="T29" s="45">
        <f t="shared" si="13"/>
        <v>84957.260000000009</v>
      </c>
      <c r="U29" s="45">
        <f t="shared" si="14"/>
        <v>14808.57</v>
      </c>
      <c r="V29" s="45">
        <v>5215.28</v>
      </c>
      <c r="W29" s="45">
        <v>4527.88</v>
      </c>
      <c r="X29" s="45">
        <v>5065.41</v>
      </c>
      <c r="Y29" s="45">
        <f t="shared" si="15"/>
        <v>21110.600000000002</v>
      </c>
      <c r="Z29" s="12">
        <v>10439.41</v>
      </c>
      <c r="AA29" s="45">
        <v>6048.24</v>
      </c>
      <c r="AB29" s="45">
        <v>4622.95</v>
      </c>
      <c r="AC29" s="45">
        <f t="shared" si="16"/>
        <v>18776.739999999998</v>
      </c>
      <c r="AD29" s="45">
        <v>5737.6</v>
      </c>
      <c r="AE29" s="45">
        <v>5781.48</v>
      </c>
      <c r="AF29" s="45">
        <v>7257.66</v>
      </c>
      <c r="AG29" s="45">
        <f t="shared" si="17"/>
        <v>30261.35</v>
      </c>
      <c r="AH29" s="45">
        <v>14668.43</v>
      </c>
      <c r="AI29" s="45">
        <v>5604.42</v>
      </c>
      <c r="AJ29" s="45">
        <v>9988.5</v>
      </c>
      <c r="AK29" s="55"/>
      <c r="AL29" s="45">
        <v>3897.75</v>
      </c>
      <c r="AM29" s="45">
        <v>84744.320000000036</v>
      </c>
      <c r="AN29" s="54"/>
    </row>
    <row r="30" spans="1:41" outlineLevel="1">
      <c r="B30" s="16" t="s">
        <v>26</v>
      </c>
      <c r="C30" s="45">
        <f t="shared" si="8"/>
        <v>0</v>
      </c>
      <c r="D30" s="45">
        <f t="shared" si="23"/>
        <v>0</v>
      </c>
      <c r="E30" s="45"/>
      <c r="F30" s="45"/>
      <c r="G30" s="45"/>
      <c r="H30" s="45">
        <f t="shared" si="18"/>
        <v>0</v>
      </c>
      <c r="I30" s="12"/>
      <c r="J30" s="45"/>
      <c r="K30" s="45"/>
      <c r="L30" s="45">
        <f t="shared" si="21"/>
        <v>0</v>
      </c>
      <c r="M30" s="45"/>
      <c r="N30" s="45"/>
      <c r="O30" s="45"/>
      <c r="P30" s="45">
        <f t="shared" si="22"/>
        <v>0</v>
      </c>
      <c r="Q30" s="45"/>
      <c r="R30" s="45">
        <v>0</v>
      </c>
      <c r="S30" s="45">
        <v>0</v>
      </c>
      <c r="T30" s="45">
        <f t="shared" si="13"/>
        <v>35000</v>
      </c>
      <c r="U30" s="45">
        <f t="shared" si="14"/>
        <v>35000</v>
      </c>
      <c r="V30" s="45">
        <v>35000</v>
      </c>
      <c r="W30" s="45">
        <v>0</v>
      </c>
      <c r="X30" s="45">
        <v>0</v>
      </c>
      <c r="Y30" s="45">
        <f t="shared" si="15"/>
        <v>0</v>
      </c>
      <c r="Z30" s="12">
        <v>0</v>
      </c>
      <c r="AA30" s="45">
        <v>0</v>
      </c>
      <c r="AB30" s="45">
        <v>0</v>
      </c>
      <c r="AC30" s="45">
        <f t="shared" si="16"/>
        <v>0</v>
      </c>
      <c r="AD30" s="45">
        <v>0</v>
      </c>
      <c r="AE30" s="45">
        <v>0</v>
      </c>
      <c r="AF30" s="45">
        <v>0</v>
      </c>
      <c r="AG30" s="45">
        <f t="shared" si="17"/>
        <v>0</v>
      </c>
      <c r="AH30" s="45">
        <v>0</v>
      </c>
      <c r="AI30" s="45">
        <v>0</v>
      </c>
      <c r="AJ30" s="45">
        <v>0</v>
      </c>
      <c r="AK30" s="55"/>
      <c r="AL30" s="45">
        <v>17500</v>
      </c>
      <c r="AM30" s="45">
        <v>42500</v>
      </c>
      <c r="AN30" s="54"/>
    </row>
    <row r="31" spans="1:41" outlineLevel="1">
      <c r="B31" s="16" t="s">
        <v>27</v>
      </c>
      <c r="C31" s="45">
        <f t="shared" si="8"/>
        <v>18883.310000000001</v>
      </c>
      <c r="D31" s="45">
        <f t="shared" si="23"/>
        <v>0</v>
      </c>
      <c r="E31" s="45"/>
      <c r="F31" s="45"/>
      <c r="G31" s="45"/>
      <c r="H31" s="45">
        <f t="shared" si="18"/>
        <v>0</v>
      </c>
      <c r="I31" s="12"/>
      <c r="J31" s="45"/>
      <c r="K31" s="45"/>
      <c r="L31" s="45">
        <f t="shared" si="21"/>
        <v>0</v>
      </c>
      <c r="M31" s="45"/>
      <c r="N31" s="45"/>
      <c r="O31" s="45"/>
      <c r="P31" s="45">
        <f t="shared" si="22"/>
        <v>18883.310000000001</v>
      </c>
      <c r="Q31" s="45"/>
      <c r="R31" s="45">
        <v>6771.94</v>
      </c>
      <c r="S31" s="45">
        <v>12111.37</v>
      </c>
      <c r="T31" s="45">
        <f t="shared" si="13"/>
        <v>63743.659999999989</v>
      </c>
      <c r="U31" s="45">
        <f t="shared" si="14"/>
        <v>29094.339999999997</v>
      </c>
      <c r="V31" s="45">
        <v>8861</v>
      </c>
      <c r="W31" s="45">
        <v>6890.44</v>
      </c>
      <c r="X31" s="45">
        <v>13342.9</v>
      </c>
      <c r="Y31" s="45">
        <f t="shared" si="15"/>
        <v>17709.52</v>
      </c>
      <c r="Z31" s="12">
        <v>9880.7199999999993</v>
      </c>
      <c r="AA31" s="45">
        <v>4099.12</v>
      </c>
      <c r="AB31" s="45">
        <v>3729.68</v>
      </c>
      <c r="AC31" s="45">
        <f t="shared" si="16"/>
        <v>8861.41</v>
      </c>
      <c r="AD31" s="45">
        <v>3298.5</v>
      </c>
      <c r="AE31" s="45">
        <v>2802.08</v>
      </c>
      <c r="AF31" s="45">
        <v>2760.83</v>
      </c>
      <c r="AG31" s="45">
        <f t="shared" si="17"/>
        <v>8078.39</v>
      </c>
      <c r="AH31" s="45">
        <v>5361.89</v>
      </c>
      <c r="AI31" s="45">
        <v>0</v>
      </c>
      <c r="AJ31" s="45">
        <v>2716.5</v>
      </c>
      <c r="AK31" s="55"/>
      <c r="AL31" s="45">
        <v>2142.64</v>
      </c>
      <c r="AM31" s="45">
        <v>24754.899999999994</v>
      </c>
      <c r="AN31" s="54"/>
    </row>
    <row r="32" spans="1:41" outlineLevel="1">
      <c r="B32" s="16" t="s">
        <v>28</v>
      </c>
      <c r="C32" s="45">
        <f t="shared" si="8"/>
        <v>92577.26999999999</v>
      </c>
      <c r="D32" s="45">
        <f t="shared" si="23"/>
        <v>0</v>
      </c>
      <c r="E32" s="45"/>
      <c r="F32" s="45"/>
      <c r="G32" s="45"/>
      <c r="H32" s="45">
        <f t="shared" si="18"/>
        <v>0</v>
      </c>
      <c r="I32" s="12"/>
      <c r="J32" s="45"/>
      <c r="K32" s="45"/>
      <c r="L32" s="45">
        <f t="shared" si="21"/>
        <v>0</v>
      </c>
      <c r="M32" s="45"/>
      <c r="N32" s="45"/>
      <c r="O32" s="45"/>
      <c r="P32" s="45">
        <f t="shared" si="22"/>
        <v>92577.26999999999</v>
      </c>
      <c r="Q32" s="45"/>
      <c r="R32" s="45">
        <v>52003.09</v>
      </c>
      <c r="S32" s="45">
        <v>40574.18</v>
      </c>
      <c r="T32" s="45">
        <f t="shared" si="13"/>
        <v>479512.13000000018</v>
      </c>
      <c r="U32" s="45">
        <f t="shared" si="14"/>
        <v>189181.08000000002</v>
      </c>
      <c r="V32" s="45">
        <v>73293.740000000005</v>
      </c>
      <c r="W32" s="45">
        <v>26969.17</v>
      </c>
      <c r="X32" s="45">
        <v>88918.17</v>
      </c>
      <c r="Y32" s="45">
        <f t="shared" si="15"/>
        <v>151194.20000000001</v>
      </c>
      <c r="Z32" s="12">
        <v>63284.6</v>
      </c>
      <c r="AA32" s="45">
        <v>20005.060000000001</v>
      </c>
      <c r="AB32" s="45">
        <v>67904.539999999994</v>
      </c>
      <c r="AC32" s="45">
        <f t="shared" si="16"/>
        <v>80100.2</v>
      </c>
      <c r="AD32" s="45">
        <v>38653.919999999998</v>
      </c>
      <c r="AE32" s="45">
        <v>24451.97</v>
      </c>
      <c r="AF32" s="45">
        <v>16994.310000000001</v>
      </c>
      <c r="AG32" s="45">
        <f t="shared" si="17"/>
        <v>59036.65</v>
      </c>
      <c r="AH32" s="45">
        <v>10881.39</v>
      </c>
      <c r="AI32" s="45">
        <v>35723.870000000003</v>
      </c>
      <c r="AJ32" s="45">
        <v>12431.39</v>
      </c>
      <c r="AK32" s="55"/>
      <c r="AL32" s="45">
        <v>22184.55</v>
      </c>
      <c r="AM32" s="45">
        <v>227892.91000000003</v>
      </c>
      <c r="AN32" s="54"/>
    </row>
    <row r="33" spans="1:40" outlineLevel="1">
      <c r="B33" s="16" t="s">
        <v>600</v>
      </c>
      <c r="C33" s="45">
        <f t="shared" si="8"/>
        <v>13566.86</v>
      </c>
      <c r="D33" s="45">
        <f t="shared" si="23"/>
        <v>0</v>
      </c>
      <c r="E33" s="45"/>
      <c r="F33" s="45"/>
      <c r="G33" s="45"/>
      <c r="H33" s="45"/>
      <c r="I33" s="12"/>
      <c r="J33" s="45"/>
      <c r="K33" s="45"/>
      <c r="L33" s="45">
        <f t="shared" si="21"/>
        <v>0</v>
      </c>
      <c r="M33" s="45"/>
      <c r="N33" s="45"/>
      <c r="O33" s="45"/>
      <c r="P33" s="45">
        <f t="shared" si="22"/>
        <v>13566.86</v>
      </c>
      <c r="Q33" s="45"/>
      <c r="R33" s="45">
        <v>4007.5</v>
      </c>
      <c r="S33" s="45">
        <v>9559.36</v>
      </c>
      <c r="T33" s="45">
        <f t="shared" si="13"/>
        <v>43313.02</v>
      </c>
      <c r="U33" s="45">
        <f t="shared" si="14"/>
        <v>43313.02</v>
      </c>
      <c r="V33" s="45">
        <v>22232.75</v>
      </c>
      <c r="W33" s="45">
        <v>2237.35</v>
      </c>
      <c r="X33" s="45">
        <v>18842.919999999998</v>
      </c>
      <c r="Y33" s="45"/>
      <c r="Z33" s="12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55"/>
      <c r="AL33" s="45"/>
      <c r="AM33" s="45"/>
      <c r="AN33" s="54"/>
    </row>
    <row r="34" spans="1:40" outlineLevel="1">
      <c r="B34" s="16" t="s">
        <v>601</v>
      </c>
      <c r="C34" s="45">
        <f t="shared" si="8"/>
        <v>0</v>
      </c>
      <c r="D34" s="45">
        <f t="shared" si="23"/>
        <v>0</v>
      </c>
      <c r="E34" s="45"/>
      <c r="F34" s="45"/>
      <c r="G34" s="45"/>
      <c r="H34" s="45"/>
      <c r="I34" s="12"/>
      <c r="J34" s="45"/>
      <c r="K34" s="45"/>
      <c r="L34" s="45">
        <f t="shared" si="21"/>
        <v>0</v>
      </c>
      <c r="M34" s="45"/>
      <c r="N34" s="45"/>
      <c r="O34" s="45"/>
      <c r="P34" s="45">
        <f t="shared" si="22"/>
        <v>0</v>
      </c>
      <c r="Q34" s="45"/>
      <c r="R34" s="45">
        <v>0</v>
      </c>
      <c r="S34" s="45">
        <v>0</v>
      </c>
      <c r="T34" s="45">
        <f t="shared" si="13"/>
        <v>1200</v>
      </c>
      <c r="U34" s="45">
        <f t="shared" si="14"/>
        <v>1200</v>
      </c>
      <c r="V34" s="45">
        <v>0</v>
      </c>
      <c r="W34" s="45">
        <v>0</v>
      </c>
      <c r="X34" s="45">
        <v>1200</v>
      </c>
      <c r="Y34" s="45"/>
      <c r="Z34" s="12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55"/>
      <c r="AL34" s="45"/>
      <c r="AM34" s="45"/>
      <c r="AN34" s="54"/>
    </row>
    <row r="35" spans="1:40" outlineLevel="1">
      <c r="B35" s="16" t="s">
        <v>29</v>
      </c>
      <c r="C35" s="45">
        <f t="shared" si="8"/>
        <v>6.3</v>
      </c>
      <c r="D35" s="45">
        <f t="shared" si="23"/>
        <v>0</v>
      </c>
      <c r="E35" s="45"/>
      <c r="F35" s="45"/>
      <c r="G35" s="45"/>
      <c r="H35" s="45">
        <f t="shared" ref="H35:H38" si="24">SUM(I35:K35)</f>
        <v>0</v>
      </c>
      <c r="I35" s="12"/>
      <c r="J35" s="12"/>
      <c r="K35" s="45"/>
      <c r="L35" s="45">
        <f t="shared" si="21"/>
        <v>0</v>
      </c>
      <c r="M35" s="45"/>
      <c r="N35" s="45"/>
      <c r="O35" s="45"/>
      <c r="P35" s="45">
        <f t="shared" ref="P35:P38" si="25">SUM(Q35:S35)</f>
        <v>6.3</v>
      </c>
      <c r="Q35" s="45"/>
      <c r="R35" s="45">
        <v>0</v>
      </c>
      <c r="S35" s="45">
        <v>6.3</v>
      </c>
      <c r="T35" s="45">
        <f t="shared" si="13"/>
        <v>8.16</v>
      </c>
      <c r="U35" s="45">
        <f t="shared" si="14"/>
        <v>0.65</v>
      </c>
      <c r="V35" s="45">
        <v>0</v>
      </c>
      <c r="W35" s="45">
        <v>0</v>
      </c>
      <c r="X35" s="45">
        <v>0.65</v>
      </c>
      <c r="Y35" s="45">
        <f t="shared" si="15"/>
        <v>3.5100000000000002</v>
      </c>
      <c r="Z35" s="12">
        <v>0.77</v>
      </c>
      <c r="AA35" s="12">
        <v>2.77</v>
      </c>
      <c r="AB35" s="45">
        <v>-0.03</v>
      </c>
      <c r="AC35" s="45">
        <f t="shared" si="16"/>
        <v>4</v>
      </c>
      <c r="AD35" s="45">
        <v>2.94</v>
      </c>
      <c r="AE35" s="45">
        <v>0.01</v>
      </c>
      <c r="AF35" s="45">
        <v>1.05</v>
      </c>
      <c r="AG35" s="45">
        <f t="shared" si="17"/>
        <v>0</v>
      </c>
      <c r="AH35" s="45">
        <v>0</v>
      </c>
      <c r="AI35" s="45">
        <v>0</v>
      </c>
      <c r="AJ35" s="45">
        <v>0</v>
      </c>
      <c r="AK35" s="55"/>
      <c r="AL35" s="45">
        <v>0.24</v>
      </c>
      <c r="AM35" s="45">
        <v>-103.77</v>
      </c>
      <c r="AN35" s="54"/>
    </row>
    <row r="36" spans="1:40" outlineLevel="1">
      <c r="B36" s="16" t="s">
        <v>30</v>
      </c>
      <c r="C36" s="45">
        <f t="shared" si="8"/>
        <v>849</v>
      </c>
      <c r="D36" s="45">
        <f t="shared" si="23"/>
        <v>0</v>
      </c>
      <c r="E36" s="45"/>
      <c r="F36" s="45"/>
      <c r="G36" s="45"/>
      <c r="H36" s="45">
        <f t="shared" si="24"/>
        <v>0</v>
      </c>
      <c r="I36" s="12"/>
      <c r="J36" s="45"/>
      <c r="K36" s="45"/>
      <c r="L36" s="45">
        <f t="shared" ref="L36:L38" si="26">SUM(M36:O36)</f>
        <v>0</v>
      </c>
      <c r="M36" s="45"/>
      <c r="N36" s="45"/>
      <c r="O36" s="45"/>
      <c r="P36" s="45">
        <f t="shared" si="25"/>
        <v>849</v>
      </c>
      <c r="Q36" s="45"/>
      <c r="R36" s="45">
        <v>0</v>
      </c>
      <c r="S36" s="45">
        <v>849</v>
      </c>
      <c r="T36" s="45">
        <f t="shared" si="13"/>
        <v>56438.330000000009</v>
      </c>
      <c r="U36" s="45">
        <f t="shared" si="14"/>
        <v>22771.620000000003</v>
      </c>
      <c r="V36" s="45">
        <v>1665.09</v>
      </c>
      <c r="W36" s="45">
        <v>2350.4</v>
      </c>
      <c r="X36" s="45">
        <v>18756.13</v>
      </c>
      <c r="Y36" s="45">
        <f t="shared" si="15"/>
        <v>13695.240000000002</v>
      </c>
      <c r="Z36" s="12">
        <v>8226.5300000000007</v>
      </c>
      <c r="AA36" s="45">
        <v>1562.62</v>
      </c>
      <c r="AB36" s="45">
        <v>3906.09</v>
      </c>
      <c r="AC36" s="45">
        <f t="shared" si="16"/>
        <v>5351.42</v>
      </c>
      <c r="AD36" s="45">
        <v>4772.18</v>
      </c>
      <c r="AE36" s="45">
        <v>157.5</v>
      </c>
      <c r="AF36" s="45">
        <v>421.74</v>
      </c>
      <c r="AG36" s="45">
        <f t="shared" si="17"/>
        <v>14620.050000000001</v>
      </c>
      <c r="AH36" s="45">
        <v>974.78</v>
      </c>
      <c r="AI36" s="45">
        <v>8417.44</v>
      </c>
      <c r="AJ36" s="45">
        <v>5227.83</v>
      </c>
      <c r="AK36" s="55"/>
      <c r="AL36" s="45">
        <v>729</v>
      </c>
      <c r="AM36" s="45">
        <v>5344.88</v>
      </c>
      <c r="AN36" s="54"/>
    </row>
    <row r="37" spans="1:40" outlineLevel="1">
      <c r="B37" s="16" t="s">
        <v>31</v>
      </c>
      <c r="C37" s="45">
        <f>SUM(D37:S37)-P37-L37-H37-D37</f>
        <v>4000</v>
      </c>
      <c r="D37" s="45">
        <f>SUM(E37:G37)</f>
        <v>0</v>
      </c>
      <c r="E37" s="45"/>
      <c r="F37" s="45"/>
      <c r="G37" s="45"/>
      <c r="H37" s="45">
        <f t="shared" si="24"/>
        <v>0</v>
      </c>
      <c r="I37" s="12"/>
      <c r="J37" s="45"/>
      <c r="K37" s="45"/>
      <c r="L37" s="45">
        <f t="shared" si="26"/>
        <v>0</v>
      </c>
      <c r="M37" s="45"/>
      <c r="N37" s="45"/>
      <c r="O37" s="45"/>
      <c r="P37" s="45">
        <f t="shared" si="25"/>
        <v>4000</v>
      </c>
      <c r="Q37" s="45"/>
      <c r="R37" s="45">
        <v>2000</v>
      </c>
      <c r="S37" s="45">
        <v>2000</v>
      </c>
      <c r="T37" s="45">
        <f>SUM(U37:AJ37)-AG37-AC37-Y37-U37</f>
        <v>31000</v>
      </c>
      <c r="U37" s="45">
        <f>SUM(V37:X37)</f>
        <v>13000</v>
      </c>
      <c r="V37" s="45">
        <v>2000</v>
      </c>
      <c r="W37" s="45">
        <v>2000</v>
      </c>
      <c r="X37" s="45">
        <v>9000</v>
      </c>
      <c r="Y37" s="45">
        <f t="shared" si="15"/>
        <v>6000</v>
      </c>
      <c r="Z37" s="12">
        <v>2000</v>
      </c>
      <c r="AA37" s="45">
        <v>2000</v>
      </c>
      <c r="AB37" s="45">
        <v>2000</v>
      </c>
      <c r="AC37" s="45">
        <f t="shared" si="16"/>
        <v>6000</v>
      </c>
      <c r="AD37" s="45">
        <v>2000</v>
      </c>
      <c r="AE37" s="45">
        <v>2000</v>
      </c>
      <c r="AF37" s="45">
        <v>2000</v>
      </c>
      <c r="AG37" s="45">
        <f t="shared" si="17"/>
        <v>6000</v>
      </c>
      <c r="AH37" s="45">
        <v>2000</v>
      </c>
      <c r="AI37" s="45">
        <v>2000</v>
      </c>
      <c r="AJ37" s="45">
        <v>2000</v>
      </c>
      <c r="AK37" s="55"/>
      <c r="AL37" s="45">
        <v>2000</v>
      </c>
      <c r="AM37" s="45">
        <v>10000</v>
      </c>
      <c r="AN37" s="54"/>
    </row>
    <row r="38" spans="1:40" outlineLevel="1">
      <c r="B38" s="16" t="s">
        <v>32</v>
      </c>
      <c r="C38" s="45">
        <f>SUM(D38:S38)-P38-L38-H38-D38</f>
        <v>0</v>
      </c>
      <c r="D38" s="45">
        <f>SUM(E38:G38)</f>
        <v>0</v>
      </c>
      <c r="E38" s="45"/>
      <c r="F38" s="45"/>
      <c r="G38" s="45"/>
      <c r="H38" s="45">
        <f t="shared" si="24"/>
        <v>0</v>
      </c>
      <c r="I38" s="12"/>
      <c r="J38" s="45"/>
      <c r="K38" s="45"/>
      <c r="L38" s="45">
        <f t="shared" si="26"/>
        <v>0</v>
      </c>
      <c r="M38" s="45"/>
      <c r="N38" s="45"/>
      <c r="O38" s="45"/>
      <c r="P38" s="45">
        <f t="shared" si="25"/>
        <v>0</v>
      </c>
      <c r="Q38" s="45"/>
      <c r="R38" s="45">
        <v>0</v>
      </c>
      <c r="S38" s="45">
        <v>0</v>
      </c>
      <c r="T38" s="45">
        <f>SUM(U38:AJ38)-AG38-AC38-Y38-U38</f>
        <v>0</v>
      </c>
      <c r="U38" s="45">
        <f>SUM(V38:X38)</f>
        <v>0</v>
      </c>
      <c r="V38" s="45">
        <v>0</v>
      </c>
      <c r="W38" s="45">
        <v>0</v>
      </c>
      <c r="X38" s="45">
        <v>0</v>
      </c>
      <c r="Y38" s="45">
        <f t="shared" si="15"/>
        <v>0</v>
      </c>
      <c r="Z38" s="12">
        <v>0</v>
      </c>
      <c r="AA38" s="45">
        <v>0</v>
      </c>
      <c r="AB38" s="45">
        <v>0</v>
      </c>
      <c r="AC38" s="45">
        <f t="shared" si="16"/>
        <v>0</v>
      </c>
      <c r="AD38" s="45">
        <v>0</v>
      </c>
      <c r="AE38" s="45">
        <v>0</v>
      </c>
      <c r="AF38" s="45">
        <v>0</v>
      </c>
      <c r="AG38" s="45"/>
      <c r="AH38" s="45"/>
      <c r="AI38" s="45">
        <v>0</v>
      </c>
      <c r="AJ38" s="45">
        <v>0</v>
      </c>
      <c r="AK38" s="55"/>
      <c r="AL38" s="45">
        <v>0</v>
      </c>
      <c r="AM38" s="45">
        <v>47608.81</v>
      </c>
      <c r="AN38" s="54"/>
    </row>
    <row r="39" spans="1:40" s="69" customFormat="1">
      <c r="A39" s="68"/>
      <c r="B39" s="67" t="s">
        <v>33</v>
      </c>
      <c r="C39" s="72">
        <f t="shared" ref="C39" si="27">SUM(C40:C55)</f>
        <v>160268.01999999999</v>
      </c>
      <c r="D39" s="72">
        <f>SUM(D40:D55)</f>
        <v>0</v>
      </c>
      <c r="E39" s="72">
        <f t="shared" ref="E39:J39" si="28">SUM(E40:E55)</f>
        <v>0</v>
      </c>
      <c r="F39" s="72">
        <f t="shared" si="28"/>
        <v>0</v>
      </c>
      <c r="G39" s="72">
        <f t="shared" si="28"/>
        <v>0</v>
      </c>
      <c r="H39" s="72">
        <f t="shared" si="28"/>
        <v>0</v>
      </c>
      <c r="I39" s="72">
        <f t="shared" si="28"/>
        <v>0</v>
      </c>
      <c r="J39" s="72">
        <f t="shared" si="28"/>
        <v>0</v>
      </c>
      <c r="K39" s="72">
        <f>SUM(K40:K55)</f>
        <v>0</v>
      </c>
      <c r="L39" s="72">
        <f t="shared" ref="L39:S39" si="29">SUM(L40:L55)</f>
        <v>0</v>
      </c>
      <c r="M39" s="72">
        <f t="shared" si="29"/>
        <v>0</v>
      </c>
      <c r="N39" s="72">
        <f t="shared" si="29"/>
        <v>0</v>
      </c>
      <c r="O39" s="72">
        <f t="shared" si="29"/>
        <v>0</v>
      </c>
      <c r="P39" s="72">
        <f t="shared" si="29"/>
        <v>160268.01999999999</v>
      </c>
      <c r="Q39" s="72">
        <f t="shared" si="29"/>
        <v>0</v>
      </c>
      <c r="R39" s="72">
        <f t="shared" si="29"/>
        <v>73155.33</v>
      </c>
      <c r="S39" s="72">
        <f t="shared" si="29"/>
        <v>87112.69</v>
      </c>
      <c r="T39" s="72">
        <f t="shared" ref="T39:AJ39" si="30">SUM(T40:T55)</f>
        <v>915789.72000000009</v>
      </c>
      <c r="U39" s="72">
        <f>SUM(U40:U55)</f>
        <v>287076.76</v>
      </c>
      <c r="V39" s="72">
        <f t="shared" si="30"/>
        <v>103215.70000000001</v>
      </c>
      <c r="W39" s="72">
        <f t="shared" si="30"/>
        <v>105492.27999999998</v>
      </c>
      <c r="X39" s="72">
        <f t="shared" si="30"/>
        <v>78368.780000000013</v>
      </c>
      <c r="Y39" s="72">
        <f t="shared" si="30"/>
        <v>291492.70999999996</v>
      </c>
      <c r="Z39" s="72">
        <f t="shared" si="30"/>
        <v>114807.29</v>
      </c>
      <c r="AA39" s="72">
        <f t="shared" si="30"/>
        <v>42824.9</v>
      </c>
      <c r="AB39" s="72">
        <f>SUM(AB40:AB55)</f>
        <v>133860.52000000002</v>
      </c>
      <c r="AC39" s="72">
        <f t="shared" si="30"/>
        <v>190150.02</v>
      </c>
      <c r="AD39" s="72">
        <f t="shared" si="30"/>
        <v>79321.289999999994</v>
      </c>
      <c r="AE39" s="72">
        <f t="shared" si="30"/>
        <v>57185.23</v>
      </c>
      <c r="AF39" s="72">
        <f t="shared" si="30"/>
        <v>53643.5</v>
      </c>
      <c r="AG39" s="72">
        <f t="shared" si="30"/>
        <v>147070.23000000001</v>
      </c>
      <c r="AH39" s="72">
        <f t="shared" si="30"/>
        <v>39040.83</v>
      </c>
      <c r="AI39" s="72">
        <f t="shared" si="30"/>
        <v>51382.470000000008</v>
      </c>
      <c r="AJ39" s="72">
        <f t="shared" si="30"/>
        <v>56646.93</v>
      </c>
      <c r="AK39" s="74"/>
      <c r="AL39" s="72">
        <f>SUM(AL40:AL55)</f>
        <v>58404.56</v>
      </c>
      <c r="AM39" s="72">
        <f>SUM(AM40:AM55)</f>
        <v>591969.18000000017</v>
      </c>
      <c r="AN39" s="54"/>
    </row>
    <row r="40" spans="1:40" outlineLevel="1">
      <c r="B40" s="16" t="s">
        <v>34</v>
      </c>
      <c r="C40" s="45">
        <f t="shared" ref="C40:C49" si="31">SUM(D40:S40)-P40-L40-H40-D40</f>
        <v>17256.72</v>
      </c>
      <c r="D40" s="45">
        <f t="shared" ref="D40:D48" si="32">SUM(E40:G40)</f>
        <v>0</v>
      </c>
      <c r="E40" s="45"/>
      <c r="F40" s="45"/>
      <c r="G40" s="45"/>
      <c r="H40" s="45">
        <f t="shared" ref="H40:H51" si="33">SUM(I40:K40)</f>
        <v>0</v>
      </c>
      <c r="I40" s="12"/>
      <c r="J40" s="45"/>
      <c r="K40" s="45"/>
      <c r="L40" s="45">
        <f t="shared" ref="L40:L53" si="34">SUM(M40:O40)</f>
        <v>0</v>
      </c>
      <c r="M40" s="45"/>
      <c r="N40" s="45"/>
      <c r="O40" s="45"/>
      <c r="P40" s="45">
        <f t="shared" ref="P40:P51" si="35">SUM(Q40:S40)</f>
        <v>17256.72</v>
      </c>
      <c r="Q40" s="45"/>
      <c r="R40" s="45">
        <v>6068.14</v>
      </c>
      <c r="S40" s="45">
        <v>11188.58</v>
      </c>
      <c r="T40" s="45">
        <f t="shared" ref="T40:T68" si="36">SUM(U40:AJ40)-AG40-AC40-Y40-U40</f>
        <v>58476.059999999983</v>
      </c>
      <c r="U40" s="45">
        <f t="shared" si="14"/>
        <v>17955.61</v>
      </c>
      <c r="V40" s="45">
        <v>17621.22</v>
      </c>
      <c r="W40" s="45">
        <v>-11004.45</v>
      </c>
      <c r="X40" s="45">
        <v>11338.84</v>
      </c>
      <c r="Y40" s="45">
        <f t="shared" si="15"/>
        <v>11900.03</v>
      </c>
      <c r="Z40" s="12">
        <v>6977.04</v>
      </c>
      <c r="AA40" s="45">
        <v>1891.56</v>
      </c>
      <c r="AB40" s="45">
        <v>3031.43</v>
      </c>
      <c r="AC40" s="45">
        <f t="shared" ref="AC40:AC86" si="37">SUM(AD40:AF40)</f>
        <v>12382.849999999999</v>
      </c>
      <c r="AD40" s="45">
        <v>4361</v>
      </c>
      <c r="AE40" s="45">
        <v>4405.1499999999996</v>
      </c>
      <c r="AF40" s="45">
        <v>3616.7</v>
      </c>
      <c r="AG40" s="45">
        <f t="shared" si="17"/>
        <v>16237.57</v>
      </c>
      <c r="AH40" s="45">
        <v>952</v>
      </c>
      <c r="AI40" s="45">
        <v>4372.08</v>
      </c>
      <c r="AJ40" s="45">
        <v>10913.49</v>
      </c>
      <c r="AK40" s="55"/>
      <c r="AL40" s="45">
        <v>18271.010000000002</v>
      </c>
      <c r="AM40" s="45">
        <v>96381.630000000034</v>
      </c>
      <c r="AN40" s="54"/>
    </row>
    <row r="41" spans="1:40" outlineLevel="1">
      <c r="B41" s="16" t="s">
        <v>591</v>
      </c>
      <c r="C41" s="45">
        <f t="shared" si="31"/>
        <v>17753.030000000006</v>
      </c>
      <c r="D41" s="45">
        <f t="shared" si="32"/>
        <v>0</v>
      </c>
      <c r="E41" s="45"/>
      <c r="F41" s="45"/>
      <c r="G41" s="45"/>
      <c r="H41" s="45">
        <f t="shared" si="33"/>
        <v>0</v>
      </c>
      <c r="I41" s="12"/>
      <c r="J41" s="45"/>
      <c r="K41" s="45"/>
      <c r="L41" s="45">
        <f t="shared" si="34"/>
        <v>0</v>
      </c>
      <c r="M41" s="45"/>
      <c r="N41" s="45"/>
      <c r="O41" s="45"/>
      <c r="P41" s="45">
        <f t="shared" si="35"/>
        <v>17753.03</v>
      </c>
      <c r="Q41" s="45"/>
      <c r="R41" s="45">
        <v>16460.27</v>
      </c>
      <c r="S41" s="45">
        <v>1292.76</v>
      </c>
      <c r="T41" s="45">
        <f t="shared" si="36"/>
        <v>127516.15000000005</v>
      </c>
      <c r="U41" s="45">
        <f t="shared" si="14"/>
        <v>40679.4</v>
      </c>
      <c r="V41" s="45">
        <v>36312.33</v>
      </c>
      <c r="W41" s="45">
        <v>-2227.86</v>
      </c>
      <c r="X41" s="45">
        <v>6594.93</v>
      </c>
      <c r="Y41" s="45">
        <f t="shared" si="15"/>
        <v>49747.17</v>
      </c>
      <c r="Z41" s="12">
        <v>28716.5</v>
      </c>
      <c r="AA41" s="45">
        <v>11602.53</v>
      </c>
      <c r="AB41" s="45">
        <v>9428.14</v>
      </c>
      <c r="AC41" s="45">
        <f t="shared" si="37"/>
        <v>23508.19</v>
      </c>
      <c r="AD41" s="45">
        <v>13811.06</v>
      </c>
      <c r="AE41" s="45">
        <v>8712.51</v>
      </c>
      <c r="AF41" s="45">
        <v>984.62</v>
      </c>
      <c r="AG41" s="45">
        <f t="shared" si="17"/>
        <v>13581.39</v>
      </c>
      <c r="AH41" s="45">
        <v>22.61</v>
      </c>
      <c r="AI41" s="45">
        <v>5592.49</v>
      </c>
      <c r="AJ41" s="45">
        <v>7966.29</v>
      </c>
      <c r="AK41" s="55"/>
      <c r="AL41" s="45"/>
      <c r="AM41" s="45"/>
      <c r="AN41" s="54"/>
    </row>
    <row r="42" spans="1:40" outlineLevel="1">
      <c r="B42" s="16" t="s">
        <v>35</v>
      </c>
      <c r="C42" s="45">
        <f t="shared" si="31"/>
        <v>0</v>
      </c>
      <c r="D42" s="45">
        <f t="shared" si="32"/>
        <v>0</v>
      </c>
      <c r="E42" s="45"/>
      <c r="F42" s="45"/>
      <c r="G42" s="45"/>
      <c r="H42" s="45">
        <f t="shared" si="33"/>
        <v>0</v>
      </c>
      <c r="I42" s="12"/>
      <c r="J42" s="45"/>
      <c r="K42" s="45"/>
      <c r="L42" s="45">
        <f t="shared" si="34"/>
        <v>0</v>
      </c>
      <c r="M42" s="45"/>
      <c r="N42" s="45"/>
      <c r="O42" s="45"/>
      <c r="P42" s="45">
        <f t="shared" si="35"/>
        <v>0</v>
      </c>
      <c r="Q42" s="45"/>
      <c r="R42" s="45">
        <v>0</v>
      </c>
      <c r="S42" s="45">
        <v>0</v>
      </c>
      <c r="T42" s="45">
        <f t="shared" si="36"/>
        <v>0</v>
      </c>
      <c r="U42" s="45">
        <f t="shared" si="14"/>
        <v>0</v>
      </c>
      <c r="V42" s="45">
        <v>0</v>
      </c>
      <c r="W42" s="45">
        <v>0</v>
      </c>
      <c r="X42" s="45">
        <v>0</v>
      </c>
      <c r="Y42" s="45">
        <f t="shared" si="15"/>
        <v>0</v>
      </c>
      <c r="Z42" s="12">
        <v>0</v>
      </c>
      <c r="AA42" s="45">
        <v>0</v>
      </c>
      <c r="AB42" s="45">
        <v>0</v>
      </c>
      <c r="AC42" s="45">
        <f t="shared" si="37"/>
        <v>0</v>
      </c>
      <c r="AD42" s="45">
        <v>0</v>
      </c>
      <c r="AE42" s="45">
        <v>0</v>
      </c>
      <c r="AF42" s="45">
        <v>0</v>
      </c>
      <c r="AG42" s="45">
        <f t="shared" si="17"/>
        <v>0</v>
      </c>
      <c r="AH42" s="45">
        <v>0</v>
      </c>
      <c r="AI42" s="45">
        <v>0</v>
      </c>
      <c r="AJ42" s="45">
        <v>0</v>
      </c>
      <c r="AK42" s="55"/>
      <c r="AL42" s="45">
        <v>4797.13</v>
      </c>
      <c r="AM42" s="45">
        <v>61150.530000000006</v>
      </c>
      <c r="AN42" s="54"/>
    </row>
    <row r="43" spans="1:40" outlineLevel="1">
      <c r="B43" s="16" t="s">
        <v>36</v>
      </c>
      <c r="C43" s="45">
        <f t="shared" si="31"/>
        <v>0</v>
      </c>
      <c r="D43" s="45">
        <f t="shared" si="32"/>
        <v>0</v>
      </c>
      <c r="E43" s="45"/>
      <c r="F43" s="45"/>
      <c r="G43" s="45"/>
      <c r="H43" s="45">
        <f t="shared" si="33"/>
        <v>0</v>
      </c>
      <c r="I43" s="12"/>
      <c r="J43" s="45"/>
      <c r="K43" s="45"/>
      <c r="L43" s="45">
        <f t="shared" si="34"/>
        <v>0</v>
      </c>
      <c r="M43" s="45"/>
      <c r="N43" s="45"/>
      <c r="O43" s="45"/>
      <c r="P43" s="45">
        <f t="shared" si="35"/>
        <v>0</v>
      </c>
      <c r="Q43" s="45"/>
      <c r="R43" s="45">
        <v>0</v>
      </c>
      <c r="S43" s="45">
        <v>0</v>
      </c>
      <c r="T43" s="45">
        <f t="shared" si="36"/>
        <v>2578.2600000000002</v>
      </c>
      <c r="U43" s="45">
        <f t="shared" si="14"/>
        <v>0</v>
      </c>
      <c r="V43" s="45">
        <v>0</v>
      </c>
      <c r="W43" s="45">
        <v>0</v>
      </c>
      <c r="X43" s="45">
        <v>0</v>
      </c>
      <c r="Y43" s="45">
        <f t="shared" si="15"/>
        <v>0</v>
      </c>
      <c r="Z43" s="12">
        <v>0</v>
      </c>
      <c r="AA43" s="45">
        <v>0</v>
      </c>
      <c r="AB43" s="45">
        <v>0</v>
      </c>
      <c r="AC43" s="45">
        <f t="shared" si="37"/>
        <v>1600</v>
      </c>
      <c r="AD43" s="45">
        <v>0</v>
      </c>
      <c r="AE43" s="45">
        <v>0</v>
      </c>
      <c r="AF43" s="45">
        <v>1600</v>
      </c>
      <c r="AG43" s="45">
        <f t="shared" si="17"/>
        <v>978.26</v>
      </c>
      <c r="AH43" s="45">
        <v>0</v>
      </c>
      <c r="AI43" s="45">
        <v>978.26</v>
      </c>
      <c r="AJ43" s="45">
        <v>0</v>
      </c>
      <c r="AK43" s="55"/>
      <c r="AL43" s="45">
        <v>0</v>
      </c>
      <c r="AM43" s="45">
        <v>8543.4800000000032</v>
      </c>
      <c r="AN43" s="54"/>
    </row>
    <row r="44" spans="1:40" outlineLevel="1">
      <c r="B44" s="16" t="s">
        <v>37</v>
      </c>
      <c r="C44" s="45">
        <f t="shared" si="31"/>
        <v>13000</v>
      </c>
      <c r="D44" s="45">
        <f t="shared" si="32"/>
        <v>0</v>
      </c>
      <c r="E44" s="45"/>
      <c r="F44" s="45"/>
      <c r="G44" s="45"/>
      <c r="H44" s="45">
        <f t="shared" si="33"/>
        <v>0</v>
      </c>
      <c r="I44" s="12"/>
      <c r="J44" s="45"/>
      <c r="K44" s="45"/>
      <c r="L44" s="45">
        <f t="shared" si="34"/>
        <v>0</v>
      </c>
      <c r="M44" s="45"/>
      <c r="N44" s="45"/>
      <c r="O44" s="45"/>
      <c r="P44" s="45">
        <f t="shared" si="35"/>
        <v>13000</v>
      </c>
      <c r="Q44" s="45"/>
      <c r="R44" s="45">
        <v>5000</v>
      </c>
      <c r="S44" s="45">
        <v>8000</v>
      </c>
      <c r="T44" s="45">
        <f t="shared" si="36"/>
        <v>127000</v>
      </c>
      <c r="U44" s="45">
        <f t="shared" si="14"/>
        <v>39000</v>
      </c>
      <c r="V44" s="45">
        <v>7500</v>
      </c>
      <c r="W44" s="45">
        <v>21500</v>
      </c>
      <c r="X44" s="45">
        <v>10000</v>
      </c>
      <c r="Y44" s="45">
        <f t="shared" si="15"/>
        <v>35000</v>
      </c>
      <c r="Z44" s="12">
        <v>6000</v>
      </c>
      <c r="AA44" s="45">
        <v>7000</v>
      </c>
      <c r="AB44" s="45">
        <v>22000</v>
      </c>
      <c r="AC44" s="45">
        <f t="shared" si="37"/>
        <v>34000</v>
      </c>
      <c r="AD44" s="45">
        <v>13000</v>
      </c>
      <c r="AE44" s="45">
        <v>6000</v>
      </c>
      <c r="AF44" s="45">
        <v>15000</v>
      </c>
      <c r="AG44" s="45">
        <f t="shared" si="17"/>
        <v>19000</v>
      </c>
      <c r="AH44" s="45">
        <v>7000</v>
      </c>
      <c r="AI44" s="45">
        <v>7000</v>
      </c>
      <c r="AJ44" s="45">
        <v>5000</v>
      </c>
      <c r="AK44" s="55"/>
      <c r="AL44" s="45">
        <v>5000</v>
      </c>
      <c r="AM44" s="45">
        <v>44606.180000000008</v>
      </c>
      <c r="AN44" s="54"/>
    </row>
    <row r="45" spans="1:40" outlineLevel="1">
      <c r="B45" s="16" t="s">
        <v>38</v>
      </c>
      <c r="C45" s="45">
        <f t="shared" si="31"/>
        <v>5500</v>
      </c>
      <c r="D45" s="45">
        <f t="shared" si="32"/>
        <v>0</v>
      </c>
      <c r="E45" s="45"/>
      <c r="F45" s="45"/>
      <c r="G45" s="45"/>
      <c r="H45" s="45">
        <f t="shared" si="33"/>
        <v>0</v>
      </c>
      <c r="I45" s="12"/>
      <c r="J45" s="45"/>
      <c r="K45" s="45"/>
      <c r="L45" s="45">
        <f t="shared" si="34"/>
        <v>0</v>
      </c>
      <c r="M45" s="45"/>
      <c r="N45" s="45"/>
      <c r="O45" s="45"/>
      <c r="P45" s="45">
        <f t="shared" si="35"/>
        <v>5500</v>
      </c>
      <c r="Q45" s="45"/>
      <c r="R45" s="45">
        <v>2500</v>
      </c>
      <c r="S45" s="45">
        <v>3000</v>
      </c>
      <c r="T45" s="45">
        <f t="shared" si="36"/>
        <v>55000</v>
      </c>
      <c r="U45" s="45">
        <f t="shared" si="14"/>
        <v>17200</v>
      </c>
      <c r="V45" s="45">
        <v>3400</v>
      </c>
      <c r="W45" s="45">
        <v>6300</v>
      </c>
      <c r="X45" s="45">
        <v>7500</v>
      </c>
      <c r="Y45" s="45">
        <f t="shared" si="15"/>
        <v>14200</v>
      </c>
      <c r="Z45" s="12">
        <v>4900</v>
      </c>
      <c r="AA45" s="45">
        <v>3700</v>
      </c>
      <c r="AB45" s="45">
        <v>5600</v>
      </c>
      <c r="AC45" s="45">
        <f t="shared" si="37"/>
        <v>10100</v>
      </c>
      <c r="AD45" s="45">
        <v>5400</v>
      </c>
      <c r="AE45" s="45">
        <v>1700</v>
      </c>
      <c r="AF45" s="45">
        <v>3000</v>
      </c>
      <c r="AG45" s="45">
        <f t="shared" si="17"/>
        <v>13500</v>
      </c>
      <c r="AH45" s="45">
        <v>7000</v>
      </c>
      <c r="AI45" s="45">
        <v>5000</v>
      </c>
      <c r="AJ45" s="45">
        <v>1500</v>
      </c>
      <c r="AK45" s="55"/>
      <c r="AL45" s="45"/>
      <c r="AM45" s="45"/>
      <c r="AN45" s="54"/>
    </row>
    <row r="46" spans="1:40" outlineLevel="1">
      <c r="B46" s="16" t="s">
        <v>39</v>
      </c>
      <c r="C46" s="45">
        <f t="shared" si="31"/>
        <v>54400.79</v>
      </c>
      <c r="D46" s="45">
        <f t="shared" si="32"/>
        <v>0</v>
      </c>
      <c r="E46" s="45"/>
      <c r="F46" s="45"/>
      <c r="G46" s="45"/>
      <c r="H46" s="45">
        <f t="shared" si="33"/>
        <v>0</v>
      </c>
      <c r="I46" s="12"/>
      <c r="J46" s="45"/>
      <c r="K46" s="45"/>
      <c r="L46" s="45">
        <f t="shared" si="34"/>
        <v>0</v>
      </c>
      <c r="M46" s="45"/>
      <c r="N46" s="45"/>
      <c r="O46" s="45"/>
      <c r="P46" s="45">
        <f t="shared" si="35"/>
        <v>54400.79</v>
      </c>
      <c r="Q46" s="45"/>
      <c r="R46" s="45">
        <v>30932.16</v>
      </c>
      <c r="S46" s="45">
        <v>23468.63</v>
      </c>
      <c r="T46" s="45">
        <f t="shared" si="36"/>
        <v>323555.42999999993</v>
      </c>
      <c r="U46" s="45">
        <f t="shared" si="14"/>
        <v>93218.170000000013</v>
      </c>
      <c r="V46" s="45">
        <v>29491.08</v>
      </c>
      <c r="W46" s="45">
        <v>36269.68</v>
      </c>
      <c r="X46" s="45">
        <v>27457.41</v>
      </c>
      <c r="Y46" s="45">
        <f t="shared" si="15"/>
        <v>102093.22</v>
      </c>
      <c r="Z46" s="12">
        <v>19446.8</v>
      </c>
      <c r="AA46" s="45">
        <v>14722.76</v>
      </c>
      <c r="AB46" s="45">
        <v>67923.66</v>
      </c>
      <c r="AC46" s="45">
        <f t="shared" si="37"/>
        <v>71738.540000000008</v>
      </c>
      <c r="AD46" s="45">
        <v>26518.85</v>
      </c>
      <c r="AE46" s="45">
        <v>19610.97</v>
      </c>
      <c r="AF46" s="45">
        <v>25608.720000000001</v>
      </c>
      <c r="AG46" s="45">
        <f t="shared" si="17"/>
        <v>56505.5</v>
      </c>
      <c r="AH46" s="45">
        <v>20701.099999999999</v>
      </c>
      <c r="AI46" s="45">
        <v>19876.400000000001</v>
      </c>
      <c r="AJ46" s="45">
        <v>15928</v>
      </c>
      <c r="AK46" s="55"/>
      <c r="AL46" s="45"/>
      <c r="AM46" s="45"/>
      <c r="AN46" s="54"/>
    </row>
    <row r="47" spans="1:40" outlineLevel="1">
      <c r="B47" s="16" t="s">
        <v>40</v>
      </c>
      <c r="C47" s="45">
        <f t="shared" si="31"/>
        <v>0</v>
      </c>
      <c r="D47" s="45">
        <f t="shared" si="32"/>
        <v>0</v>
      </c>
      <c r="E47" s="45"/>
      <c r="F47" s="45"/>
      <c r="G47" s="45"/>
      <c r="H47" s="45">
        <f t="shared" si="33"/>
        <v>0</v>
      </c>
      <c r="I47" s="12"/>
      <c r="J47" s="45"/>
      <c r="K47" s="45"/>
      <c r="L47" s="45">
        <f t="shared" si="34"/>
        <v>0</v>
      </c>
      <c r="M47" s="45"/>
      <c r="N47" s="45"/>
      <c r="O47" s="45"/>
      <c r="P47" s="45">
        <f t="shared" si="35"/>
        <v>0</v>
      </c>
      <c r="Q47" s="45"/>
      <c r="R47" s="45">
        <v>0</v>
      </c>
      <c r="S47" s="45">
        <v>0</v>
      </c>
      <c r="T47" s="45">
        <f t="shared" si="36"/>
        <v>0</v>
      </c>
      <c r="U47" s="45">
        <f t="shared" si="14"/>
        <v>0</v>
      </c>
      <c r="V47" s="45">
        <v>0</v>
      </c>
      <c r="W47" s="45">
        <v>0</v>
      </c>
      <c r="X47" s="45">
        <v>0</v>
      </c>
      <c r="Y47" s="45">
        <f t="shared" ref="Y47:Y49" si="38">SUM(Z47:AB47)</f>
        <v>0</v>
      </c>
      <c r="Z47" s="12">
        <v>0</v>
      </c>
      <c r="AA47" s="45">
        <v>0</v>
      </c>
      <c r="AB47" s="45">
        <v>0</v>
      </c>
      <c r="AC47" s="45">
        <f t="shared" si="37"/>
        <v>0</v>
      </c>
      <c r="AD47" s="45">
        <v>0</v>
      </c>
      <c r="AE47" s="45">
        <v>0</v>
      </c>
      <c r="AF47" s="45">
        <v>0</v>
      </c>
      <c r="AG47" s="45">
        <f t="shared" si="17"/>
        <v>0</v>
      </c>
      <c r="AH47" s="45">
        <v>0</v>
      </c>
      <c r="AI47" s="45">
        <v>0</v>
      </c>
      <c r="AJ47" s="45">
        <v>0</v>
      </c>
      <c r="AK47" s="55"/>
      <c r="AL47" s="45">
        <v>107.5</v>
      </c>
      <c r="AM47" s="45">
        <v>4457.7700000000004</v>
      </c>
      <c r="AN47" s="54"/>
    </row>
    <row r="48" spans="1:40" outlineLevel="1">
      <c r="B48" s="16" t="s">
        <v>41</v>
      </c>
      <c r="C48" s="45">
        <f t="shared" si="31"/>
        <v>0</v>
      </c>
      <c r="D48" s="45">
        <f t="shared" si="32"/>
        <v>0</v>
      </c>
      <c r="E48" s="45"/>
      <c r="F48" s="45"/>
      <c r="G48" s="45"/>
      <c r="H48" s="45">
        <f t="shared" si="33"/>
        <v>0</v>
      </c>
      <c r="I48" s="12"/>
      <c r="J48" s="45"/>
      <c r="K48" s="45"/>
      <c r="L48" s="45">
        <f t="shared" si="34"/>
        <v>0</v>
      </c>
      <c r="M48" s="45"/>
      <c r="N48" s="45"/>
      <c r="O48" s="45"/>
      <c r="P48" s="45">
        <f t="shared" si="35"/>
        <v>0</v>
      </c>
      <c r="Q48" s="45"/>
      <c r="R48" s="45">
        <v>0</v>
      </c>
      <c r="S48" s="45">
        <v>0</v>
      </c>
      <c r="T48" s="45">
        <f t="shared" si="36"/>
        <v>0</v>
      </c>
      <c r="U48" s="45">
        <f t="shared" si="14"/>
        <v>0</v>
      </c>
      <c r="V48" s="45">
        <v>0</v>
      </c>
      <c r="W48" s="45">
        <v>0</v>
      </c>
      <c r="X48" s="45">
        <v>0</v>
      </c>
      <c r="Y48" s="45">
        <f t="shared" si="38"/>
        <v>0</v>
      </c>
      <c r="Z48" s="12">
        <v>0</v>
      </c>
      <c r="AA48" s="45">
        <v>0</v>
      </c>
      <c r="AB48" s="45">
        <v>0</v>
      </c>
      <c r="AC48" s="45">
        <f t="shared" si="37"/>
        <v>0</v>
      </c>
      <c r="AD48" s="45">
        <v>0</v>
      </c>
      <c r="AE48" s="45">
        <v>0</v>
      </c>
      <c r="AF48" s="45">
        <v>0</v>
      </c>
      <c r="AG48" s="45">
        <f t="shared" si="17"/>
        <v>0</v>
      </c>
      <c r="AH48" s="45"/>
      <c r="AI48" s="45">
        <v>0</v>
      </c>
      <c r="AJ48" s="45">
        <v>0</v>
      </c>
      <c r="AK48" s="55"/>
      <c r="AL48" s="45">
        <v>0</v>
      </c>
      <c r="AM48" s="45">
        <v>21797.18</v>
      </c>
      <c r="AN48" s="54"/>
    </row>
    <row r="49" spans="1:40" outlineLevel="1">
      <c r="B49" s="16" t="s">
        <v>586</v>
      </c>
      <c r="C49" s="45">
        <f t="shared" si="31"/>
        <v>1500</v>
      </c>
      <c r="D49" s="45">
        <f t="shared" ref="D49:D51" si="39">SUM(E49:G49)</f>
        <v>0</v>
      </c>
      <c r="E49" s="45"/>
      <c r="F49" s="45"/>
      <c r="G49" s="45"/>
      <c r="H49" s="45">
        <f t="shared" si="33"/>
        <v>0</v>
      </c>
      <c r="I49" s="12"/>
      <c r="J49" s="45"/>
      <c r="K49" s="45"/>
      <c r="L49" s="45">
        <f t="shared" si="34"/>
        <v>0</v>
      </c>
      <c r="M49" s="45"/>
      <c r="N49" s="45"/>
      <c r="O49" s="45"/>
      <c r="P49" s="45">
        <f t="shared" si="35"/>
        <v>1500</v>
      </c>
      <c r="Q49" s="45"/>
      <c r="R49" s="45">
        <v>0</v>
      </c>
      <c r="S49" s="45">
        <v>1500</v>
      </c>
      <c r="T49" s="45">
        <f t="shared" si="36"/>
        <v>97386.049999999988</v>
      </c>
      <c r="U49" s="45">
        <f t="shared" ref="U49" si="40">SUM(V49:X49)</f>
        <v>20834.439999999999</v>
      </c>
      <c r="V49" s="45">
        <v>3633.33</v>
      </c>
      <c r="W49" s="45">
        <v>9900</v>
      </c>
      <c r="X49" s="45">
        <v>7301.11</v>
      </c>
      <c r="Y49" s="45">
        <f t="shared" si="38"/>
        <v>65550</v>
      </c>
      <c r="Z49" s="12">
        <v>46050</v>
      </c>
      <c r="AA49" s="45">
        <v>0</v>
      </c>
      <c r="AB49" s="45">
        <v>19500</v>
      </c>
      <c r="AC49" s="45">
        <f t="shared" si="37"/>
        <v>11001.61</v>
      </c>
      <c r="AD49" s="45">
        <v>11001.61</v>
      </c>
      <c r="AE49" s="45"/>
      <c r="AF49" s="45"/>
      <c r="AG49" s="45"/>
      <c r="AH49" s="45"/>
      <c r="AI49" s="45"/>
      <c r="AJ49" s="45"/>
      <c r="AK49" s="55"/>
      <c r="AL49" s="45"/>
      <c r="AM49" s="45"/>
      <c r="AN49" s="54"/>
    </row>
    <row r="50" spans="1:40" outlineLevel="1">
      <c r="B50" s="16" t="s">
        <v>584</v>
      </c>
      <c r="C50" s="45">
        <f t="shared" ref="C50:C51" si="41">SUM(D50:S50)-P50-L50-H50-D50</f>
        <v>26991.3</v>
      </c>
      <c r="D50" s="45">
        <f t="shared" si="39"/>
        <v>0</v>
      </c>
      <c r="E50" s="45"/>
      <c r="F50" s="45"/>
      <c r="G50" s="45"/>
      <c r="H50" s="45">
        <f t="shared" si="33"/>
        <v>0</v>
      </c>
      <c r="I50" s="12"/>
      <c r="J50" s="45"/>
      <c r="K50" s="45"/>
      <c r="L50" s="45">
        <f t="shared" si="34"/>
        <v>0</v>
      </c>
      <c r="M50" s="45"/>
      <c r="N50" s="45"/>
      <c r="O50" s="45"/>
      <c r="P50" s="45">
        <f t="shared" si="35"/>
        <v>26991.3</v>
      </c>
      <c r="Q50" s="45"/>
      <c r="R50" s="45">
        <v>0</v>
      </c>
      <c r="S50" s="45">
        <v>26991.3</v>
      </c>
      <c r="T50" s="45">
        <f t="shared" ref="T50" si="42">SUM(U50:AJ50)-AG50-AC50-Y50-U50</f>
        <v>21047.54</v>
      </c>
      <c r="U50" s="45">
        <f t="shared" ref="U50" si="43">SUM(V50:X50)</f>
        <v>17454.349999999999</v>
      </c>
      <c r="V50" s="45">
        <v>0</v>
      </c>
      <c r="W50" s="45">
        <v>14000</v>
      </c>
      <c r="X50" s="45">
        <v>3454.35</v>
      </c>
      <c r="Y50" s="45">
        <f t="shared" ref="Y50" si="44">SUM(Z50:AB50)</f>
        <v>3593.19</v>
      </c>
      <c r="Z50" s="12">
        <v>0</v>
      </c>
      <c r="AA50" s="45">
        <v>0</v>
      </c>
      <c r="AB50" s="45">
        <v>3593.19</v>
      </c>
      <c r="AC50" s="45"/>
      <c r="AD50" s="45"/>
      <c r="AE50" s="45"/>
      <c r="AF50" s="45"/>
      <c r="AG50" s="45"/>
      <c r="AH50" s="45"/>
      <c r="AI50" s="45"/>
      <c r="AJ50" s="45"/>
      <c r="AK50" s="55"/>
      <c r="AL50" s="45"/>
      <c r="AM50" s="45"/>
      <c r="AN50" s="54"/>
    </row>
    <row r="51" spans="1:40" outlineLevel="1">
      <c r="B51" s="16" t="s">
        <v>602</v>
      </c>
      <c r="C51" s="45">
        <f t="shared" si="41"/>
        <v>0</v>
      </c>
      <c r="D51" s="45">
        <f t="shared" si="39"/>
        <v>0</v>
      </c>
      <c r="E51" s="45"/>
      <c r="F51" s="45"/>
      <c r="G51" s="45"/>
      <c r="H51" s="45">
        <f t="shared" si="33"/>
        <v>0</v>
      </c>
      <c r="I51" s="12"/>
      <c r="J51" s="45"/>
      <c r="K51" s="45"/>
      <c r="L51" s="45">
        <f t="shared" si="34"/>
        <v>0</v>
      </c>
      <c r="M51" s="45"/>
      <c r="N51" s="45"/>
      <c r="O51" s="45"/>
      <c r="P51" s="45">
        <f t="shared" si="35"/>
        <v>0</v>
      </c>
      <c r="Q51" s="45"/>
      <c r="R51" s="45">
        <v>0</v>
      </c>
      <c r="S51" s="45">
        <v>0</v>
      </c>
      <c r="T51" s="45">
        <f t="shared" ref="T51" si="45">SUM(U51:AJ51)-AG51-AC51-Y51-U51</f>
        <v>1638.75</v>
      </c>
      <c r="U51" s="45">
        <f t="shared" ref="U51" si="46">SUM(V51:X51)</f>
        <v>1638.75</v>
      </c>
      <c r="V51" s="45">
        <v>235.75</v>
      </c>
      <c r="W51" s="45">
        <v>299</v>
      </c>
      <c r="X51" s="45">
        <v>1104</v>
      </c>
      <c r="Y51" s="45"/>
      <c r="Z51" s="12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55"/>
      <c r="AL51" s="45"/>
      <c r="AM51" s="45"/>
      <c r="AN51" s="54"/>
    </row>
    <row r="52" spans="1:40" outlineLevel="1">
      <c r="B52" s="16" t="s">
        <v>620</v>
      </c>
      <c r="C52" s="45">
        <f t="shared" ref="C52" si="47">SUM(D52:S52)-P52-L52-H52-D52</f>
        <v>16100</v>
      </c>
      <c r="D52" s="45">
        <f t="shared" ref="D52" si="48">SUM(E52:G52)</f>
        <v>0</v>
      </c>
      <c r="E52" s="45"/>
      <c r="F52" s="45"/>
      <c r="G52" s="45"/>
      <c r="H52" s="45">
        <f t="shared" ref="H52" si="49">SUM(I52:K52)</f>
        <v>0</v>
      </c>
      <c r="I52" s="12"/>
      <c r="J52" s="45"/>
      <c r="K52" s="45"/>
      <c r="L52" s="45">
        <f t="shared" ref="L52" si="50">SUM(M52:O52)</f>
        <v>0</v>
      </c>
      <c r="M52" s="45"/>
      <c r="N52" s="45"/>
      <c r="O52" s="45"/>
      <c r="P52" s="45">
        <f t="shared" ref="P52" si="51">SUM(Q52:S52)</f>
        <v>16100</v>
      </c>
      <c r="Q52" s="45"/>
      <c r="R52" s="45">
        <v>8000</v>
      </c>
      <c r="S52" s="45">
        <v>8100</v>
      </c>
      <c r="T52" s="45"/>
      <c r="U52" s="45"/>
      <c r="V52" s="45"/>
      <c r="W52" s="45"/>
      <c r="X52" s="45"/>
      <c r="Y52" s="45"/>
      <c r="Z52" s="12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55"/>
      <c r="AL52" s="45"/>
      <c r="AM52" s="45"/>
      <c r="AN52" s="54"/>
    </row>
    <row r="53" spans="1:40" outlineLevel="1">
      <c r="B53" s="16" t="s">
        <v>42</v>
      </c>
      <c r="C53" s="45">
        <f t="shared" ref="C53:C55" si="52">SUM(D53:S53)-P53-L53-H53-D53</f>
        <v>7066.18</v>
      </c>
      <c r="D53" s="45">
        <f t="shared" ref="D53:D54" si="53">SUM(E53:G53)</f>
        <v>0</v>
      </c>
      <c r="E53" s="45"/>
      <c r="F53" s="45"/>
      <c r="G53" s="45"/>
      <c r="H53" s="45">
        <f t="shared" ref="H53:H55" si="54">SUM(I53:K53)</f>
        <v>0</v>
      </c>
      <c r="I53" s="12"/>
      <c r="J53" s="45"/>
      <c r="K53" s="45"/>
      <c r="L53" s="45">
        <f t="shared" si="34"/>
        <v>0</v>
      </c>
      <c r="M53" s="45"/>
      <c r="N53" s="45"/>
      <c r="O53" s="45"/>
      <c r="P53" s="45">
        <f t="shared" ref="P53:P55" si="55">SUM(Q53:S53)</f>
        <v>7066.18</v>
      </c>
      <c r="Q53" s="45"/>
      <c r="R53" s="45">
        <v>3494.76</v>
      </c>
      <c r="S53" s="45">
        <v>3571.42</v>
      </c>
      <c r="T53" s="45">
        <f t="shared" si="36"/>
        <v>38416.379999999997</v>
      </c>
      <c r="U53" s="45">
        <f t="shared" si="14"/>
        <v>10525.58</v>
      </c>
      <c r="V53" s="45">
        <v>3721.99</v>
      </c>
      <c r="W53" s="45">
        <v>3185.45</v>
      </c>
      <c r="X53" s="45">
        <v>3618.14</v>
      </c>
      <c r="Y53" s="45">
        <f t="shared" si="15"/>
        <v>8059.1</v>
      </c>
      <c r="Z53" s="12">
        <v>2716.95</v>
      </c>
      <c r="AA53" s="45">
        <v>2558.0500000000002</v>
      </c>
      <c r="AB53" s="45">
        <v>2784.1</v>
      </c>
      <c r="AC53" s="45">
        <f t="shared" si="37"/>
        <v>8457.52</v>
      </c>
      <c r="AD53" s="45">
        <v>3058.77</v>
      </c>
      <c r="AE53" s="45">
        <v>1991.38</v>
      </c>
      <c r="AF53" s="45">
        <v>3407.37</v>
      </c>
      <c r="AG53" s="45">
        <f t="shared" si="17"/>
        <v>11374.18</v>
      </c>
      <c r="AH53" s="45">
        <v>3365.12</v>
      </c>
      <c r="AI53" s="45">
        <v>3084.98</v>
      </c>
      <c r="AJ53" s="45">
        <v>4924.08</v>
      </c>
      <c r="AK53" s="55"/>
      <c r="AL53" s="45">
        <v>4340.78</v>
      </c>
      <c r="AM53" s="45">
        <v>42649.179999999993</v>
      </c>
      <c r="AN53" s="54"/>
    </row>
    <row r="54" spans="1:40" outlineLevel="1">
      <c r="B54" s="16" t="s">
        <v>604</v>
      </c>
      <c r="C54" s="45">
        <f t="shared" si="52"/>
        <v>700</v>
      </c>
      <c r="D54" s="45">
        <f t="shared" si="53"/>
        <v>0</v>
      </c>
      <c r="E54" s="45"/>
      <c r="F54" s="45"/>
      <c r="G54" s="45"/>
      <c r="H54" s="45">
        <f t="shared" si="54"/>
        <v>0</v>
      </c>
      <c r="I54" s="12"/>
      <c r="J54" s="45"/>
      <c r="K54" s="45"/>
      <c r="L54" s="45">
        <f t="shared" ref="L54:L55" si="56">SUM(M54:O54)</f>
        <v>0</v>
      </c>
      <c r="M54" s="45"/>
      <c r="N54" s="45"/>
      <c r="O54" s="45"/>
      <c r="P54" s="45">
        <f t="shared" si="55"/>
        <v>700</v>
      </c>
      <c r="Q54" s="45"/>
      <c r="R54" s="45">
        <v>700</v>
      </c>
      <c r="S54" s="45">
        <v>0</v>
      </c>
      <c r="T54" s="45">
        <f t="shared" si="36"/>
        <v>43062.05</v>
      </c>
      <c r="U54" s="45">
        <f t="shared" si="14"/>
        <v>8972.48</v>
      </c>
      <c r="V54" s="45">
        <v>1300</v>
      </c>
      <c r="W54" s="45">
        <v>7672.48</v>
      </c>
      <c r="X54" s="45"/>
      <c r="Y54" s="45">
        <f t="shared" si="15"/>
        <v>1350</v>
      </c>
      <c r="Z54" s="12">
        <v>0</v>
      </c>
      <c r="AA54" s="45">
        <v>1350</v>
      </c>
      <c r="AB54" s="45">
        <v>0</v>
      </c>
      <c r="AC54" s="45">
        <f t="shared" si="37"/>
        <v>17361.310000000001</v>
      </c>
      <c r="AD54" s="45">
        <v>2170</v>
      </c>
      <c r="AE54" s="45">
        <v>14765.22</v>
      </c>
      <c r="AF54" s="45">
        <v>426.09</v>
      </c>
      <c r="AG54" s="45">
        <f t="shared" si="17"/>
        <v>15378.26</v>
      </c>
      <c r="AH54" s="45">
        <v>0</v>
      </c>
      <c r="AI54" s="45">
        <v>5478.26</v>
      </c>
      <c r="AJ54" s="45">
        <v>9900</v>
      </c>
      <c r="AK54" s="55"/>
      <c r="AL54" s="45">
        <v>0</v>
      </c>
      <c r="AM54" s="45">
        <v>93575.77</v>
      </c>
      <c r="AN54" s="54"/>
    </row>
    <row r="55" spans="1:40" outlineLevel="1">
      <c r="B55" s="16" t="s">
        <v>44</v>
      </c>
      <c r="C55" s="45">
        <f t="shared" si="52"/>
        <v>0</v>
      </c>
      <c r="D55" s="45">
        <f>SUM(E55:G55)</f>
        <v>0</v>
      </c>
      <c r="E55" s="45"/>
      <c r="F55" s="45"/>
      <c r="G55" s="45"/>
      <c r="H55" s="45">
        <f t="shared" si="54"/>
        <v>0</v>
      </c>
      <c r="I55" s="12">
        <v>0</v>
      </c>
      <c r="J55" s="45">
        <v>0</v>
      </c>
      <c r="K55" s="45">
        <v>0</v>
      </c>
      <c r="L55" s="45">
        <f t="shared" si="56"/>
        <v>0</v>
      </c>
      <c r="M55" s="45"/>
      <c r="N55" s="45"/>
      <c r="O55" s="45"/>
      <c r="P55" s="45">
        <f t="shared" si="55"/>
        <v>0</v>
      </c>
      <c r="Q55" s="45"/>
      <c r="R55" s="45">
        <v>0</v>
      </c>
      <c r="S55" s="45">
        <v>0</v>
      </c>
      <c r="T55" s="45">
        <f t="shared" si="36"/>
        <v>20113.05</v>
      </c>
      <c r="U55" s="45">
        <f>SUM(V55:X55)</f>
        <v>19597.98</v>
      </c>
      <c r="V55" s="45">
        <v>0</v>
      </c>
      <c r="W55" s="45">
        <v>19597.98</v>
      </c>
      <c r="X55" s="45">
        <v>0</v>
      </c>
      <c r="Y55" s="45">
        <f t="shared" si="15"/>
        <v>0</v>
      </c>
      <c r="Z55" s="12">
        <v>0</v>
      </c>
      <c r="AA55" s="45">
        <v>0</v>
      </c>
      <c r="AB55" s="45">
        <v>0</v>
      </c>
      <c r="AC55" s="45">
        <f t="shared" si="37"/>
        <v>0</v>
      </c>
      <c r="AD55" s="45">
        <v>0</v>
      </c>
      <c r="AE55" s="45">
        <v>0</v>
      </c>
      <c r="AF55" s="45">
        <v>0</v>
      </c>
      <c r="AG55" s="45">
        <f t="shared" si="17"/>
        <v>515.07000000000005</v>
      </c>
      <c r="AH55" s="45">
        <v>0</v>
      </c>
      <c r="AI55" s="45">
        <v>0</v>
      </c>
      <c r="AJ55" s="45">
        <v>515.07000000000005</v>
      </c>
      <c r="AK55" s="55"/>
      <c r="AL55" s="45">
        <v>25888.14</v>
      </c>
      <c r="AM55" s="45">
        <v>218807.46000000002</v>
      </c>
      <c r="AN55" s="54"/>
    </row>
    <row r="56" spans="1:40" s="69" customFormat="1">
      <c r="A56" s="68"/>
      <c r="B56" s="67" t="s">
        <v>45</v>
      </c>
      <c r="C56" s="72">
        <f>SUM(C57:C59)</f>
        <v>15952.91</v>
      </c>
      <c r="D56" s="72">
        <f>SUM(D57:D59)</f>
        <v>0</v>
      </c>
      <c r="E56" s="72">
        <f>SUM(E57:E59)</f>
        <v>0</v>
      </c>
      <c r="F56" s="72">
        <f t="shared" ref="F56:K56" si="57">SUM(F57:F59)</f>
        <v>0</v>
      </c>
      <c r="G56" s="72">
        <f t="shared" si="57"/>
        <v>0</v>
      </c>
      <c r="H56" s="72">
        <f t="shared" si="57"/>
        <v>0</v>
      </c>
      <c r="I56" s="72">
        <f t="shared" si="57"/>
        <v>0</v>
      </c>
      <c r="J56" s="72">
        <f t="shared" si="57"/>
        <v>0</v>
      </c>
      <c r="K56" s="72">
        <f t="shared" si="57"/>
        <v>0</v>
      </c>
      <c r="L56" s="72">
        <f>SUM(L57:L59)</f>
        <v>0</v>
      </c>
      <c r="M56" s="72">
        <f t="shared" ref="M56:N56" si="58">SUM(M57:M59)</f>
        <v>0</v>
      </c>
      <c r="N56" s="72">
        <f t="shared" si="58"/>
        <v>0</v>
      </c>
      <c r="O56" s="72">
        <f>SUM(O57:O59)</f>
        <v>0</v>
      </c>
      <c r="P56" s="72">
        <f t="shared" ref="P56:S56" si="59">SUM(P57:P59)</f>
        <v>15952.91</v>
      </c>
      <c r="Q56" s="72">
        <f t="shared" si="59"/>
        <v>0</v>
      </c>
      <c r="R56" s="72">
        <f t="shared" si="59"/>
        <v>8084.58</v>
      </c>
      <c r="S56" s="72">
        <f t="shared" si="59"/>
        <v>7868.33</v>
      </c>
      <c r="T56" s="72">
        <f>SUM(T57:T59)</f>
        <v>345127.41000000015</v>
      </c>
      <c r="U56" s="72">
        <f>SUM(U57:U59)</f>
        <v>55947.729999999996</v>
      </c>
      <c r="V56" s="72">
        <f>SUM(V57:V59)</f>
        <v>20346.07</v>
      </c>
      <c r="W56" s="72">
        <f t="shared" ref="W56:AJ56" si="60">SUM(W57:W59)</f>
        <v>15178.33</v>
      </c>
      <c r="X56" s="72">
        <f t="shared" si="60"/>
        <v>20423.330000000002</v>
      </c>
      <c r="Y56" s="72">
        <f t="shared" si="60"/>
        <v>85957.83</v>
      </c>
      <c r="Z56" s="72">
        <f t="shared" si="60"/>
        <v>21137.83</v>
      </c>
      <c r="AA56" s="72">
        <f t="shared" si="60"/>
        <v>25150.5</v>
      </c>
      <c r="AB56" s="72">
        <f t="shared" si="60"/>
        <v>39669.5</v>
      </c>
      <c r="AC56" s="72">
        <f>SUM(AC57:AC59)</f>
        <v>158343.32999999999</v>
      </c>
      <c r="AD56" s="72">
        <f t="shared" si="60"/>
        <v>13733.83</v>
      </c>
      <c r="AE56" s="72">
        <f t="shared" si="60"/>
        <v>30374.93</v>
      </c>
      <c r="AF56" s="72">
        <f>SUM(AF57:AF59)</f>
        <v>114234.56999999999</v>
      </c>
      <c r="AG56" s="72">
        <f t="shared" si="60"/>
        <v>44878.52</v>
      </c>
      <c r="AH56" s="72">
        <f t="shared" si="60"/>
        <v>5418.4</v>
      </c>
      <c r="AI56" s="72">
        <f t="shared" si="60"/>
        <v>16078.359999999999</v>
      </c>
      <c r="AJ56" s="72">
        <f t="shared" si="60"/>
        <v>23381.759999999998</v>
      </c>
      <c r="AK56" s="74"/>
      <c r="AL56" s="72">
        <f>SUM(AL57:AL59)</f>
        <v>161922.26</v>
      </c>
      <c r="AM56" s="72">
        <f>SUM(AM57:AM59)</f>
        <v>408151.67999999993</v>
      </c>
      <c r="AN56" s="54"/>
    </row>
    <row r="57" spans="1:40" outlineLevel="1">
      <c r="B57" s="16" t="s">
        <v>46</v>
      </c>
      <c r="C57" s="45">
        <f>SUM(D57:S57)-P57-L57-H57-D57</f>
        <v>0</v>
      </c>
      <c r="D57" s="45">
        <f t="shared" ref="D57:D59" si="61">SUM(E57:G57)</f>
        <v>0</v>
      </c>
      <c r="E57" s="45"/>
      <c r="F57" s="45"/>
      <c r="G57" s="45"/>
      <c r="H57" s="45">
        <f t="shared" ref="H57:H59" si="62">SUM(I57:K57)</f>
        <v>0</v>
      </c>
      <c r="I57" s="12"/>
      <c r="J57" s="45"/>
      <c r="K57" s="45"/>
      <c r="L57" s="45">
        <f t="shared" ref="L57:L59" si="63">SUM(M57:O57)</f>
        <v>0</v>
      </c>
      <c r="M57" s="45"/>
      <c r="N57" s="45"/>
      <c r="O57" s="45"/>
      <c r="P57" s="45">
        <f t="shared" ref="P57:P59" si="64">SUM(Q57:S57)</f>
        <v>0</v>
      </c>
      <c r="Q57" s="45"/>
      <c r="R57" s="45">
        <v>0</v>
      </c>
      <c r="S57" s="45">
        <v>0</v>
      </c>
      <c r="T57" s="45">
        <f>SUM(U57:AJ57)-AG57-AC57-Y57-U57</f>
        <v>24330.170000000006</v>
      </c>
      <c r="U57" s="45">
        <f t="shared" si="14"/>
        <v>0</v>
      </c>
      <c r="V57" s="45">
        <v>0</v>
      </c>
      <c r="W57" s="45">
        <v>0</v>
      </c>
      <c r="X57" s="45">
        <v>0</v>
      </c>
      <c r="Y57" s="45">
        <f t="shared" si="15"/>
        <v>0</v>
      </c>
      <c r="Z57" s="12">
        <v>0</v>
      </c>
      <c r="AA57" s="45">
        <v>0</v>
      </c>
      <c r="AB57" s="45">
        <v>0</v>
      </c>
      <c r="AC57" s="45">
        <f t="shared" si="37"/>
        <v>20464.86</v>
      </c>
      <c r="AD57" s="45">
        <v>0</v>
      </c>
      <c r="AE57" s="45">
        <v>16616.96</v>
      </c>
      <c r="AF57" s="45">
        <v>3847.9</v>
      </c>
      <c r="AG57" s="45">
        <f t="shared" si="17"/>
        <v>3865.31</v>
      </c>
      <c r="AH57" s="45">
        <v>-0.02</v>
      </c>
      <c r="AI57" s="45">
        <v>3865.33</v>
      </c>
      <c r="AJ57" s="45">
        <v>0</v>
      </c>
      <c r="AK57" s="55"/>
      <c r="AL57" s="45">
        <v>0</v>
      </c>
      <c r="AM57" s="45">
        <v>74533.33</v>
      </c>
      <c r="AN57" s="54"/>
    </row>
    <row r="58" spans="1:40" outlineLevel="1">
      <c r="B58" s="16" t="s">
        <v>47</v>
      </c>
      <c r="C58" s="45">
        <f t="shared" ref="C58:C59" si="65">SUM(D58:S58)-P58-L58-H58-D58</f>
        <v>952.91000000000008</v>
      </c>
      <c r="D58" s="45">
        <f t="shared" si="61"/>
        <v>0</v>
      </c>
      <c r="E58" s="45"/>
      <c r="F58" s="45"/>
      <c r="G58" s="45"/>
      <c r="H58" s="45">
        <f t="shared" si="62"/>
        <v>0</v>
      </c>
      <c r="I58" s="12"/>
      <c r="J58" s="45"/>
      <c r="K58" s="45"/>
      <c r="L58" s="45">
        <f t="shared" si="63"/>
        <v>0</v>
      </c>
      <c r="M58" s="45"/>
      <c r="N58" s="45"/>
      <c r="O58" s="45"/>
      <c r="P58" s="45">
        <f t="shared" si="64"/>
        <v>952.91000000000008</v>
      </c>
      <c r="Q58" s="45"/>
      <c r="R58" s="45">
        <v>584.58000000000004</v>
      </c>
      <c r="S58" s="45">
        <v>368.33</v>
      </c>
      <c r="T58" s="45">
        <f t="shared" si="36"/>
        <v>41823.900000000023</v>
      </c>
      <c r="U58" s="45">
        <f t="shared" si="14"/>
        <v>10637.73</v>
      </c>
      <c r="V58" s="45">
        <v>5721.07</v>
      </c>
      <c r="W58" s="45">
        <v>1248.33</v>
      </c>
      <c r="X58" s="45">
        <v>3668.33</v>
      </c>
      <c r="Y58" s="45">
        <f t="shared" si="15"/>
        <v>15157.83</v>
      </c>
      <c r="Z58" s="12">
        <v>4867.83</v>
      </c>
      <c r="AA58" s="45">
        <v>9540.5</v>
      </c>
      <c r="AB58" s="45">
        <f>149.5+600</f>
        <v>749.5</v>
      </c>
      <c r="AC58" s="45">
        <f t="shared" si="37"/>
        <v>7098.4800000000005</v>
      </c>
      <c r="AD58" s="45">
        <v>4157.18</v>
      </c>
      <c r="AE58" s="45">
        <v>2591.3000000000002</v>
      </c>
      <c r="AF58" s="45">
        <v>350</v>
      </c>
      <c r="AG58" s="45">
        <f t="shared" si="17"/>
        <v>8929.86</v>
      </c>
      <c r="AH58" s="45">
        <v>1.75</v>
      </c>
      <c r="AI58" s="45">
        <v>6296.36</v>
      </c>
      <c r="AJ58" s="45">
        <v>2631.75</v>
      </c>
      <c r="AK58" s="55"/>
      <c r="AL58" s="45">
        <v>1332.26</v>
      </c>
      <c r="AM58" s="45">
        <v>29073.829999999994</v>
      </c>
      <c r="AN58" s="54"/>
    </row>
    <row r="59" spans="1:40" outlineLevel="1">
      <c r="B59" s="16" t="s">
        <v>48</v>
      </c>
      <c r="C59" s="45">
        <f t="shared" si="65"/>
        <v>15000</v>
      </c>
      <c r="D59" s="45">
        <f t="shared" si="61"/>
        <v>0</v>
      </c>
      <c r="E59" s="45"/>
      <c r="F59" s="45"/>
      <c r="G59" s="45"/>
      <c r="H59" s="45">
        <f t="shared" si="62"/>
        <v>0</v>
      </c>
      <c r="I59" s="12"/>
      <c r="J59" s="45"/>
      <c r="K59" s="45"/>
      <c r="L59" s="45">
        <f t="shared" si="63"/>
        <v>0</v>
      </c>
      <c r="M59" s="45"/>
      <c r="N59" s="45"/>
      <c r="O59" s="45"/>
      <c r="P59" s="45">
        <f t="shared" si="64"/>
        <v>15000</v>
      </c>
      <c r="Q59" s="45"/>
      <c r="R59" s="45">
        <v>7500</v>
      </c>
      <c r="S59" s="45">
        <v>7500</v>
      </c>
      <c r="T59" s="45">
        <f t="shared" si="36"/>
        <v>278973.34000000008</v>
      </c>
      <c r="U59" s="45">
        <f t="shared" si="14"/>
        <v>45310</v>
      </c>
      <c r="V59" s="45">
        <v>14625</v>
      </c>
      <c r="W59" s="45">
        <v>13930</v>
      </c>
      <c r="X59" s="45">
        <v>16755</v>
      </c>
      <c r="Y59" s="45">
        <f t="shared" si="15"/>
        <v>70800</v>
      </c>
      <c r="Z59" s="12">
        <v>16270</v>
      </c>
      <c r="AA59" s="45">
        <v>15610</v>
      </c>
      <c r="AB59" s="45">
        <v>38920</v>
      </c>
      <c r="AC59" s="45">
        <f t="shared" si="37"/>
        <v>130779.98999999999</v>
      </c>
      <c r="AD59" s="45">
        <v>9576.65</v>
      </c>
      <c r="AE59" s="45">
        <v>11166.67</v>
      </c>
      <c r="AF59" s="45">
        <v>110036.67</v>
      </c>
      <c r="AG59" s="45">
        <f t="shared" si="17"/>
        <v>32083.35</v>
      </c>
      <c r="AH59" s="45">
        <v>5416.67</v>
      </c>
      <c r="AI59" s="45">
        <v>5916.67</v>
      </c>
      <c r="AJ59" s="45">
        <v>20750.009999999998</v>
      </c>
      <c r="AK59" s="55"/>
      <c r="AL59" s="45">
        <v>160590</v>
      </c>
      <c r="AM59" s="45">
        <v>304544.5199999999</v>
      </c>
      <c r="AN59" s="54"/>
    </row>
    <row r="60" spans="1:40" s="69" customFormat="1">
      <c r="A60" s="68"/>
      <c r="B60" s="67" t="s">
        <v>49</v>
      </c>
      <c r="C60" s="72">
        <f>SUM(C61:C64)</f>
        <v>24141.47</v>
      </c>
      <c r="D60" s="72">
        <f>SUM(D61:D64)</f>
        <v>0</v>
      </c>
      <c r="E60" s="72">
        <f t="shared" ref="E60:N60" si="66">SUM(E61:E64)</f>
        <v>0</v>
      </c>
      <c r="F60" s="72">
        <f t="shared" si="66"/>
        <v>0</v>
      </c>
      <c r="G60" s="72">
        <f t="shared" si="66"/>
        <v>0</v>
      </c>
      <c r="H60" s="72">
        <f t="shared" si="66"/>
        <v>0</v>
      </c>
      <c r="I60" s="72">
        <f t="shared" si="66"/>
        <v>0</v>
      </c>
      <c r="J60" s="72">
        <f t="shared" si="66"/>
        <v>0</v>
      </c>
      <c r="K60" s="72">
        <f t="shared" si="66"/>
        <v>0</v>
      </c>
      <c r="L60" s="72">
        <f t="shared" si="66"/>
        <v>0</v>
      </c>
      <c r="M60" s="72">
        <f t="shared" si="66"/>
        <v>0</v>
      </c>
      <c r="N60" s="72">
        <f t="shared" si="66"/>
        <v>0</v>
      </c>
      <c r="O60" s="72">
        <f>SUM(O61:O64)</f>
        <v>0</v>
      </c>
      <c r="P60" s="72">
        <f>SUM(P61:P64)</f>
        <v>24141.47</v>
      </c>
      <c r="Q60" s="72">
        <f>SUM(Q61:Q64)</f>
        <v>0</v>
      </c>
      <c r="R60" s="72">
        <f t="shared" ref="R60:S60" si="67">SUM(R61:R64)</f>
        <v>11890.99</v>
      </c>
      <c r="S60" s="72">
        <f t="shared" si="67"/>
        <v>12250.48</v>
      </c>
      <c r="T60" s="72">
        <f>SUM(T61:T64)</f>
        <v>114764.95999999999</v>
      </c>
      <c r="U60" s="72">
        <f>SUM(U61:U64)</f>
        <v>39913.440000000002</v>
      </c>
      <c r="V60" s="72">
        <f t="shared" ref="V60:AJ60" si="68">SUM(V61:V64)</f>
        <v>13909.25</v>
      </c>
      <c r="W60" s="72">
        <f t="shared" si="68"/>
        <v>13630.27</v>
      </c>
      <c r="X60" s="72">
        <f t="shared" si="68"/>
        <v>12373.92</v>
      </c>
      <c r="Y60" s="72">
        <f t="shared" si="68"/>
        <v>33002.550000000003</v>
      </c>
      <c r="Z60" s="72">
        <f t="shared" si="68"/>
        <v>11415.66</v>
      </c>
      <c r="AA60" s="72">
        <f t="shared" si="68"/>
        <v>11134.349999999999</v>
      </c>
      <c r="AB60" s="72">
        <f t="shared" si="68"/>
        <v>10452.540000000001</v>
      </c>
      <c r="AC60" s="72">
        <f t="shared" si="68"/>
        <v>21075.59</v>
      </c>
      <c r="AD60" s="72">
        <f t="shared" si="68"/>
        <v>7072.48</v>
      </c>
      <c r="AE60" s="72">
        <f t="shared" si="68"/>
        <v>6699.3799999999992</v>
      </c>
      <c r="AF60" s="72">
        <f>SUM(AF61:AF64)</f>
        <v>7303.73</v>
      </c>
      <c r="AG60" s="72">
        <f>SUM(AG61:AG64)</f>
        <v>20773.379999999997</v>
      </c>
      <c r="AH60" s="72">
        <f>SUM(AH61:AH64)</f>
        <v>6746.74</v>
      </c>
      <c r="AI60" s="72">
        <f t="shared" si="68"/>
        <v>7013.42</v>
      </c>
      <c r="AJ60" s="72">
        <f t="shared" si="68"/>
        <v>7013.22</v>
      </c>
      <c r="AK60" s="74"/>
      <c r="AL60" s="72">
        <f>SUM(AL61:AL64)</f>
        <v>7880.36</v>
      </c>
      <c r="AM60" s="72">
        <f>SUM(AM61:AM64)</f>
        <v>85187.690000000046</v>
      </c>
      <c r="AN60" s="54"/>
    </row>
    <row r="61" spans="1:40" outlineLevel="1">
      <c r="B61" s="16" t="s">
        <v>50</v>
      </c>
      <c r="C61" s="45">
        <f t="shared" ref="C61:C64" si="69">SUM(D61:S61)-P61-L61-H61-D61</f>
        <v>3609.92</v>
      </c>
      <c r="D61" s="45">
        <f t="shared" ref="D61:D64" si="70">SUM(E61:G61)</f>
        <v>0</v>
      </c>
      <c r="E61" s="45"/>
      <c r="F61" s="45"/>
      <c r="G61" s="45"/>
      <c r="H61" s="45">
        <f t="shared" ref="H61:H64" si="71">SUM(I61:K61)</f>
        <v>0</v>
      </c>
      <c r="I61" s="12"/>
      <c r="J61" s="45"/>
      <c r="K61" s="45"/>
      <c r="L61" s="45">
        <f t="shared" ref="L61" si="72">SUM(M61:O61)</f>
        <v>0</v>
      </c>
      <c r="M61" s="45"/>
      <c r="N61" s="45"/>
      <c r="O61" s="45"/>
      <c r="P61" s="45">
        <f t="shared" ref="P61:P63" si="73">SUM(Q61:S61)</f>
        <v>3609.92</v>
      </c>
      <c r="Q61" s="45"/>
      <c r="R61" s="45">
        <v>1804.96</v>
      </c>
      <c r="S61" s="45">
        <v>1804.96</v>
      </c>
      <c r="T61" s="45">
        <f t="shared" si="36"/>
        <v>18962.97</v>
      </c>
      <c r="U61" s="45">
        <f t="shared" si="14"/>
        <v>5414.88</v>
      </c>
      <c r="V61" s="45">
        <v>1804.96</v>
      </c>
      <c r="W61" s="45">
        <v>1804.96</v>
      </c>
      <c r="X61" s="45">
        <v>1804.96</v>
      </c>
      <c r="Y61" s="45">
        <f t="shared" si="15"/>
        <v>4605.7299999999996</v>
      </c>
      <c r="Z61" s="12">
        <v>1525.8</v>
      </c>
      <c r="AA61" s="45">
        <v>1543.24</v>
      </c>
      <c r="AB61" s="45">
        <v>1536.69</v>
      </c>
      <c r="AC61" s="45">
        <f t="shared" si="37"/>
        <v>4610.07</v>
      </c>
      <c r="AD61" s="45">
        <v>1536.69</v>
      </c>
      <c r="AE61" s="45">
        <v>1536.69</v>
      </c>
      <c r="AF61" s="45">
        <v>1536.69</v>
      </c>
      <c r="AG61" s="45">
        <f t="shared" si="17"/>
        <v>4332.29</v>
      </c>
      <c r="AH61" s="45">
        <v>1536.69</v>
      </c>
      <c r="AI61" s="45">
        <v>1397.8</v>
      </c>
      <c r="AJ61" s="45">
        <v>1397.8</v>
      </c>
      <c r="AK61" s="55"/>
      <c r="AL61" s="45">
        <v>1314.47</v>
      </c>
      <c r="AM61" s="45">
        <v>15221.760000000006</v>
      </c>
      <c r="AN61" s="54"/>
    </row>
    <row r="62" spans="1:40" outlineLevel="1">
      <c r="B62" s="16" t="s">
        <v>51</v>
      </c>
      <c r="C62" s="45">
        <f t="shared" si="69"/>
        <v>1607.24</v>
      </c>
      <c r="D62" s="45">
        <f t="shared" si="70"/>
        <v>0</v>
      </c>
      <c r="E62" s="45"/>
      <c r="F62" s="45"/>
      <c r="G62" s="45"/>
      <c r="H62" s="45">
        <f t="shared" si="71"/>
        <v>0</v>
      </c>
      <c r="I62" s="12"/>
      <c r="J62" s="45"/>
      <c r="K62" s="45"/>
      <c r="L62" s="45">
        <f>SUM(M62:O62)</f>
        <v>0</v>
      </c>
      <c r="M62" s="45"/>
      <c r="N62" s="45"/>
      <c r="O62" s="45"/>
      <c r="P62" s="45">
        <f t="shared" si="73"/>
        <v>1607.24</v>
      </c>
      <c r="Q62" s="45"/>
      <c r="R62" s="45">
        <v>803.62</v>
      </c>
      <c r="S62" s="45">
        <v>803.62</v>
      </c>
      <c r="T62" s="45">
        <f t="shared" si="36"/>
        <v>9643.4399999999987</v>
      </c>
      <c r="U62" s="45">
        <f t="shared" si="14"/>
        <v>2410.86</v>
      </c>
      <c r="V62" s="45">
        <v>803.62</v>
      </c>
      <c r="W62" s="45">
        <v>803.62</v>
      </c>
      <c r="X62" s="45">
        <v>803.62</v>
      </c>
      <c r="Y62" s="45">
        <f t="shared" si="15"/>
        <v>2410.86</v>
      </c>
      <c r="Z62" s="12">
        <v>803.62</v>
      </c>
      <c r="AA62" s="45">
        <v>803.62</v>
      </c>
      <c r="AB62" s="45">
        <v>803.62</v>
      </c>
      <c r="AC62" s="45">
        <f>SUM(AD62:AF62)</f>
        <v>2410.86</v>
      </c>
      <c r="AD62" s="45">
        <v>803.62</v>
      </c>
      <c r="AE62" s="45">
        <v>803.62</v>
      </c>
      <c r="AF62" s="45">
        <v>803.62</v>
      </c>
      <c r="AG62" s="45">
        <f t="shared" si="17"/>
        <v>2410.86</v>
      </c>
      <c r="AH62" s="45">
        <v>803.62</v>
      </c>
      <c r="AI62" s="45">
        <v>803.62</v>
      </c>
      <c r="AJ62" s="45">
        <v>803.62</v>
      </c>
      <c r="AK62" s="55"/>
      <c r="AL62" s="45">
        <v>1679.85</v>
      </c>
      <c r="AM62" s="45">
        <v>14526.770000000008</v>
      </c>
      <c r="AN62" s="54"/>
    </row>
    <row r="63" spans="1:40" outlineLevel="1">
      <c r="B63" s="16" t="s">
        <v>583</v>
      </c>
      <c r="C63" s="45">
        <f t="shared" si="69"/>
        <v>7432.6</v>
      </c>
      <c r="D63" s="45">
        <f t="shared" si="70"/>
        <v>0</v>
      </c>
      <c r="E63" s="45"/>
      <c r="F63" s="45"/>
      <c r="G63" s="45"/>
      <c r="H63" s="45">
        <f t="shared" si="71"/>
        <v>0</v>
      </c>
      <c r="I63" s="12"/>
      <c r="J63" s="45"/>
      <c r="K63" s="45"/>
      <c r="L63" s="45"/>
      <c r="M63" s="45"/>
      <c r="N63" s="45"/>
      <c r="O63" s="45"/>
      <c r="P63" s="45">
        <f t="shared" si="73"/>
        <v>7432.6</v>
      </c>
      <c r="Q63" s="45"/>
      <c r="R63" s="45">
        <v>3716.3</v>
      </c>
      <c r="S63" s="45">
        <v>3716.3</v>
      </c>
      <c r="T63" s="45">
        <f t="shared" si="36"/>
        <v>22297.800000000003</v>
      </c>
      <c r="U63" s="45">
        <f t="shared" si="14"/>
        <v>11148.900000000001</v>
      </c>
      <c r="V63" s="45">
        <v>3716.3</v>
      </c>
      <c r="W63" s="45">
        <v>3716.3</v>
      </c>
      <c r="X63" s="45">
        <v>3716.3</v>
      </c>
      <c r="Y63" s="45">
        <f t="shared" si="15"/>
        <v>11148.900000000001</v>
      </c>
      <c r="Z63" s="12">
        <v>3716.3</v>
      </c>
      <c r="AA63" s="45">
        <v>3716.3</v>
      </c>
      <c r="AB63" s="45">
        <v>3716.3</v>
      </c>
      <c r="AC63" s="45"/>
      <c r="AD63" s="45"/>
      <c r="AE63" s="45"/>
      <c r="AF63" s="45"/>
      <c r="AG63" s="45"/>
      <c r="AH63" s="45"/>
      <c r="AI63" s="45"/>
      <c r="AJ63" s="45"/>
      <c r="AK63" s="55"/>
      <c r="AL63" s="45"/>
      <c r="AM63" s="45"/>
      <c r="AN63" s="54"/>
    </row>
    <row r="64" spans="1:40" outlineLevel="1">
      <c r="B64" s="16" t="s">
        <v>52</v>
      </c>
      <c r="C64" s="45">
        <f t="shared" si="69"/>
        <v>11491.71</v>
      </c>
      <c r="D64" s="45">
        <f t="shared" si="70"/>
        <v>0</v>
      </c>
      <c r="E64" s="45"/>
      <c r="F64" s="45"/>
      <c r="G64" s="45"/>
      <c r="H64" s="45">
        <f t="shared" si="71"/>
        <v>0</v>
      </c>
      <c r="I64" s="12"/>
      <c r="J64" s="45"/>
      <c r="K64" s="45"/>
      <c r="L64" s="45">
        <f>SUM(M64:O64)</f>
        <v>0</v>
      </c>
      <c r="M64" s="45"/>
      <c r="N64" s="45"/>
      <c r="O64" s="45"/>
      <c r="P64" s="45">
        <f t="shared" ref="P64" si="74">SUM(Q64:S64)</f>
        <v>11491.71</v>
      </c>
      <c r="Q64" s="45"/>
      <c r="R64" s="45">
        <v>5566.11</v>
      </c>
      <c r="S64" s="45">
        <v>5925.6</v>
      </c>
      <c r="T64" s="45">
        <f t="shared" si="36"/>
        <v>63860.749999999985</v>
      </c>
      <c r="U64" s="45">
        <f t="shared" si="14"/>
        <v>20938.8</v>
      </c>
      <c r="V64" s="45">
        <v>7584.37</v>
      </c>
      <c r="W64" s="45">
        <v>7305.39</v>
      </c>
      <c r="X64" s="45">
        <v>6049.04</v>
      </c>
      <c r="Y64" s="45">
        <f t="shared" si="15"/>
        <v>14837.06</v>
      </c>
      <c r="Z64" s="12">
        <v>5369.94</v>
      </c>
      <c r="AA64" s="45">
        <v>5071.1899999999996</v>
      </c>
      <c r="AB64" s="45">
        <v>4395.93</v>
      </c>
      <c r="AC64" s="45">
        <f>SUM(AD64:AF64)</f>
        <v>14054.66</v>
      </c>
      <c r="AD64" s="45">
        <v>4732.17</v>
      </c>
      <c r="AE64" s="45">
        <v>4359.07</v>
      </c>
      <c r="AF64" s="45">
        <v>4963.42</v>
      </c>
      <c r="AG64" s="45">
        <f t="shared" si="17"/>
        <v>14030.23</v>
      </c>
      <c r="AH64" s="45">
        <v>4406.43</v>
      </c>
      <c r="AI64" s="45">
        <v>4812</v>
      </c>
      <c r="AJ64" s="45">
        <v>4811.8</v>
      </c>
      <c r="AK64" s="55"/>
      <c r="AL64" s="45">
        <v>4886.04</v>
      </c>
      <c r="AM64" s="45">
        <v>55439.160000000033</v>
      </c>
      <c r="AN64" s="54"/>
    </row>
    <row r="65" spans="1:41" s="69" customFormat="1">
      <c r="A65" s="68"/>
      <c r="B65" s="67" t="s">
        <v>53</v>
      </c>
      <c r="C65" s="72">
        <f t="shared" ref="C65" si="75">SUM(C66:C86)</f>
        <v>1100836.3199999998</v>
      </c>
      <c r="D65" s="72">
        <f>SUM(D66:D86)</f>
        <v>0</v>
      </c>
      <c r="E65" s="72">
        <f t="shared" ref="E65:Q65" si="76">SUM(E66:E86)</f>
        <v>0</v>
      </c>
      <c r="F65" s="72">
        <f t="shared" si="76"/>
        <v>0</v>
      </c>
      <c r="G65" s="72">
        <f t="shared" si="76"/>
        <v>0</v>
      </c>
      <c r="H65" s="72">
        <f t="shared" si="76"/>
        <v>0</v>
      </c>
      <c r="I65" s="72">
        <f t="shared" si="76"/>
        <v>0</v>
      </c>
      <c r="J65" s="72">
        <f t="shared" si="76"/>
        <v>0</v>
      </c>
      <c r="K65" s="72">
        <f t="shared" si="76"/>
        <v>0</v>
      </c>
      <c r="L65" s="72">
        <f t="shared" si="76"/>
        <v>0</v>
      </c>
      <c r="M65" s="72">
        <f t="shared" si="76"/>
        <v>0</v>
      </c>
      <c r="N65" s="72">
        <f t="shared" si="76"/>
        <v>0</v>
      </c>
      <c r="O65" s="72">
        <f t="shared" si="76"/>
        <v>0</v>
      </c>
      <c r="P65" s="72">
        <f>SUM(P66:P86)</f>
        <v>1100836.32</v>
      </c>
      <c r="Q65" s="72">
        <f t="shared" si="76"/>
        <v>0</v>
      </c>
      <c r="R65" s="72">
        <f>SUM(R66:R86)</f>
        <v>532853.31000000006</v>
      </c>
      <c r="S65" s="72">
        <f>SUM(S66:S86)</f>
        <v>567983.01000000013</v>
      </c>
      <c r="T65" s="72">
        <f t="shared" ref="T65:AJ65" si="77">SUM(T66:T86)</f>
        <v>6606793.2999999998</v>
      </c>
      <c r="U65" s="72">
        <f>SUM(U66:U86)</f>
        <v>2258840.6399999997</v>
      </c>
      <c r="V65" s="72">
        <f t="shared" si="77"/>
        <v>931877.32000000007</v>
      </c>
      <c r="W65" s="72">
        <f t="shared" si="77"/>
        <v>639216.48</v>
      </c>
      <c r="X65" s="72">
        <f t="shared" si="77"/>
        <v>687746.84000000008</v>
      </c>
      <c r="Y65" s="72">
        <f t="shared" si="77"/>
        <v>1830471.8499999996</v>
      </c>
      <c r="Z65" s="72">
        <f t="shared" si="77"/>
        <v>659845.04999999993</v>
      </c>
      <c r="AA65" s="72">
        <f t="shared" si="77"/>
        <v>560613.57000000007</v>
      </c>
      <c r="AB65" s="72">
        <f t="shared" si="77"/>
        <v>610013.2300000001</v>
      </c>
      <c r="AC65" s="72">
        <f t="shared" si="77"/>
        <v>1297009.3</v>
      </c>
      <c r="AD65" s="72">
        <f t="shared" si="77"/>
        <v>597265.89</v>
      </c>
      <c r="AE65" s="72">
        <f t="shared" si="77"/>
        <v>398074.96</v>
      </c>
      <c r="AF65" s="72">
        <f t="shared" si="77"/>
        <v>301668.45</v>
      </c>
      <c r="AG65" s="72">
        <f t="shared" si="77"/>
        <v>1220471.51</v>
      </c>
      <c r="AH65" s="72">
        <f t="shared" si="77"/>
        <v>405873.15</v>
      </c>
      <c r="AI65" s="72">
        <f t="shared" si="77"/>
        <v>375859.56</v>
      </c>
      <c r="AJ65" s="72">
        <f t="shared" si="77"/>
        <v>438738.80000000005</v>
      </c>
      <c r="AK65" s="49"/>
      <c r="AL65" s="72">
        <f>SUM(AL66:AL86)</f>
        <v>570580.97</v>
      </c>
      <c r="AM65" s="72">
        <f>SUM(AM66:AM86)</f>
        <v>3919359.8199999989</v>
      </c>
      <c r="AN65" s="54"/>
      <c r="AO65" s="71"/>
    </row>
    <row r="66" spans="1:41" outlineLevel="1">
      <c r="B66" s="16" t="s">
        <v>54</v>
      </c>
      <c r="C66" s="45">
        <f t="shared" ref="C66:C68" si="78">SUM(D66:S66)-P66-L66-H66-D66</f>
        <v>60134.46</v>
      </c>
      <c r="D66" s="45">
        <f>SUM(E66:G66)</f>
        <v>0</v>
      </c>
      <c r="E66" s="45"/>
      <c r="F66" s="45"/>
      <c r="G66" s="45"/>
      <c r="H66" s="45">
        <f t="shared" ref="H66:H67" si="79">SUM(I66:K66)</f>
        <v>0</v>
      </c>
      <c r="I66" s="12"/>
      <c r="J66" s="45"/>
      <c r="K66" s="45"/>
      <c r="L66" s="45">
        <f t="shared" ref="L66:L72" si="80">SUM(M66:O66)</f>
        <v>0</v>
      </c>
      <c r="M66" s="45"/>
      <c r="N66" s="45"/>
      <c r="O66" s="45"/>
      <c r="P66" s="45">
        <f t="shared" ref="P66:P86" si="81">SUM(Q66:S66)</f>
        <v>60134.46</v>
      </c>
      <c r="Q66" s="45"/>
      <c r="R66" s="45">
        <v>30392.98</v>
      </c>
      <c r="S66" s="45">
        <v>29741.48</v>
      </c>
      <c r="T66" s="45">
        <f t="shared" si="36"/>
        <v>253638.94999999995</v>
      </c>
      <c r="U66" s="45">
        <f>SUM(V66:X66)</f>
        <v>89016.13</v>
      </c>
      <c r="V66" s="45">
        <v>31733.53</v>
      </c>
      <c r="W66" s="45">
        <v>29305.200000000001</v>
      </c>
      <c r="X66" s="45">
        <v>27977.4</v>
      </c>
      <c r="Y66" s="45">
        <f t="shared" si="15"/>
        <v>78013.47</v>
      </c>
      <c r="Z66" s="12">
        <v>28052.400000000001</v>
      </c>
      <c r="AA66" s="45">
        <v>26999.25</v>
      </c>
      <c r="AB66" s="45">
        <v>22961.82</v>
      </c>
      <c r="AC66" s="45">
        <f t="shared" si="37"/>
        <v>23288.780000000002</v>
      </c>
      <c r="AD66" s="45">
        <v>21986.19</v>
      </c>
      <c r="AE66" s="45">
        <v>21437.72</v>
      </c>
      <c r="AF66" s="45">
        <v>-20135.13</v>
      </c>
      <c r="AG66" s="45">
        <f t="shared" ref="AG66:AG68" si="82">SUM(AH66:AJ66)</f>
        <v>63320.570000000007</v>
      </c>
      <c r="AH66" s="45">
        <v>22374.34</v>
      </c>
      <c r="AI66" s="45">
        <v>20878.79</v>
      </c>
      <c r="AJ66" s="45">
        <v>20067.439999999999</v>
      </c>
      <c r="AK66" s="55"/>
      <c r="AL66" s="45">
        <v>19139.830000000002</v>
      </c>
      <c r="AM66" s="45">
        <v>155647.64000000001</v>
      </c>
      <c r="AN66" s="54"/>
    </row>
    <row r="67" spans="1:41" outlineLevel="1">
      <c r="B67" s="16" t="s">
        <v>55</v>
      </c>
      <c r="C67" s="45">
        <f t="shared" si="78"/>
        <v>0</v>
      </c>
      <c r="D67" s="45">
        <f t="shared" ref="D67:D86" si="83">SUM(E67:G67)</f>
        <v>0</v>
      </c>
      <c r="E67" s="45"/>
      <c r="F67" s="45"/>
      <c r="G67" s="45"/>
      <c r="H67" s="45">
        <f t="shared" si="79"/>
        <v>0</v>
      </c>
      <c r="I67" s="12"/>
      <c r="J67" s="45"/>
      <c r="K67" s="45"/>
      <c r="L67" s="45">
        <f t="shared" si="80"/>
        <v>0</v>
      </c>
      <c r="M67" s="45"/>
      <c r="N67" s="45"/>
      <c r="O67" s="45"/>
      <c r="P67" s="45">
        <f t="shared" si="81"/>
        <v>0</v>
      </c>
      <c r="Q67" s="45"/>
      <c r="R67" s="45">
        <v>0</v>
      </c>
      <c r="S67" s="45">
        <v>0</v>
      </c>
      <c r="T67" s="45">
        <f t="shared" si="36"/>
        <v>48824.670000000006</v>
      </c>
      <c r="U67" s="45">
        <f t="shared" ref="U67:U86" si="84">SUM(V67:X67)</f>
        <v>24704.120000000003</v>
      </c>
      <c r="V67" s="45">
        <v>8704.1200000000008</v>
      </c>
      <c r="W67" s="45">
        <v>16000</v>
      </c>
      <c r="X67" s="45">
        <v>0</v>
      </c>
      <c r="Y67" s="45">
        <f t="shared" si="15"/>
        <v>14636.869999999999</v>
      </c>
      <c r="Z67" s="12">
        <v>0</v>
      </c>
      <c r="AA67" s="45">
        <v>7805</v>
      </c>
      <c r="AB67" s="45">
        <v>6831.87</v>
      </c>
      <c r="AC67" s="45">
        <f t="shared" si="37"/>
        <v>9483.68</v>
      </c>
      <c r="AD67" s="45">
        <v>7540</v>
      </c>
      <c r="AE67" s="45">
        <v>0</v>
      </c>
      <c r="AF67" s="45">
        <v>1943.68</v>
      </c>
      <c r="AG67" s="45">
        <f t="shared" si="82"/>
        <v>0</v>
      </c>
      <c r="AH67" s="45">
        <v>0</v>
      </c>
      <c r="AI67" s="45">
        <v>0</v>
      </c>
      <c r="AJ67" s="45">
        <v>0</v>
      </c>
      <c r="AK67" s="55"/>
      <c r="AL67" s="45"/>
      <c r="AM67" s="45"/>
      <c r="AN67" s="54"/>
    </row>
    <row r="68" spans="1:41" outlineLevel="1">
      <c r="B68" s="16" t="s">
        <v>56</v>
      </c>
      <c r="C68" s="45">
        <f t="shared" si="78"/>
        <v>3937</v>
      </c>
      <c r="D68" s="45">
        <f t="shared" si="83"/>
        <v>0</v>
      </c>
      <c r="E68" s="45"/>
      <c r="F68" s="45"/>
      <c r="G68" s="45"/>
      <c r="H68" s="45">
        <f t="shared" ref="H68:H72" si="85">SUM(I68:K68)</f>
        <v>0</v>
      </c>
      <c r="I68" s="12"/>
      <c r="J68" s="45"/>
      <c r="K68" s="45"/>
      <c r="L68" s="45">
        <f t="shared" si="80"/>
        <v>0</v>
      </c>
      <c r="M68" s="45"/>
      <c r="N68" s="45"/>
      <c r="O68" s="45"/>
      <c r="P68" s="45">
        <f t="shared" si="81"/>
        <v>3937</v>
      </c>
      <c r="Q68" s="45"/>
      <c r="R68" s="45">
        <v>3937</v>
      </c>
      <c r="S68" s="45">
        <v>0</v>
      </c>
      <c r="T68" s="45">
        <f t="shared" si="36"/>
        <v>269403.87</v>
      </c>
      <c r="U68" s="45">
        <f t="shared" si="84"/>
        <v>262912.5</v>
      </c>
      <c r="V68" s="45">
        <v>262912.5</v>
      </c>
      <c r="W68" s="45">
        <v>0</v>
      </c>
      <c r="X68" s="45">
        <v>0</v>
      </c>
      <c r="Y68" s="45">
        <f t="shared" ref="Y68:Y86" si="86">SUM(Z68:AB68)</f>
        <v>0</v>
      </c>
      <c r="Z68" s="12">
        <v>0</v>
      </c>
      <c r="AA68" s="45">
        <v>0</v>
      </c>
      <c r="AB68" s="45">
        <v>0</v>
      </c>
      <c r="AC68" s="45">
        <f t="shared" si="37"/>
        <v>0</v>
      </c>
      <c r="AD68" s="45">
        <v>0</v>
      </c>
      <c r="AE68" s="45">
        <v>0</v>
      </c>
      <c r="AF68" s="45">
        <v>0</v>
      </c>
      <c r="AG68" s="45">
        <f t="shared" si="82"/>
        <v>6491.37</v>
      </c>
      <c r="AH68" s="45">
        <v>3171.39</v>
      </c>
      <c r="AI68" s="45">
        <v>1749.98</v>
      </c>
      <c r="AJ68" s="45">
        <v>1570</v>
      </c>
      <c r="AK68" s="55"/>
      <c r="AL68" s="45">
        <v>47874.96</v>
      </c>
      <c r="AM68" s="45">
        <v>71427.81</v>
      </c>
      <c r="AN68" s="54"/>
    </row>
    <row r="69" spans="1:41" outlineLevel="1">
      <c r="B69" s="16" t="s">
        <v>57</v>
      </c>
      <c r="C69" s="45">
        <f>SUM(D69:S69)-P69-L69-H69-D69</f>
        <v>0</v>
      </c>
      <c r="D69" s="45">
        <f t="shared" si="83"/>
        <v>0</v>
      </c>
      <c r="E69" s="45"/>
      <c r="F69" s="45"/>
      <c r="G69" s="45"/>
      <c r="H69" s="45">
        <f t="shared" si="85"/>
        <v>0</v>
      </c>
      <c r="I69" s="12"/>
      <c r="J69" s="45"/>
      <c r="K69" s="45"/>
      <c r="L69" s="45">
        <f t="shared" si="80"/>
        <v>0</v>
      </c>
      <c r="M69" s="45"/>
      <c r="N69" s="45"/>
      <c r="O69" s="45"/>
      <c r="P69" s="45">
        <f t="shared" si="81"/>
        <v>0</v>
      </c>
      <c r="Q69" s="45"/>
      <c r="R69" s="45">
        <v>0</v>
      </c>
      <c r="S69" s="45">
        <v>0</v>
      </c>
      <c r="T69" s="45">
        <f>SUM(U69:AJ69)-AG69-AC69-Y69-U69</f>
        <v>41187.5</v>
      </c>
      <c r="U69" s="45">
        <f t="shared" si="84"/>
        <v>17000</v>
      </c>
      <c r="V69" s="45">
        <v>0</v>
      </c>
      <c r="W69" s="45">
        <v>2500</v>
      </c>
      <c r="X69" s="45">
        <v>14500</v>
      </c>
      <c r="Y69" s="45">
        <f t="shared" si="86"/>
        <v>3500</v>
      </c>
      <c r="Z69" s="12">
        <v>0</v>
      </c>
      <c r="AA69" s="45">
        <v>3500</v>
      </c>
      <c r="AB69" s="45">
        <v>0</v>
      </c>
      <c r="AC69" s="45">
        <f t="shared" si="37"/>
        <v>17187.5</v>
      </c>
      <c r="AD69" s="45">
        <v>17187.5</v>
      </c>
      <c r="AE69" s="45">
        <v>0</v>
      </c>
      <c r="AF69" s="45">
        <v>0</v>
      </c>
      <c r="AG69" s="45">
        <f>SUM(AH69:AJ69)</f>
        <v>3500</v>
      </c>
      <c r="AH69" s="45">
        <v>0</v>
      </c>
      <c r="AI69" s="45">
        <v>3500</v>
      </c>
      <c r="AJ69" s="45">
        <v>0</v>
      </c>
      <c r="AK69" s="55"/>
      <c r="AL69" s="45">
        <v>0</v>
      </c>
      <c r="AM69" s="45">
        <v>12377.779999999999</v>
      </c>
      <c r="AN69" s="54"/>
    </row>
    <row r="70" spans="1:41" outlineLevel="1">
      <c r="B70" s="16" t="s">
        <v>58</v>
      </c>
      <c r="C70" s="45">
        <f t="shared" ref="C70:C79" si="87">SUM(D70:S70)-P70-L70-H70-D70</f>
        <v>7000</v>
      </c>
      <c r="D70" s="45">
        <f t="shared" si="83"/>
        <v>0</v>
      </c>
      <c r="E70" s="45"/>
      <c r="F70" s="45"/>
      <c r="G70" s="45"/>
      <c r="H70" s="45">
        <f t="shared" si="85"/>
        <v>0</v>
      </c>
      <c r="I70" s="12"/>
      <c r="J70" s="45"/>
      <c r="K70" s="45"/>
      <c r="L70" s="45">
        <f t="shared" si="80"/>
        <v>0</v>
      </c>
      <c r="M70" s="45"/>
      <c r="N70" s="45"/>
      <c r="O70" s="45"/>
      <c r="P70" s="45">
        <f t="shared" si="81"/>
        <v>7000</v>
      </c>
      <c r="Q70" s="45"/>
      <c r="R70" s="45">
        <v>3500</v>
      </c>
      <c r="S70" s="45">
        <v>3500</v>
      </c>
      <c r="T70" s="45">
        <f t="shared" ref="T70:T86" si="88">SUM(U70:AJ70)-AG70-AC70-Y70-U70</f>
        <v>40709.68</v>
      </c>
      <c r="U70" s="45">
        <f t="shared" si="84"/>
        <v>11209.68</v>
      </c>
      <c r="V70" s="45">
        <v>3500</v>
      </c>
      <c r="W70" s="45">
        <v>4000</v>
      </c>
      <c r="X70" s="45">
        <v>3709.68</v>
      </c>
      <c r="Y70" s="45">
        <f t="shared" si="86"/>
        <v>10500</v>
      </c>
      <c r="Z70" s="12">
        <v>3500</v>
      </c>
      <c r="AA70" s="45">
        <v>4000</v>
      </c>
      <c r="AB70" s="45">
        <v>3000</v>
      </c>
      <c r="AC70" s="45">
        <f t="shared" si="37"/>
        <v>12000</v>
      </c>
      <c r="AD70" s="45">
        <v>6000</v>
      </c>
      <c r="AE70" s="45">
        <v>3000</v>
      </c>
      <c r="AF70" s="45">
        <v>3000</v>
      </c>
      <c r="AG70" s="45">
        <f t="shared" ref="AG70:AG86" si="89">SUM(AH70:AJ70)</f>
        <v>7000</v>
      </c>
      <c r="AH70" s="45">
        <v>0</v>
      </c>
      <c r="AI70" s="45">
        <v>7000</v>
      </c>
      <c r="AJ70" s="45">
        <v>0</v>
      </c>
      <c r="AK70" s="55"/>
      <c r="AL70" s="45">
        <v>9000</v>
      </c>
      <c r="AM70" s="45">
        <v>50915.869999999995</v>
      </c>
      <c r="AN70" s="54"/>
    </row>
    <row r="71" spans="1:41" outlineLevel="1">
      <c r="B71" s="16" t="s">
        <v>59</v>
      </c>
      <c r="C71" s="45">
        <f t="shared" si="87"/>
        <v>0</v>
      </c>
      <c r="D71" s="45">
        <f t="shared" si="83"/>
        <v>0</v>
      </c>
      <c r="E71" s="45"/>
      <c r="F71" s="45"/>
      <c r="G71" s="45"/>
      <c r="H71" s="45">
        <f t="shared" si="85"/>
        <v>0</v>
      </c>
      <c r="I71" s="12"/>
      <c r="J71" s="45"/>
      <c r="K71" s="45"/>
      <c r="L71" s="45">
        <f t="shared" si="80"/>
        <v>0</v>
      </c>
      <c r="M71" s="45"/>
      <c r="N71" s="45"/>
      <c r="O71" s="45"/>
      <c r="P71" s="45">
        <f t="shared" si="81"/>
        <v>0</v>
      </c>
      <c r="Q71" s="45"/>
      <c r="R71" s="45">
        <v>0</v>
      </c>
      <c r="S71" s="45">
        <v>0</v>
      </c>
      <c r="T71" s="45">
        <f t="shared" si="88"/>
        <v>19780</v>
      </c>
      <c r="U71" s="45">
        <f t="shared" si="84"/>
        <v>5700</v>
      </c>
      <c r="V71" s="45">
        <v>300</v>
      </c>
      <c r="W71" s="45">
        <v>3000</v>
      </c>
      <c r="X71" s="45">
        <v>2400</v>
      </c>
      <c r="Y71" s="45">
        <f t="shared" si="86"/>
        <v>0</v>
      </c>
      <c r="Z71" s="12">
        <v>0</v>
      </c>
      <c r="AA71" s="45">
        <v>0</v>
      </c>
      <c r="AB71" s="45">
        <v>0</v>
      </c>
      <c r="AC71" s="45">
        <f t="shared" si="37"/>
        <v>600</v>
      </c>
      <c r="AD71" s="45">
        <v>0</v>
      </c>
      <c r="AE71" s="45">
        <v>0</v>
      </c>
      <c r="AF71" s="45">
        <v>600</v>
      </c>
      <c r="AG71" s="45">
        <f t="shared" si="89"/>
        <v>13480</v>
      </c>
      <c r="AH71" s="45">
        <v>1800</v>
      </c>
      <c r="AI71" s="45">
        <v>7800</v>
      </c>
      <c r="AJ71" s="45">
        <v>3880</v>
      </c>
      <c r="AK71" s="55"/>
      <c r="AL71" s="45"/>
      <c r="AM71" s="45"/>
      <c r="AN71" s="54"/>
    </row>
    <row r="72" spans="1:41" outlineLevel="1">
      <c r="B72" s="16" t="s">
        <v>603</v>
      </c>
      <c r="C72" s="45">
        <f t="shared" si="87"/>
        <v>83.4</v>
      </c>
      <c r="D72" s="45">
        <f t="shared" si="83"/>
        <v>0</v>
      </c>
      <c r="E72" s="45"/>
      <c r="F72" s="45"/>
      <c r="G72" s="45"/>
      <c r="H72" s="45">
        <f t="shared" si="85"/>
        <v>0</v>
      </c>
      <c r="I72" s="12"/>
      <c r="J72" s="45"/>
      <c r="K72" s="45"/>
      <c r="L72" s="45">
        <f t="shared" si="80"/>
        <v>0</v>
      </c>
      <c r="M72" s="45"/>
      <c r="N72" s="45"/>
      <c r="O72" s="45"/>
      <c r="P72" s="45">
        <f t="shared" si="81"/>
        <v>83.4</v>
      </c>
      <c r="Q72" s="45"/>
      <c r="R72" s="45">
        <v>0</v>
      </c>
      <c r="S72" s="45">
        <v>83.4</v>
      </c>
      <c r="T72" s="45">
        <f t="shared" si="88"/>
        <v>0</v>
      </c>
      <c r="U72" s="45">
        <f t="shared" si="84"/>
        <v>0</v>
      </c>
      <c r="V72" s="45">
        <v>0</v>
      </c>
      <c r="W72" s="45">
        <v>0</v>
      </c>
      <c r="X72" s="45"/>
      <c r="Y72" s="45"/>
      <c r="Z72" s="12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55"/>
      <c r="AL72" s="45"/>
      <c r="AM72" s="45"/>
      <c r="AN72" s="54"/>
    </row>
    <row r="73" spans="1:41" outlineLevel="1">
      <c r="B73" s="16" t="s">
        <v>60</v>
      </c>
      <c r="C73" s="45">
        <f t="shared" si="87"/>
        <v>17866.62</v>
      </c>
      <c r="D73" s="45">
        <f t="shared" si="83"/>
        <v>0</v>
      </c>
      <c r="E73" s="45"/>
      <c r="F73" s="45"/>
      <c r="G73" s="45"/>
      <c r="H73" s="45">
        <f t="shared" ref="H73:H79" si="90">SUM(I73:K73)</f>
        <v>0</v>
      </c>
      <c r="I73" s="12"/>
      <c r="J73" s="45"/>
      <c r="K73" s="45"/>
      <c r="L73" s="45">
        <f t="shared" ref="L73:L79" si="91">SUM(M73:O73)</f>
        <v>0</v>
      </c>
      <c r="M73" s="45"/>
      <c r="N73" s="45"/>
      <c r="O73" s="45"/>
      <c r="P73" s="45">
        <f t="shared" si="81"/>
        <v>17866.62</v>
      </c>
      <c r="Q73" s="45"/>
      <c r="R73" s="45">
        <v>7583.31</v>
      </c>
      <c r="S73" s="45">
        <v>10283.31</v>
      </c>
      <c r="T73" s="45">
        <f t="shared" si="88"/>
        <v>75886.759999999995</v>
      </c>
      <c r="U73" s="45">
        <f t="shared" si="84"/>
        <v>11384.76</v>
      </c>
      <c r="V73" s="45">
        <v>4999.9799999999996</v>
      </c>
      <c r="W73" s="45">
        <v>2881.03</v>
      </c>
      <c r="X73" s="45">
        <v>3503.75</v>
      </c>
      <c r="Y73" s="45">
        <f t="shared" si="86"/>
        <v>38512</v>
      </c>
      <c r="Z73" s="12">
        <v>13075</v>
      </c>
      <c r="AA73" s="45">
        <v>19937</v>
      </c>
      <c r="AB73" s="45">
        <v>5500</v>
      </c>
      <c r="AC73" s="45">
        <f t="shared" si="37"/>
        <v>560</v>
      </c>
      <c r="AD73" s="45">
        <v>500</v>
      </c>
      <c r="AE73" s="45">
        <v>0</v>
      </c>
      <c r="AF73" s="45">
        <v>60</v>
      </c>
      <c r="AG73" s="45">
        <f t="shared" ref="AG73" si="92">SUM(AH73:AJ73)</f>
        <v>25430</v>
      </c>
      <c r="AH73" s="45">
        <v>3700</v>
      </c>
      <c r="AI73" s="45">
        <v>0</v>
      </c>
      <c r="AJ73" s="45">
        <v>21730</v>
      </c>
      <c r="AK73" s="55"/>
      <c r="AL73" s="45">
        <v>22339.49</v>
      </c>
      <c r="AM73" s="45">
        <v>161134.51</v>
      </c>
      <c r="AN73" s="54"/>
    </row>
    <row r="74" spans="1:41" outlineLevel="1">
      <c r="B74" s="16" t="s">
        <v>61</v>
      </c>
      <c r="C74" s="45">
        <f t="shared" si="87"/>
        <v>2400</v>
      </c>
      <c r="D74" s="45">
        <f t="shared" si="83"/>
        <v>0</v>
      </c>
      <c r="E74" s="45"/>
      <c r="F74" s="45"/>
      <c r="G74" s="45"/>
      <c r="H74" s="45">
        <f t="shared" si="90"/>
        <v>0</v>
      </c>
      <c r="I74" s="12"/>
      <c r="J74" s="45"/>
      <c r="K74" s="45"/>
      <c r="L74" s="45">
        <f t="shared" si="91"/>
        <v>0</v>
      </c>
      <c r="M74" s="45"/>
      <c r="N74" s="45"/>
      <c r="O74" s="45"/>
      <c r="P74" s="45">
        <f t="shared" si="81"/>
        <v>2400</v>
      </c>
      <c r="Q74" s="45"/>
      <c r="R74" s="45">
        <v>1200</v>
      </c>
      <c r="S74" s="45">
        <v>1200</v>
      </c>
      <c r="T74" s="45">
        <f t="shared" si="88"/>
        <v>15200</v>
      </c>
      <c r="U74" s="45">
        <f t="shared" si="84"/>
        <v>3600</v>
      </c>
      <c r="V74" s="45">
        <v>1200</v>
      </c>
      <c r="W74" s="45">
        <v>1200</v>
      </c>
      <c r="X74" s="45">
        <v>1200</v>
      </c>
      <c r="Y74" s="45">
        <f t="shared" si="86"/>
        <v>3600</v>
      </c>
      <c r="Z74" s="12">
        <v>1200</v>
      </c>
      <c r="AA74" s="45">
        <v>1200</v>
      </c>
      <c r="AB74" s="45">
        <v>1200</v>
      </c>
      <c r="AC74" s="45">
        <f t="shared" si="37"/>
        <v>4800</v>
      </c>
      <c r="AD74" s="45">
        <v>2400</v>
      </c>
      <c r="AE74" s="45">
        <v>1200</v>
      </c>
      <c r="AF74" s="45">
        <v>1200</v>
      </c>
      <c r="AG74" s="45">
        <f t="shared" si="89"/>
        <v>3200</v>
      </c>
      <c r="AH74" s="45">
        <v>0</v>
      </c>
      <c r="AI74" s="45">
        <v>3200</v>
      </c>
      <c r="AJ74" s="45">
        <v>0</v>
      </c>
      <c r="AK74" s="55"/>
      <c r="AL74" s="45">
        <v>3400</v>
      </c>
      <c r="AM74" s="45">
        <v>15800.580000000002</v>
      </c>
      <c r="AN74" s="54"/>
    </row>
    <row r="75" spans="1:41" outlineLevel="1">
      <c r="B75" s="16" t="s">
        <v>62</v>
      </c>
      <c r="C75" s="45">
        <f t="shared" si="87"/>
        <v>0</v>
      </c>
      <c r="D75" s="45">
        <f t="shared" si="83"/>
        <v>0</v>
      </c>
      <c r="E75" s="45"/>
      <c r="F75" s="45"/>
      <c r="G75" s="45"/>
      <c r="H75" s="45">
        <f t="shared" si="90"/>
        <v>0</v>
      </c>
      <c r="I75" s="12"/>
      <c r="J75" s="45"/>
      <c r="K75" s="45"/>
      <c r="L75" s="45">
        <f t="shared" si="91"/>
        <v>0</v>
      </c>
      <c r="M75" s="45"/>
      <c r="N75" s="45"/>
      <c r="O75" s="45"/>
      <c r="P75" s="45">
        <f t="shared" si="81"/>
        <v>0</v>
      </c>
      <c r="Q75" s="45"/>
      <c r="R75" s="45">
        <v>0</v>
      </c>
      <c r="S75" s="45">
        <v>0</v>
      </c>
      <c r="T75" s="45">
        <f t="shared" si="88"/>
        <v>0</v>
      </c>
      <c r="U75" s="45">
        <f t="shared" si="84"/>
        <v>0</v>
      </c>
      <c r="V75" s="45">
        <v>0</v>
      </c>
      <c r="W75" s="45">
        <v>0</v>
      </c>
      <c r="X75" s="45">
        <v>0</v>
      </c>
      <c r="Y75" s="45">
        <f t="shared" si="86"/>
        <v>0</v>
      </c>
      <c r="Z75" s="12">
        <v>0</v>
      </c>
      <c r="AA75" s="45">
        <v>0</v>
      </c>
      <c r="AB75" s="45">
        <v>0</v>
      </c>
      <c r="AC75" s="45">
        <f t="shared" si="37"/>
        <v>0</v>
      </c>
      <c r="AD75" s="45">
        <v>0</v>
      </c>
      <c r="AE75" s="45">
        <v>0</v>
      </c>
      <c r="AF75" s="45">
        <v>0</v>
      </c>
      <c r="AG75" s="45"/>
      <c r="AH75" s="45">
        <v>0</v>
      </c>
      <c r="AI75" s="45">
        <v>0</v>
      </c>
      <c r="AJ75" s="45">
        <v>0</v>
      </c>
      <c r="AK75" s="55"/>
      <c r="AL75" s="45">
        <v>0</v>
      </c>
      <c r="AM75" s="45"/>
      <c r="AN75" s="54"/>
    </row>
    <row r="76" spans="1:41" outlineLevel="1">
      <c r="B76" s="16" t="s">
        <v>63</v>
      </c>
      <c r="C76" s="45">
        <f t="shared" si="87"/>
        <v>31567.97</v>
      </c>
      <c r="D76" s="45">
        <f t="shared" si="83"/>
        <v>0</v>
      </c>
      <c r="E76" s="45"/>
      <c r="F76" s="45"/>
      <c r="G76" s="45"/>
      <c r="H76" s="45">
        <f t="shared" si="90"/>
        <v>0</v>
      </c>
      <c r="I76" s="12"/>
      <c r="J76" s="45"/>
      <c r="K76" s="45"/>
      <c r="L76" s="45">
        <f t="shared" si="91"/>
        <v>0</v>
      </c>
      <c r="M76" s="45"/>
      <c r="N76" s="45"/>
      <c r="O76" s="45"/>
      <c r="P76" s="45">
        <f t="shared" si="81"/>
        <v>31567.97</v>
      </c>
      <c r="Q76" s="45"/>
      <c r="R76" s="45">
        <v>15169.53</v>
      </c>
      <c r="S76" s="45">
        <v>16398.439999999999</v>
      </c>
      <c r="T76" s="45">
        <f t="shared" si="88"/>
        <v>195802.25</v>
      </c>
      <c r="U76" s="45">
        <f t="shared" si="84"/>
        <v>59758.75</v>
      </c>
      <c r="V76" s="45">
        <v>14867.04</v>
      </c>
      <c r="W76" s="45">
        <v>22809.759999999998</v>
      </c>
      <c r="X76" s="45">
        <v>22081.95</v>
      </c>
      <c r="Y76" s="45">
        <f t="shared" si="86"/>
        <v>53577.75</v>
      </c>
      <c r="Z76" s="12">
        <v>20219.27</v>
      </c>
      <c r="AA76" s="45">
        <v>20132.82</v>
      </c>
      <c r="AB76" s="45">
        <v>13225.66</v>
      </c>
      <c r="AC76" s="45">
        <f t="shared" si="37"/>
        <v>33786.5</v>
      </c>
      <c r="AD76" s="45">
        <v>12414.99</v>
      </c>
      <c r="AE76" s="45">
        <v>11182.63</v>
      </c>
      <c r="AF76" s="45">
        <v>10188.879999999999</v>
      </c>
      <c r="AG76" s="45">
        <f t="shared" si="89"/>
        <v>48679.25</v>
      </c>
      <c r="AH76" s="45">
        <v>13037.78</v>
      </c>
      <c r="AI76" s="45">
        <v>18534.91</v>
      </c>
      <c r="AJ76" s="45">
        <v>17106.560000000001</v>
      </c>
      <c r="AK76" s="55"/>
      <c r="AL76" s="45">
        <v>17220.560000000001</v>
      </c>
      <c r="AM76" s="45">
        <v>167751.58000000002</v>
      </c>
      <c r="AN76" s="54"/>
    </row>
    <row r="77" spans="1:41" outlineLevel="1">
      <c r="B77" s="16" t="s">
        <v>64</v>
      </c>
      <c r="C77" s="45">
        <f t="shared" si="87"/>
        <v>-6000</v>
      </c>
      <c r="D77" s="45">
        <f t="shared" si="83"/>
        <v>0</v>
      </c>
      <c r="E77" s="45"/>
      <c r="F77" s="45"/>
      <c r="G77" s="45"/>
      <c r="H77" s="45">
        <f t="shared" si="90"/>
        <v>0</v>
      </c>
      <c r="I77" s="12"/>
      <c r="J77" s="45"/>
      <c r="K77" s="45"/>
      <c r="L77" s="45">
        <f t="shared" si="91"/>
        <v>0</v>
      </c>
      <c r="M77" s="45"/>
      <c r="N77" s="45"/>
      <c r="O77" s="45"/>
      <c r="P77" s="45">
        <f t="shared" si="81"/>
        <v>-6000</v>
      </c>
      <c r="Q77" s="45"/>
      <c r="R77" s="45">
        <v>0</v>
      </c>
      <c r="S77" s="45">
        <v>-6000</v>
      </c>
      <c r="T77" s="45">
        <f t="shared" si="88"/>
        <v>-81000</v>
      </c>
      <c r="U77" s="45">
        <f t="shared" si="84"/>
        <v>-18000</v>
      </c>
      <c r="V77" s="45">
        <v>-6000</v>
      </c>
      <c r="W77" s="45">
        <v>0</v>
      </c>
      <c r="X77" s="45">
        <v>-12000</v>
      </c>
      <c r="Y77" s="45">
        <f t="shared" si="86"/>
        <v>-18000</v>
      </c>
      <c r="Z77" s="12">
        <v>0</v>
      </c>
      <c r="AA77" s="45">
        <v>-6000</v>
      </c>
      <c r="AB77" s="45">
        <v>-12000</v>
      </c>
      <c r="AC77" s="45">
        <f t="shared" si="37"/>
        <v>-18000</v>
      </c>
      <c r="AD77" s="45">
        <v>0</v>
      </c>
      <c r="AE77" s="45">
        <v>-18000</v>
      </c>
      <c r="AF77" s="45">
        <v>0</v>
      </c>
      <c r="AG77" s="45">
        <f t="shared" si="89"/>
        <v>-27000</v>
      </c>
      <c r="AH77" s="45">
        <v>-18000</v>
      </c>
      <c r="AI77" s="45">
        <v>0</v>
      </c>
      <c r="AJ77" s="45">
        <v>-9000</v>
      </c>
      <c r="AK77" s="55"/>
      <c r="AL77" s="45">
        <v>-15000</v>
      </c>
      <c r="AM77" s="45">
        <v>-81000</v>
      </c>
      <c r="AN77" s="54"/>
    </row>
    <row r="78" spans="1:41" outlineLevel="1">
      <c r="B78" s="16" t="s">
        <v>65</v>
      </c>
      <c r="C78" s="45">
        <f t="shared" si="87"/>
        <v>172.5</v>
      </c>
      <c r="D78" s="45">
        <f t="shared" si="83"/>
        <v>0</v>
      </c>
      <c r="E78" s="45"/>
      <c r="F78" s="45"/>
      <c r="G78" s="45"/>
      <c r="H78" s="45">
        <f t="shared" si="90"/>
        <v>0</v>
      </c>
      <c r="I78" s="12"/>
      <c r="J78" s="45"/>
      <c r="K78" s="45"/>
      <c r="L78" s="45">
        <f t="shared" si="91"/>
        <v>0</v>
      </c>
      <c r="M78" s="45"/>
      <c r="N78" s="45"/>
      <c r="O78" s="45"/>
      <c r="P78" s="45">
        <f t="shared" si="81"/>
        <v>172.5</v>
      </c>
      <c r="Q78" s="45"/>
      <c r="R78" s="45">
        <v>0</v>
      </c>
      <c r="S78" s="45">
        <v>172.5</v>
      </c>
      <c r="T78" s="45">
        <f t="shared" si="88"/>
        <v>145000.97000000003</v>
      </c>
      <c r="U78" s="45">
        <f t="shared" si="84"/>
        <v>1782.24</v>
      </c>
      <c r="V78" s="45">
        <v>357.68</v>
      </c>
      <c r="W78" s="45">
        <v>992.56</v>
      </c>
      <c r="X78" s="45">
        <v>432</v>
      </c>
      <c r="Y78" s="45">
        <f t="shared" si="86"/>
        <v>36365.61</v>
      </c>
      <c r="Z78" s="12">
        <v>708.33</v>
      </c>
      <c r="AA78" s="45">
        <v>0</v>
      </c>
      <c r="AB78" s="45">
        <v>35657.279999999999</v>
      </c>
      <c r="AC78" s="45">
        <f t="shared" si="37"/>
        <v>96372.540000000008</v>
      </c>
      <c r="AD78" s="45">
        <v>60451.06</v>
      </c>
      <c r="AE78" s="45">
        <v>33921.480000000003</v>
      </c>
      <c r="AF78" s="45">
        <v>2000</v>
      </c>
      <c r="AG78" s="45">
        <f t="shared" si="89"/>
        <v>10480.58</v>
      </c>
      <c r="AH78" s="45">
        <v>0</v>
      </c>
      <c r="AI78" s="45">
        <v>0</v>
      </c>
      <c r="AJ78" s="45">
        <v>10480.58</v>
      </c>
      <c r="AK78" s="55"/>
      <c r="AL78" s="45">
        <v>0</v>
      </c>
      <c r="AM78" s="45">
        <v>53546.329999999994</v>
      </c>
      <c r="AN78" s="54"/>
    </row>
    <row r="79" spans="1:41" outlineLevel="1">
      <c r="B79" s="16" t="s">
        <v>66</v>
      </c>
      <c r="C79" s="45">
        <f t="shared" si="87"/>
        <v>0</v>
      </c>
      <c r="D79" s="45">
        <f t="shared" si="83"/>
        <v>0</v>
      </c>
      <c r="E79" s="45"/>
      <c r="F79" s="45"/>
      <c r="G79" s="45"/>
      <c r="H79" s="45">
        <f t="shared" si="90"/>
        <v>0</v>
      </c>
      <c r="I79" s="12"/>
      <c r="J79" s="45"/>
      <c r="K79" s="45"/>
      <c r="L79" s="45">
        <f t="shared" si="91"/>
        <v>0</v>
      </c>
      <c r="M79" s="45"/>
      <c r="N79" s="45"/>
      <c r="O79" s="45"/>
      <c r="P79" s="45">
        <f t="shared" si="81"/>
        <v>0</v>
      </c>
      <c r="Q79" s="45"/>
      <c r="R79" s="45">
        <v>0</v>
      </c>
      <c r="S79" s="45">
        <v>0</v>
      </c>
      <c r="T79" s="45">
        <f t="shared" si="88"/>
        <v>164672.67000000004</v>
      </c>
      <c r="U79" s="45">
        <f t="shared" si="84"/>
        <v>102600</v>
      </c>
      <c r="V79" s="45">
        <v>500</v>
      </c>
      <c r="W79" s="45">
        <v>0</v>
      </c>
      <c r="X79" s="45">
        <v>102100</v>
      </c>
      <c r="Y79" s="45">
        <f t="shared" si="86"/>
        <v>0</v>
      </c>
      <c r="Z79" s="12">
        <v>0</v>
      </c>
      <c r="AA79" s="45">
        <v>0</v>
      </c>
      <c r="AB79" s="45">
        <v>0</v>
      </c>
      <c r="AC79" s="45">
        <f t="shared" si="37"/>
        <v>14197.67</v>
      </c>
      <c r="AD79" s="45">
        <v>10000</v>
      </c>
      <c r="AE79" s="45">
        <v>4197.67</v>
      </c>
      <c r="AF79" s="45">
        <v>0</v>
      </c>
      <c r="AG79" s="45">
        <f t="shared" ref="AG79" si="93">SUM(AH79:AJ79)</f>
        <v>47875</v>
      </c>
      <c r="AH79" s="45">
        <v>13500</v>
      </c>
      <c r="AI79" s="45">
        <v>12000</v>
      </c>
      <c r="AJ79" s="45">
        <v>22375</v>
      </c>
      <c r="AK79" s="55"/>
      <c r="AL79" s="45">
        <v>2739</v>
      </c>
      <c r="AM79" s="45">
        <v>42731.37</v>
      </c>
      <c r="AN79" s="54"/>
    </row>
    <row r="80" spans="1:41" outlineLevel="1">
      <c r="B80" s="16" t="s">
        <v>585</v>
      </c>
      <c r="C80" s="45">
        <f t="shared" ref="C80" si="94">SUM(D80:S80)-P80-L80-H80-D80</f>
        <v>-8014</v>
      </c>
      <c r="D80" s="45">
        <f t="shared" si="83"/>
        <v>0</v>
      </c>
      <c r="E80" s="45"/>
      <c r="F80" s="45"/>
      <c r="G80" s="45"/>
      <c r="H80" s="45">
        <f t="shared" ref="H80" si="95">SUM(I80:K80)</f>
        <v>0</v>
      </c>
      <c r="I80" s="12"/>
      <c r="J80" s="45"/>
      <c r="K80" s="45"/>
      <c r="L80" s="45">
        <f t="shared" ref="L80" si="96">SUM(M80:O80)</f>
        <v>0</v>
      </c>
      <c r="M80" s="45"/>
      <c r="N80" s="45"/>
      <c r="O80" s="45"/>
      <c r="P80" s="45">
        <f t="shared" si="81"/>
        <v>-8014</v>
      </c>
      <c r="Q80" s="45"/>
      <c r="R80" s="45">
        <v>-8014</v>
      </c>
      <c r="S80" s="45">
        <v>0</v>
      </c>
      <c r="T80" s="45">
        <f t="shared" ref="T80" si="97">SUM(U80:AJ80)-AG80-AC80-Y80-U80</f>
        <v>178810</v>
      </c>
      <c r="U80" s="45">
        <f t="shared" si="84"/>
        <v>84600</v>
      </c>
      <c r="V80" s="45">
        <v>75450</v>
      </c>
      <c r="W80" s="45">
        <v>0</v>
      </c>
      <c r="X80" s="45">
        <v>9150</v>
      </c>
      <c r="Y80" s="45">
        <f t="shared" ref="Y80" si="98">SUM(Z80:AB80)</f>
        <v>94210</v>
      </c>
      <c r="Z80" s="12">
        <v>60810</v>
      </c>
      <c r="AA80" s="45">
        <v>0</v>
      </c>
      <c r="AB80" s="45">
        <v>33400</v>
      </c>
      <c r="AC80" s="45">
        <f t="shared" ref="AC80" si="99">SUM(AD80:AF80)</f>
        <v>0</v>
      </c>
      <c r="AD80" s="45"/>
      <c r="AE80" s="45"/>
      <c r="AF80" s="45"/>
      <c r="AG80" s="45"/>
      <c r="AH80" s="45"/>
      <c r="AI80" s="45"/>
      <c r="AJ80" s="45"/>
      <c r="AK80" s="55"/>
      <c r="AL80" s="45"/>
      <c r="AM80" s="45"/>
      <c r="AN80" s="54"/>
    </row>
    <row r="81" spans="1:42" outlineLevel="1">
      <c r="B81" s="16" t="s">
        <v>67</v>
      </c>
      <c r="C81" s="45">
        <f t="shared" ref="C81:C86" si="100">SUM(D81:S81)-P81-L81-H81-D81</f>
        <v>737960.2799999998</v>
      </c>
      <c r="D81" s="45">
        <f t="shared" si="83"/>
        <v>0</v>
      </c>
      <c r="E81" s="45"/>
      <c r="F81" s="45"/>
      <c r="G81" s="45"/>
      <c r="H81" s="45">
        <f t="shared" ref="H81:H86" si="101">SUM(I81:K81)</f>
        <v>0</v>
      </c>
      <c r="I81" s="12"/>
      <c r="J81" s="45"/>
      <c r="K81" s="45"/>
      <c r="L81" s="45">
        <f t="shared" ref="L81:L86" si="102">SUM(M81:O81)</f>
        <v>0</v>
      </c>
      <c r="M81" s="45"/>
      <c r="N81" s="45"/>
      <c r="O81" s="45"/>
      <c r="P81" s="45">
        <f t="shared" si="81"/>
        <v>737960.28</v>
      </c>
      <c r="Q81" s="45"/>
      <c r="R81" s="45">
        <v>352497.87</v>
      </c>
      <c r="S81" s="45">
        <v>385462.41</v>
      </c>
      <c r="T81" s="45">
        <f t="shared" si="88"/>
        <v>3794103.9699999997</v>
      </c>
      <c r="U81" s="45">
        <f t="shared" si="84"/>
        <v>1067104.6299999999</v>
      </c>
      <c r="V81" s="45">
        <v>310110.92</v>
      </c>
      <c r="W81" s="45">
        <v>380882.45</v>
      </c>
      <c r="X81" s="45">
        <v>376111.26</v>
      </c>
      <c r="Y81" s="45">
        <f t="shared" si="86"/>
        <v>1155309.4099999999</v>
      </c>
      <c r="Z81" s="12">
        <v>419704.37</v>
      </c>
      <c r="AA81" s="45">
        <v>374266.99</v>
      </c>
      <c r="AB81" s="45">
        <v>361338.05</v>
      </c>
      <c r="AC81" s="45">
        <f t="shared" si="37"/>
        <v>826244.98</v>
      </c>
      <c r="AD81" s="45">
        <v>328604.03000000003</v>
      </c>
      <c r="AE81" s="45">
        <v>266398.27</v>
      </c>
      <c r="AF81" s="45">
        <v>231242.68</v>
      </c>
      <c r="AG81" s="45">
        <f t="shared" si="89"/>
        <v>745444.95</v>
      </c>
      <c r="AH81" s="45">
        <v>248601.64</v>
      </c>
      <c r="AI81" s="45">
        <v>230193.71</v>
      </c>
      <c r="AJ81" s="45">
        <v>266649.59999999998</v>
      </c>
      <c r="AK81" s="55"/>
      <c r="AL81" s="45">
        <v>274704.86</v>
      </c>
      <c r="AM81" s="45">
        <v>2392437.92</v>
      </c>
      <c r="AN81" s="54"/>
    </row>
    <row r="82" spans="1:42" outlineLevel="1">
      <c r="B82" s="16" t="s">
        <v>68</v>
      </c>
      <c r="C82" s="45">
        <f t="shared" si="100"/>
        <v>173902.32</v>
      </c>
      <c r="D82" s="45">
        <f t="shared" si="83"/>
        <v>0</v>
      </c>
      <c r="E82" s="45"/>
      <c r="F82" s="45"/>
      <c r="G82" s="45"/>
      <c r="H82" s="45">
        <f t="shared" si="101"/>
        <v>0</v>
      </c>
      <c r="I82" s="12"/>
      <c r="J82" s="45"/>
      <c r="K82" s="45"/>
      <c r="L82" s="45">
        <f t="shared" si="102"/>
        <v>0</v>
      </c>
      <c r="M82" s="45"/>
      <c r="N82" s="45"/>
      <c r="O82" s="45"/>
      <c r="P82" s="45">
        <f t="shared" si="81"/>
        <v>173902.32</v>
      </c>
      <c r="Q82" s="45"/>
      <c r="R82" s="45">
        <v>88117.47</v>
      </c>
      <c r="S82" s="45">
        <v>85784.85</v>
      </c>
      <c r="T82" s="45">
        <f t="shared" si="88"/>
        <v>818286.0400000005</v>
      </c>
      <c r="U82" s="45">
        <f t="shared" si="84"/>
        <v>266137.17</v>
      </c>
      <c r="V82" s="45">
        <v>76991.100000000006</v>
      </c>
      <c r="W82" s="45">
        <v>94305.7</v>
      </c>
      <c r="X82" s="45">
        <v>94840.37</v>
      </c>
      <c r="Y82" s="45">
        <f t="shared" si="86"/>
        <v>218600.13</v>
      </c>
      <c r="Z82" s="12">
        <v>74520.570000000007</v>
      </c>
      <c r="AA82" s="45">
        <v>74520.570000000007</v>
      </c>
      <c r="AB82" s="45">
        <v>69558.990000000005</v>
      </c>
      <c r="AC82" s="45">
        <f t="shared" si="37"/>
        <v>168254.97</v>
      </c>
      <c r="AD82" s="45">
        <v>63768.57</v>
      </c>
      <c r="AE82" s="45">
        <v>53374.07</v>
      </c>
      <c r="AF82" s="45">
        <v>51112.33</v>
      </c>
      <c r="AG82" s="45">
        <f t="shared" si="89"/>
        <v>165293.76999999999</v>
      </c>
      <c r="AH82" s="45">
        <v>54676.09</v>
      </c>
      <c r="AI82" s="45">
        <v>50710.09</v>
      </c>
      <c r="AJ82" s="45">
        <v>59907.59</v>
      </c>
      <c r="AK82" s="55"/>
      <c r="AL82" s="45">
        <v>58989.69</v>
      </c>
      <c r="AM82" s="45">
        <v>495183.72999999986</v>
      </c>
      <c r="AN82" s="54"/>
    </row>
    <row r="83" spans="1:42" outlineLevel="1">
      <c r="B83" s="16" t="s">
        <v>69</v>
      </c>
      <c r="C83" s="45">
        <f t="shared" si="100"/>
        <v>4301.04</v>
      </c>
      <c r="D83" s="45">
        <f t="shared" si="83"/>
        <v>0</v>
      </c>
      <c r="E83" s="45"/>
      <c r="F83" s="45"/>
      <c r="G83" s="45"/>
      <c r="H83" s="45">
        <f t="shared" si="101"/>
        <v>0</v>
      </c>
      <c r="I83" s="12"/>
      <c r="J83" s="45"/>
      <c r="K83" s="45"/>
      <c r="L83" s="45">
        <f t="shared" si="102"/>
        <v>0</v>
      </c>
      <c r="M83" s="45"/>
      <c r="N83" s="45"/>
      <c r="O83" s="45"/>
      <c r="P83" s="45">
        <f t="shared" si="81"/>
        <v>4301.04</v>
      </c>
      <c r="Q83" s="45"/>
      <c r="R83" s="45">
        <v>2843</v>
      </c>
      <c r="S83" s="45">
        <v>1458.04</v>
      </c>
      <c r="T83" s="45">
        <f t="shared" si="88"/>
        <v>217771.63</v>
      </c>
      <c r="U83" s="45">
        <f t="shared" si="84"/>
        <v>100394</v>
      </c>
      <c r="V83" s="45">
        <v>57935.5</v>
      </c>
      <c r="W83" s="45">
        <v>39035.5</v>
      </c>
      <c r="X83" s="45">
        <v>3423</v>
      </c>
      <c r="Y83" s="45">
        <f t="shared" si="86"/>
        <v>44744.3</v>
      </c>
      <c r="Z83" s="12">
        <v>3010.5</v>
      </c>
      <c r="AA83" s="45">
        <v>1633.8</v>
      </c>
      <c r="AB83" s="45">
        <v>40100</v>
      </c>
      <c r="AC83" s="45">
        <f t="shared" si="37"/>
        <v>36000</v>
      </c>
      <c r="AD83" s="45">
        <v>36000</v>
      </c>
      <c r="AE83" s="45">
        <v>0</v>
      </c>
      <c r="AF83" s="45">
        <v>0</v>
      </c>
      <c r="AG83" s="45">
        <f t="shared" si="89"/>
        <v>36633.33</v>
      </c>
      <c r="AH83" s="45">
        <v>36633.33</v>
      </c>
      <c r="AI83" s="45">
        <v>0</v>
      </c>
      <c r="AJ83" s="45">
        <v>0</v>
      </c>
      <c r="AK83" s="55"/>
      <c r="AL83" s="45">
        <v>0</v>
      </c>
      <c r="AM83" s="45">
        <v>51169.78</v>
      </c>
      <c r="AN83" s="54"/>
    </row>
    <row r="84" spans="1:42" outlineLevel="1">
      <c r="B84" s="16" t="s">
        <v>70</v>
      </c>
      <c r="C84" s="45">
        <f t="shared" si="100"/>
        <v>69609.81</v>
      </c>
      <c r="D84" s="45">
        <f t="shared" si="83"/>
        <v>0</v>
      </c>
      <c r="E84" s="45"/>
      <c r="F84" s="45"/>
      <c r="G84" s="45"/>
      <c r="H84" s="45">
        <f t="shared" si="101"/>
        <v>0</v>
      </c>
      <c r="I84" s="12"/>
      <c r="J84" s="45"/>
      <c r="K84" s="45"/>
      <c r="L84" s="45">
        <f t="shared" si="102"/>
        <v>0</v>
      </c>
      <c r="M84" s="45"/>
      <c r="N84" s="45"/>
      <c r="O84" s="45"/>
      <c r="P84" s="45">
        <f t="shared" si="81"/>
        <v>69609.81</v>
      </c>
      <c r="Q84" s="45"/>
      <c r="R84" s="45">
        <v>35270.870000000003</v>
      </c>
      <c r="S84" s="45">
        <v>34338.94</v>
      </c>
      <c r="T84" s="45">
        <f t="shared" si="88"/>
        <v>334100.34999999974</v>
      </c>
      <c r="U84" s="45">
        <f t="shared" si="84"/>
        <v>106520.34</v>
      </c>
      <c r="V84" s="45">
        <v>30815.38</v>
      </c>
      <c r="W84" s="45">
        <v>37745.93</v>
      </c>
      <c r="X84" s="45">
        <v>37959.03</v>
      </c>
      <c r="Y84" s="45">
        <f t="shared" si="86"/>
        <v>91694.9</v>
      </c>
      <c r="Z84" s="12">
        <v>31227.67</v>
      </c>
      <c r="AA84" s="45">
        <v>31227.67</v>
      </c>
      <c r="AB84" s="45">
        <v>29239.56</v>
      </c>
      <c r="AC84" s="45">
        <f t="shared" si="37"/>
        <v>68742.42</v>
      </c>
      <c r="AD84" s="45">
        <v>26923.29</v>
      </c>
      <c r="AE84" s="45">
        <v>21363.119999999999</v>
      </c>
      <c r="AF84" s="45">
        <v>20456.009999999998</v>
      </c>
      <c r="AG84" s="45">
        <f t="shared" si="89"/>
        <v>67142.69</v>
      </c>
      <c r="AH84" s="45">
        <v>22878.58</v>
      </c>
      <c r="AI84" s="45">
        <v>20292.080000000002</v>
      </c>
      <c r="AJ84" s="45">
        <v>23972.03</v>
      </c>
      <c r="AK84" s="55"/>
      <c r="AL84" s="45">
        <v>23601.29</v>
      </c>
      <c r="AM84" s="45">
        <v>207649.08999999997</v>
      </c>
      <c r="AN84" s="54"/>
    </row>
    <row r="85" spans="1:42" outlineLevel="1">
      <c r="B85" s="16" t="s">
        <v>71</v>
      </c>
      <c r="C85" s="45">
        <f t="shared" si="100"/>
        <v>0</v>
      </c>
      <c r="D85" s="45">
        <f t="shared" si="83"/>
        <v>0</v>
      </c>
      <c r="E85" s="45"/>
      <c r="F85" s="45"/>
      <c r="G85" s="45"/>
      <c r="H85" s="45">
        <f t="shared" si="101"/>
        <v>0</v>
      </c>
      <c r="I85" s="12"/>
      <c r="J85" s="45"/>
      <c r="K85" s="45"/>
      <c r="L85" s="45">
        <f t="shared" si="102"/>
        <v>0</v>
      </c>
      <c r="M85" s="45"/>
      <c r="N85" s="45"/>
      <c r="O85" s="45"/>
      <c r="P85" s="45">
        <f t="shared" si="81"/>
        <v>0</v>
      </c>
      <c r="Q85" s="45"/>
      <c r="R85" s="45">
        <v>0</v>
      </c>
      <c r="S85" s="45">
        <v>0</v>
      </c>
      <c r="T85" s="45">
        <f t="shared" si="88"/>
        <v>56241.04</v>
      </c>
      <c r="U85" s="45">
        <f t="shared" si="84"/>
        <v>52741.04</v>
      </c>
      <c r="V85" s="45">
        <v>52741.04</v>
      </c>
      <c r="W85" s="45">
        <v>0</v>
      </c>
      <c r="X85" s="45">
        <v>0</v>
      </c>
      <c r="Y85" s="45">
        <f t="shared" si="86"/>
        <v>0</v>
      </c>
      <c r="Z85" s="12">
        <v>0</v>
      </c>
      <c r="AA85" s="45">
        <v>0</v>
      </c>
      <c r="AB85" s="45">
        <v>0</v>
      </c>
      <c r="AC85" s="45">
        <f t="shared" si="37"/>
        <v>0</v>
      </c>
      <c r="AD85" s="45">
        <v>0</v>
      </c>
      <c r="AE85" s="45">
        <v>0</v>
      </c>
      <c r="AF85" s="45">
        <v>0</v>
      </c>
      <c r="AG85" s="45">
        <f t="shared" si="89"/>
        <v>3500</v>
      </c>
      <c r="AH85" s="45">
        <v>3500</v>
      </c>
      <c r="AI85" s="45">
        <v>0</v>
      </c>
      <c r="AJ85" s="45">
        <v>0</v>
      </c>
      <c r="AK85" s="55"/>
      <c r="AL85" s="45">
        <v>106571.29</v>
      </c>
      <c r="AM85" s="45">
        <v>120889.78</v>
      </c>
      <c r="AN85" s="54"/>
    </row>
    <row r="86" spans="1:42" outlineLevel="1">
      <c r="B86" s="16" t="s">
        <v>72</v>
      </c>
      <c r="C86" s="45">
        <f t="shared" si="100"/>
        <v>5914.92</v>
      </c>
      <c r="D86" s="45">
        <f t="shared" si="83"/>
        <v>0</v>
      </c>
      <c r="E86" s="45"/>
      <c r="F86" s="45"/>
      <c r="G86" s="45"/>
      <c r="H86" s="45">
        <f t="shared" si="101"/>
        <v>0</v>
      </c>
      <c r="I86" s="12"/>
      <c r="J86" s="45"/>
      <c r="K86" s="45"/>
      <c r="L86" s="45">
        <f t="shared" si="102"/>
        <v>0</v>
      </c>
      <c r="M86" s="45"/>
      <c r="N86" s="45"/>
      <c r="O86" s="45"/>
      <c r="P86" s="45">
        <f t="shared" si="81"/>
        <v>5914.92</v>
      </c>
      <c r="Q86" s="45"/>
      <c r="R86" s="45">
        <v>355.28</v>
      </c>
      <c r="S86" s="45">
        <v>5559.64</v>
      </c>
      <c r="T86" s="45">
        <f t="shared" si="88"/>
        <v>18372.950000000004</v>
      </c>
      <c r="U86" s="45">
        <f t="shared" si="84"/>
        <v>9675.2800000000007</v>
      </c>
      <c r="V86" s="45">
        <v>4758.53</v>
      </c>
      <c r="W86" s="45">
        <v>4558.3500000000004</v>
      </c>
      <c r="X86" s="45">
        <v>358.4</v>
      </c>
      <c r="Y86" s="45">
        <f t="shared" si="86"/>
        <v>5207.41</v>
      </c>
      <c r="Z86" s="12">
        <v>3816.94</v>
      </c>
      <c r="AA86" s="45">
        <v>1390.47</v>
      </c>
      <c r="AB86" s="45">
        <v>0</v>
      </c>
      <c r="AC86" s="45">
        <f t="shared" si="37"/>
        <v>3490.26</v>
      </c>
      <c r="AD86" s="45">
        <v>3490.26</v>
      </c>
      <c r="AE86" s="45">
        <v>0</v>
      </c>
      <c r="AF86" s="45">
        <v>0</v>
      </c>
      <c r="AG86" s="45">
        <f t="shared" si="89"/>
        <v>0</v>
      </c>
      <c r="AH86" s="45">
        <v>0</v>
      </c>
      <c r="AI86" s="45">
        <v>0</v>
      </c>
      <c r="AJ86" s="45">
        <v>0</v>
      </c>
      <c r="AK86" s="55"/>
      <c r="AL86" s="45">
        <v>0</v>
      </c>
      <c r="AM86" s="45">
        <v>1696.05</v>
      </c>
      <c r="AN86" s="54"/>
    </row>
    <row r="87" spans="1:42" s="69" customFormat="1">
      <c r="A87" s="68"/>
      <c r="B87" s="19" t="s">
        <v>73</v>
      </c>
      <c r="C87" s="48">
        <f>+C65+C60+C56+C39+C19</f>
        <v>1631888.1399999997</v>
      </c>
      <c r="D87" s="48">
        <f>+D65+D60+D56+D39+D19</f>
        <v>0</v>
      </c>
      <c r="E87" s="48">
        <f>+E65+E60+E56+E39+E19</f>
        <v>0</v>
      </c>
      <c r="F87" s="48">
        <f>+F65+F60+F56+F39+F19</f>
        <v>0</v>
      </c>
      <c r="G87" s="48">
        <f>+G65+G60+G56+G39+G19</f>
        <v>0</v>
      </c>
      <c r="H87" s="48">
        <f>SUM(I87:K87)</f>
        <v>0</v>
      </c>
      <c r="I87" s="48">
        <f>+I65+I60+I56+I39+I19</f>
        <v>0</v>
      </c>
      <c r="J87" s="48">
        <f>+J65+J60+J56+J39+J19</f>
        <v>0</v>
      </c>
      <c r="K87" s="48">
        <f>+K65+K60+K56+K39+K19</f>
        <v>0</v>
      </c>
      <c r="L87" s="48">
        <f>SUM(M87:O87)</f>
        <v>0</v>
      </c>
      <c r="M87" s="48">
        <f t="shared" ref="M87:S87" si="103">+M65+M60+M56+M39+M19</f>
        <v>0</v>
      </c>
      <c r="N87" s="48">
        <f t="shared" si="103"/>
        <v>0</v>
      </c>
      <c r="O87" s="48">
        <f t="shared" si="103"/>
        <v>0</v>
      </c>
      <c r="P87" s="48">
        <f t="shared" si="103"/>
        <v>1631888.14</v>
      </c>
      <c r="Q87" s="48">
        <f t="shared" si="103"/>
        <v>0</v>
      </c>
      <c r="R87" s="48">
        <f t="shared" si="103"/>
        <v>721171.89999999991</v>
      </c>
      <c r="S87" s="48">
        <f t="shared" si="103"/>
        <v>910716.24</v>
      </c>
      <c r="T87" s="48">
        <f>+T65+T60+T56+T39+T19</f>
        <v>11303500.330000002</v>
      </c>
      <c r="U87" s="48">
        <f>+U65+U60+U56+U39+U19</f>
        <v>4941278.24</v>
      </c>
      <c r="V87" s="48">
        <f>+V65+V60+V56+V39+V19</f>
        <v>1781726.0100000002</v>
      </c>
      <c r="W87" s="48">
        <f>+W65+W60+W56+W39+W19</f>
        <v>1719272.3099999998</v>
      </c>
      <c r="X87" s="48">
        <f>+X65+X60+X56+X39+X19</f>
        <v>1440279.9200000002</v>
      </c>
      <c r="Y87" s="48">
        <f>SUM(Z87:AB87)</f>
        <v>2656477.6400000006</v>
      </c>
      <c r="Z87" s="48">
        <f>+Z65+Z60+Z56+Z39+Z19</f>
        <v>965610.6</v>
      </c>
      <c r="AA87" s="48">
        <f>+AA65+AA60+AA56+AA39+AA19</f>
        <v>745851.39000000013</v>
      </c>
      <c r="AB87" s="48">
        <f>+AB65+AB60+AB56+AB39+AB19</f>
        <v>945015.65000000014</v>
      </c>
      <c r="AC87" s="48">
        <f>SUM(AD87:AF87)</f>
        <v>1976729.64</v>
      </c>
      <c r="AD87" s="48">
        <f t="shared" ref="AD87:AJ87" si="104">+AD65+AD60+AD56+AD39+AD19</f>
        <v>815454.98</v>
      </c>
      <c r="AE87" s="48">
        <f t="shared" si="104"/>
        <v>593002.38</v>
      </c>
      <c r="AF87" s="48">
        <f t="shared" si="104"/>
        <v>568272.28</v>
      </c>
      <c r="AG87" s="48">
        <f t="shared" si="104"/>
        <v>1729014.81</v>
      </c>
      <c r="AH87" s="48">
        <f t="shared" si="104"/>
        <v>551159.60000000009</v>
      </c>
      <c r="AI87" s="48">
        <f t="shared" si="104"/>
        <v>563589.35</v>
      </c>
      <c r="AJ87" s="48">
        <f t="shared" si="104"/>
        <v>614265.8600000001</v>
      </c>
      <c r="AK87" s="49"/>
      <c r="AL87" s="48">
        <f>+AL65+AL60+AL56+AL39+AL19</f>
        <v>1092217.95</v>
      </c>
      <c r="AM87" s="48">
        <f>+AM65+AM60+AM56+AM39+AM19</f>
        <v>5870217.1499999994</v>
      </c>
      <c r="AN87" s="54"/>
      <c r="AO87" s="70"/>
      <c r="AP87" s="71"/>
    </row>
    <row r="88" spans="1:42">
      <c r="B88" s="14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4"/>
    </row>
    <row r="89" spans="1:42">
      <c r="B89" s="14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4"/>
    </row>
    <row r="90" spans="1:42">
      <c r="B90" s="19" t="s">
        <v>74</v>
      </c>
      <c r="C90" s="48">
        <f t="shared" ref="C90" si="105">SUM(C14+C16+C15)-C87</f>
        <v>1939346.8999999994</v>
      </c>
      <c r="D90" s="48">
        <f>SUM(D14+D16+D15)-D87</f>
        <v>0</v>
      </c>
      <c r="E90" s="48">
        <f t="shared" ref="E90:S90" si="106">SUM(E14+E16+E15)-E87</f>
        <v>0</v>
      </c>
      <c r="F90" s="48">
        <f t="shared" si="106"/>
        <v>0</v>
      </c>
      <c r="G90" s="48">
        <f t="shared" si="106"/>
        <v>0</v>
      </c>
      <c r="H90" s="48">
        <f t="shared" si="106"/>
        <v>0</v>
      </c>
      <c r="I90" s="48">
        <f t="shared" si="106"/>
        <v>0</v>
      </c>
      <c r="J90" s="48">
        <f t="shared" si="106"/>
        <v>0</v>
      </c>
      <c r="K90" s="48">
        <f t="shared" si="106"/>
        <v>0</v>
      </c>
      <c r="L90" s="48">
        <f t="shared" si="106"/>
        <v>0</v>
      </c>
      <c r="M90" s="48">
        <f t="shared" si="106"/>
        <v>0</v>
      </c>
      <c r="N90" s="48">
        <f t="shared" si="106"/>
        <v>0</v>
      </c>
      <c r="O90" s="48">
        <f t="shared" si="106"/>
        <v>0</v>
      </c>
      <c r="P90" s="48">
        <f t="shared" si="106"/>
        <v>1939346.8999999992</v>
      </c>
      <c r="Q90" s="48">
        <f t="shared" si="106"/>
        <v>0</v>
      </c>
      <c r="R90" s="48">
        <f t="shared" si="106"/>
        <v>1163749.5800000005</v>
      </c>
      <c r="S90" s="48">
        <f t="shared" si="106"/>
        <v>775597.32000000053</v>
      </c>
      <c r="T90" s="48">
        <f t="shared" ref="T90:AJ90" si="107">SUM(T14+T16+T15)-T87</f>
        <v>5832563.8099999391</v>
      </c>
      <c r="U90" s="48">
        <f>SUM(U14+U16+U15)-U87</f>
        <v>1496194.2299999986</v>
      </c>
      <c r="V90" s="48">
        <f t="shared" si="107"/>
        <v>1000073.7200000002</v>
      </c>
      <c r="W90" s="48">
        <f t="shared" si="107"/>
        <v>219288.33000000077</v>
      </c>
      <c r="X90" s="48">
        <f t="shared" si="107"/>
        <v>276832.17999999947</v>
      </c>
      <c r="Y90" s="48">
        <f t="shared" si="107"/>
        <v>1442457.1799999997</v>
      </c>
      <c r="Z90" s="48">
        <f t="shared" si="107"/>
        <v>20916.52999999898</v>
      </c>
      <c r="AA90" s="48">
        <f t="shared" si="107"/>
        <v>7751.3899999991991</v>
      </c>
      <c r="AB90" s="48">
        <f t="shared" si="107"/>
        <v>1413789.26</v>
      </c>
      <c r="AC90" s="48">
        <f t="shared" si="107"/>
        <v>1392457.4400000058</v>
      </c>
      <c r="AD90" s="48">
        <f t="shared" si="107"/>
        <v>310034.2799999998</v>
      </c>
      <c r="AE90" s="48">
        <f t="shared" si="107"/>
        <v>633727.38999999955</v>
      </c>
      <c r="AF90" s="48">
        <f t="shared" si="107"/>
        <v>448695.76999999885</v>
      </c>
      <c r="AG90" s="48">
        <f t="shared" si="107"/>
        <v>1501454.959999999</v>
      </c>
      <c r="AH90" s="48">
        <f t="shared" si="107"/>
        <v>732397.74999999953</v>
      </c>
      <c r="AI90" s="48">
        <f t="shared" si="107"/>
        <v>473730.53000000084</v>
      </c>
      <c r="AJ90" s="48">
        <f t="shared" si="107"/>
        <v>295326.67999999935</v>
      </c>
      <c r="AK90" s="45"/>
      <c r="AL90" s="48">
        <f>SUM(AL14+AL16)-AL87</f>
        <v>-51077.730000000214</v>
      </c>
      <c r="AM90" s="48">
        <f>SUM(AM14+AM16)-AM87</f>
        <v>1809565.5000000251</v>
      </c>
      <c r="AN90" s="54"/>
      <c r="AO90" s="54"/>
    </row>
    <row r="91" spans="1:42">
      <c r="B91" s="14"/>
      <c r="C91" s="14"/>
      <c r="D91" s="14"/>
      <c r="E91" s="14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14"/>
      <c r="U91" s="14"/>
      <c r="V91" s="14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4"/>
    </row>
    <row r="92" spans="1:42">
      <c r="B92" s="14"/>
      <c r="C92" s="14"/>
      <c r="D92" s="14"/>
      <c r="E92" s="14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14"/>
      <c r="U92" s="14"/>
      <c r="V92" s="14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47"/>
      <c r="AM92" s="47">
        <v>0</v>
      </c>
      <c r="AN92" s="54"/>
    </row>
    <row r="93" spans="1:42">
      <c r="B93" s="13" t="s">
        <v>75</v>
      </c>
      <c r="C93" s="47">
        <f t="shared" ref="C93:C94" si="108">SUM(D93:S93)-P93-L93-H93-D93</f>
        <v>-8588.92</v>
      </c>
      <c r="D93" s="47">
        <f>SUM(E93:G93)</f>
        <v>0</v>
      </c>
      <c r="E93" s="47"/>
      <c r="F93" s="47"/>
      <c r="G93" s="47"/>
      <c r="H93" s="47">
        <f>SUM(I93:K93)</f>
        <v>0</v>
      </c>
      <c r="I93" s="47"/>
      <c r="J93" s="94"/>
      <c r="K93" s="47"/>
      <c r="L93" s="94">
        <f t="shared" ref="L93" si="109">SUM(M93:O93)</f>
        <v>0</v>
      </c>
      <c r="M93" s="47"/>
      <c r="N93" s="47"/>
      <c r="O93" s="47"/>
      <c r="P93" s="47">
        <f>SUM(Q93:S93)</f>
        <v>-8588.92</v>
      </c>
      <c r="Q93" s="47"/>
      <c r="R93" s="47">
        <v>-7530.97</v>
      </c>
      <c r="S93" s="47">
        <v>-1057.95</v>
      </c>
      <c r="T93" s="47">
        <f t="shared" ref="T93:T120" si="110">SUM(U93:AJ93)-AG93-AC93-Y93-U93</f>
        <v>-34788.110000000008</v>
      </c>
      <c r="U93" s="47">
        <f>SUM(V93:X93)</f>
        <v>-24111.559999999998</v>
      </c>
      <c r="V93" s="47">
        <v>-4519.2</v>
      </c>
      <c r="W93" s="47">
        <v>-6631.73</v>
      </c>
      <c r="X93" s="47">
        <v>-12960.63</v>
      </c>
      <c r="Y93" s="47">
        <f>SUM(Z93:AB93)</f>
        <v>-6437.42</v>
      </c>
      <c r="Z93" s="47">
        <v>-0.01</v>
      </c>
      <c r="AA93" s="94">
        <v>-6437.41</v>
      </c>
      <c r="AB93" s="47">
        <v>0</v>
      </c>
      <c r="AC93" s="94">
        <f t="shared" ref="AC93" si="111">SUM(AD93:AF93)</f>
        <v>-2857.02</v>
      </c>
      <c r="AD93" s="47">
        <v>-465.87</v>
      </c>
      <c r="AE93" s="47">
        <v>-2342.3200000000002</v>
      </c>
      <c r="AF93" s="47">
        <v>-48.83</v>
      </c>
      <c r="AG93" s="47">
        <f>SUM(AH93:AJ93)</f>
        <v>-1382.1100000000001</v>
      </c>
      <c r="AH93" s="47">
        <v>-749.93</v>
      </c>
      <c r="AI93" s="47">
        <v>-602.29999999999995</v>
      </c>
      <c r="AJ93" s="85">
        <v>-29.88</v>
      </c>
      <c r="AK93" s="55"/>
      <c r="AL93" s="47">
        <v>-49465.83</v>
      </c>
      <c r="AM93" s="47">
        <v>-51128.210000000006</v>
      </c>
      <c r="AN93" s="54"/>
    </row>
    <row r="94" spans="1:42">
      <c r="B94" s="14"/>
      <c r="C94" s="47">
        <f t="shared" si="108"/>
        <v>0</v>
      </c>
      <c r="D94" s="55"/>
      <c r="E94" s="47"/>
      <c r="F94" s="55"/>
      <c r="G94" s="47"/>
      <c r="H94" s="55"/>
      <c r="I94" s="47"/>
      <c r="J94" s="55"/>
      <c r="K94" s="55"/>
      <c r="L94" s="55"/>
      <c r="M94" s="55"/>
      <c r="N94" s="47"/>
      <c r="O94" s="47"/>
      <c r="P94" s="55"/>
      <c r="Q94" s="47"/>
      <c r="R94" s="47"/>
      <c r="S94" s="47"/>
      <c r="T94" s="47">
        <f t="shared" si="110"/>
        <v>0</v>
      </c>
      <c r="U94" s="55"/>
      <c r="V94" s="47"/>
      <c r="W94" s="55"/>
      <c r="X94" s="47"/>
      <c r="Y94" s="55"/>
      <c r="Z94" s="47"/>
      <c r="AA94" s="55"/>
      <c r="AB94" s="55"/>
      <c r="AC94" s="55"/>
      <c r="AD94" s="55"/>
      <c r="AE94" s="47"/>
      <c r="AF94" s="47"/>
      <c r="AG94" s="55"/>
      <c r="AH94" s="47"/>
      <c r="AI94" s="47"/>
      <c r="AJ94" s="47"/>
      <c r="AK94" s="55"/>
      <c r="AL94" s="47"/>
      <c r="AM94" s="47">
        <v>0</v>
      </c>
      <c r="AN94" s="54"/>
    </row>
    <row r="95" spans="1:42">
      <c r="B95" s="13" t="s">
        <v>76</v>
      </c>
      <c r="C95" s="47">
        <f t="shared" ref="C95" si="112">SUM(D95:S95)-P95-L95-H95-D95</f>
        <v>0</v>
      </c>
      <c r="D95" s="47">
        <f>SUM(E95:G95)</f>
        <v>0</v>
      </c>
      <c r="E95" s="47"/>
      <c r="F95" s="13"/>
      <c r="G95" s="47"/>
      <c r="H95" s="47">
        <f>SUM(I95:K95)</f>
        <v>0</v>
      </c>
      <c r="I95" s="47"/>
      <c r="J95" s="13"/>
      <c r="K95" s="47"/>
      <c r="L95" s="94"/>
      <c r="M95" s="47"/>
      <c r="N95" s="45"/>
      <c r="O95" s="47"/>
      <c r="P95" s="47">
        <f>SUM(Q95:S95)</f>
        <v>0</v>
      </c>
      <c r="Q95" s="47"/>
      <c r="R95" s="47"/>
      <c r="S95" s="47">
        <v>0</v>
      </c>
      <c r="T95" s="47">
        <f t="shared" ref="T95" si="113">SUM(U95:AJ95)-AG95-AC95-Y95-U95</f>
        <v>758.04</v>
      </c>
      <c r="U95" s="47">
        <f>SUM(V95:X95)</f>
        <v>0</v>
      </c>
      <c r="V95" s="47"/>
      <c r="W95" s="13"/>
      <c r="X95" s="47"/>
      <c r="Y95" s="47">
        <f>SUM(Z95:AB95)</f>
        <v>0</v>
      </c>
      <c r="Z95" s="47"/>
      <c r="AA95" s="13">
        <v>0</v>
      </c>
      <c r="AB95" s="47">
        <v>0</v>
      </c>
      <c r="AC95" s="94"/>
      <c r="AD95" s="47">
        <v>0</v>
      </c>
      <c r="AE95" s="45">
        <v>0</v>
      </c>
      <c r="AF95" s="47">
        <v>0</v>
      </c>
      <c r="AG95" s="47">
        <f>SUM(AH95:AJ95)</f>
        <v>758.04</v>
      </c>
      <c r="AH95" s="47">
        <v>758.04</v>
      </c>
      <c r="AI95" s="47">
        <v>0</v>
      </c>
      <c r="AJ95" s="45">
        <v>0</v>
      </c>
      <c r="AK95" s="55"/>
      <c r="AL95" s="47">
        <v>6362.26</v>
      </c>
      <c r="AM95" s="47">
        <v>6362.26</v>
      </c>
      <c r="AN95" s="54"/>
    </row>
    <row r="96" spans="1:42">
      <c r="B96" s="13"/>
      <c r="C96" s="47"/>
      <c r="D96" s="47"/>
      <c r="E96" s="47"/>
      <c r="F96" s="13"/>
      <c r="G96" s="47"/>
      <c r="H96" s="47"/>
      <c r="I96" s="47"/>
      <c r="J96" s="13"/>
      <c r="K96" s="47"/>
      <c r="L96" s="94"/>
      <c r="M96" s="85"/>
      <c r="N96" s="47"/>
      <c r="O96" s="47"/>
      <c r="P96" s="47"/>
      <c r="Q96" s="47"/>
      <c r="R96" s="47"/>
      <c r="S96" s="47"/>
      <c r="T96" s="47"/>
      <c r="U96" s="47"/>
      <c r="V96" s="47"/>
      <c r="W96" s="13"/>
      <c r="X96" s="47"/>
      <c r="Y96" s="47"/>
      <c r="Z96" s="47"/>
      <c r="AA96" s="13"/>
      <c r="AB96" s="47"/>
      <c r="AC96" s="94"/>
      <c r="AD96" s="85"/>
      <c r="AE96" s="47"/>
      <c r="AF96" s="47"/>
      <c r="AG96" s="47"/>
      <c r="AH96" s="47"/>
      <c r="AI96" s="47"/>
      <c r="AJ96" s="47"/>
      <c r="AK96" s="55"/>
      <c r="AL96" s="47"/>
      <c r="AM96" s="47"/>
      <c r="AN96" s="54"/>
    </row>
    <row r="97" spans="2:40">
      <c r="B97" s="14"/>
      <c r="C97" s="47">
        <f t="shared" ref="C97:C104" si="114">SUM(D97:S97)-P97-L97-H97-D97</f>
        <v>0</v>
      </c>
      <c r="D97" s="55"/>
      <c r="E97" s="47"/>
      <c r="F97" s="47"/>
      <c r="G97" s="47"/>
      <c r="H97" s="55"/>
      <c r="I97" s="47"/>
      <c r="J97" s="55"/>
      <c r="K97" s="55"/>
      <c r="L97" s="55"/>
      <c r="M97" s="47"/>
      <c r="N97" s="47"/>
      <c r="O97" s="47"/>
      <c r="P97" s="55"/>
      <c r="Q97" s="47"/>
      <c r="R97" s="47"/>
      <c r="S97" s="47"/>
      <c r="T97" s="47">
        <f t="shared" si="110"/>
        <v>0</v>
      </c>
      <c r="U97" s="55"/>
      <c r="V97" s="47"/>
      <c r="W97" s="47"/>
      <c r="X97" s="47"/>
      <c r="Y97" s="55"/>
      <c r="Z97" s="47"/>
      <c r="AA97" s="55"/>
      <c r="AB97" s="55"/>
      <c r="AC97" s="55"/>
      <c r="AD97" s="47"/>
      <c r="AE97" s="47"/>
      <c r="AF97" s="47"/>
      <c r="AG97" s="55"/>
      <c r="AH97" s="47"/>
      <c r="AI97" s="47"/>
      <c r="AJ97" s="47"/>
      <c r="AK97" s="55"/>
      <c r="AL97" s="47"/>
      <c r="AM97" s="47">
        <v>0</v>
      </c>
      <c r="AN97" s="54"/>
    </row>
    <row r="98" spans="2:40">
      <c r="B98" s="13" t="s">
        <v>77</v>
      </c>
      <c r="C98" s="47">
        <f t="shared" si="114"/>
        <v>0</v>
      </c>
      <c r="D98" s="47">
        <f>SUM(E98:G98)</f>
        <v>0</v>
      </c>
      <c r="E98" s="47"/>
      <c r="F98" s="47"/>
      <c r="G98" s="47"/>
      <c r="H98" s="47">
        <f>SUM(I98:K98)</f>
        <v>0</v>
      </c>
      <c r="I98" s="47"/>
      <c r="J98" s="47"/>
      <c r="K98" s="47"/>
      <c r="L98" s="47">
        <f>SUM(M98:O98)</f>
        <v>0</v>
      </c>
      <c r="M98" s="45"/>
      <c r="N98" s="45"/>
      <c r="O98" s="47"/>
      <c r="P98" s="47">
        <f>SUM(Q98:S98)</f>
        <v>0</v>
      </c>
      <c r="Q98" s="47"/>
      <c r="R98" s="47"/>
      <c r="S98" s="47">
        <v>0</v>
      </c>
      <c r="T98" s="47">
        <f t="shared" si="110"/>
        <v>0</v>
      </c>
      <c r="U98" s="47">
        <f>SUM(V98:X98)</f>
        <v>0</v>
      </c>
      <c r="V98" s="47"/>
      <c r="W98" s="47">
        <v>0</v>
      </c>
      <c r="X98" s="47">
        <v>0</v>
      </c>
      <c r="Y98" s="47">
        <f>SUM(Z98:AB98)</f>
        <v>0</v>
      </c>
      <c r="Z98" s="47"/>
      <c r="AA98" s="47"/>
      <c r="AB98" s="47"/>
      <c r="AC98" s="47">
        <f>SUM(AD98:AF98)</f>
        <v>0</v>
      </c>
      <c r="AD98" s="45"/>
      <c r="AE98" s="45"/>
      <c r="AF98" s="47"/>
      <c r="AG98" s="47">
        <f>SUM(AH98:AJ98)</f>
        <v>0</v>
      </c>
      <c r="AH98" s="47"/>
      <c r="AI98" s="47"/>
      <c r="AJ98" s="45"/>
      <c r="AK98" s="45"/>
      <c r="AL98" s="47">
        <v>475000</v>
      </c>
      <c r="AM98" s="47">
        <v>-706164.60999999987</v>
      </c>
      <c r="AN98" s="54"/>
    </row>
    <row r="99" spans="2:40">
      <c r="B99" s="14"/>
      <c r="C99" s="47">
        <f t="shared" si="114"/>
        <v>0</v>
      </c>
      <c r="D99" s="55"/>
      <c r="E99" s="47"/>
      <c r="F99" s="47"/>
      <c r="G99" s="47"/>
      <c r="H99" s="55"/>
      <c r="I99" s="47"/>
      <c r="J99" s="55"/>
      <c r="K99" s="55"/>
      <c r="L99" s="55"/>
      <c r="M99" s="47"/>
      <c r="N99" s="47"/>
      <c r="O99" s="47"/>
      <c r="P99" s="55"/>
      <c r="Q99" s="47"/>
      <c r="R99" s="47"/>
      <c r="S99" s="47"/>
      <c r="T99" s="47">
        <f t="shared" si="110"/>
        <v>0</v>
      </c>
      <c r="U99" s="55"/>
      <c r="V99" s="47"/>
      <c r="W99" s="47"/>
      <c r="X99" s="47"/>
      <c r="Y99" s="55"/>
      <c r="Z99" s="47"/>
      <c r="AA99" s="55"/>
      <c r="AB99" s="55"/>
      <c r="AC99" s="55"/>
      <c r="AD99" s="47"/>
      <c r="AE99" s="47"/>
      <c r="AF99" s="47"/>
      <c r="AG99" s="55"/>
      <c r="AH99" s="47"/>
      <c r="AI99" s="47"/>
      <c r="AJ99" s="47"/>
      <c r="AK99" s="55"/>
      <c r="AL99" s="47"/>
      <c r="AM99" s="47">
        <v>0</v>
      </c>
      <c r="AN99" s="54"/>
    </row>
    <row r="100" spans="2:40">
      <c r="B100" s="13" t="s">
        <v>78</v>
      </c>
      <c r="C100" s="47">
        <f t="shared" si="114"/>
        <v>-60566.67</v>
      </c>
      <c r="D100" s="47">
        <f>SUM(E100:G100)</f>
        <v>0</v>
      </c>
      <c r="E100" s="45"/>
      <c r="F100" s="47"/>
      <c r="G100" s="47"/>
      <c r="H100" s="47">
        <f>SUM(I100:K100)</f>
        <v>0</v>
      </c>
      <c r="I100" s="47"/>
      <c r="J100" s="47"/>
      <c r="K100" s="47"/>
      <c r="L100" s="47">
        <f>SUM(M100:O100)</f>
        <v>0</v>
      </c>
      <c r="M100" s="45"/>
      <c r="N100" s="45"/>
      <c r="O100" s="47"/>
      <c r="P100" s="47">
        <f>SUM(Q100:S100)</f>
        <v>-60566.67</v>
      </c>
      <c r="Q100" s="47"/>
      <c r="R100" s="45">
        <v>-30283.34</v>
      </c>
      <c r="S100" s="47">
        <v>-30283.33</v>
      </c>
      <c r="T100" s="47">
        <f t="shared" si="110"/>
        <v>-363399.9800000001</v>
      </c>
      <c r="U100" s="47">
        <f>SUM(V100:X100)</f>
        <v>-90849.99</v>
      </c>
      <c r="V100" s="45">
        <v>-30283.33</v>
      </c>
      <c r="W100" s="47">
        <v>-30283.33</v>
      </c>
      <c r="X100" s="47">
        <v>-30283.33</v>
      </c>
      <c r="Y100" s="47">
        <f>SUM(Z100:AB100)</f>
        <v>-90849.99</v>
      </c>
      <c r="Z100" s="47">
        <v>-30283.33</v>
      </c>
      <c r="AA100" s="47">
        <v>-30283.33</v>
      </c>
      <c r="AB100" s="47">
        <v>-30283.33</v>
      </c>
      <c r="AC100" s="47">
        <f>SUM(AD100:AF100)</f>
        <v>-90849.99</v>
      </c>
      <c r="AD100" s="45">
        <v>-30283.33</v>
      </c>
      <c r="AE100" s="45">
        <v>-30283.33</v>
      </c>
      <c r="AF100" s="47">
        <v>-30283.33</v>
      </c>
      <c r="AG100" s="47">
        <f>SUM(AH100:AJ100)</f>
        <v>-90850.010000000009</v>
      </c>
      <c r="AH100" s="47">
        <v>-30283.37</v>
      </c>
      <c r="AI100" s="47">
        <v>-30283.31</v>
      </c>
      <c r="AJ100" s="45">
        <v>-30283.33</v>
      </c>
      <c r="AK100" s="45"/>
      <c r="AL100" s="47">
        <v>-30283.33</v>
      </c>
      <c r="AM100" s="47">
        <v>-365252.64</v>
      </c>
      <c r="AN100" s="54"/>
    </row>
    <row r="101" spans="2:40">
      <c r="B101" s="14"/>
      <c r="C101" s="47">
        <f t="shared" si="114"/>
        <v>0</v>
      </c>
      <c r="D101" s="55"/>
      <c r="E101" s="47"/>
      <c r="F101" s="47"/>
      <c r="G101" s="47"/>
      <c r="H101" s="55"/>
      <c r="I101" s="47"/>
      <c r="J101" s="55"/>
      <c r="K101" s="55"/>
      <c r="L101" s="55"/>
      <c r="M101" s="47"/>
      <c r="N101" s="47"/>
      <c r="O101" s="47"/>
      <c r="P101" s="55"/>
      <c r="Q101" s="47"/>
      <c r="R101" s="47"/>
      <c r="S101" s="47"/>
      <c r="T101" s="47">
        <f t="shared" si="110"/>
        <v>0</v>
      </c>
      <c r="U101" s="55"/>
      <c r="V101" s="47"/>
      <c r="W101" s="47"/>
      <c r="X101" s="47"/>
      <c r="Y101" s="55"/>
      <c r="Z101" s="47"/>
      <c r="AA101" s="55"/>
      <c r="AB101" s="55"/>
      <c r="AC101" s="55"/>
      <c r="AD101" s="47"/>
      <c r="AE101" s="47"/>
      <c r="AF101" s="47"/>
      <c r="AG101" s="55"/>
      <c r="AH101" s="47"/>
      <c r="AI101" s="47"/>
      <c r="AJ101" s="47"/>
      <c r="AK101" s="55"/>
      <c r="AL101" s="47"/>
      <c r="AM101" s="47">
        <v>0</v>
      </c>
      <c r="AN101" s="54"/>
    </row>
    <row r="102" spans="2:40">
      <c r="B102" s="13" t="s">
        <v>79</v>
      </c>
      <c r="C102" s="47">
        <f t="shared" si="114"/>
        <v>-724395.84000000008</v>
      </c>
      <c r="D102" s="47">
        <f>SUM(E102:G102)</f>
        <v>0</v>
      </c>
      <c r="E102" s="45"/>
      <c r="F102" s="47"/>
      <c r="G102" s="47"/>
      <c r="H102" s="47">
        <f>SUM(I102:K102)</f>
        <v>0</v>
      </c>
      <c r="I102" s="47"/>
      <c r="J102" s="47"/>
      <c r="K102" s="47"/>
      <c r="L102" s="47">
        <f>SUM(M102:O102)</f>
        <v>0</v>
      </c>
      <c r="M102" s="45"/>
      <c r="N102" s="45"/>
      <c r="O102" s="47"/>
      <c r="P102" s="47">
        <f>SUM(Q102:S102)</f>
        <v>-724395.84000000008</v>
      </c>
      <c r="Q102" s="47"/>
      <c r="R102" s="45">
        <v>-353840.28</v>
      </c>
      <c r="S102" s="47">
        <v>-370555.56</v>
      </c>
      <c r="T102" s="47">
        <f t="shared" si="110"/>
        <v>-4324423.620000001</v>
      </c>
      <c r="U102" s="47">
        <f>SUM(V102:X102)</f>
        <v>-1148520.8400000001</v>
      </c>
      <c r="V102" s="45">
        <v>-387069.45</v>
      </c>
      <c r="W102" s="47">
        <v>-387069.45</v>
      </c>
      <c r="X102" s="47">
        <v>-374381.94</v>
      </c>
      <c r="Y102" s="47">
        <f>SUM(Z102:AB102)</f>
        <v>-1153152.79</v>
      </c>
      <c r="Z102" s="47">
        <v>-391097.22</v>
      </c>
      <c r="AA102" s="47">
        <v>-383041.67</v>
      </c>
      <c r="AB102" s="47">
        <v>-379013.9</v>
      </c>
      <c r="AC102" s="47">
        <f>SUM(AD102:AF102)</f>
        <v>-1140263.8899999999</v>
      </c>
      <c r="AD102" s="45">
        <v>-391097.22</v>
      </c>
      <c r="AE102" s="45">
        <v>-378409.72</v>
      </c>
      <c r="AF102" s="47">
        <v>-370756.95</v>
      </c>
      <c r="AG102" s="47">
        <f>SUM(AH102:AJ102)</f>
        <v>-882486.1</v>
      </c>
      <c r="AH102" s="47">
        <v>-387069.44</v>
      </c>
      <c r="AI102" s="47">
        <v>-239250</v>
      </c>
      <c r="AJ102" s="45">
        <v>-256166.66</v>
      </c>
      <c r="AK102" s="45"/>
      <c r="AL102" s="47">
        <v>-255965.28</v>
      </c>
      <c r="AM102" s="47">
        <v>-497027.78</v>
      </c>
      <c r="AN102" s="54"/>
    </row>
    <row r="103" spans="2:40">
      <c r="B103" s="14"/>
      <c r="C103" s="47">
        <f t="shared" si="114"/>
        <v>0</v>
      </c>
      <c r="D103" s="55"/>
      <c r="E103" s="47"/>
      <c r="F103" s="47"/>
      <c r="G103" s="47"/>
      <c r="H103" s="55"/>
      <c r="I103" s="47"/>
      <c r="J103" s="55"/>
      <c r="K103" s="55"/>
      <c r="L103" s="55"/>
      <c r="M103" s="47"/>
      <c r="N103" s="47"/>
      <c r="O103" s="47"/>
      <c r="P103" s="55"/>
      <c r="Q103" s="47"/>
      <c r="R103" s="47"/>
      <c r="S103" s="47"/>
      <c r="T103" s="47">
        <f t="shared" si="110"/>
        <v>0</v>
      </c>
      <c r="U103" s="55"/>
      <c r="V103" s="47"/>
      <c r="W103" s="47"/>
      <c r="X103" s="47"/>
      <c r="Y103" s="55"/>
      <c r="Z103" s="47"/>
      <c r="AA103" s="55"/>
      <c r="AB103" s="55"/>
      <c r="AC103" s="55"/>
      <c r="AD103" s="47"/>
      <c r="AE103" s="47"/>
      <c r="AF103" s="47"/>
      <c r="AG103" s="55"/>
      <c r="AH103" s="47"/>
      <c r="AI103" s="47"/>
      <c r="AJ103" s="47"/>
      <c r="AK103" s="55"/>
      <c r="AL103" s="47"/>
      <c r="AM103" s="47">
        <v>0</v>
      </c>
      <c r="AN103" s="54"/>
    </row>
    <row r="104" spans="2:40">
      <c r="B104" s="13" t="s">
        <v>80</v>
      </c>
      <c r="C104" s="47">
        <f t="shared" si="114"/>
        <v>0</v>
      </c>
      <c r="D104" s="47">
        <f>SUM(E104:G104)</f>
        <v>0</v>
      </c>
      <c r="E104" s="47"/>
      <c r="F104" s="47"/>
      <c r="G104" s="47"/>
      <c r="H104" s="47">
        <f>SUM(I104:K104)</f>
        <v>0</v>
      </c>
      <c r="I104" s="47"/>
      <c r="J104" s="47"/>
      <c r="K104" s="47"/>
      <c r="L104" s="47">
        <f>SUM(M104:O104)</f>
        <v>0</v>
      </c>
      <c r="M104" s="47"/>
      <c r="N104" s="47"/>
      <c r="O104" s="47"/>
      <c r="P104" s="47"/>
      <c r="Q104" s="47"/>
      <c r="R104" s="47"/>
      <c r="S104" s="47"/>
      <c r="T104" s="47">
        <f t="shared" si="110"/>
        <v>0</v>
      </c>
      <c r="U104" s="47">
        <f>SUM(V104:X104)</f>
        <v>0</v>
      </c>
      <c r="V104" s="47"/>
      <c r="W104" s="47"/>
      <c r="X104" s="47"/>
      <c r="Y104" s="47">
        <f>SUM(Z104:AB104)</f>
        <v>0</v>
      </c>
      <c r="Z104" s="47"/>
      <c r="AA104" s="47"/>
      <c r="AB104" s="47"/>
      <c r="AC104" s="47">
        <f>SUM(AD104:AF104)</f>
        <v>0</v>
      </c>
      <c r="AD104" s="47"/>
      <c r="AE104" s="47">
        <v>0</v>
      </c>
      <c r="AF104" s="47">
        <v>0</v>
      </c>
      <c r="AG104" s="47"/>
      <c r="AH104" s="47"/>
      <c r="AI104" s="47">
        <v>0</v>
      </c>
      <c r="AJ104" s="45">
        <v>0</v>
      </c>
      <c r="AK104" s="45"/>
      <c r="AL104" s="47">
        <v>0</v>
      </c>
      <c r="AM104" s="47">
        <v>0</v>
      </c>
      <c r="AN104" s="54"/>
    </row>
    <row r="105" spans="2:40">
      <c r="B105" s="14"/>
      <c r="C105" s="47"/>
      <c r="D105" s="55"/>
      <c r="E105" s="47"/>
      <c r="F105" s="47"/>
      <c r="G105" s="47"/>
      <c r="H105" s="55"/>
      <c r="I105" s="55"/>
      <c r="J105" s="55"/>
      <c r="K105" s="55"/>
      <c r="L105" s="55"/>
      <c r="M105" s="47"/>
      <c r="N105" s="47"/>
      <c r="O105" s="47"/>
      <c r="P105" s="55"/>
      <c r="Q105" s="47"/>
      <c r="R105" s="47"/>
      <c r="S105" s="47"/>
      <c r="T105" s="47"/>
      <c r="U105" s="55"/>
      <c r="V105" s="47"/>
      <c r="W105" s="47"/>
      <c r="X105" s="47"/>
      <c r="Y105" s="55"/>
      <c r="Z105" s="55"/>
      <c r="AA105" s="55"/>
      <c r="AB105" s="55"/>
      <c r="AC105" s="55"/>
      <c r="AD105" s="47"/>
      <c r="AE105" s="47"/>
      <c r="AF105" s="47"/>
      <c r="AG105" s="55"/>
      <c r="AH105" s="47"/>
      <c r="AI105" s="47"/>
      <c r="AJ105" s="47"/>
      <c r="AK105" s="55"/>
      <c r="AL105" s="47"/>
      <c r="AM105" s="47">
        <v>0</v>
      </c>
      <c r="AN105" s="54"/>
    </row>
    <row r="106" spans="2:40">
      <c r="B106" s="13" t="s">
        <v>81</v>
      </c>
      <c r="C106" s="47">
        <f>SUM(D106:S106)-P106-L106-H106-D106</f>
        <v>0</v>
      </c>
      <c r="D106" s="47">
        <f>SUM(E106:G106)</f>
        <v>0</v>
      </c>
      <c r="E106" s="47"/>
      <c r="F106" s="47"/>
      <c r="G106" s="47"/>
      <c r="H106" s="47">
        <f>SUM(I106:K106)</f>
        <v>0</v>
      </c>
      <c r="I106" s="47"/>
      <c r="J106" s="47"/>
      <c r="K106" s="47"/>
      <c r="L106" s="47">
        <f>SUM(M106:O106)</f>
        <v>0</v>
      </c>
      <c r="M106" s="47"/>
      <c r="N106" s="47"/>
      <c r="O106" s="47"/>
      <c r="P106" s="47"/>
      <c r="Q106" s="47"/>
      <c r="R106" s="47"/>
      <c r="S106" s="47"/>
      <c r="T106" s="47">
        <f>SUM(U106:AJ106)-AG106-AC106-Y106-U106</f>
        <v>0</v>
      </c>
      <c r="U106" s="47">
        <f>SUM(V106:X106)</f>
        <v>0</v>
      </c>
      <c r="V106" s="47"/>
      <c r="W106" s="47"/>
      <c r="X106" s="47"/>
      <c r="Y106" s="47">
        <f>SUM(Z106:AB106)</f>
        <v>0</v>
      </c>
      <c r="Z106" s="47"/>
      <c r="AA106" s="47"/>
      <c r="AB106" s="47"/>
      <c r="AC106" s="47">
        <f>SUM(AD106:AF106)</f>
        <v>0</v>
      </c>
      <c r="AD106" s="47"/>
      <c r="AE106" s="47">
        <v>0</v>
      </c>
      <c r="AF106" s="47">
        <v>0</v>
      </c>
      <c r="AG106" s="47"/>
      <c r="AH106" s="47"/>
      <c r="AI106" s="47">
        <v>0</v>
      </c>
      <c r="AJ106" s="47">
        <v>0</v>
      </c>
      <c r="AK106" s="45"/>
      <c r="AL106" s="47"/>
      <c r="AM106" s="47"/>
      <c r="AN106" s="54"/>
    </row>
    <row r="107" spans="2:40">
      <c r="B107" s="14"/>
      <c r="C107" s="47"/>
      <c r="D107" s="55"/>
      <c r="E107" s="47"/>
      <c r="F107" s="55"/>
      <c r="G107" s="47"/>
      <c r="H107" s="55"/>
      <c r="I107" s="55"/>
      <c r="J107" s="55"/>
      <c r="K107" s="55"/>
      <c r="L107" s="55"/>
      <c r="M107" s="47"/>
      <c r="N107" s="47"/>
      <c r="O107" s="47"/>
      <c r="P107" s="55"/>
      <c r="Q107" s="47"/>
      <c r="R107" s="47"/>
      <c r="S107" s="47"/>
      <c r="T107" s="47"/>
      <c r="U107" s="55"/>
      <c r="V107" s="47"/>
      <c r="W107" s="55"/>
      <c r="X107" s="47"/>
      <c r="Y107" s="55"/>
      <c r="Z107" s="55"/>
      <c r="AA107" s="55"/>
      <c r="AB107" s="55"/>
      <c r="AC107" s="55"/>
      <c r="AD107" s="47"/>
      <c r="AE107" s="47"/>
      <c r="AF107" s="47"/>
      <c r="AG107" s="55"/>
      <c r="AH107" s="47"/>
      <c r="AI107" s="47"/>
      <c r="AJ107" s="47"/>
      <c r="AK107" s="55"/>
      <c r="AL107" s="47"/>
      <c r="AM107" s="47"/>
      <c r="AN107" s="54"/>
    </row>
    <row r="108" spans="2:40">
      <c r="B108" s="13" t="s">
        <v>551</v>
      </c>
      <c r="C108" s="47">
        <f>SUM(D108:S108)-P108-L108-H108-D108</f>
        <v>0</v>
      </c>
      <c r="D108" s="47">
        <f>SUM(E108:G108)</f>
        <v>0</v>
      </c>
      <c r="E108" s="47"/>
      <c r="F108" s="47"/>
      <c r="G108" s="47"/>
      <c r="H108" s="47">
        <f>SUM(I108:K108)</f>
        <v>0</v>
      </c>
      <c r="I108" s="47"/>
      <c r="J108" s="47"/>
      <c r="K108" s="47"/>
      <c r="L108" s="47">
        <f>SUM(M108:O108)</f>
        <v>0</v>
      </c>
      <c r="M108" s="47"/>
      <c r="N108" s="47"/>
      <c r="O108" s="47"/>
      <c r="P108" s="47"/>
      <c r="Q108" s="47"/>
      <c r="R108" s="47"/>
      <c r="S108" s="47"/>
      <c r="T108" s="47">
        <f>SUM(U108:AJ108)-AG108-AC108-Y108-U108</f>
        <v>0</v>
      </c>
      <c r="U108" s="47">
        <f>SUM(V108:X108)</f>
        <v>0</v>
      </c>
      <c r="V108" s="47"/>
      <c r="W108" s="47"/>
      <c r="X108" s="47"/>
      <c r="Y108" s="47">
        <f>SUM(Z108:AB108)</f>
        <v>0</v>
      </c>
      <c r="Z108" s="47"/>
      <c r="AA108" s="47"/>
      <c r="AB108" s="47"/>
      <c r="AC108" s="47">
        <f>SUM(AD108:AF108)</f>
        <v>0</v>
      </c>
      <c r="AD108" s="47"/>
      <c r="AE108" s="47">
        <v>0</v>
      </c>
      <c r="AF108" s="47">
        <v>0</v>
      </c>
      <c r="AG108" s="47"/>
      <c r="AH108" s="47"/>
      <c r="AI108" s="47">
        <v>0</v>
      </c>
      <c r="AJ108" s="47">
        <v>0</v>
      </c>
      <c r="AK108" s="45"/>
      <c r="AL108" s="47"/>
      <c r="AM108" s="47"/>
      <c r="AN108" s="54"/>
    </row>
    <row r="109" spans="2:40">
      <c r="B109" s="13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5"/>
      <c r="AL109" s="47"/>
      <c r="AM109" s="47"/>
      <c r="AN109" s="54"/>
    </row>
    <row r="110" spans="2:40">
      <c r="B110" s="13" t="s">
        <v>593</v>
      </c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5"/>
      <c r="AL110" s="47"/>
      <c r="AM110" s="47"/>
      <c r="AN110" s="54"/>
    </row>
    <row r="111" spans="2:40">
      <c r="B111" s="13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5"/>
      <c r="AL111" s="47"/>
      <c r="AM111" s="47"/>
      <c r="AN111" s="54"/>
    </row>
    <row r="112" spans="2:40">
      <c r="B112" s="13" t="s">
        <v>606</v>
      </c>
      <c r="C112" s="47">
        <f>SUM(D112:S112)-P112-L112-H112-D112</f>
        <v>-470356.51</v>
      </c>
      <c r="D112" s="47">
        <f>SUM(E112:G112)</f>
        <v>0</v>
      </c>
      <c r="E112" s="47"/>
      <c r="F112" s="47"/>
      <c r="G112" s="47"/>
      <c r="H112" s="47">
        <f>SUM(I112:K112)</f>
        <v>0</v>
      </c>
      <c r="I112" s="47"/>
      <c r="J112" s="47"/>
      <c r="K112" s="47"/>
      <c r="L112" s="47">
        <f>SUM(M112:O112)</f>
        <v>0</v>
      </c>
      <c r="M112" s="47"/>
      <c r="N112" s="47"/>
      <c r="O112" s="47"/>
      <c r="P112" s="47">
        <f>SUM(Q112:S112)</f>
        <v>-470356.51</v>
      </c>
      <c r="Q112" s="47"/>
      <c r="R112" s="45">
        <v>-292518.53000000003</v>
      </c>
      <c r="S112" s="47">
        <v>-177837.98</v>
      </c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5"/>
      <c r="AL112" s="47"/>
      <c r="AM112" s="47"/>
      <c r="AN112" s="54"/>
    </row>
    <row r="113" spans="1:40">
      <c r="B113" s="13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5"/>
      <c r="AL113" s="47"/>
      <c r="AM113" s="47"/>
      <c r="AN113" s="54"/>
    </row>
    <row r="114" spans="1:40">
      <c r="B114" s="13" t="s">
        <v>82</v>
      </c>
      <c r="C114" s="47">
        <f>SUM(D114:S114)-P114-L114-H114-D114</f>
        <v>0</v>
      </c>
      <c r="D114" s="47">
        <f>SUM(E114:G114)</f>
        <v>0</v>
      </c>
      <c r="E114" s="47"/>
      <c r="F114" s="47"/>
      <c r="G114" s="47"/>
      <c r="H114" s="47">
        <f>SUM(I114:K114)</f>
        <v>0</v>
      </c>
      <c r="I114" s="47"/>
      <c r="J114" s="47"/>
      <c r="K114" s="47"/>
      <c r="L114" s="47">
        <f>SUM(M114:O114)</f>
        <v>0</v>
      </c>
      <c r="M114" s="47"/>
      <c r="N114" s="47"/>
      <c r="O114" s="47"/>
      <c r="P114" s="47">
        <f>SUM(Q114:S114)</f>
        <v>0</v>
      </c>
      <c r="Q114" s="47"/>
      <c r="R114" s="47"/>
      <c r="S114" s="47">
        <v>0</v>
      </c>
      <c r="T114" s="47">
        <f>SUM(U114:AJ114)-AG114-AC114-Y114-U114</f>
        <v>-52500</v>
      </c>
      <c r="U114" s="47">
        <f>SUM(V114:X114)</f>
        <v>0</v>
      </c>
      <c r="V114" s="47"/>
      <c r="W114" s="47">
        <v>0</v>
      </c>
      <c r="X114" s="47"/>
      <c r="Y114" s="47">
        <f>SUM(Z114:AB114)</f>
        <v>0</v>
      </c>
      <c r="Z114" s="47"/>
      <c r="AA114" s="47"/>
      <c r="AB114" s="47">
        <v>0</v>
      </c>
      <c r="AC114" s="47">
        <f>SUM(AD114:AF114)</f>
        <v>0</v>
      </c>
      <c r="AD114" s="47">
        <v>0</v>
      </c>
      <c r="AE114" s="47">
        <v>0</v>
      </c>
      <c r="AF114" s="47">
        <v>0</v>
      </c>
      <c r="AG114" s="47">
        <f>SUM(AH114:AJ114)</f>
        <v>-52500</v>
      </c>
      <c r="AH114" s="47">
        <v>0</v>
      </c>
      <c r="AI114" s="47">
        <v>-52500</v>
      </c>
      <c r="AJ114" s="47">
        <v>0</v>
      </c>
      <c r="AK114" s="45"/>
      <c r="AL114" s="47">
        <v>0</v>
      </c>
      <c r="AM114" s="47">
        <v>-102500</v>
      </c>
      <c r="AN114" s="54"/>
    </row>
    <row r="115" spans="1:40">
      <c r="B115" s="14"/>
      <c r="C115" s="47">
        <f t="shared" ref="C115:C120" si="115">SUM(D115:S115)-P115-L115-H115-D115</f>
        <v>0</v>
      </c>
      <c r="D115" s="55"/>
      <c r="E115" s="47"/>
      <c r="F115" s="47"/>
      <c r="G115" s="47"/>
      <c r="H115" s="55"/>
      <c r="I115" s="47"/>
      <c r="J115" s="55"/>
      <c r="K115" s="55"/>
      <c r="L115" s="55"/>
      <c r="M115" s="47"/>
      <c r="N115" s="47"/>
      <c r="O115" s="47"/>
      <c r="P115" s="55"/>
      <c r="Q115" s="47"/>
      <c r="R115" s="47"/>
      <c r="S115" s="47"/>
      <c r="T115" s="47">
        <f t="shared" si="110"/>
        <v>0</v>
      </c>
      <c r="U115" s="55"/>
      <c r="V115" s="47"/>
      <c r="W115" s="47"/>
      <c r="X115" s="47"/>
      <c r="Y115" s="55"/>
      <c r="Z115" s="47"/>
      <c r="AA115" s="55"/>
      <c r="AB115" s="55"/>
      <c r="AC115" s="55"/>
      <c r="AD115" s="47"/>
      <c r="AE115" s="47"/>
      <c r="AF115" s="47"/>
      <c r="AG115" s="55"/>
      <c r="AH115" s="47"/>
      <c r="AI115" s="47"/>
      <c r="AJ115" s="47"/>
      <c r="AK115" s="55"/>
      <c r="AL115" s="47"/>
      <c r="AM115" s="47">
        <v>0</v>
      </c>
      <c r="AN115" s="54"/>
    </row>
    <row r="116" spans="1:40">
      <c r="B116" s="115" t="s">
        <v>83</v>
      </c>
      <c r="C116" s="47">
        <f>SUM(D116:S116)-P116-L116-H116-D116</f>
        <v>-2222.2199999999998</v>
      </c>
      <c r="D116" s="47">
        <f>SUM(E116:G116)</f>
        <v>0</v>
      </c>
      <c r="E116" s="45"/>
      <c r="F116" s="47"/>
      <c r="G116" s="47"/>
      <c r="H116" s="47">
        <f>SUM(I116:K116)</f>
        <v>0</v>
      </c>
      <c r="I116" s="47"/>
      <c r="J116" s="47"/>
      <c r="K116" s="47"/>
      <c r="L116" s="47">
        <f>SUM(M116:O116)</f>
        <v>0</v>
      </c>
      <c r="M116" s="45"/>
      <c r="N116" s="45"/>
      <c r="O116" s="47"/>
      <c r="P116" s="47">
        <f>SUM(Q116:S116)</f>
        <v>-2222.2199999999998</v>
      </c>
      <c r="Q116" s="47"/>
      <c r="R116" s="45">
        <v>-1111.1099999999999</v>
      </c>
      <c r="S116" s="45">
        <v>-1111.1099999999999</v>
      </c>
      <c r="T116" s="47">
        <f t="shared" si="110"/>
        <v>-33958.320000000007</v>
      </c>
      <c r="U116" s="47">
        <f>SUM(V116:X116)</f>
        <v>-3333.33</v>
      </c>
      <c r="V116" s="45">
        <v>-1111.1099999999999</v>
      </c>
      <c r="W116" s="47">
        <v>-1111.1099999999999</v>
      </c>
      <c r="X116" s="47">
        <v>-1111.1099999999999</v>
      </c>
      <c r="Y116" s="47">
        <f>SUM(Z116:AB116)</f>
        <v>-23958.33</v>
      </c>
      <c r="Z116" s="47">
        <v>-21736.11</v>
      </c>
      <c r="AA116" s="47">
        <v>-1111.1099999999999</v>
      </c>
      <c r="AB116" s="47">
        <v>-1111.1099999999999</v>
      </c>
      <c r="AC116" s="47">
        <f>SUM(AD116:AF116)</f>
        <v>-3333.33</v>
      </c>
      <c r="AD116" s="45">
        <v>-1111.1099999999999</v>
      </c>
      <c r="AE116" s="45">
        <v>-1111.1099999999999</v>
      </c>
      <c r="AF116" s="47">
        <v>-1111.1099999999999</v>
      </c>
      <c r="AG116" s="47">
        <f>SUM(AH116:AJ116)</f>
        <v>-3333.33</v>
      </c>
      <c r="AH116" s="47">
        <v>-1111.1099999999999</v>
      </c>
      <c r="AI116" s="47">
        <v>-1111.1099999999999</v>
      </c>
      <c r="AJ116" s="45">
        <v>-1111.1099999999999</v>
      </c>
      <c r="AK116" s="45"/>
      <c r="AL116" s="47">
        <v>-1111.1099999999999</v>
      </c>
      <c r="AM116" s="47">
        <v>-5555.5500000000011</v>
      </c>
      <c r="AN116" s="54"/>
    </row>
    <row r="117" spans="1:40">
      <c r="B117" s="14"/>
      <c r="C117" s="47">
        <f t="shared" si="115"/>
        <v>0</v>
      </c>
      <c r="D117" s="55"/>
      <c r="E117" s="47"/>
      <c r="F117" s="47"/>
      <c r="G117" s="55"/>
      <c r="H117" s="55"/>
      <c r="I117" s="47"/>
      <c r="J117" s="55"/>
      <c r="K117" s="55"/>
      <c r="L117" s="55"/>
      <c r="M117" s="47"/>
      <c r="N117" s="47"/>
      <c r="O117" s="47"/>
      <c r="P117" s="55"/>
      <c r="Q117" s="47"/>
      <c r="R117" s="47"/>
      <c r="S117" s="47"/>
      <c r="T117" s="47">
        <f t="shared" si="110"/>
        <v>0</v>
      </c>
      <c r="U117" s="55"/>
      <c r="V117" s="47"/>
      <c r="W117" s="47"/>
      <c r="X117" s="55"/>
      <c r="Y117" s="55"/>
      <c r="Z117" s="47"/>
      <c r="AA117" s="55"/>
      <c r="AB117" s="55"/>
      <c r="AC117" s="55"/>
      <c r="AD117" s="47"/>
      <c r="AE117" s="47"/>
      <c r="AF117" s="47"/>
      <c r="AG117" s="55"/>
      <c r="AH117" s="47"/>
      <c r="AI117" s="47"/>
      <c r="AJ117" s="47"/>
      <c r="AK117" s="55"/>
      <c r="AL117" s="47"/>
      <c r="AM117" s="47">
        <v>0</v>
      </c>
      <c r="AN117" s="54"/>
    </row>
    <row r="118" spans="1:40">
      <c r="B118" s="13" t="s">
        <v>84</v>
      </c>
      <c r="C118" s="47">
        <f t="shared" si="115"/>
        <v>0</v>
      </c>
      <c r="D118" s="47">
        <f>SUM(E118:G118)</f>
        <v>0</v>
      </c>
      <c r="E118" s="47"/>
      <c r="F118" s="47"/>
      <c r="G118" s="47"/>
      <c r="H118" s="47">
        <f>SUM(I118:K118)</f>
        <v>0</v>
      </c>
      <c r="I118" s="47"/>
      <c r="J118" s="47"/>
      <c r="K118" s="47"/>
      <c r="L118" s="47">
        <f>SUM(M118:O118)</f>
        <v>0</v>
      </c>
      <c r="M118" s="47"/>
      <c r="N118" s="47">
        <v>0</v>
      </c>
      <c r="O118" s="47">
        <v>0</v>
      </c>
      <c r="P118" s="47">
        <f>SUM(Q118:S118)</f>
        <v>0</v>
      </c>
      <c r="Q118" s="47">
        <v>0</v>
      </c>
      <c r="R118" s="47"/>
      <c r="S118" s="45">
        <v>0</v>
      </c>
      <c r="T118" s="47">
        <f t="shared" si="110"/>
        <v>0</v>
      </c>
      <c r="U118" s="47">
        <f>SUM(V118:X118)</f>
        <v>0</v>
      </c>
      <c r="V118" s="47"/>
      <c r="W118" s="47"/>
      <c r="X118" s="47"/>
      <c r="Y118" s="47">
        <f>SUM(Z118:AB118)</f>
        <v>0</v>
      </c>
      <c r="Z118" s="47"/>
      <c r="AA118" s="47"/>
      <c r="AB118" s="47"/>
      <c r="AC118" s="47">
        <f>SUM(AD118:AF118)</f>
        <v>0</v>
      </c>
      <c r="AD118" s="47"/>
      <c r="AE118" s="47">
        <v>0</v>
      </c>
      <c r="AF118" s="47">
        <v>0</v>
      </c>
      <c r="AG118" s="47">
        <f>SUM(AH118:AJ118)</f>
        <v>0</v>
      </c>
      <c r="AH118" s="47">
        <v>0</v>
      </c>
      <c r="AI118" s="47"/>
      <c r="AJ118" s="45">
        <v>0</v>
      </c>
      <c r="AK118" s="45"/>
      <c r="AL118" s="47">
        <v>0</v>
      </c>
      <c r="AM118" s="47">
        <v>0</v>
      </c>
      <c r="AN118" s="54"/>
    </row>
    <row r="119" spans="1:40">
      <c r="B119" s="14"/>
      <c r="C119" s="47">
        <f t="shared" si="115"/>
        <v>0</v>
      </c>
      <c r="D119" s="55"/>
      <c r="E119" s="47"/>
      <c r="F119" s="47"/>
      <c r="G119" s="55"/>
      <c r="H119" s="55"/>
      <c r="I119" s="47"/>
      <c r="J119" s="55"/>
      <c r="K119" s="55"/>
      <c r="L119" s="55"/>
      <c r="M119" s="47"/>
      <c r="N119" s="47"/>
      <c r="O119" s="47"/>
      <c r="P119" s="55"/>
      <c r="Q119" s="47"/>
      <c r="R119" s="47"/>
      <c r="S119" s="47"/>
      <c r="T119" s="47">
        <f t="shared" si="110"/>
        <v>0</v>
      </c>
      <c r="U119" s="55"/>
      <c r="V119" s="47"/>
      <c r="W119" s="47"/>
      <c r="X119" s="55"/>
      <c r="Y119" s="55"/>
      <c r="Z119" s="47"/>
      <c r="AA119" s="55"/>
      <c r="AB119" s="55"/>
      <c r="AC119" s="55"/>
      <c r="AD119" s="47"/>
      <c r="AE119" s="47"/>
      <c r="AF119" s="47"/>
      <c r="AG119" s="55"/>
      <c r="AH119" s="47"/>
      <c r="AI119" s="47"/>
      <c r="AJ119" s="47"/>
      <c r="AK119" s="55"/>
      <c r="AL119" s="47"/>
      <c r="AM119" s="47">
        <v>0</v>
      </c>
      <c r="AN119" s="54"/>
    </row>
    <row r="120" spans="1:40">
      <c r="B120" s="13" t="s">
        <v>85</v>
      </c>
      <c r="C120" s="47">
        <f t="shared" si="115"/>
        <v>0</v>
      </c>
      <c r="D120" s="47">
        <f>SUM(E120:G120)</f>
        <v>0</v>
      </c>
      <c r="E120" s="47"/>
      <c r="F120" s="47"/>
      <c r="G120" s="47"/>
      <c r="H120" s="47">
        <v>0</v>
      </c>
      <c r="I120" s="47"/>
      <c r="J120" s="47"/>
      <c r="K120" s="47"/>
      <c r="L120" s="47">
        <f>SUM(M120:O120)</f>
        <v>0</v>
      </c>
      <c r="M120" s="47"/>
      <c r="N120" s="47">
        <v>0</v>
      </c>
      <c r="O120" s="47">
        <v>0</v>
      </c>
      <c r="P120" s="47">
        <v>0</v>
      </c>
      <c r="Q120" s="47">
        <v>0</v>
      </c>
      <c r="R120" s="47"/>
      <c r="S120" s="45">
        <v>0</v>
      </c>
      <c r="T120" s="47">
        <f t="shared" si="110"/>
        <v>0</v>
      </c>
      <c r="U120" s="47">
        <f>SUM(V120:X120)</f>
        <v>0</v>
      </c>
      <c r="V120" s="47"/>
      <c r="W120" s="47"/>
      <c r="X120" s="47"/>
      <c r="Y120" s="47">
        <v>0</v>
      </c>
      <c r="Z120" s="47"/>
      <c r="AA120" s="47"/>
      <c r="AB120" s="47"/>
      <c r="AC120" s="47">
        <f>SUM(AD120:AF120)</f>
        <v>0</v>
      </c>
      <c r="AD120" s="47"/>
      <c r="AE120" s="47">
        <v>0</v>
      </c>
      <c r="AF120" s="47">
        <v>0</v>
      </c>
      <c r="AG120" s="47">
        <v>0</v>
      </c>
      <c r="AH120" s="47">
        <v>0</v>
      </c>
      <c r="AI120" s="47"/>
      <c r="AJ120" s="45">
        <v>0</v>
      </c>
      <c r="AK120" s="45"/>
      <c r="AL120" s="47">
        <v>0</v>
      </c>
      <c r="AM120" s="47">
        <v>5910.49</v>
      </c>
      <c r="AN120" s="54"/>
    </row>
    <row r="121" spans="1:40">
      <c r="B121" s="14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47"/>
      <c r="P121" s="55"/>
      <c r="Q121" s="47"/>
      <c r="R121" s="47"/>
      <c r="S121" s="47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47"/>
      <c r="AG121" s="55"/>
      <c r="AH121" s="47"/>
      <c r="AI121" s="47"/>
      <c r="AJ121" s="47"/>
      <c r="AK121" s="55"/>
      <c r="AL121" s="55"/>
      <c r="AM121" s="55"/>
      <c r="AN121" s="54"/>
    </row>
    <row r="122" spans="1:40">
      <c r="B122" s="19" t="s">
        <v>86</v>
      </c>
      <c r="C122" s="84">
        <f>+C90+C100+C118+C120+C98+C116+C93+C102+C114+C95+C112</f>
        <v>673216.73999999953</v>
      </c>
      <c r="D122" s="48">
        <f>+D90+D100+D118+D120+D98+D116+D93+D102+D114+D95</f>
        <v>0</v>
      </c>
      <c r="E122" s="84">
        <f t="shared" ref="E122:H122" si="116">+E90+E100+E118+E120+E98+E116+E93+E102+E114+E95</f>
        <v>0</v>
      </c>
      <c r="F122" s="84">
        <f t="shared" si="116"/>
        <v>0</v>
      </c>
      <c r="G122" s="84">
        <f t="shared" si="116"/>
        <v>0</v>
      </c>
      <c r="H122" s="48">
        <f t="shared" si="116"/>
        <v>0</v>
      </c>
      <c r="I122" s="48">
        <f>+I90+I100+I118+I120+I98+I116+I93+I102+I114+I95</f>
        <v>0</v>
      </c>
      <c r="J122" s="48">
        <f>+J90+J100+J118+J120+J98+J116+J93+J102+J114+J95</f>
        <v>0</v>
      </c>
      <c r="K122" s="48">
        <f t="shared" ref="K122" si="117">+K90+K100+K118+K120+K98+K116+K93+K102+K114+K95</f>
        <v>0</v>
      </c>
      <c r="L122" s="48">
        <f>+L90+L100+L118+L120+L98+L116+L93+L102+L114+L95</f>
        <v>0</v>
      </c>
      <c r="M122" s="48">
        <f t="shared" ref="M122" si="118">+M90+M100+M118+M120+M98+M116+M93+M102+M114+M95</f>
        <v>0</v>
      </c>
      <c r="N122" s="48">
        <f>+N90+N100+N118+N120+N98+N116+N93+N102+N114+N95</f>
        <v>0</v>
      </c>
      <c r="O122" s="48">
        <f>+O90+O100+O118+O120+O98+O116+O93+O102+O114+O95</f>
        <v>0</v>
      </c>
      <c r="P122" s="84">
        <f>+P90+P100+P118+P120+P98+P116+P93+P102+P114+P95+P112</f>
        <v>673216.73999999929</v>
      </c>
      <c r="Q122" s="84">
        <f>+Q90+Q100+Q118+Q120+Q98+Q116+Q93+Q102+Q114+Q95+Q112</f>
        <v>0</v>
      </c>
      <c r="R122" s="84">
        <f>+R90+R100+R118+R120+R98+R116+R93+R102+R114+R95+R112</f>
        <v>478465.35000000033</v>
      </c>
      <c r="S122" s="84">
        <f>+S90+S100+S118+S120+S98+S116+S93+S102+S114+S95+S112</f>
        <v>194751.39000000063</v>
      </c>
      <c r="T122" s="84">
        <f>+T90+T100+T118+T120+T98+T116+T93+T102+T114+T95</f>
        <v>1024251.819999937</v>
      </c>
      <c r="U122" s="48">
        <f>+U90+U100+U118+U120+U98+U116+U93+U102+U114+U95</f>
        <v>229378.50999999838</v>
      </c>
      <c r="V122" s="84">
        <f t="shared" ref="V122:AD122" si="119">+V90+V100+V118+V120+V98+V116+V93+V102+V114+V95</f>
        <v>577090.63000000035</v>
      </c>
      <c r="W122" s="84">
        <f t="shared" si="119"/>
        <v>-205807.28999999925</v>
      </c>
      <c r="X122" s="84">
        <f t="shared" si="119"/>
        <v>-141904.83000000054</v>
      </c>
      <c r="Y122" s="48">
        <f t="shared" si="119"/>
        <v>168058.64999999967</v>
      </c>
      <c r="Z122" s="48">
        <f>+Z90+Z100+Z118+Z120+Z98+Z116+Z93+Z102+Z114+Z95</f>
        <v>-422200.140000001</v>
      </c>
      <c r="AA122" s="48">
        <f>+AA90+AA100+AA118+AA120+AA98+AA116+AA93+AA102+AA114+AA95</f>
        <v>-413122.13000000076</v>
      </c>
      <c r="AB122" s="48">
        <f t="shared" si="119"/>
        <v>1003380.9199999998</v>
      </c>
      <c r="AC122" s="48">
        <f>+AC90+AC100+AC118+AC120+AC98+AC116+AC93+AC102+AC114+AC95</f>
        <v>155153.21000000578</v>
      </c>
      <c r="AD122" s="48">
        <f t="shared" si="119"/>
        <v>-112923.25000000017</v>
      </c>
      <c r="AE122" s="48">
        <f>+AE90+AE100+AE118+AE120+AE98+AE116+AE93+AE102+AE114+AE95</f>
        <v>221580.90999999968</v>
      </c>
      <c r="AF122" s="48">
        <f>+AF90+AF100+AF118+AF120+AF98+AF116+AF93+AF102+AF114+AF95</f>
        <v>46495.549999998824</v>
      </c>
      <c r="AG122" s="48">
        <f>+AG90+AG100+AG118+AG120+AG98+AG116+AG93+AG102+AG114+AG95</f>
        <v>471661.44999999885</v>
      </c>
      <c r="AH122" s="48">
        <f>+AH90+AH100+AH118+AH120+AH98+AH116+AH93+AH102+AH114+AH95</f>
        <v>313941.93999999948</v>
      </c>
      <c r="AI122" s="48">
        <f>+AI90+AI100+AI118+AI120+AI98+AI116+AI93+AI102+AI114+AI95</f>
        <v>149983.81000000087</v>
      </c>
      <c r="AJ122" s="84">
        <f t="shared" ref="AJ122:AM122" si="120">+AJ90+AJ100+AJ118+AJ120+AJ98+AJ116+AJ93+AJ102+AJ114+AJ95</f>
        <v>7735.6999999993423</v>
      </c>
      <c r="AK122" s="49"/>
      <c r="AL122" s="48">
        <f t="shared" si="120"/>
        <v>93458.979999999763</v>
      </c>
      <c r="AM122" s="48">
        <f t="shared" si="120"/>
        <v>94209.460000025094</v>
      </c>
      <c r="AN122" s="54"/>
    </row>
    <row r="123" spans="1:40" s="295" customFormat="1" ht="15">
      <c r="A123" s="290"/>
      <c r="B123" s="291"/>
      <c r="C123" s="292"/>
      <c r="D123" s="293"/>
      <c r="E123" s="293"/>
      <c r="F123" s="294"/>
      <c r="G123" s="294"/>
      <c r="H123" s="293"/>
      <c r="I123" s="293"/>
      <c r="J123" s="293"/>
      <c r="L123" s="293"/>
      <c r="M123" s="293"/>
      <c r="N123" s="293"/>
      <c r="O123" s="293"/>
      <c r="P123" s="293"/>
      <c r="Q123" s="294"/>
      <c r="R123" s="294">
        <v>529075.14000000013</v>
      </c>
      <c r="S123" s="294">
        <v>194751.3899999999</v>
      </c>
      <c r="T123" s="292"/>
      <c r="U123" s="293"/>
      <c r="V123" s="293"/>
      <c r="W123" s="294"/>
      <c r="X123" s="294"/>
      <c r="Y123" s="293"/>
      <c r="Z123" s="293"/>
      <c r="AA123" s="293"/>
      <c r="AC123" s="293"/>
      <c r="AD123" s="293"/>
      <c r="AE123" s="293"/>
      <c r="AF123" s="293"/>
      <c r="AG123" s="293"/>
      <c r="AH123" s="294"/>
      <c r="AI123" s="294"/>
      <c r="AJ123" s="294"/>
      <c r="AK123" s="294"/>
      <c r="AL123" s="293"/>
      <c r="AM123" s="292"/>
    </row>
    <row r="124" spans="1:40" s="297" customFormat="1">
      <c r="A124" s="296"/>
      <c r="C124" s="298"/>
      <c r="R124" s="297">
        <f>R122-R123</f>
        <v>-50609.789999999804</v>
      </c>
      <c r="S124" s="299">
        <f>S122-S123</f>
        <v>7.2759576141834259E-10</v>
      </c>
      <c r="T124" s="298"/>
      <c r="AJ124" s="299"/>
      <c r="AM124" s="298"/>
    </row>
    <row r="125" spans="1:40" s="305" customFormat="1">
      <c r="A125" s="304"/>
      <c r="C125" s="306"/>
      <c r="D125" s="308"/>
      <c r="F125" s="308"/>
      <c r="G125" s="306"/>
      <c r="H125" s="306"/>
      <c r="I125" s="308"/>
      <c r="J125" s="306"/>
      <c r="K125" s="309"/>
      <c r="M125" s="309"/>
      <c r="N125" s="309"/>
      <c r="O125" s="309"/>
      <c r="Q125" s="309"/>
      <c r="R125" s="309"/>
      <c r="S125" s="306"/>
      <c r="T125" s="306"/>
      <c r="U125" s="308"/>
      <c r="W125" s="308"/>
      <c r="X125" s="306"/>
      <c r="Y125" s="306"/>
      <c r="Z125" s="308"/>
      <c r="AA125" s="306"/>
      <c r="AB125" s="309"/>
      <c r="AD125" s="309"/>
      <c r="AE125" s="309"/>
      <c r="AF125" s="309"/>
      <c r="AH125" s="309"/>
      <c r="AI125" s="309"/>
      <c r="AJ125" s="306"/>
      <c r="AM125" s="306"/>
    </row>
    <row r="126" spans="1:40" s="305" customFormat="1">
      <c r="A126" s="304"/>
      <c r="C126" s="310"/>
      <c r="D126" s="306"/>
      <c r="E126" s="307"/>
      <c r="F126" s="307"/>
      <c r="G126" s="309"/>
      <c r="H126" s="309"/>
      <c r="I126" s="309"/>
      <c r="J126" s="309"/>
      <c r="K126" s="309"/>
      <c r="L126" s="309"/>
      <c r="M126" s="309"/>
      <c r="N126" s="309"/>
      <c r="O126" s="308"/>
      <c r="P126" s="309"/>
      <c r="Q126" s="309"/>
      <c r="R126" s="309"/>
      <c r="S126" s="309"/>
      <c r="T126" s="310"/>
      <c r="U126" s="306"/>
      <c r="V126" s="307"/>
      <c r="W126" s="307"/>
      <c r="X126" s="309"/>
      <c r="Y126" s="309"/>
      <c r="Z126" s="309"/>
      <c r="AA126" s="309"/>
      <c r="AB126" s="309"/>
      <c r="AC126" s="309"/>
      <c r="AD126" s="309"/>
      <c r="AE126" s="309"/>
      <c r="AF126" s="308"/>
      <c r="AG126" s="309"/>
      <c r="AH126" s="309"/>
      <c r="AI126" s="309"/>
      <c r="AJ126" s="309"/>
      <c r="AL126" s="307"/>
      <c r="AM126" s="310"/>
    </row>
    <row r="127" spans="1:40" s="260" customFormat="1">
      <c r="A127" s="259"/>
      <c r="D127" s="258"/>
      <c r="E127" s="258"/>
      <c r="F127" s="262"/>
      <c r="G127" s="262"/>
      <c r="H127" s="258"/>
      <c r="I127" s="261"/>
      <c r="J127" s="258"/>
      <c r="K127" s="263"/>
      <c r="U127" s="258"/>
      <c r="V127" s="258"/>
      <c r="W127" s="262"/>
      <c r="X127" s="262"/>
      <c r="Y127" s="258"/>
      <c r="Z127" s="261"/>
      <c r="AA127" s="258"/>
      <c r="AB127" s="263"/>
      <c r="AL127" s="258"/>
    </row>
    <row r="128" spans="1:40" s="260" customFormat="1">
      <c r="A128" s="259"/>
      <c r="D128" s="258"/>
      <c r="E128" s="258"/>
      <c r="F128" s="261"/>
      <c r="G128" s="262"/>
      <c r="H128" s="258"/>
      <c r="U128" s="258"/>
      <c r="V128" s="258"/>
      <c r="W128" s="261"/>
      <c r="X128" s="262"/>
      <c r="Y128" s="258"/>
      <c r="AL128" s="258"/>
    </row>
    <row r="129" spans="1:39" s="260" customFormat="1">
      <c r="A129" s="259"/>
      <c r="C129" s="258"/>
      <c r="D129" s="258"/>
      <c r="F129" s="262"/>
      <c r="G129" s="262"/>
      <c r="H129" s="258"/>
      <c r="R129" s="264"/>
      <c r="T129" s="258"/>
      <c r="U129" s="258"/>
      <c r="W129" s="262"/>
      <c r="X129" s="262"/>
      <c r="Y129" s="258"/>
      <c r="AI129" s="264"/>
      <c r="AM129" s="258"/>
    </row>
    <row r="130" spans="1:39">
      <c r="C130" s="31"/>
      <c r="D130" s="31"/>
      <c r="F130" s="18"/>
      <c r="G130" s="18"/>
      <c r="H130" s="31"/>
      <c r="O130" s="31"/>
      <c r="P130" s="31"/>
      <c r="Q130" s="31"/>
      <c r="R130" s="31"/>
      <c r="T130" s="31"/>
      <c r="U130" s="31"/>
      <c r="W130" s="18"/>
      <c r="X130" s="18"/>
      <c r="Y130" s="31"/>
      <c r="AF130" s="31"/>
      <c r="AG130" s="31"/>
      <c r="AH130" s="31"/>
      <c r="AI130" s="31"/>
      <c r="AM130" s="31"/>
    </row>
    <row r="131" spans="1:39">
      <c r="C131" s="31"/>
      <c r="D131" s="31"/>
      <c r="O131" s="31"/>
      <c r="P131" s="31"/>
      <c r="Q131" s="31"/>
      <c r="R131" s="31"/>
      <c r="T131" s="31"/>
      <c r="U131" s="31"/>
      <c r="AF131" s="31"/>
      <c r="AG131" s="31"/>
      <c r="AH131" s="31"/>
      <c r="AI131" s="31"/>
      <c r="AM131" s="31"/>
    </row>
    <row r="132" spans="1:39">
      <c r="C132" s="31"/>
      <c r="D132" s="31"/>
      <c r="O132" s="18"/>
      <c r="P132" s="18"/>
      <c r="Q132" s="18"/>
      <c r="R132" s="18"/>
      <c r="T132" s="31"/>
      <c r="U132" s="31"/>
      <c r="AF132" s="18"/>
      <c r="AG132" s="18"/>
      <c r="AH132" s="18"/>
      <c r="AI132" s="18"/>
      <c r="AM132" s="31"/>
    </row>
    <row r="133" spans="1:39">
      <c r="C133" s="31"/>
      <c r="D133" s="31"/>
      <c r="T133" s="31"/>
      <c r="U133" s="31"/>
      <c r="AM133" s="31"/>
    </row>
    <row r="134" spans="1:39">
      <c r="C134" s="31"/>
      <c r="D134" s="31"/>
      <c r="T134" s="31"/>
      <c r="U134" s="31"/>
      <c r="AM134" s="31"/>
    </row>
    <row r="135" spans="1:39">
      <c r="C135" s="31"/>
      <c r="D135" s="31"/>
      <c r="T135" s="31"/>
      <c r="U135" s="31"/>
      <c r="AM135" s="31"/>
    </row>
    <row r="136" spans="1:39">
      <c r="C136" s="31"/>
      <c r="D136" s="31"/>
      <c r="T136" s="31"/>
      <c r="U136" s="31"/>
      <c r="AM136" s="31"/>
    </row>
    <row r="137" spans="1:39">
      <c r="C137" s="31"/>
      <c r="D137" s="31"/>
      <c r="T137" s="31"/>
      <c r="U137" s="31"/>
      <c r="AM137" s="31"/>
    </row>
    <row r="138" spans="1:39">
      <c r="C138" s="31"/>
      <c r="D138" s="31"/>
      <c r="T138" s="31"/>
      <c r="U138" s="31"/>
      <c r="AM138" s="31"/>
    </row>
    <row r="139" spans="1:39">
      <c r="C139" s="31"/>
      <c r="D139" s="31"/>
      <c r="T139" s="31"/>
      <c r="U139" s="31"/>
      <c r="AM139" s="31"/>
    </row>
    <row r="140" spans="1:39">
      <c r="C140" s="31"/>
      <c r="D140" s="31"/>
      <c r="T140" s="31"/>
      <c r="U140" s="31"/>
      <c r="AM140" s="31"/>
    </row>
    <row r="141" spans="1:39">
      <c r="C141" s="31"/>
      <c r="D141" s="31"/>
      <c r="T141" s="31"/>
      <c r="U141" s="31"/>
      <c r="AM141" s="31"/>
    </row>
    <row r="142" spans="1:39">
      <c r="C142" s="31"/>
      <c r="D142" s="31"/>
      <c r="T142" s="31"/>
      <c r="U142" s="31"/>
      <c r="AM142" s="31"/>
    </row>
    <row r="143" spans="1:39">
      <c r="C143" s="31"/>
      <c r="D143" s="31"/>
      <c r="T143" s="31"/>
      <c r="U143" s="31"/>
      <c r="AM143" s="31"/>
    </row>
    <row r="144" spans="1:39">
      <c r="C144" s="31"/>
      <c r="D144" s="31"/>
      <c r="T144" s="31"/>
      <c r="U144" s="31"/>
      <c r="AM144" s="31"/>
    </row>
    <row r="145" spans="3:39">
      <c r="C145" s="31"/>
      <c r="D145" s="31"/>
      <c r="T145" s="31"/>
      <c r="U145" s="31"/>
      <c r="AM145" s="31"/>
    </row>
    <row r="146" spans="3:39">
      <c r="C146" s="31"/>
      <c r="D146" s="31"/>
      <c r="T146" s="31"/>
      <c r="U146" s="31"/>
      <c r="AM146" s="31"/>
    </row>
    <row r="147" spans="3:39">
      <c r="C147" s="31"/>
      <c r="D147" s="31"/>
      <c r="T147" s="31"/>
      <c r="U147" s="31"/>
      <c r="AM147" s="31"/>
    </row>
    <row r="148" spans="3:39">
      <c r="C148" s="31"/>
      <c r="D148" s="31"/>
      <c r="T148" s="31"/>
      <c r="U148" s="31"/>
      <c r="AM148" s="31"/>
    </row>
    <row r="149" spans="3:39">
      <c r="C149" s="31"/>
      <c r="D149" s="31"/>
      <c r="T149" s="31"/>
      <c r="U149" s="31"/>
      <c r="AM149" s="31"/>
    </row>
    <row r="150" spans="3:39">
      <c r="C150" s="31"/>
      <c r="D150" s="31"/>
      <c r="T150" s="31"/>
      <c r="U150" s="31"/>
      <c r="AM150" s="31"/>
    </row>
    <row r="151" spans="3:39">
      <c r="C151" s="31"/>
      <c r="D151" s="31"/>
      <c r="T151" s="31"/>
      <c r="U151" s="31"/>
      <c r="AM151" s="31"/>
    </row>
    <row r="152" spans="3:39">
      <c r="C152" s="31"/>
      <c r="D152" s="31"/>
      <c r="T152" s="31"/>
      <c r="U152" s="31"/>
      <c r="AM152" s="31"/>
    </row>
    <row r="153" spans="3:39">
      <c r="C153" s="31"/>
      <c r="D153" s="31"/>
      <c r="T153" s="31"/>
      <c r="U153" s="31"/>
      <c r="AM153" s="31"/>
    </row>
    <row r="154" spans="3:39">
      <c r="C154" s="31"/>
      <c r="D154" s="31"/>
      <c r="T154" s="31"/>
      <c r="U154" s="31"/>
      <c r="AM154" s="31"/>
    </row>
    <row r="155" spans="3:39">
      <c r="C155" s="31"/>
      <c r="D155" s="31"/>
      <c r="T155" s="31"/>
      <c r="U155" s="31"/>
      <c r="AM155" s="31"/>
    </row>
    <row r="156" spans="3:39">
      <c r="C156" s="31"/>
      <c r="D156" s="31"/>
      <c r="T156" s="31"/>
      <c r="U156" s="31"/>
      <c r="AM156" s="31"/>
    </row>
    <row r="157" spans="3:39">
      <c r="C157" s="31"/>
      <c r="D157" s="31"/>
      <c r="T157" s="31"/>
      <c r="U157" s="31"/>
      <c r="AM157" s="31"/>
    </row>
    <row r="158" spans="3:39">
      <c r="C158" s="31"/>
      <c r="D158" s="31"/>
      <c r="T158" s="31"/>
      <c r="U158" s="31"/>
      <c r="AM158" s="31"/>
    </row>
    <row r="159" spans="3:39">
      <c r="C159" s="31"/>
      <c r="D159" s="31"/>
      <c r="T159" s="31"/>
      <c r="U159" s="31"/>
      <c r="AM159" s="31"/>
    </row>
    <row r="160" spans="3:39">
      <c r="C160" s="31"/>
      <c r="D160" s="31"/>
      <c r="T160" s="31"/>
      <c r="U160" s="31"/>
      <c r="AM160" s="31"/>
    </row>
    <row r="161" spans="3:39">
      <c r="C161" s="31"/>
      <c r="D161" s="31"/>
      <c r="T161" s="31"/>
      <c r="U161" s="31"/>
      <c r="AM161" s="31"/>
    </row>
    <row r="162" spans="3:39">
      <c r="C162" s="31"/>
      <c r="D162" s="31"/>
      <c r="T162" s="31"/>
      <c r="U162" s="31"/>
      <c r="AM162" s="31"/>
    </row>
    <row r="163" spans="3:39">
      <c r="C163" s="31"/>
      <c r="D163" s="31"/>
      <c r="T163" s="31"/>
      <c r="U163" s="31"/>
      <c r="AM163" s="31"/>
    </row>
    <row r="164" spans="3:39">
      <c r="C164" s="31"/>
      <c r="D164" s="31"/>
      <c r="T164" s="31"/>
      <c r="U164" s="31"/>
      <c r="AM164" s="31"/>
    </row>
    <row r="165" spans="3:39">
      <c r="C165" s="31"/>
      <c r="D165" s="31"/>
      <c r="T165" s="31"/>
      <c r="U165" s="31"/>
      <c r="AM165" s="31"/>
    </row>
    <row r="166" spans="3:39">
      <c r="C166" s="31"/>
      <c r="D166" s="31"/>
      <c r="T166" s="31"/>
      <c r="U166" s="31"/>
      <c r="AM166" s="31"/>
    </row>
    <row r="167" spans="3:39">
      <c r="C167" s="31"/>
      <c r="D167" s="31"/>
      <c r="T167" s="31"/>
      <c r="U167" s="31"/>
      <c r="AM167" s="31"/>
    </row>
    <row r="168" spans="3:39">
      <c r="C168" s="31"/>
      <c r="D168" s="31"/>
      <c r="T168" s="31"/>
      <c r="U168" s="31"/>
      <c r="AM168" s="31"/>
    </row>
    <row r="169" spans="3:39">
      <c r="C169" s="31"/>
      <c r="D169" s="31"/>
      <c r="T169" s="31"/>
      <c r="U169" s="31"/>
      <c r="AM169" s="31"/>
    </row>
    <row r="170" spans="3:39">
      <c r="C170" s="31"/>
      <c r="D170" s="31"/>
      <c r="T170" s="31"/>
      <c r="U170" s="31"/>
      <c r="AM170" s="31"/>
    </row>
    <row r="171" spans="3:39">
      <c r="C171" s="31"/>
      <c r="D171" s="31"/>
      <c r="T171" s="31"/>
      <c r="U171" s="31"/>
      <c r="AM171" s="31"/>
    </row>
    <row r="172" spans="3:39">
      <c r="C172" s="31"/>
      <c r="D172" s="31"/>
      <c r="T172" s="31"/>
      <c r="U172" s="31"/>
      <c r="AM172" s="31"/>
    </row>
    <row r="173" spans="3:39">
      <c r="C173" s="31"/>
      <c r="D173" s="31"/>
      <c r="T173" s="31"/>
      <c r="U173" s="31"/>
      <c r="AM173" s="31"/>
    </row>
    <row r="174" spans="3:39">
      <c r="C174" s="31"/>
      <c r="D174" s="31"/>
      <c r="T174" s="31"/>
      <c r="U174" s="31"/>
      <c r="AM174" s="31"/>
    </row>
    <row r="175" spans="3:39">
      <c r="C175" s="31"/>
      <c r="D175" s="31"/>
      <c r="T175" s="31"/>
      <c r="U175" s="31"/>
      <c r="AM175" s="31"/>
    </row>
    <row r="176" spans="3:39">
      <c r="C176" s="31"/>
      <c r="D176" s="31"/>
      <c r="T176" s="31"/>
      <c r="U176" s="31"/>
      <c r="AM176" s="31"/>
    </row>
    <row r="177" spans="3:39">
      <c r="C177" s="31"/>
      <c r="D177" s="31"/>
      <c r="T177" s="31"/>
      <c r="U177" s="31"/>
      <c r="AM177" s="31"/>
    </row>
    <row r="178" spans="3:39">
      <c r="C178" s="31"/>
      <c r="D178" s="31"/>
      <c r="T178" s="31"/>
      <c r="U178" s="31"/>
      <c r="AM178" s="31"/>
    </row>
    <row r="179" spans="3:39">
      <c r="C179" s="31"/>
      <c r="D179" s="31"/>
      <c r="T179" s="31"/>
      <c r="U179" s="31"/>
      <c r="AM179" s="31"/>
    </row>
    <row r="180" spans="3:39">
      <c r="C180" s="31"/>
      <c r="D180" s="31"/>
      <c r="T180" s="31"/>
      <c r="U180" s="31"/>
      <c r="AM180" s="31"/>
    </row>
    <row r="181" spans="3:39">
      <c r="C181" s="31"/>
      <c r="D181" s="31"/>
      <c r="T181" s="31"/>
      <c r="U181" s="31"/>
      <c r="AM181" s="31"/>
    </row>
    <row r="182" spans="3:39">
      <c r="C182" s="31"/>
      <c r="D182" s="31"/>
      <c r="T182" s="31"/>
      <c r="U182" s="31"/>
      <c r="AM182" s="31"/>
    </row>
    <row r="183" spans="3:39">
      <c r="C183" s="31"/>
      <c r="D183" s="31"/>
      <c r="T183" s="31"/>
      <c r="U183" s="31"/>
      <c r="AM183" s="31"/>
    </row>
    <row r="184" spans="3:39">
      <c r="C184" s="31"/>
      <c r="D184" s="31"/>
      <c r="T184" s="31"/>
      <c r="U184" s="31"/>
      <c r="AM184" s="31"/>
    </row>
    <row r="185" spans="3:39">
      <c r="C185" s="31"/>
      <c r="D185" s="31"/>
      <c r="T185" s="31"/>
      <c r="U185" s="31"/>
      <c r="AM185" s="31"/>
    </row>
  </sheetData>
  <autoFilter ref="A8:AP164" xr:uid="{791A8F99-DA19-4332-A4C0-5CCFC501E6FF}"/>
  <conditionalFormatting sqref="D123:J123 L123:S123">
    <cfRule type="cellIs" dxfId="122" priority="1" operator="equal">
      <formula>0</formula>
    </cfRule>
  </conditionalFormatting>
  <conditionalFormatting sqref="U123:AA123 AC123:AL123">
    <cfRule type="cellIs" dxfId="121" priority="2" operator="equal">
      <formula>0</formula>
    </cfRule>
  </conditionalFormatting>
  <pageMargins left="0.7" right="0.7" top="0.75" bottom="0.75" header="0.3" footer="0.3"/>
  <pageSetup orientation="portrait" r:id="rId1"/>
  <ignoredErrors>
    <ignoredError sqref="Y81:Y86 Z17:AB17 AA14 AA19 Y73:Y79 AA16 Y88:Y90 X87 Z87:AE87 Y61:Y62 X56 Y53:Y55 X60 X65 Y11:Y32 Y35:Y50 AB18 Y64:Y71 U104:U108 Y108:Y114 C122:S122 C114:P120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9645-DDE9-4B26-92AF-E34B28D71BD4}">
  <sheetPr codeName="Sheet2"/>
  <dimension ref="A3:AN156"/>
  <sheetViews>
    <sheetView showGridLines="0" zoomScaleNormal="100" workbookViewId="0">
      <pane xSplit="14" ySplit="10" topLeftCell="O144" activePane="bottomRight" state="frozen"/>
      <selection pane="topRight" activeCell="N1" sqref="N1"/>
      <selection pane="bottomLeft" activeCell="A11" sqref="A11"/>
      <selection pane="bottomRight" activeCell="N156" sqref="N156"/>
    </sheetView>
  </sheetViews>
  <sheetFormatPr defaultRowHeight="14.4" outlineLevelRow="1"/>
  <cols>
    <col min="1" max="1" width="5.5546875" style="1" customWidth="1"/>
    <col min="2" max="2" width="44.5546875" customWidth="1"/>
    <col min="3" max="3" width="16" hidden="1" customWidth="1"/>
    <col min="4" max="4" width="10.5546875" style="27" hidden="1" customWidth="1"/>
    <col min="5" max="5" width="10.6640625" style="27" hidden="1" customWidth="1"/>
    <col min="6" max="6" width="10.109375" style="27" hidden="1" customWidth="1"/>
    <col min="7" max="7" width="10.5546875" style="27" hidden="1" customWidth="1"/>
    <col min="8" max="8" width="10.6640625" style="279" hidden="1" customWidth="1"/>
    <col min="9" max="9" width="9.6640625" style="27" hidden="1" customWidth="1"/>
    <col min="10" max="10" width="10.33203125" style="27" hidden="1" customWidth="1"/>
    <col min="11" max="11" width="10.77734375" style="27" hidden="1" customWidth="1"/>
    <col min="12" max="12" width="10.21875" style="50" hidden="1" customWidth="1"/>
    <col min="13" max="13" width="10.33203125" style="27" hidden="1" customWidth="1"/>
    <col min="14" max="14" width="17.109375" style="27" customWidth="1"/>
    <col min="15" max="15" width="16.77734375" style="112" customWidth="1"/>
    <col min="16" max="16" width="15.5546875" style="27" hidden="1" customWidth="1"/>
    <col min="17" max="17" width="17.44140625" style="27" hidden="1" customWidth="1"/>
    <col min="18" max="18" width="19" style="27" hidden="1" customWidth="1"/>
    <col min="19" max="19" width="15.88671875" style="27" hidden="1" customWidth="1"/>
    <col min="20" max="20" width="15.33203125" style="279" hidden="1" customWidth="1"/>
    <col min="21" max="21" width="17.109375" style="27" hidden="1" customWidth="1"/>
    <col min="22" max="22" width="17.44140625" style="27" hidden="1" customWidth="1"/>
    <col min="23" max="23" width="19.6640625" style="27" hidden="1" customWidth="1"/>
    <col min="24" max="24" width="19.5546875" style="50" hidden="1" customWidth="1"/>
    <col min="25" max="25" width="23.33203125" style="27" hidden="1" customWidth="1"/>
    <col min="26" max="26" width="22.109375" style="27" hidden="1" customWidth="1"/>
    <col min="27" max="27" width="15.21875" style="112" hidden="1" customWidth="1"/>
    <col min="28" max="28" width="3" style="27" hidden="1" customWidth="1"/>
    <col min="29" max="29" width="16.5546875" style="27" hidden="1" customWidth="1"/>
    <col min="30" max="30" width="18.44140625" style="27" hidden="1" customWidth="1"/>
    <col min="31" max="31" width="15.33203125" style="31" customWidth="1"/>
    <col min="32" max="32" width="14.5546875" customWidth="1"/>
    <col min="33" max="33" width="15.44140625" customWidth="1"/>
    <col min="34" max="34" width="9.44140625" customWidth="1"/>
    <col min="35" max="35" width="13.6640625" bestFit="1" customWidth="1"/>
    <col min="36" max="36" width="11.5546875" bestFit="1" customWidth="1"/>
    <col min="38" max="38" width="11.44140625" bestFit="1" customWidth="1"/>
    <col min="39" max="39" width="11.44140625" customWidth="1"/>
    <col min="40" max="40" width="11.44140625" bestFit="1" customWidth="1"/>
  </cols>
  <sheetData>
    <row r="3" spans="1:32">
      <c r="J3" s="50"/>
      <c r="V3" s="50"/>
    </row>
    <row r="4" spans="1:32">
      <c r="D4" s="27">
        <v>-1</v>
      </c>
      <c r="P4" s="27">
        <v>-1</v>
      </c>
    </row>
    <row r="5" spans="1:32" s="6" customFormat="1" ht="22.8" customHeight="1" thickBot="1">
      <c r="A5" s="3"/>
      <c r="B5" s="20"/>
      <c r="C5" s="20"/>
      <c r="D5" s="9"/>
      <c r="E5" s="9"/>
      <c r="F5" s="9"/>
      <c r="G5" s="9"/>
      <c r="H5" s="280"/>
      <c r="I5" s="9"/>
      <c r="J5" s="9"/>
      <c r="K5" s="9"/>
      <c r="L5" s="86"/>
      <c r="M5" s="9"/>
      <c r="N5" s="9"/>
      <c r="O5" s="9"/>
      <c r="P5" s="9"/>
      <c r="Q5" s="9"/>
      <c r="R5" s="9"/>
      <c r="S5" s="9"/>
      <c r="T5" s="280"/>
      <c r="U5" s="9"/>
      <c r="V5" s="9"/>
      <c r="W5" s="9"/>
      <c r="X5" s="86"/>
      <c r="Y5" s="9"/>
      <c r="Z5" s="9"/>
      <c r="AA5" s="9"/>
      <c r="AB5" s="9"/>
      <c r="AC5" s="9"/>
      <c r="AD5" s="9"/>
      <c r="AE5" s="277"/>
    </row>
    <row r="6" spans="1:32" ht="16.2" thickBot="1">
      <c r="B6" s="42" t="s">
        <v>87</v>
      </c>
      <c r="C6" s="311"/>
      <c r="D6" s="43">
        <v>46387</v>
      </c>
      <c r="E6" s="43">
        <v>46356</v>
      </c>
      <c r="F6" s="43">
        <v>46326</v>
      </c>
      <c r="G6" s="43">
        <v>46295</v>
      </c>
      <c r="H6" s="43">
        <v>46265</v>
      </c>
      <c r="I6" s="43">
        <v>46234</v>
      </c>
      <c r="J6" s="43">
        <v>46203</v>
      </c>
      <c r="K6" s="43">
        <v>46173</v>
      </c>
      <c r="L6" s="43">
        <v>46142</v>
      </c>
      <c r="M6" s="43">
        <v>46112</v>
      </c>
      <c r="N6" s="43">
        <v>46081</v>
      </c>
      <c r="O6" s="43">
        <v>46053</v>
      </c>
      <c r="P6" s="43">
        <v>46022</v>
      </c>
      <c r="Q6" s="43">
        <v>45991</v>
      </c>
      <c r="R6" s="43">
        <v>45961</v>
      </c>
      <c r="S6" s="43">
        <v>45930</v>
      </c>
      <c r="T6" s="43">
        <v>45900</v>
      </c>
      <c r="U6" s="43">
        <v>45869</v>
      </c>
      <c r="V6" s="43">
        <v>45838</v>
      </c>
      <c r="W6" s="43">
        <v>45808</v>
      </c>
      <c r="X6" s="43">
        <v>45777</v>
      </c>
      <c r="Y6" s="43">
        <v>45747</v>
      </c>
      <c r="Z6" s="43">
        <v>45716</v>
      </c>
      <c r="AA6" s="43">
        <v>45688</v>
      </c>
      <c r="AB6" s="32"/>
      <c r="AC6" s="44">
        <v>45291</v>
      </c>
      <c r="AD6" s="43">
        <v>45657</v>
      </c>
    </row>
    <row r="7" spans="1:32" ht="15.6">
      <c r="B7" s="7" t="s">
        <v>622</v>
      </c>
      <c r="C7" s="7"/>
      <c r="D7" s="5"/>
      <c r="E7" s="5"/>
      <c r="F7" s="5"/>
      <c r="G7" s="5"/>
      <c r="H7" s="281"/>
      <c r="I7" s="5"/>
      <c r="J7" s="5"/>
      <c r="K7" s="5"/>
      <c r="L7" s="87"/>
      <c r="M7" s="5"/>
      <c r="N7" s="5"/>
      <c r="O7" s="5"/>
      <c r="P7" s="5"/>
      <c r="Q7" s="5"/>
      <c r="R7" s="5"/>
      <c r="S7" s="5"/>
      <c r="T7" s="281"/>
      <c r="U7" s="5"/>
      <c r="V7" s="5"/>
      <c r="W7" s="5"/>
      <c r="X7" s="87"/>
      <c r="Y7" s="5"/>
      <c r="Z7" s="5"/>
      <c r="AA7" s="5"/>
      <c r="AB7" s="5"/>
      <c r="AC7" s="5"/>
      <c r="AD7" s="5"/>
    </row>
    <row r="8" spans="1:32" ht="16.2" thickBot="1">
      <c r="B8" s="21" t="s">
        <v>88</v>
      </c>
      <c r="C8" s="21"/>
      <c r="D8" s="22"/>
      <c r="E8" s="22"/>
      <c r="F8" s="38"/>
      <c r="G8" s="22"/>
      <c r="H8" s="282"/>
      <c r="I8" s="22"/>
      <c r="J8" s="22"/>
      <c r="K8" s="22"/>
      <c r="L8" s="88"/>
      <c r="M8" s="22"/>
      <c r="N8" s="22"/>
      <c r="O8" s="22"/>
      <c r="P8" s="22"/>
      <c r="Q8" s="22"/>
      <c r="R8" s="38"/>
      <c r="S8" s="22"/>
      <c r="T8" s="282"/>
      <c r="U8" s="22"/>
      <c r="V8" s="22"/>
      <c r="W8" s="22"/>
      <c r="X8" s="88"/>
      <c r="Y8" s="22"/>
      <c r="Z8" s="22"/>
      <c r="AA8" s="22"/>
      <c r="AB8" s="10"/>
      <c r="AC8" s="22"/>
      <c r="AD8" s="22"/>
    </row>
    <row r="9" spans="1:32" ht="15.6">
      <c r="B9" s="9"/>
      <c r="C9" s="9"/>
      <c r="D9" s="23"/>
      <c r="E9" s="23"/>
      <c r="F9" s="23"/>
      <c r="G9" s="23"/>
      <c r="H9" s="283"/>
      <c r="I9" s="23"/>
      <c r="J9" s="23"/>
      <c r="K9" s="23"/>
      <c r="L9" s="89"/>
      <c r="M9" s="23"/>
      <c r="N9" s="23"/>
      <c r="O9" s="23"/>
      <c r="P9" s="23"/>
      <c r="Q9" s="23"/>
      <c r="R9" s="23"/>
      <c r="S9" s="23"/>
      <c r="T9" s="283"/>
      <c r="U9" s="23"/>
      <c r="V9" s="23"/>
      <c r="W9" s="23"/>
      <c r="X9" s="89"/>
      <c r="Y9" s="23"/>
      <c r="Z9" s="23"/>
      <c r="AA9" s="23"/>
      <c r="AB9" s="23"/>
      <c r="AC9" s="24"/>
      <c r="AD9" s="23"/>
    </row>
    <row r="10" spans="1:32" s="69" customFormat="1">
      <c r="A10" s="68"/>
      <c r="B10" s="19" t="s">
        <v>89</v>
      </c>
      <c r="C10" s="19"/>
      <c r="D10" s="84">
        <f>SUM(D11:D30)</f>
        <v>0</v>
      </c>
      <c r="E10" s="84">
        <f>SUM(E11:E30)</f>
        <v>0</v>
      </c>
      <c r="F10" s="84">
        <f>SUM(F11:F30)</f>
        <v>0</v>
      </c>
      <c r="G10" s="84">
        <f>SUM(G11:G30)</f>
        <v>0</v>
      </c>
      <c r="H10" s="48">
        <f>SUM(H11:H30)</f>
        <v>0</v>
      </c>
      <c r="I10" s="84">
        <f>SUM(I11:I31)</f>
        <v>0</v>
      </c>
      <c r="J10" s="84">
        <f>SUM(J11:J31)</f>
        <v>0</v>
      </c>
      <c r="K10" s="84">
        <f>SUM(K11:K30)</f>
        <v>0</v>
      </c>
      <c r="L10" s="48">
        <f>SUM(L11:L29)</f>
        <v>0</v>
      </c>
      <c r="M10" s="48">
        <f>SUM(M11:M29)</f>
        <v>0</v>
      </c>
      <c r="N10" s="84">
        <f>SUM(N11:N30)</f>
        <v>21114591.140000001</v>
      </c>
      <c r="O10" s="84">
        <f>SUM(O11:O30)</f>
        <v>10108436.710000001</v>
      </c>
      <c r="P10" s="84">
        <f t="shared" ref="P10:T10" si="0">SUM(P11:P30)</f>
        <v>5193846.42</v>
      </c>
      <c r="Q10" s="84">
        <f t="shared" si="0"/>
        <v>2433842.88</v>
      </c>
      <c r="R10" s="84">
        <f t="shared" si="0"/>
        <v>8732807.8099999987</v>
      </c>
      <c r="S10" s="84">
        <f t="shared" si="0"/>
        <v>3751151.12</v>
      </c>
      <c r="T10" s="48">
        <f t="shared" si="0"/>
        <v>3703439.8899999997</v>
      </c>
      <c r="U10" s="84">
        <f>SUM(U11:U31)</f>
        <v>2071152.0600000003</v>
      </c>
      <c r="V10" s="84">
        <f>SUM(V11:V31)</f>
        <v>6618299.3399999999</v>
      </c>
      <c r="W10" s="84">
        <f>SUM(W11:W30)</f>
        <v>6035298.9499999993</v>
      </c>
      <c r="X10" s="48">
        <f>SUM(X11:X29)</f>
        <v>6828123.3400000008</v>
      </c>
      <c r="Y10" s="48">
        <f>SUM(Y11:Y29)</f>
        <v>4763461.8400000008</v>
      </c>
      <c r="Z10" s="48">
        <f>SUM(Z11:Z29)</f>
        <v>11306998.52</v>
      </c>
      <c r="AA10" s="109">
        <f>SUM(AA11:AA29)</f>
        <v>5535732.5599999996</v>
      </c>
      <c r="AB10" s="49"/>
      <c r="AC10" s="48">
        <v>3957363.2399999998</v>
      </c>
      <c r="AD10" s="84">
        <f>SUM(AD11:AD29)</f>
        <v>10448734.890000001</v>
      </c>
      <c r="AE10" s="278"/>
    </row>
    <row r="11" spans="1:32" outlineLevel="1">
      <c r="B11" s="16" t="s">
        <v>90</v>
      </c>
      <c r="C11" s="16" t="str">
        <f>B11</f>
        <v>ALINMA BILDNW FEE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>
        <v>0</v>
      </c>
      <c r="O11" s="107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107">
        <v>0</v>
      </c>
      <c r="AB11" s="45"/>
      <c r="AC11" s="45">
        <v>0</v>
      </c>
      <c r="AD11" s="45">
        <v>0</v>
      </c>
      <c r="AF11" s="54"/>
    </row>
    <row r="12" spans="1:32" outlineLevel="1">
      <c r="B12" s="16" t="s">
        <v>91</v>
      </c>
      <c r="C12" s="16" t="str">
        <f t="shared" ref="C12:C30" si="1">B12</f>
        <v>ALINMA BILDNW PROFIT</v>
      </c>
      <c r="D12" s="45"/>
      <c r="E12" s="45"/>
      <c r="F12" s="45"/>
      <c r="G12" s="45"/>
      <c r="H12" s="45"/>
      <c r="I12" s="45"/>
      <c r="J12" s="45"/>
      <c r="K12" s="45"/>
      <c r="L12" s="12"/>
      <c r="M12" s="45"/>
      <c r="N12" s="45">
        <v>0</v>
      </c>
      <c r="O12" s="107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12">
        <v>140074.92000000001</v>
      </c>
      <c r="Y12" s="45">
        <v>140074.92000000001</v>
      </c>
      <c r="Z12" s="45">
        <v>140074.92000000001</v>
      </c>
      <c r="AA12" s="107">
        <v>140103.67000000001</v>
      </c>
      <c r="AB12" s="45"/>
      <c r="AC12" s="45">
        <v>0</v>
      </c>
      <c r="AD12" s="45">
        <v>140103.67000000001</v>
      </c>
      <c r="AF12" s="54"/>
    </row>
    <row r="13" spans="1:32" outlineLevel="1">
      <c r="B13" s="16" t="s">
        <v>92</v>
      </c>
      <c r="C13" s="16" t="str">
        <f t="shared" si="1"/>
        <v>ALINMA CLIENT PROFIT  </v>
      </c>
      <c r="D13" s="45"/>
      <c r="E13" s="45"/>
      <c r="F13" s="45"/>
      <c r="G13" s="45"/>
      <c r="H13" s="45"/>
      <c r="I13" s="45"/>
      <c r="J13" s="45"/>
      <c r="K13" s="45"/>
      <c r="L13" s="12"/>
      <c r="M13" s="45"/>
      <c r="N13" s="45">
        <v>0</v>
      </c>
      <c r="O13" s="107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12">
        <v>135818.26999999999</v>
      </c>
      <c r="Y13" s="45">
        <v>135818.26999999999</v>
      </c>
      <c r="Z13" s="45">
        <v>166814.23000000001</v>
      </c>
      <c r="AA13" s="107">
        <v>166842.98000000001</v>
      </c>
      <c r="AB13" s="45"/>
      <c r="AC13" s="45">
        <v>668024.87</v>
      </c>
      <c r="AD13" s="45">
        <v>166842.98000000001</v>
      </c>
      <c r="AF13" s="54"/>
    </row>
    <row r="14" spans="1:32" outlineLevel="1">
      <c r="B14" s="16" t="s">
        <v>93</v>
      </c>
      <c r="C14" s="16" t="str">
        <f t="shared" si="1"/>
        <v>ALINMA DINAR DEALs PROFIT</v>
      </c>
      <c r="D14" s="45"/>
      <c r="E14" s="45"/>
      <c r="F14" s="45"/>
      <c r="G14" s="45"/>
      <c r="H14" s="45"/>
      <c r="I14" s="45"/>
      <c r="J14" s="45"/>
      <c r="K14" s="45"/>
      <c r="L14" s="12"/>
      <c r="M14" s="45"/>
      <c r="N14" s="45">
        <v>0</v>
      </c>
      <c r="O14" s="107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12">
        <v>91275.6</v>
      </c>
      <c r="Y14" s="45">
        <v>91275.6</v>
      </c>
      <c r="Z14" s="45">
        <v>91275.6</v>
      </c>
      <c r="AA14" s="107">
        <v>26086.959999999999</v>
      </c>
      <c r="AB14" s="45"/>
      <c r="AC14" s="45">
        <v>0</v>
      </c>
      <c r="AD14" s="45">
        <v>30000</v>
      </c>
      <c r="AF14" s="54"/>
    </row>
    <row r="15" spans="1:32" outlineLevel="1">
      <c r="B15" s="16" t="s">
        <v>94</v>
      </c>
      <c r="C15" s="16" t="str">
        <f t="shared" si="1"/>
        <v>ALINMA DINAR DEALs VAT</v>
      </c>
      <c r="D15" s="45"/>
      <c r="E15" s="45"/>
      <c r="F15" s="45"/>
      <c r="G15" s="45"/>
      <c r="H15" s="45"/>
      <c r="I15" s="45"/>
      <c r="J15" s="45"/>
      <c r="K15" s="45"/>
      <c r="L15" s="12"/>
      <c r="M15" s="45"/>
      <c r="N15" s="45">
        <v>0</v>
      </c>
      <c r="O15" s="107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12">
        <v>0</v>
      </c>
      <c r="Y15" s="45">
        <v>0</v>
      </c>
      <c r="Z15" s="45">
        <v>0</v>
      </c>
      <c r="AA15" s="107">
        <v>0</v>
      </c>
      <c r="AB15" s="45"/>
      <c r="AC15" s="45">
        <v>43532.61</v>
      </c>
      <c r="AD15" s="45">
        <v>0</v>
      </c>
      <c r="AF15" s="54"/>
    </row>
    <row r="16" spans="1:32" outlineLevel="1">
      <c r="B16" s="16" t="s">
        <v>95</v>
      </c>
      <c r="C16" s="16" t="str">
        <f t="shared" si="1"/>
        <v>ALINMA EQUITY</v>
      </c>
      <c r="D16" s="45"/>
      <c r="E16" s="45"/>
      <c r="F16" s="45"/>
      <c r="G16" s="45"/>
      <c r="H16" s="45"/>
      <c r="I16" s="45"/>
      <c r="J16" s="45"/>
      <c r="K16" s="45"/>
      <c r="L16" s="12"/>
      <c r="M16" s="45"/>
      <c r="N16" s="45">
        <v>1597648.62</v>
      </c>
      <c r="O16" s="107">
        <v>843035.65</v>
      </c>
      <c r="P16" s="45">
        <v>477588.36</v>
      </c>
      <c r="Q16" s="45">
        <f>276114.21</f>
        <v>276114.21000000002</v>
      </c>
      <c r="R16" s="45">
        <f>272657.47</f>
        <v>272657.46999999997</v>
      </c>
      <c r="S16" s="45">
        <v>447636.35</v>
      </c>
      <c r="T16" s="45">
        <v>27033.82</v>
      </c>
      <c r="U16" s="45">
        <v>260341.61</v>
      </c>
      <c r="V16" s="45">
        <v>243984.07</v>
      </c>
      <c r="W16" s="45">
        <v>427314.42</v>
      </c>
      <c r="X16" s="12">
        <v>269658.08</v>
      </c>
      <c r="Y16" s="45">
        <v>792735.94</v>
      </c>
      <c r="Z16" s="45">
        <v>1482647.46</v>
      </c>
      <c r="AA16" s="107">
        <v>268408.67</v>
      </c>
      <c r="AB16" s="45"/>
      <c r="AC16" s="45">
        <v>767469.48</v>
      </c>
      <c r="AD16" s="45">
        <v>1315636.8600000001</v>
      </c>
      <c r="AF16" s="54"/>
    </row>
    <row r="17" spans="1:33" outlineLevel="1">
      <c r="B17" s="16" t="s">
        <v>96</v>
      </c>
      <c r="C17" s="16" t="str">
        <f t="shared" si="1"/>
        <v>ALINMA USD</v>
      </c>
      <c r="D17" s="45"/>
      <c r="E17" s="45"/>
      <c r="F17" s="45"/>
      <c r="G17" s="45"/>
      <c r="H17" s="45"/>
      <c r="I17" s="45"/>
      <c r="J17" s="45"/>
      <c r="K17" s="45"/>
      <c r="L17" s="12"/>
      <c r="M17" s="45"/>
      <c r="N17" s="45">
        <v>0</v>
      </c>
      <c r="O17" s="107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12">
        <v>0</v>
      </c>
      <c r="Y17" s="45">
        <v>0</v>
      </c>
      <c r="Z17" s="45">
        <v>0</v>
      </c>
      <c r="AA17" s="107">
        <v>0</v>
      </c>
      <c r="AB17" s="45"/>
      <c r="AC17" s="45">
        <v>0.44</v>
      </c>
      <c r="AD17" s="45">
        <v>0</v>
      </c>
      <c r="AF17" s="54"/>
    </row>
    <row r="18" spans="1:33" outlineLevel="1">
      <c r="B18" s="16" t="s">
        <v>97</v>
      </c>
      <c r="C18" s="16" t="str">
        <f t="shared" si="1"/>
        <v>ALINMA VAT</v>
      </c>
      <c r="D18" s="45"/>
      <c r="E18" s="45"/>
      <c r="F18" s="45"/>
      <c r="G18" s="45"/>
      <c r="H18" s="45"/>
      <c r="I18" s="45"/>
      <c r="J18" s="45"/>
      <c r="K18" s="45"/>
      <c r="L18" s="12"/>
      <c r="M18" s="45"/>
      <c r="N18" s="45">
        <v>2680.22</v>
      </c>
      <c r="O18" s="107">
        <v>1850.44</v>
      </c>
      <c r="P18" s="45">
        <v>1850.44</v>
      </c>
      <c r="Q18" s="45">
        <v>1850.44</v>
      </c>
      <c r="R18" s="45">
        <v>1495.53</v>
      </c>
      <c r="S18" s="45">
        <v>13439.92</v>
      </c>
      <c r="T18" s="45">
        <v>11985.57</v>
      </c>
      <c r="U18" s="45">
        <v>75189.77</v>
      </c>
      <c r="V18" s="45">
        <v>73991.63</v>
      </c>
      <c r="W18" s="45">
        <v>1.04</v>
      </c>
      <c r="X18" s="12">
        <v>216190.05</v>
      </c>
      <c r="Y18" s="45">
        <v>210463.42</v>
      </c>
      <c r="Z18" s="45">
        <v>200112.41</v>
      </c>
      <c r="AA18" s="107">
        <v>295015.01</v>
      </c>
      <c r="AB18" s="45"/>
      <c r="AC18" s="45">
        <v>90759.47</v>
      </c>
      <c r="AD18" s="45">
        <v>131821.9</v>
      </c>
      <c r="AF18" s="54"/>
    </row>
    <row r="19" spans="1:33" outlineLevel="1">
      <c r="B19" s="16" t="s">
        <v>98</v>
      </c>
      <c r="C19" s="16" t="str">
        <f t="shared" si="1"/>
        <v>ALINMA-DEBT</v>
      </c>
      <c r="D19" s="45"/>
      <c r="E19" s="45"/>
      <c r="F19" s="45"/>
      <c r="G19" s="45"/>
      <c r="H19" s="45"/>
      <c r="I19" s="45"/>
      <c r="J19" s="45"/>
      <c r="K19" s="45"/>
      <c r="L19" s="12"/>
      <c r="M19" s="45"/>
      <c r="N19" s="45">
        <v>9608915.4299999997</v>
      </c>
      <c r="O19" s="107">
        <v>1845260.8</v>
      </c>
      <c r="P19" s="45">
        <v>324493.81</v>
      </c>
      <c r="Q19" s="45">
        <v>1328664.48</v>
      </c>
      <c r="R19" s="45">
        <v>6295570.3499999996</v>
      </c>
      <c r="S19" s="45">
        <v>2340058.23</v>
      </c>
      <c r="T19" s="45">
        <v>3289226.9</v>
      </c>
      <c r="U19" s="45">
        <v>1660211.74</v>
      </c>
      <c r="V19" s="45">
        <v>6201976.1399999997</v>
      </c>
      <c r="W19" s="45">
        <v>4513496.8899999997</v>
      </c>
      <c r="X19" s="12">
        <v>5896394.2599999998</v>
      </c>
      <c r="Y19" s="45">
        <v>3318463.39</v>
      </c>
      <c r="Z19" s="45">
        <v>9175560.5999999996</v>
      </c>
      <c r="AA19" s="107">
        <v>4576535.8499999996</v>
      </c>
      <c r="AB19" s="45"/>
      <c r="AC19" s="45">
        <v>2381669.2599999998</v>
      </c>
      <c r="AD19" s="45">
        <v>8593232.0800000001</v>
      </c>
      <c r="AF19" s="54"/>
      <c r="AG19" s="2"/>
    </row>
    <row r="20" spans="1:33" outlineLevel="1">
      <c r="B20" s="16" t="s">
        <v>99</v>
      </c>
      <c r="C20" s="16" t="str">
        <f t="shared" si="1"/>
        <v>ANB-BILDNW TRADINGCOMPANY</v>
      </c>
      <c r="D20" s="45"/>
      <c r="E20" s="45"/>
      <c r="F20" s="45"/>
      <c r="G20" s="45"/>
      <c r="H20" s="45"/>
      <c r="I20" s="45"/>
      <c r="J20" s="45"/>
      <c r="K20" s="45"/>
      <c r="L20" s="12"/>
      <c r="M20" s="45"/>
      <c r="N20" s="45">
        <v>706</v>
      </c>
      <c r="O20" s="107">
        <v>706</v>
      </c>
      <c r="P20" s="45">
        <v>706</v>
      </c>
      <c r="Q20" s="45">
        <v>706</v>
      </c>
      <c r="R20" s="45">
        <v>706</v>
      </c>
      <c r="S20" s="45">
        <v>706</v>
      </c>
      <c r="T20" s="45">
        <v>706</v>
      </c>
      <c r="U20" s="45">
        <v>706</v>
      </c>
      <c r="V20" s="45">
        <v>706</v>
      </c>
      <c r="W20" s="45">
        <v>706</v>
      </c>
      <c r="X20" s="12">
        <v>706</v>
      </c>
      <c r="Y20" s="45">
        <v>706</v>
      </c>
      <c r="Z20" s="45">
        <v>706</v>
      </c>
      <c r="AA20" s="107">
        <v>106</v>
      </c>
      <c r="AB20" s="45"/>
      <c r="AC20" s="45">
        <v>100.8</v>
      </c>
      <c r="AD20" s="45">
        <v>6</v>
      </c>
      <c r="AF20" s="54"/>
      <c r="AG20" s="2"/>
    </row>
    <row r="21" spans="1:33" outlineLevel="1">
      <c r="B21" s="16" t="s">
        <v>100</v>
      </c>
      <c r="C21" s="16" t="str">
        <f t="shared" si="1"/>
        <v>Riyadh Bank</v>
      </c>
      <c r="D21" s="45"/>
      <c r="E21" s="45"/>
      <c r="F21" s="45"/>
      <c r="G21" s="45"/>
      <c r="H21" s="45"/>
      <c r="I21" s="45"/>
      <c r="J21" s="45"/>
      <c r="K21" s="45"/>
      <c r="L21" s="12"/>
      <c r="M21" s="45"/>
      <c r="N21" s="45">
        <v>130.47999999999999</v>
      </c>
      <c r="O21" s="107">
        <v>130.47999999999999</v>
      </c>
      <c r="P21" s="45">
        <v>130.47999999999999</v>
      </c>
      <c r="Q21" s="45">
        <v>130.47999999999999</v>
      </c>
      <c r="R21" s="45">
        <v>130.47999999999999</v>
      </c>
      <c r="S21" s="45">
        <v>130.47999999999999</v>
      </c>
      <c r="T21" s="45">
        <v>130.47999999999999</v>
      </c>
      <c r="U21" s="45">
        <v>130.47999999999999</v>
      </c>
      <c r="V21" s="45">
        <v>130.47999999999999</v>
      </c>
      <c r="W21" s="45">
        <v>130.47999999999999</v>
      </c>
      <c r="X21" s="12">
        <v>130.47999999999999</v>
      </c>
      <c r="Y21" s="45">
        <v>130.47999999999999</v>
      </c>
      <c r="Z21" s="45">
        <v>130.47999999999999</v>
      </c>
      <c r="AA21" s="107">
        <v>130.47999999999999</v>
      </c>
      <c r="AB21" s="45"/>
      <c r="AC21" s="45">
        <v>6.31</v>
      </c>
      <c r="AD21" s="45">
        <v>30.48</v>
      </c>
      <c r="AF21" s="54"/>
      <c r="AG21" s="2"/>
    </row>
    <row r="22" spans="1:33" outlineLevel="1">
      <c r="B22" s="16" t="s">
        <v>610</v>
      </c>
      <c r="C22" s="16" t="str">
        <f t="shared" si="1"/>
        <v>Saudi Awwal Bank (SAB)-5001</v>
      </c>
      <c r="D22" s="45"/>
      <c r="E22" s="45"/>
      <c r="F22" s="45"/>
      <c r="G22" s="45"/>
      <c r="H22" s="45"/>
      <c r="I22" s="45"/>
      <c r="J22" s="45"/>
      <c r="K22" s="45"/>
      <c r="L22" s="12"/>
      <c r="M22" s="45"/>
      <c r="N22" s="45">
        <v>9333530.5899999999</v>
      </c>
      <c r="O22" s="107">
        <v>6837833.1900000004</v>
      </c>
      <c r="P22" s="45">
        <v>161737.04</v>
      </c>
      <c r="Q22" s="45">
        <v>642122.4</v>
      </c>
      <c r="R22" s="45">
        <v>2001328.52</v>
      </c>
      <c r="S22" s="45">
        <v>749992.23</v>
      </c>
      <c r="T22" s="45">
        <v>100</v>
      </c>
      <c r="U22" s="45">
        <v>100</v>
      </c>
      <c r="V22" s="45">
        <v>100</v>
      </c>
      <c r="W22" s="45"/>
      <c r="X22" s="12"/>
      <c r="Y22" s="45"/>
      <c r="Z22" s="45"/>
      <c r="AA22" s="107"/>
      <c r="AB22" s="45"/>
      <c r="AC22" s="45"/>
      <c r="AD22" s="45"/>
      <c r="AF22" s="54"/>
      <c r="AG22" s="2"/>
    </row>
    <row r="23" spans="1:33" outlineLevel="1">
      <c r="B23" s="16" t="s">
        <v>611</v>
      </c>
      <c r="C23" s="16" t="str">
        <f t="shared" si="1"/>
        <v>Saudi Awwal Bank (SAB)-5002</v>
      </c>
      <c r="D23" s="45"/>
      <c r="E23" s="45"/>
      <c r="F23" s="45"/>
      <c r="G23" s="45"/>
      <c r="H23" s="45"/>
      <c r="I23" s="45"/>
      <c r="J23" s="45"/>
      <c r="K23" s="45"/>
      <c r="L23" s="12"/>
      <c r="M23" s="45"/>
      <c r="N23" s="45">
        <v>449991.95</v>
      </c>
      <c r="O23" s="107">
        <v>449991.95</v>
      </c>
      <c r="P23" s="45">
        <v>2250000</v>
      </c>
      <c r="Q23" s="45"/>
      <c r="R23" s="45"/>
      <c r="S23" s="45"/>
      <c r="T23" s="45"/>
      <c r="U23" s="45"/>
      <c r="V23" s="45"/>
      <c r="W23" s="45"/>
      <c r="X23" s="12"/>
      <c r="Y23" s="45"/>
      <c r="Z23" s="45"/>
      <c r="AA23" s="107"/>
      <c r="AB23" s="45"/>
      <c r="AC23" s="45"/>
      <c r="AD23" s="45"/>
      <c r="AF23" s="54"/>
      <c r="AG23" s="2"/>
    </row>
    <row r="24" spans="1:33" outlineLevel="1">
      <c r="B24" s="16" t="s">
        <v>101</v>
      </c>
      <c r="C24" s="16" t="str">
        <f t="shared" si="1"/>
        <v>US Checking Account</v>
      </c>
      <c r="D24" s="45"/>
      <c r="E24" s="45"/>
      <c r="F24" s="45"/>
      <c r="G24" s="45"/>
      <c r="H24" s="45"/>
      <c r="I24" s="45"/>
      <c r="J24" s="45"/>
      <c r="K24" s="45"/>
      <c r="L24" s="12"/>
      <c r="M24" s="45"/>
      <c r="N24" s="45">
        <v>0</v>
      </c>
      <c r="O24" s="107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12">
        <v>0</v>
      </c>
      <c r="Y24" s="45">
        <v>0</v>
      </c>
      <c r="Z24" s="45">
        <v>0</v>
      </c>
      <c r="AA24" s="107">
        <v>0</v>
      </c>
      <c r="AB24" s="45"/>
      <c r="AC24" s="45"/>
      <c r="AD24" s="45">
        <v>0</v>
      </c>
      <c r="AF24" s="54"/>
      <c r="AG24" s="2"/>
    </row>
    <row r="25" spans="1:33" outlineLevel="1">
      <c r="B25" s="16" t="s">
        <v>102</v>
      </c>
      <c r="C25" s="16" t="str">
        <f t="shared" si="1"/>
        <v>anb - Tanmeya Debt Acct</v>
      </c>
      <c r="D25" s="45"/>
      <c r="E25" s="45"/>
      <c r="F25" s="45"/>
      <c r="G25" s="45"/>
      <c r="H25" s="45"/>
      <c r="I25" s="45"/>
      <c r="J25" s="45"/>
      <c r="K25" s="45"/>
      <c r="L25" s="12"/>
      <c r="M25" s="45"/>
      <c r="N25" s="45">
        <v>37094.800000000003</v>
      </c>
      <c r="O25" s="107">
        <v>37094.800000000003</v>
      </c>
      <c r="P25" s="45">
        <v>37094.800000000003</v>
      </c>
      <c r="Q25" s="45">
        <v>37094.800000000003</v>
      </c>
      <c r="R25" s="45">
        <v>37094.800000000003</v>
      </c>
      <c r="S25" s="45">
        <v>37094.800000000003</v>
      </c>
      <c r="T25" s="45">
        <v>37094.800000000003</v>
      </c>
      <c r="U25" s="45">
        <v>37094.800000000003</v>
      </c>
      <c r="V25" s="45">
        <v>37094.800000000003</v>
      </c>
      <c r="W25" s="45">
        <v>37094.800000000003</v>
      </c>
      <c r="X25" s="12">
        <v>37094.800000000003</v>
      </c>
      <c r="Y25" s="45">
        <v>37094.800000000003</v>
      </c>
      <c r="Z25" s="45">
        <v>37094.800000000003</v>
      </c>
      <c r="AA25" s="107">
        <v>37094.800000000003</v>
      </c>
      <c r="AB25" s="45"/>
      <c r="AC25" s="45"/>
      <c r="AD25" s="45">
        <v>37094.800000000003</v>
      </c>
      <c r="AF25" s="54"/>
      <c r="AG25" s="2"/>
    </row>
    <row r="26" spans="1:33" outlineLevel="1">
      <c r="B26" s="16" t="s">
        <v>103</v>
      </c>
      <c r="C26" s="16" t="str">
        <f t="shared" si="1"/>
        <v>Simplifi</v>
      </c>
      <c r="D26" s="45"/>
      <c r="E26" s="45"/>
      <c r="F26" s="45"/>
      <c r="G26" s="45"/>
      <c r="H26" s="45"/>
      <c r="I26" s="45"/>
      <c r="J26" s="45"/>
      <c r="K26" s="45"/>
      <c r="L26" s="12"/>
      <c r="M26" s="45"/>
      <c r="N26" s="45">
        <v>7822.62</v>
      </c>
      <c r="O26" s="107">
        <v>7822.62</v>
      </c>
      <c r="P26" s="45">
        <v>7822.62</v>
      </c>
      <c r="Q26" s="45">
        <v>7822.62</v>
      </c>
      <c r="R26" s="45">
        <v>7822.62</v>
      </c>
      <c r="S26" s="45">
        <v>7822.62</v>
      </c>
      <c r="T26" s="45">
        <v>7822.62</v>
      </c>
      <c r="U26" s="45">
        <v>7822.62</v>
      </c>
      <c r="V26" s="45">
        <v>7822.62</v>
      </c>
      <c r="W26" s="45">
        <v>7822.62</v>
      </c>
      <c r="X26" s="12">
        <v>7822.62</v>
      </c>
      <c r="Y26" s="45">
        <v>7822.62</v>
      </c>
      <c r="Z26" s="45">
        <v>7822.62</v>
      </c>
      <c r="AA26" s="107">
        <v>7822.62</v>
      </c>
      <c r="AB26" s="45"/>
      <c r="AC26" s="45"/>
      <c r="AD26" s="45">
        <v>7822.62</v>
      </c>
      <c r="AF26" s="54"/>
      <c r="AG26" s="2"/>
    </row>
    <row r="27" spans="1:33" outlineLevel="1">
      <c r="B27" s="16" t="s">
        <v>104</v>
      </c>
      <c r="C27" s="16" t="str">
        <f t="shared" si="1"/>
        <v>SiFi Wallet</v>
      </c>
      <c r="D27" s="45"/>
      <c r="E27" s="45"/>
      <c r="F27" s="45"/>
      <c r="G27" s="45"/>
      <c r="H27" s="45"/>
      <c r="I27" s="45"/>
      <c r="J27" s="45"/>
      <c r="K27" s="45"/>
      <c r="L27" s="12"/>
      <c r="M27" s="45"/>
      <c r="N27" s="45">
        <v>-3233.66</v>
      </c>
      <c r="O27" s="107">
        <v>5088.47</v>
      </c>
      <c r="P27" s="45">
        <v>19073.71</v>
      </c>
      <c r="Q27" s="45">
        <v>22604.65</v>
      </c>
      <c r="R27" s="45">
        <v>13409.11</v>
      </c>
      <c r="S27" s="45">
        <v>22387.23</v>
      </c>
      <c r="T27" s="45">
        <v>15814.78</v>
      </c>
      <c r="U27" s="45">
        <v>20975.45</v>
      </c>
      <c r="V27" s="45">
        <v>41534</v>
      </c>
      <c r="W27" s="45">
        <v>37494.58</v>
      </c>
      <c r="X27" s="12">
        <v>31308.32</v>
      </c>
      <c r="Y27" s="45">
        <v>25000</v>
      </c>
      <c r="Z27" s="45"/>
      <c r="AA27" s="107"/>
      <c r="AB27" s="45"/>
      <c r="AC27" s="45"/>
      <c r="AD27" s="45"/>
      <c r="AF27" s="54"/>
      <c r="AG27" s="2"/>
    </row>
    <row r="28" spans="1:33" outlineLevel="1">
      <c r="B28" s="16" t="s">
        <v>595</v>
      </c>
      <c r="C28" s="16" t="str">
        <f t="shared" si="1"/>
        <v>Sinking Fund Account</v>
      </c>
      <c r="D28" s="45"/>
      <c r="E28" s="45"/>
      <c r="F28" s="45"/>
      <c r="G28" s="45"/>
      <c r="H28" s="45"/>
      <c r="I28" s="45"/>
      <c r="J28" s="45"/>
      <c r="K28" s="45"/>
      <c r="L28" s="12"/>
      <c r="M28" s="45"/>
      <c r="N28" s="45">
        <v>104755.43</v>
      </c>
      <c r="O28" s="107">
        <v>104755.43</v>
      </c>
      <c r="P28" s="45">
        <v>104755.43</v>
      </c>
      <c r="Q28" s="45">
        <v>104755.43</v>
      </c>
      <c r="R28" s="45">
        <v>104755.43</v>
      </c>
      <c r="S28" s="45">
        <v>104755.43</v>
      </c>
      <c r="T28" s="45">
        <v>276809.23</v>
      </c>
      <c r="U28" s="45"/>
      <c r="V28" s="45"/>
      <c r="W28" s="45"/>
      <c r="X28" s="12"/>
      <c r="Y28" s="45"/>
      <c r="Z28" s="45"/>
      <c r="AA28" s="107"/>
      <c r="AB28" s="45"/>
      <c r="AC28" s="45"/>
      <c r="AD28" s="45"/>
      <c r="AF28" s="54"/>
      <c r="AG28" s="2"/>
    </row>
    <row r="29" spans="1:33" outlineLevel="1">
      <c r="B29" s="16" t="s">
        <v>105</v>
      </c>
      <c r="C29" s="16" t="str">
        <f t="shared" si="1"/>
        <v>Petty Cash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>
        <v>10841.71</v>
      </c>
      <c r="O29" s="107">
        <v>11186.71</v>
      </c>
      <c r="P29" s="45">
        <v>17506.71</v>
      </c>
      <c r="Q29" s="45">
        <v>20969.21</v>
      </c>
      <c r="R29" s="45">
        <v>6863.71</v>
      </c>
      <c r="S29" s="45">
        <v>36154.71</v>
      </c>
      <c r="T29" s="45">
        <v>36715.69</v>
      </c>
      <c r="U29" s="45">
        <v>8579.6</v>
      </c>
      <c r="V29" s="45">
        <v>10959.6</v>
      </c>
      <c r="W29" s="45">
        <v>2491.77</v>
      </c>
      <c r="X29" s="45">
        <v>1649.94</v>
      </c>
      <c r="Y29" s="45">
        <v>3876.4</v>
      </c>
      <c r="Z29" s="45">
        <v>4759.3999999999996</v>
      </c>
      <c r="AA29" s="107">
        <v>17585.52</v>
      </c>
      <c r="AB29" s="45"/>
      <c r="AC29" s="45">
        <v>5800</v>
      </c>
      <c r="AD29" s="45">
        <v>26143.5</v>
      </c>
      <c r="AF29" s="54"/>
      <c r="AG29" s="2"/>
    </row>
    <row r="30" spans="1:33" outlineLevel="1">
      <c r="B30" s="16" t="s">
        <v>106</v>
      </c>
      <c r="C30" s="16" t="str">
        <f t="shared" si="1"/>
        <v>Control/ Adjustment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>
        <v>-36293.050000000003</v>
      </c>
      <c r="O30" s="107">
        <v>-36319.83</v>
      </c>
      <c r="P30" s="45">
        <v>1791087.02</v>
      </c>
      <c r="Q30" s="45">
        <v>-8991.84</v>
      </c>
      <c r="R30" s="45">
        <v>-9026.2099999999991</v>
      </c>
      <c r="S30" s="45">
        <v>-9026.8799999999992</v>
      </c>
      <c r="T30" s="45">
        <v>0</v>
      </c>
      <c r="U30" s="45">
        <v>-0.01</v>
      </c>
      <c r="V30" s="45">
        <v>0</v>
      </c>
      <c r="W30" s="45">
        <v>1008746.35</v>
      </c>
      <c r="X30" s="45"/>
      <c r="Y30" s="45"/>
      <c r="Z30" s="45"/>
      <c r="AA30" s="107"/>
      <c r="AB30" s="45"/>
      <c r="AC30" s="45"/>
      <c r="AD30" s="45"/>
      <c r="AF30" s="54"/>
      <c r="AG30" s="2"/>
    </row>
    <row r="31" spans="1:33" ht="15">
      <c r="B31" s="25"/>
      <c r="C31" s="2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108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108"/>
      <c r="AB31" s="46"/>
      <c r="AC31" s="46"/>
      <c r="AD31" s="46"/>
    </row>
    <row r="32" spans="1:33" s="69" customFormat="1">
      <c r="A32" s="68"/>
      <c r="B32" s="19" t="s">
        <v>107</v>
      </c>
      <c r="C32" s="19"/>
      <c r="D32" s="48">
        <f t="shared" ref="D32" si="2">SUM(D33:D34)</f>
        <v>0</v>
      </c>
      <c r="E32" s="48">
        <f>SUM(E33:E34)</f>
        <v>0</v>
      </c>
      <c r="F32" s="48">
        <f t="shared" ref="F32:G32" si="3">SUM(F33:F34)</f>
        <v>0</v>
      </c>
      <c r="G32" s="48">
        <f t="shared" si="3"/>
        <v>0</v>
      </c>
      <c r="H32" s="48">
        <f>SUM(H33:H34)</f>
        <v>0</v>
      </c>
      <c r="I32" s="48">
        <f>SUM(I33:I34)</f>
        <v>0</v>
      </c>
      <c r="J32" s="48">
        <f t="shared" ref="J32:N32" si="4">SUM(J33:J34)</f>
        <v>0</v>
      </c>
      <c r="K32" s="48">
        <f t="shared" si="4"/>
        <v>0</v>
      </c>
      <c r="L32" s="48">
        <f t="shared" si="4"/>
        <v>0</v>
      </c>
      <c r="M32" s="48">
        <f t="shared" si="4"/>
        <v>0</v>
      </c>
      <c r="N32" s="48">
        <f t="shared" si="4"/>
        <v>79691886.25</v>
      </c>
      <c r="O32" s="48">
        <f>SUM(O33:O34)</f>
        <v>78024030.260000005</v>
      </c>
      <c r="P32" s="48">
        <f t="shared" ref="P32:S32" si="5">SUM(P33:P34)</f>
        <v>73055219.459999993</v>
      </c>
      <c r="Q32" s="48">
        <f>SUM(Q33:Q34)</f>
        <v>66956065.279999994</v>
      </c>
      <c r="R32" s="48">
        <f t="shared" si="5"/>
        <v>60022332.039999999</v>
      </c>
      <c r="S32" s="48">
        <f t="shared" si="5"/>
        <v>57483398.909999996</v>
      </c>
      <c r="T32" s="48">
        <f>SUM(T33:T34)</f>
        <v>58928423.469999999</v>
      </c>
      <c r="U32" s="48">
        <f>SUM(U33:U34)</f>
        <v>61930297.699999996</v>
      </c>
      <c r="V32" s="48">
        <f t="shared" ref="V32:AA32" si="6">SUM(V33:V34)</f>
        <v>53435255.939999998</v>
      </c>
      <c r="W32" s="48">
        <f t="shared" si="6"/>
        <v>54529562.920000002</v>
      </c>
      <c r="X32" s="48">
        <f t="shared" si="6"/>
        <v>54439068.18</v>
      </c>
      <c r="Y32" s="48">
        <f t="shared" si="6"/>
        <v>55612240.43</v>
      </c>
      <c r="Z32" s="48">
        <f t="shared" si="6"/>
        <v>48475745.350000001</v>
      </c>
      <c r="AA32" s="109">
        <f t="shared" si="6"/>
        <v>41571832.979999997</v>
      </c>
      <c r="AB32" s="49"/>
      <c r="AC32" s="48">
        <v>25749559.989999998</v>
      </c>
      <c r="AD32" s="48">
        <f>SUM(AD33:AD34)</f>
        <v>39178410.07</v>
      </c>
      <c r="AE32" s="31"/>
    </row>
    <row r="33" spans="1:32" outlineLevel="1">
      <c r="B33" s="16" t="s">
        <v>108</v>
      </c>
      <c r="C33" s="16" t="s">
        <v>554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>
        <v>80843930.5</v>
      </c>
      <c r="O33" s="107">
        <v>79176074.510000005</v>
      </c>
      <c r="P33" s="45">
        <v>74207263.709999993</v>
      </c>
      <c r="Q33" s="45">
        <v>67634652.909999996</v>
      </c>
      <c r="R33" s="45">
        <v>60700919.670000002</v>
      </c>
      <c r="S33" s="45">
        <v>58161986.539999999</v>
      </c>
      <c r="T33" s="45">
        <v>60295259.5</v>
      </c>
      <c r="U33" s="45">
        <v>63272133.729999997</v>
      </c>
      <c r="V33" s="45">
        <v>53991264.939999998</v>
      </c>
      <c r="W33" s="45">
        <v>55060571.920000002</v>
      </c>
      <c r="X33" s="45">
        <v>54945077.18</v>
      </c>
      <c r="Y33" s="45">
        <v>56093249.43</v>
      </c>
      <c r="Z33" s="45">
        <v>48931754.350000001</v>
      </c>
      <c r="AA33" s="107">
        <v>42002841.979999997</v>
      </c>
      <c r="AB33" s="45"/>
      <c r="AC33" s="45">
        <v>25749559.989999998</v>
      </c>
      <c r="AD33" s="45">
        <v>39584419.07</v>
      </c>
      <c r="AF33" s="54"/>
    </row>
    <row r="34" spans="1:32" outlineLevel="1">
      <c r="B34" s="16" t="s">
        <v>109</v>
      </c>
      <c r="C34" s="16" t="s">
        <v>618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>
        <v>-1152044.25</v>
      </c>
      <c r="O34" s="107">
        <v>-1152044.25</v>
      </c>
      <c r="P34" s="45">
        <v>-1152044.25</v>
      </c>
      <c r="Q34" s="45">
        <v>-678587.63</v>
      </c>
      <c r="R34" s="45">
        <v>-678587.63</v>
      </c>
      <c r="S34" s="45">
        <v>-678587.63</v>
      </c>
      <c r="T34" s="45">
        <v>-1366836.03</v>
      </c>
      <c r="U34" s="45">
        <v>-1341836.03</v>
      </c>
      <c r="V34" s="45">
        <v>-556009</v>
      </c>
      <c r="W34" s="45">
        <v>-531009</v>
      </c>
      <c r="X34" s="45">
        <f>506009*(-1)</f>
        <v>-506009</v>
      </c>
      <c r="Y34" s="45">
        <f>481009*(-1)</f>
        <v>-481009</v>
      </c>
      <c r="Z34" s="45">
        <f>456009*(-1)</f>
        <v>-456009</v>
      </c>
      <c r="AA34" s="107">
        <f>431009*(-1)</f>
        <v>-431009</v>
      </c>
      <c r="AB34" s="45"/>
      <c r="AC34" s="45">
        <v>0</v>
      </c>
      <c r="AD34" s="45">
        <v>-406009</v>
      </c>
      <c r="AF34" s="54"/>
    </row>
    <row r="35" spans="1:32" ht="15">
      <c r="B35" s="25"/>
      <c r="C35" s="25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108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108"/>
      <c r="AB35" s="46"/>
      <c r="AC35" s="46"/>
      <c r="AD35" s="46"/>
    </row>
    <row r="36" spans="1:32" s="69" customFormat="1">
      <c r="A36" s="68"/>
      <c r="B36" s="19" t="s">
        <v>110</v>
      </c>
      <c r="C36" s="19"/>
      <c r="D36" s="48">
        <f t="shared" ref="D36:L36" si="7">SUM(D37:D52)</f>
        <v>0</v>
      </c>
      <c r="E36" s="48">
        <f t="shared" si="7"/>
        <v>0</v>
      </c>
      <c r="F36" s="48">
        <f t="shared" si="7"/>
        <v>0</v>
      </c>
      <c r="G36" s="48">
        <f t="shared" si="7"/>
        <v>0</v>
      </c>
      <c r="H36" s="48">
        <f t="shared" si="7"/>
        <v>0</v>
      </c>
      <c r="I36" s="48">
        <f t="shared" si="7"/>
        <v>0</v>
      </c>
      <c r="J36" s="48">
        <f t="shared" si="7"/>
        <v>0</v>
      </c>
      <c r="K36" s="48">
        <f t="shared" si="7"/>
        <v>0</v>
      </c>
      <c r="L36" s="246">
        <f t="shared" si="7"/>
        <v>0</v>
      </c>
      <c r="M36" s="246">
        <f>SUM(M37:M53)</f>
        <v>0</v>
      </c>
      <c r="N36" s="48">
        <f t="shared" ref="N36:X36" si="8">SUM(N37:N52)</f>
        <v>19015730.359999999</v>
      </c>
      <c r="O36" s="48">
        <f t="shared" si="8"/>
        <v>14043474.710000001</v>
      </c>
      <c r="P36" s="48">
        <f t="shared" si="8"/>
        <v>16759490.000000002</v>
      </c>
      <c r="Q36" s="48">
        <f t="shared" si="8"/>
        <v>13478509.1</v>
      </c>
      <c r="R36" s="48">
        <f t="shared" si="8"/>
        <v>12698551.4</v>
      </c>
      <c r="S36" s="48">
        <f t="shared" si="8"/>
        <v>12990816.320000002</v>
      </c>
      <c r="T36" s="48">
        <f t="shared" si="8"/>
        <v>9109504.120000001</v>
      </c>
      <c r="U36" s="48">
        <f t="shared" si="8"/>
        <v>8959889.7800000012</v>
      </c>
      <c r="V36" s="48">
        <f t="shared" si="8"/>
        <v>7932602.7999999998</v>
      </c>
      <c r="W36" s="48">
        <f t="shared" si="8"/>
        <v>5044140.8</v>
      </c>
      <c r="X36" s="246">
        <f t="shared" si="8"/>
        <v>3623673.8399999994</v>
      </c>
      <c r="Y36" s="246">
        <f>SUM(Y37:Y53)</f>
        <v>1466553.8199999998</v>
      </c>
      <c r="Z36" s="246">
        <f>SUM(Z37:Z53)</f>
        <v>1750361.7400000002</v>
      </c>
      <c r="AA36" s="48">
        <f>SUM(AA37:AA53)</f>
        <v>3197061.08</v>
      </c>
      <c r="AB36" s="49"/>
      <c r="AC36" s="48">
        <v>288133.90999999997</v>
      </c>
      <c r="AD36" s="48">
        <f>SUM(AD37:AD53)</f>
        <v>1263663.57</v>
      </c>
      <c r="AE36" s="31"/>
    </row>
    <row r="37" spans="1:32" outlineLevel="1">
      <c r="A37" s="26"/>
      <c r="B37" s="16" t="s">
        <v>111</v>
      </c>
      <c r="C37" s="16" t="s">
        <v>558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>
        <v>15925680.289999999</v>
      </c>
      <c r="O37" s="107">
        <v>12539611.380000001</v>
      </c>
      <c r="P37" s="45">
        <v>12629040.02</v>
      </c>
      <c r="Q37" s="45">
        <v>11912368.699999999</v>
      </c>
      <c r="R37" s="45">
        <v>11075859.24</v>
      </c>
      <c r="S37" s="45">
        <v>11332315.9</v>
      </c>
      <c r="T37" s="45">
        <v>7411466.8600000003</v>
      </c>
      <c r="U37" s="45">
        <v>7284763.8399999999</v>
      </c>
      <c r="V37" s="45">
        <v>6372603.1100000003</v>
      </c>
      <c r="W37" s="45">
        <v>3515144.34</v>
      </c>
      <c r="X37" s="45">
        <v>2040088.94</v>
      </c>
      <c r="Y37" s="45">
        <v>0</v>
      </c>
      <c r="Z37" s="45">
        <v>0</v>
      </c>
      <c r="AA37" s="107">
        <v>0</v>
      </c>
      <c r="AB37" s="45"/>
      <c r="AC37" s="45">
        <v>-8.0500000000000007</v>
      </c>
      <c r="AD37" s="45">
        <v>0</v>
      </c>
      <c r="AF37" s="54"/>
    </row>
    <row r="38" spans="1:32" outlineLevel="1">
      <c r="A38" s="26"/>
      <c r="B38" s="16" t="s">
        <v>112</v>
      </c>
      <c r="C38" s="16" t="str">
        <f t="shared" ref="C38:C45" si="9">B38</f>
        <v>Prepaid Accommodation Rent Expense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>
        <v>10416.67</v>
      </c>
      <c r="O38" s="107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10666.69</v>
      </c>
      <c r="V38" s="45">
        <v>12800.02</v>
      </c>
      <c r="W38" s="45">
        <v>2133.35</v>
      </c>
      <c r="X38" s="45">
        <v>4266.68</v>
      </c>
      <c r="Y38" s="45">
        <v>6400.01</v>
      </c>
      <c r="Z38" s="45">
        <v>8533.34</v>
      </c>
      <c r="AA38" s="107">
        <v>10666.67</v>
      </c>
      <c r="AB38" s="45"/>
      <c r="AC38" s="45"/>
      <c r="AD38" s="45">
        <v>0</v>
      </c>
      <c r="AF38" s="54"/>
    </row>
    <row r="39" spans="1:32" outlineLevel="1">
      <c r="A39" s="26"/>
      <c r="B39" s="16" t="s">
        <v>113</v>
      </c>
      <c r="C39" s="16" t="str">
        <f t="shared" si="9"/>
        <v>Prepaid Financing Expense</v>
      </c>
      <c r="D39" s="45"/>
      <c r="E39" s="45"/>
      <c r="F39" s="12"/>
      <c r="G39" s="45"/>
      <c r="H39" s="45"/>
      <c r="I39" s="45"/>
      <c r="J39" s="45"/>
      <c r="K39" s="45"/>
      <c r="L39" s="45"/>
      <c r="M39" s="45"/>
      <c r="N39" s="45">
        <v>18888.91</v>
      </c>
      <c r="O39" s="107">
        <v>20000.02</v>
      </c>
      <c r="P39" s="45">
        <v>21111.13</v>
      </c>
      <c r="Q39" s="45">
        <v>22222.240000000002</v>
      </c>
      <c r="R39" s="12">
        <v>23333.35</v>
      </c>
      <c r="S39" s="45">
        <v>24444.46</v>
      </c>
      <c r="T39" s="45">
        <v>25555.57</v>
      </c>
      <c r="U39" s="45">
        <v>26666.68</v>
      </c>
      <c r="V39" s="45">
        <v>27777.79</v>
      </c>
      <c r="W39" s="45">
        <v>28888.9</v>
      </c>
      <c r="X39" s="45">
        <v>30000.01</v>
      </c>
      <c r="Y39" s="45">
        <v>31111.119999999999</v>
      </c>
      <c r="Z39" s="45">
        <v>32222.23</v>
      </c>
      <c r="AA39" s="107">
        <v>33333.339999999997</v>
      </c>
      <c r="AB39" s="45"/>
      <c r="AC39" s="45"/>
      <c r="AD39" s="45">
        <v>34444.449999999997</v>
      </c>
      <c r="AF39" s="54"/>
    </row>
    <row r="40" spans="1:32" outlineLevel="1">
      <c r="A40" s="26"/>
      <c r="B40" s="16" t="s">
        <v>114</v>
      </c>
      <c r="C40" s="16" t="str">
        <f t="shared" si="9"/>
        <v>Prepaid Govt. Legal Expense</v>
      </c>
      <c r="D40" s="45"/>
      <c r="E40" s="45"/>
      <c r="F40" s="12"/>
      <c r="G40" s="45"/>
      <c r="H40" s="45"/>
      <c r="I40" s="45"/>
      <c r="J40" s="45"/>
      <c r="K40" s="45"/>
      <c r="L40" s="45"/>
      <c r="M40" s="45"/>
      <c r="N40" s="45">
        <v>9110.02</v>
      </c>
      <c r="O40" s="107">
        <v>16878.349999999999</v>
      </c>
      <c r="P40" s="45">
        <v>24646.68</v>
      </c>
      <c r="Q40" s="45">
        <v>4915.01</v>
      </c>
      <c r="R40" s="12">
        <v>7683.34</v>
      </c>
      <c r="S40" s="45">
        <v>10451.67</v>
      </c>
      <c r="T40" s="45">
        <v>10000</v>
      </c>
      <c r="U40" s="45">
        <v>12500</v>
      </c>
      <c r="V40" s="45">
        <v>0</v>
      </c>
      <c r="W40" s="45">
        <v>5416.65</v>
      </c>
      <c r="X40" s="45">
        <v>10833.32</v>
      </c>
      <c r="Y40" s="45">
        <v>16249.99</v>
      </c>
      <c r="Z40" s="45">
        <v>21666.66</v>
      </c>
      <c r="AA40" s="107">
        <v>27083.33</v>
      </c>
      <c r="AB40" s="45"/>
      <c r="AC40" s="45"/>
      <c r="AD40" s="45">
        <v>32500</v>
      </c>
      <c r="AF40" s="54"/>
    </row>
    <row r="41" spans="1:32" outlineLevel="1">
      <c r="A41" s="26"/>
      <c r="B41" s="16" t="s">
        <v>115</v>
      </c>
      <c r="C41" s="16" t="str">
        <f t="shared" si="9"/>
        <v>Prepaid IT Subscriptions Expense</v>
      </c>
      <c r="D41" s="45"/>
      <c r="E41" s="45"/>
      <c r="F41" s="12"/>
      <c r="G41" s="45"/>
      <c r="H41" s="45"/>
      <c r="I41" s="45"/>
      <c r="J41" s="45"/>
      <c r="K41" s="45"/>
      <c r="L41" s="45"/>
      <c r="M41" s="45"/>
      <c r="N41" s="45">
        <v>64783.94</v>
      </c>
      <c r="O41" s="107">
        <v>41447.61</v>
      </c>
      <c r="P41" s="45">
        <v>48628.78</v>
      </c>
      <c r="Q41" s="45">
        <v>55809.95</v>
      </c>
      <c r="R41" s="12">
        <v>68815.009999999995</v>
      </c>
      <c r="S41" s="45">
        <v>81820.070000000007</v>
      </c>
      <c r="T41" s="45">
        <v>58825.13</v>
      </c>
      <c r="U41" s="45">
        <v>54061.19</v>
      </c>
      <c r="V41" s="45">
        <v>63623</v>
      </c>
      <c r="W41" s="45">
        <v>44747.31</v>
      </c>
      <c r="X41" s="45">
        <v>44921.62</v>
      </c>
      <c r="Y41" s="45">
        <v>49960.93</v>
      </c>
      <c r="Z41" s="45">
        <v>56792.32</v>
      </c>
      <c r="AA41" s="107">
        <v>63623.71</v>
      </c>
      <c r="AB41" s="45"/>
      <c r="AC41" s="45"/>
      <c r="AD41" s="45">
        <v>70455.100000000006</v>
      </c>
      <c r="AF41" s="54"/>
    </row>
    <row r="42" spans="1:32" outlineLevel="1">
      <c r="A42" s="26"/>
      <c r="B42" s="16" t="s">
        <v>116</v>
      </c>
      <c r="C42" s="16" t="str">
        <f t="shared" si="9"/>
        <v>Prepaid Office Rent Expense</v>
      </c>
      <c r="D42" s="45"/>
      <c r="E42" s="45"/>
      <c r="F42" s="12"/>
      <c r="G42" s="45"/>
      <c r="H42" s="45"/>
      <c r="I42" s="45"/>
      <c r="J42" s="45"/>
      <c r="K42" s="45"/>
      <c r="L42" s="45"/>
      <c r="M42" s="45"/>
      <c r="N42" s="45">
        <v>24684.44</v>
      </c>
      <c r="O42" s="107">
        <v>0</v>
      </c>
      <c r="P42" s="45">
        <v>0</v>
      </c>
      <c r="Q42" s="45">
        <v>0</v>
      </c>
      <c r="R42" s="12">
        <v>24097.51</v>
      </c>
      <c r="S42" s="45">
        <v>48195.01</v>
      </c>
      <c r="T42" s="45">
        <v>72292.509999999995</v>
      </c>
      <c r="U42" s="45">
        <v>96390.01</v>
      </c>
      <c r="V42" s="45">
        <v>5062.51</v>
      </c>
      <c r="W42" s="45">
        <v>6075.01</v>
      </c>
      <c r="X42" s="45">
        <v>30172.51</v>
      </c>
      <c r="Y42" s="45">
        <v>54270.01</v>
      </c>
      <c r="Z42" s="45">
        <v>78367.509999999995</v>
      </c>
      <c r="AA42" s="107">
        <v>102465.01</v>
      </c>
      <c r="AB42" s="45"/>
      <c r="AC42" s="45"/>
      <c r="AD42" s="45">
        <v>126562.51</v>
      </c>
      <c r="AF42" s="54"/>
    </row>
    <row r="43" spans="1:32" outlineLevel="1">
      <c r="A43" s="26"/>
      <c r="B43" s="16" t="s">
        <v>117</v>
      </c>
      <c r="C43" s="16" t="str">
        <f t="shared" si="9"/>
        <v>Prepaid Other Expense</v>
      </c>
      <c r="D43" s="45"/>
      <c r="E43" s="45"/>
      <c r="F43" s="12"/>
      <c r="G43" s="45"/>
      <c r="H43" s="45"/>
      <c r="I43" s="45"/>
      <c r="J43" s="45"/>
      <c r="K43" s="45"/>
      <c r="L43" s="45"/>
      <c r="M43" s="45"/>
      <c r="N43" s="45">
        <v>24637.46</v>
      </c>
      <c r="O43" s="107">
        <v>53727.44</v>
      </c>
      <c r="P43" s="45">
        <v>77440.92</v>
      </c>
      <c r="Q43" s="45">
        <v>105418.32</v>
      </c>
      <c r="R43" s="12">
        <v>133395.72</v>
      </c>
      <c r="S43" s="45">
        <v>161373.12</v>
      </c>
      <c r="T43" s="45">
        <v>182258.52</v>
      </c>
      <c r="U43" s="45">
        <v>181205.77</v>
      </c>
      <c r="V43" s="45">
        <v>194719.59</v>
      </c>
      <c r="W43" s="45">
        <v>213412.41</v>
      </c>
      <c r="X43" s="45">
        <v>186011.13</v>
      </c>
      <c r="Y43" s="45">
        <v>8171.65</v>
      </c>
      <c r="Z43" s="45">
        <v>23200.23</v>
      </c>
      <c r="AA43" s="107">
        <v>43267.67</v>
      </c>
      <c r="AB43" s="45"/>
      <c r="AC43" s="45">
        <v>71234.03</v>
      </c>
      <c r="AD43" s="45">
        <v>75416.45</v>
      </c>
      <c r="AF43" s="54"/>
    </row>
    <row r="44" spans="1:32" outlineLevel="1">
      <c r="A44" s="26"/>
      <c r="B44" s="16" t="s">
        <v>599</v>
      </c>
      <c r="C44" s="16" t="str">
        <f t="shared" si="9"/>
        <v>Prepaid Employment Expense (Iqama)</v>
      </c>
      <c r="D44" s="45"/>
      <c r="E44" s="45"/>
      <c r="F44" s="12"/>
      <c r="G44" s="45"/>
      <c r="H44" s="45"/>
      <c r="I44" s="45"/>
      <c r="J44" s="45"/>
      <c r="K44" s="45"/>
      <c r="L44" s="45"/>
      <c r="M44" s="45"/>
      <c r="N44" s="45">
        <v>45708.43</v>
      </c>
      <c r="O44" s="107">
        <v>53291.74</v>
      </c>
      <c r="P44" s="45">
        <v>41475.050000000003</v>
      </c>
      <c r="Q44" s="45">
        <v>36125.03</v>
      </c>
      <c r="R44" s="12">
        <v>22666.68</v>
      </c>
      <c r="S44" s="45">
        <v>7791.67</v>
      </c>
      <c r="T44" s="45"/>
      <c r="U44" s="45"/>
      <c r="V44" s="45"/>
      <c r="W44" s="45"/>
      <c r="X44" s="45"/>
      <c r="Y44" s="45"/>
      <c r="Z44" s="45"/>
      <c r="AA44" s="107"/>
      <c r="AB44" s="45"/>
      <c r="AC44" s="45"/>
      <c r="AD44" s="45"/>
      <c r="AF44" s="54"/>
    </row>
    <row r="45" spans="1:32" outlineLevel="1">
      <c r="A45" s="26"/>
      <c r="B45" s="16" t="s">
        <v>118</v>
      </c>
      <c r="C45" s="16" t="str">
        <f t="shared" si="9"/>
        <v>Fund Raising Expense receivable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>
        <v>4837</v>
      </c>
      <c r="O45" s="107">
        <v>4837</v>
      </c>
      <c r="P45" s="45">
        <v>4837</v>
      </c>
      <c r="Q45" s="45">
        <v>4837</v>
      </c>
      <c r="R45" s="45">
        <v>4837</v>
      </c>
      <c r="S45" s="45">
        <v>4837</v>
      </c>
      <c r="T45" s="45">
        <v>4837</v>
      </c>
      <c r="U45" s="45">
        <v>4837</v>
      </c>
      <c r="V45" s="45">
        <v>4837</v>
      </c>
      <c r="W45" s="45">
        <v>0</v>
      </c>
      <c r="X45" s="45">
        <v>0</v>
      </c>
      <c r="Y45" s="45">
        <v>0</v>
      </c>
      <c r="Z45" s="45">
        <v>215625</v>
      </c>
      <c r="AA45" s="107">
        <v>0</v>
      </c>
      <c r="AB45" s="45"/>
      <c r="AC45" s="45"/>
      <c r="AD45" s="45"/>
      <c r="AF45" s="54"/>
    </row>
    <row r="46" spans="1:32" outlineLevel="1">
      <c r="A46" s="26"/>
      <c r="B46" s="16" t="s">
        <v>119</v>
      </c>
      <c r="C46" s="16" t="s">
        <v>557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>
        <v>210516.54</v>
      </c>
      <c r="O46" s="107">
        <v>149408.21</v>
      </c>
      <c r="P46" s="45">
        <v>125999.88</v>
      </c>
      <c r="Q46" s="45">
        <v>128774.9</v>
      </c>
      <c r="R46" s="45">
        <v>139325.6</v>
      </c>
      <c r="S46" s="45">
        <v>127799.47</v>
      </c>
      <c r="T46" s="45">
        <v>154230.57999999999</v>
      </c>
      <c r="U46" s="45">
        <v>128380.2</v>
      </c>
      <c r="V46" s="45">
        <v>97432.82</v>
      </c>
      <c r="W46" s="45">
        <v>74575.87</v>
      </c>
      <c r="X46" s="45">
        <v>95688.5</v>
      </c>
      <c r="Y46" s="45">
        <v>116972.13</v>
      </c>
      <c r="Z46" s="45">
        <v>133805.47</v>
      </c>
      <c r="AA46" s="107">
        <v>134197.37</v>
      </c>
      <c r="AB46" s="45"/>
      <c r="AC46" s="45">
        <v>57592.47</v>
      </c>
      <c r="AD46" s="45">
        <v>150690.88</v>
      </c>
      <c r="AF46" s="54"/>
    </row>
    <row r="47" spans="1:32" outlineLevel="1">
      <c r="A47" s="26"/>
      <c r="B47" s="16" t="s">
        <v>120</v>
      </c>
      <c r="C47" s="16" t="str">
        <f t="shared" ref="C47:C52" si="10">B47</f>
        <v>Security deposits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>
        <v>11446</v>
      </c>
      <c r="O47" s="107">
        <v>11446</v>
      </c>
      <c r="P47" s="45">
        <v>11446</v>
      </c>
      <c r="Q47" s="45">
        <v>11446</v>
      </c>
      <c r="R47" s="45">
        <v>11446</v>
      </c>
      <c r="S47" s="45">
        <v>11446</v>
      </c>
      <c r="T47" s="45">
        <v>11446</v>
      </c>
      <c r="U47" s="45">
        <v>2000</v>
      </c>
      <c r="V47" s="45">
        <v>2000</v>
      </c>
      <c r="W47" s="45">
        <v>2000</v>
      </c>
      <c r="X47" s="45">
        <v>2000</v>
      </c>
      <c r="Y47" s="45">
        <v>2000</v>
      </c>
      <c r="Z47" s="45">
        <v>2000</v>
      </c>
      <c r="AA47" s="107">
        <v>2000</v>
      </c>
      <c r="AB47" s="45"/>
      <c r="AC47" s="45">
        <v>1500</v>
      </c>
      <c r="AD47" s="45">
        <v>2000</v>
      </c>
      <c r="AF47" s="54"/>
    </row>
    <row r="48" spans="1:32" outlineLevel="1">
      <c r="A48" s="26"/>
      <c r="B48" s="16" t="s">
        <v>121</v>
      </c>
      <c r="C48" s="16" t="str">
        <f t="shared" si="10"/>
        <v>Advance to Other Vendors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>
        <v>29076.959999999999</v>
      </c>
      <c r="O48" s="107">
        <v>29076.959999999999</v>
      </c>
      <c r="P48" s="45">
        <v>39246.959999999999</v>
      </c>
      <c r="Q48" s="45">
        <v>61746.96</v>
      </c>
      <c r="R48" s="45">
        <v>52246.96</v>
      </c>
      <c r="S48" s="45">
        <v>45496.959999999999</v>
      </c>
      <c r="T48" s="45">
        <v>43746.96</v>
      </c>
      <c r="U48" s="45">
        <v>34668.400000000001</v>
      </c>
      <c r="V48" s="45">
        <v>27996.959999999999</v>
      </c>
      <c r="W48" s="45">
        <v>27996.959999999999</v>
      </c>
      <c r="X48" s="45">
        <v>27996.959999999999</v>
      </c>
      <c r="Y48" s="45">
        <v>29723.81</v>
      </c>
      <c r="Z48" s="45">
        <v>26454.81</v>
      </c>
      <c r="AA48" s="107">
        <v>9354.81</v>
      </c>
      <c r="AB48" s="45"/>
      <c r="AC48" s="45"/>
      <c r="AD48" s="45"/>
      <c r="AF48" s="54"/>
    </row>
    <row r="49" spans="1:40" outlineLevel="1">
      <c r="A49" s="26"/>
      <c r="B49" s="16" t="s">
        <v>122</v>
      </c>
      <c r="C49" s="16" t="str">
        <f t="shared" si="10"/>
        <v>Other Receivables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>
        <v>0</v>
      </c>
      <c r="O49" s="107">
        <v>0</v>
      </c>
      <c r="P49" s="45">
        <v>0</v>
      </c>
      <c r="Q49" s="45">
        <v>11094.99</v>
      </c>
      <c r="R49" s="45">
        <v>11094.99</v>
      </c>
      <c r="S49" s="45">
        <v>11094.99</v>
      </c>
      <c r="T49" s="45">
        <v>11094.99</v>
      </c>
      <c r="U49" s="45">
        <v>0</v>
      </c>
      <c r="V49" s="45">
        <v>0</v>
      </c>
      <c r="W49" s="45">
        <v>0</v>
      </c>
      <c r="X49" s="45">
        <v>0</v>
      </c>
      <c r="Y49" s="45">
        <v>0</v>
      </c>
      <c r="Z49" s="45">
        <v>0</v>
      </c>
      <c r="AA49" s="107">
        <v>0</v>
      </c>
      <c r="AB49" s="45"/>
      <c r="AC49" s="45">
        <v>112999.2</v>
      </c>
      <c r="AD49" s="45">
        <v>0</v>
      </c>
      <c r="AF49" s="54"/>
    </row>
    <row r="50" spans="1:40" outlineLevel="1">
      <c r="A50" s="26"/>
      <c r="B50" s="16" t="s">
        <v>123</v>
      </c>
      <c r="C50" s="16" t="str">
        <f t="shared" si="10"/>
        <v>Input VAT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>
        <v>1512193.7</v>
      </c>
      <c r="O50" s="107">
        <v>0</v>
      </c>
      <c r="P50" s="45">
        <v>2611867.58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27944.17</v>
      </c>
      <c r="Y50" s="45">
        <v>27944.17</v>
      </c>
      <c r="Z50" s="45">
        <v>27944.17</v>
      </c>
      <c r="AA50" s="107">
        <v>27944.17</v>
      </c>
      <c r="AB50" s="45"/>
      <c r="AC50" s="45">
        <v>44816.26</v>
      </c>
      <c r="AD50" s="45">
        <v>28469.18</v>
      </c>
      <c r="AF50" s="54"/>
    </row>
    <row r="51" spans="1:40" outlineLevel="1">
      <c r="A51" s="26"/>
      <c r="B51" s="16" t="s">
        <v>124</v>
      </c>
      <c r="C51" s="16" t="str">
        <f t="shared" si="10"/>
        <v>Profit Reserve Account (Deposit)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>
        <v>1123750</v>
      </c>
      <c r="O51" s="107">
        <v>1123750</v>
      </c>
      <c r="P51" s="45">
        <v>1123750</v>
      </c>
      <c r="Q51" s="45">
        <v>1123750</v>
      </c>
      <c r="R51" s="45">
        <v>1123750</v>
      </c>
      <c r="S51" s="45">
        <v>1123750</v>
      </c>
      <c r="T51" s="45">
        <v>1123750</v>
      </c>
      <c r="U51" s="45">
        <v>1123750</v>
      </c>
      <c r="V51" s="45">
        <v>1123750</v>
      </c>
      <c r="W51" s="45">
        <v>1123750</v>
      </c>
      <c r="X51" s="45">
        <v>1123750</v>
      </c>
      <c r="Y51" s="45">
        <v>1123750</v>
      </c>
      <c r="Z51" s="45">
        <v>1123750</v>
      </c>
      <c r="AA51" s="107">
        <v>743125</v>
      </c>
      <c r="AB51" s="45"/>
      <c r="AC51" s="45"/>
      <c r="AD51" s="45">
        <v>743125</v>
      </c>
      <c r="AF51" s="54"/>
    </row>
    <row r="52" spans="1:40" outlineLevel="1">
      <c r="A52" s="26"/>
      <c r="B52" s="16" t="s">
        <v>125</v>
      </c>
      <c r="C52" s="16" t="str">
        <f t="shared" si="10"/>
        <v>Short-term Investments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>
        <v>0</v>
      </c>
      <c r="O52" s="107">
        <v>0</v>
      </c>
      <c r="P52" s="45">
        <v>0</v>
      </c>
      <c r="Q52" s="45"/>
      <c r="R52" s="45">
        <v>0</v>
      </c>
      <c r="S52" s="45">
        <v>0</v>
      </c>
      <c r="T52" s="45">
        <v>0</v>
      </c>
      <c r="U52" s="45">
        <v>0</v>
      </c>
      <c r="V52" s="45">
        <v>0</v>
      </c>
      <c r="W52" s="45">
        <v>0</v>
      </c>
      <c r="X52" s="45">
        <v>0</v>
      </c>
      <c r="Y52" s="45">
        <v>0</v>
      </c>
      <c r="Z52" s="45">
        <v>0</v>
      </c>
      <c r="AA52" s="107">
        <v>2000000</v>
      </c>
      <c r="AB52" s="45"/>
      <c r="AC52" s="45"/>
      <c r="AD52" s="45"/>
      <c r="AF52" s="54"/>
    </row>
    <row r="53" spans="1:40" ht="15">
      <c r="B53" s="25"/>
      <c r="C53" s="25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5"/>
      <c r="O53" s="108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108"/>
      <c r="AB53" s="46"/>
      <c r="AC53" s="46"/>
      <c r="AD53" s="46"/>
    </row>
    <row r="54" spans="1:40">
      <c r="B54" s="19" t="s">
        <v>126</v>
      </c>
      <c r="C54" s="19"/>
      <c r="D54" s="48">
        <f t="shared" ref="D54:N54" si="11">+D36+D10+D32</f>
        <v>0</v>
      </c>
      <c r="E54" s="48">
        <f t="shared" si="11"/>
        <v>0</v>
      </c>
      <c r="F54" s="48">
        <f t="shared" si="11"/>
        <v>0</v>
      </c>
      <c r="G54" s="48">
        <f t="shared" si="11"/>
        <v>0</v>
      </c>
      <c r="H54" s="48">
        <f t="shared" si="11"/>
        <v>0</v>
      </c>
      <c r="I54" s="48">
        <f t="shared" si="11"/>
        <v>0</v>
      </c>
      <c r="J54" s="48">
        <f t="shared" si="11"/>
        <v>0</v>
      </c>
      <c r="K54" s="48">
        <f t="shared" si="11"/>
        <v>0</v>
      </c>
      <c r="L54" s="48">
        <f t="shared" si="11"/>
        <v>0</v>
      </c>
      <c r="M54" s="48">
        <f t="shared" si="11"/>
        <v>0</v>
      </c>
      <c r="N54" s="48">
        <f t="shared" si="11"/>
        <v>119822207.75</v>
      </c>
      <c r="O54" s="48">
        <f t="shared" ref="O54:AA54" si="12">+O36+O10+O32</f>
        <v>102175941.68000001</v>
      </c>
      <c r="P54" s="48">
        <f t="shared" si="12"/>
        <v>95008555.879999995</v>
      </c>
      <c r="Q54" s="48">
        <f t="shared" si="12"/>
        <v>82868417.25999999</v>
      </c>
      <c r="R54" s="48">
        <f t="shared" si="12"/>
        <v>81453691.25</v>
      </c>
      <c r="S54" s="48">
        <f t="shared" si="12"/>
        <v>74225366.349999994</v>
      </c>
      <c r="T54" s="48">
        <f t="shared" si="12"/>
        <v>71741367.480000004</v>
      </c>
      <c r="U54" s="48">
        <f t="shared" si="12"/>
        <v>72961339.539999992</v>
      </c>
      <c r="V54" s="48">
        <f t="shared" si="12"/>
        <v>67986158.079999998</v>
      </c>
      <c r="W54" s="48">
        <f t="shared" si="12"/>
        <v>65609002.670000002</v>
      </c>
      <c r="X54" s="48">
        <f t="shared" si="12"/>
        <v>64890865.359999999</v>
      </c>
      <c r="Y54" s="48">
        <f t="shared" si="12"/>
        <v>61842256.090000004</v>
      </c>
      <c r="Z54" s="48">
        <f t="shared" si="12"/>
        <v>61533105.609999999</v>
      </c>
      <c r="AA54" s="109">
        <f t="shared" si="12"/>
        <v>50304626.619999997</v>
      </c>
      <c r="AB54" s="49"/>
      <c r="AC54" s="48">
        <v>29995057.139999997</v>
      </c>
      <c r="AD54" s="48">
        <f>+AD36+AD10+AD32</f>
        <v>50890808.530000001</v>
      </c>
    </row>
    <row r="55" spans="1:40" ht="15">
      <c r="B55" s="25"/>
      <c r="C55" s="25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08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108"/>
      <c r="AB55" s="46"/>
      <c r="AC55" s="46"/>
      <c r="AD55" s="46"/>
    </row>
    <row r="56" spans="1:40" ht="15">
      <c r="B56" s="25"/>
      <c r="C56" s="25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 spans="1:40" s="69" customFormat="1">
      <c r="A57" s="68"/>
      <c r="B57" s="19" t="s">
        <v>127</v>
      </c>
      <c r="C57" s="19"/>
      <c r="D57" s="48">
        <f t="shared" ref="D57:N57" si="13">SUM(D58:D70)</f>
        <v>0</v>
      </c>
      <c r="E57" s="48">
        <f t="shared" si="13"/>
        <v>0</v>
      </c>
      <c r="F57" s="48">
        <f t="shared" si="13"/>
        <v>0</v>
      </c>
      <c r="G57" s="48">
        <f t="shared" si="13"/>
        <v>0</v>
      </c>
      <c r="H57" s="48">
        <f t="shared" si="13"/>
        <v>0</v>
      </c>
      <c r="I57" s="48">
        <f t="shared" si="13"/>
        <v>0</v>
      </c>
      <c r="J57" s="48">
        <f t="shared" si="13"/>
        <v>0</v>
      </c>
      <c r="K57" s="48">
        <f t="shared" si="13"/>
        <v>0</v>
      </c>
      <c r="L57" s="48">
        <f t="shared" si="13"/>
        <v>0</v>
      </c>
      <c r="M57" s="48">
        <f t="shared" si="13"/>
        <v>0</v>
      </c>
      <c r="N57" s="48">
        <f t="shared" si="13"/>
        <v>344265.06000000006</v>
      </c>
      <c r="O57" s="48">
        <f t="shared" ref="O57:AA57" si="14">SUM(O58:O70)</f>
        <v>349408.05000000005</v>
      </c>
      <c r="P57" s="48">
        <f t="shared" si="14"/>
        <v>353371.19000000006</v>
      </c>
      <c r="Q57" s="48">
        <f t="shared" si="14"/>
        <v>359455.22</v>
      </c>
      <c r="R57" s="48">
        <f t="shared" si="14"/>
        <v>337933.16</v>
      </c>
      <c r="S57" s="48">
        <f t="shared" si="14"/>
        <v>315004.83</v>
      </c>
      <c r="T57" s="48">
        <f t="shared" si="14"/>
        <v>312210.49</v>
      </c>
      <c r="U57" s="48">
        <f t="shared" si="14"/>
        <v>304953.16000000003</v>
      </c>
      <c r="V57" s="48">
        <f t="shared" si="14"/>
        <v>306918.31</v>
      </c>
      <c r="W57" s="48">
        <f t="shared" si="14"/>
        <v>297419.21999999997</v>
      </c>
      <c r="X57" s="48">
        <f t="shared" si="14"/>
        <v>303118.59999999998</v>
      </c>
      <c r="Y57" s="48">
        <f t="shared" si="14"/>
        <v>283795.62</v>
      </c>
      <c r="Z57" s="48">
        <f t="shared" si="14"/>
        <v>271734.62</v>
      </c>
      <c r="AA57" s="48">
        <f t="shared" si="14"/>
        <v>257134.45999999996</v>
      </c>
      <c r="AB57" s="49"/>
      <c r="AC57" s="48">
        <v>129248.72000000003</v>
      </c>
      <c r="AD57" s="48">
        <f>SUM(AD58:AD70)</f>
        <v>208363.25</v>
      </c>
      <c r="AE57" s="31"/>
    </row>
    <row r="58" spans="1:40" outlineLevel="1">
      <c r="B58" s="16" t="s">
        <v>128</v>
      </c>
      <c r="C58" s="16" t="str">
        <f t="shared" ref="C58:C70" si="15">B58</f>
        <v>Accumulated Depreciation -  Furniture &amp; Fixture</v>
      </c>
      <c r="D58" s="45"/>
      <c r="E58" s="45"/>
      <c r="F58" s="12"/>
      <c r="G58" s="45"/>
      <c r="H58" s="45"/>
      <c r="I58" s="45"/>
      <c r="J58" s="45"/>
      <c r="K58" s="45"/>
      <c r="L58" s="45"/>
      <c r="M58" s="45"/>
      <c r="N58" s="45">
        <v>-46474.29</v>
      </c>
      <c r="O58" s="107">
        <v>-44669.33</v>
      </c>
      <c r="P58" s="45">
        <v>-42864.37</v>
      </c>
      <c r="Q58" s="45">
        <v>-41059.410000000003</v>
      </c>
      <c r="R58" s="12">
        <v>-39254.449999999997</v>
      </c>
      <c r="S58" s="45">
        <v>-37449.49</v>
      </c>
      <c r="T58" s="45">
        <v>-35923.69</v>
      </c>
      <c r="U58" s="45">
        <v>-34320.6</v>
      </c>
      <c r="V58" s="45">
        <v>-32783.910000000003</v>
      </c>
      <c r="W58" s="45">
        <v>-31247.22</v>
      </c>
      <c r="X58" s="45">
        <v>-29710.53</v>
      </c>
      <c r="Y58" s="45">
        <v>-28173.84</v>
      </c>
      <c r="Z58" s="45">
        <v>-26637.15</v>
      </c>
      <c r="AA58" s="107">
        <v>-25239.35</v>
      </c>
      <c r="AB58" s="45"/>
      <c r="AC58" s="45">
        <v>-8619.7900000000009</v>
      </c>
      <c r="AD58" s="45">
        <v>-23841.55</v>
      </c>
      <c r="AF58" s="54"/>
      <c r="AJ58" s="31"/>
      <c r="AK58" s="31"/>
      <c r="AL58" s="31"/>
      <c r="AM58" s="31"/>
      <c r="AN58" s="31"/>
    </row>
    <row r="59" spans="1:40" outlineLevel="1">
      <c r="B59" s="16" t="s">
        <v>129</v>
      </c>
      <c r="C59" s="16" t="str">
        <f t="shared" si="15"/>
        <v>Accumulated Depreciation - Motor Vehicle</v>
      </c>
      <c r="D59" s="45"/>
      <c r="E59" s="45"/>
      <c r="F59" s="12"/>
      <c r="G59" s="45"/>
      <c r="H59" s="45"/>
      <c r="I59" s="45"/>
      <c r="J59" s="45"/>
      <c r="K59" s="45"/>
      <c r="L59" s="45"/>
      <c r="M59" s="45"/>
      <c r="N59" s="45">
        <v>-15273.13</v>
      </c>
      <c r="O59" s="107">
        <v>-14469.51</v>
      </c>
      <c r="P59" s="45">
        <v>-13665.89</v>
      </c>
      <c r="Q59" s="45">
        <v>-12862.27</v>
      </c>
      <c r="R59" s="12">
        <v>-12058.65</v>
      </c>
      <c r="S59" s="45">
        <v>-11255.03</v>
      </c>
      <c r="T59" s="45">
        <v>-10451.41</v>
      </c>
      <c r="U59" s="45">
        <v>-9647.7900000000009</v>
      </c>
      <c r="V59" s="45">
        <v>-8844.17</v>
      </c>
      <c r="W59" s="45">
        <v>-8040.55</v>
      </c>
      <c r="X59" s="45">
        <v>-7236.93</v>
      </c>
      <c r="Y59" s="45">
        <v>-6433.31</v>
      </c>
      <c r="Z59" s="45">
        <v>-5629.69</v>
      </c>
      <c r="AA59" s="107">
        <v>-4826.07</v>
      </c>
      <c r="AB59" s="45"/>
      <c r="AC59" s="45">
        <v>-11379.68</v>
      </c>
      <c r="AD59" s="45">
        <v>-4022.45</v>
      </c>
      <c r="AF59" s="54"/>
      <c r="AJ59" s="31"/>
      <c r="AK59" s="31"/>
      <c r="AL59" s="31"/>
      <c r="AM59" s="31"/>
      <c r="AN59" s="31"/>
    </row>
    <row r="60" spans="1:40" outlineLevel="1">
      <c r="B60" s="16" t="s">
        <v>130</v>
      </c>
      <c r="C60" s="16" t="str">
        <f t="shared" si="15"/>
        <v>Accumulated Depreciation - Office Equipment's</v>
      </c>
      <c r="D60" s="45"/>
      <c r="E60" s="45"/>
      <c r="F60" s="12"/>
      <c r="G60" s="45"/>
      <c r="H60" s="45"/>
      <c r="I60" s="45"/>
      <c r="J60" s="45"/>
      <c r="K60" s="45"/>
      <c r="L60" s="45"/>
      <c r="M60" s="45"/>
      <c r="N60" s="45">
        <v>-157375.64000000001</v>
      </c>
      <c r="O60" s="107">
        <v>-151809.53</v>
      </c>
      <c r="P60" s="45">
        <v>-154171.26999999999</v>
      </c>
      <c r="Q60" s="45">
        <v>-146586.9</v>
      </c>
      <c r="R60" s="12">
        <v>-139281.51</v>
      </c>
      <c r="S60" s="45">
        <v>-133232.47</v>
      </c>
      <c r="T60" s="45">
        <v>-127862.53</v>
      </c>
      <c r="U60" s="45">
        <v>-122791.34</v>
      </c>
      <c r="V60" s="45">
        <v>-118395.41</v>
      </c>
      <c r="W60" s="45">
        <v>-113663.24</v>
      </c>
      <c r="X60" s="45">
        <v>-109304.17</v>
      </c>
      <c r="Y60" s="45">
        <v>-104340.75</v>
      </c>
      <c r="Z60" s="45">
        <v>-100692.36</v>
      </c>
      <c r="AA60" s="107">
        <v>-95880.36</v>
      </c>
      <c r="AB60" s="45"/>
      <c r="AC60" s="45">
        <v>-35629.4</v>
      </c>
      <c r="AD60" s="45">
        <v>-91068.56</v>
      </c>
      <c r="AF60" s="54"/>
      <c r="AJ60" s="31"/>
      <c r="AK60" s="31"/>
      <c r="AL60" s="31"/>
      <c r="AM60" s="31"/>
      <c r="AN60" s="31"/>
    </row>
    <row r="61" spans="1:40" outlineLevel="1">
      <c r="B61" s="16" t="s">
        <v>588</v>
      </c>
      <c r="C61" s="16" t="str">
        <f t="shared" si="15"/>
        <v>Accumulated Depreciation-Building Improvement</v>
      </c>
      <c r="D61" s="45"/>
      <c r="E61" s="45"/>
      <c r="F61" s="12"/>
      <c r="G61" s="45"/>
      <c r="H61" s="45"/>
      <c r="I61" s="45"/>
      <c r="J61" s="45"/>
      <c r="K61" s="45"/>
      <c r="L61" s="45"/>
      <c r="M61" s="45"/>
      <c r="N61" s="45">
        <v>-29730.400000000001</v>
      </c>
      <c r="O61" s="107">
        <v>-26014.1</v>
      </c>
      <c r="P61" s="45">
        <v>-22297.8</v>
      </c>
      <c r="Q61" s="45">
        <v>-18581.5</v>
      </c>
      <c r="R61" s="12">
        <v>-14865.2</v>
      </c>
      <c r="S61" s="45">
        <v>-11148.9</v>
      </c>
      <c r="T61" s="45">
        <v>-7432.6</v>
      </c>
      <c r="U61" s="45">
        <v>-3716.3</v>
      </c>
      <c r="V61" s="45"/>
      <c r="W61" s="45"/>
      <c r="X61" s="45"/>
      <c r="Y61" s="45"/>
      <c r="Z61" s="45"/>
      <c r="AA61" s="107"/>
      <c r="AB61" s="45"/>
      <c r="AC61" s="45"/>
      <c r="AD61" s="45"/>
      <c r="AF61" s="54"/>
      <c r="AJ61" s="31"/>
      <c r="AK61" s="31"/>
      <c r="AL61" s="31"/>
      <c r="AM61" s="31"/>
      <c r="AN61" s="31"/>
    </row>
    <row r="62" spans="1:40" outlineLevel="1">
      <c r="B62" s="16" t="s">
        <v>131</v>
      </c>
      <c r="C62" s="16" t="str">
        <f t="shared" si="15"/>
        <v>Fixed Asset not yet in use</v>
      </c>
      <c r="D62" s="45"/>
      <c r="E62" s="45"/>
      <c r="F62" s="12"/>
      <c r="G62" s="45"/>
      <c r="H62" s="45"/>
      <c r="I62" s="45"/>
      <c r="J62" s="45"/>
      <c r="K62" s="45"/>
      <c r="L62" s="45"/>
      <c r="M62" s="45"/>
      <c r="N62" s="45">
        <v>2068.06</v>
      </c>
      <c r="O62" s="107">
        <v>2068.06</v>
      </c>
      <c r="P62" s="45">
        <v>2068.06</v>
      </c>
      <c r="Q62" s="45">
        <v>2068.06</v>
      </c>
      <c r="R62" s="12">
        <v>2068.06</v>
      </c>
      <c r="S62" s="45">
        <v>2068.06</v>
      </c>
      <c r="T62" s="45">
        <v>2068.06</v>
      </c>
      <c r="U62" s="45">
        <v>2068.06</v>
      </c>
      <c r="V62" s="45">
        <v>2068.06</v>
      </c>
      <c r="W62" s="45">
        <v>2068.06</v>
      </c>
      <c r="X62" s="45">
        <v>2068.06</v>
      </c>
      <c r="Y62" s="45">
        <v>2068.06</v>
      </c>
      <c r="Z62" s="45">
        <v>2068.06</v>
      </c>
      <c r="AA62" s="107">
        <v>2068.06</v>
      </c>
      <c r="AB62" s="45"/>
      <c r="AC62" s="45"/>
      <c r="AD62" s="45">
        <v>0</v>
      </c>
      <c r="AF62" s="54"/>
      <c r="AJ62" s="31"/>
      <c r="AK62" s="31"/>
      <c r="AL62" s="31"/>
      <c r="AM62" s="31"/>
      <c r="AN62" s="31"/>
    </row>
    <row r="63" spans="1:40" outlineLevel="1">
      <c r="B63" s="16" t="s">
        <v>132</v>
      </c>
      <c r="C63" s="16" t="str">
        <f t="shared" si="15"/>
        <v>Furniture &amp; Fixture</v>
      </c>
      <c r="D63" s="45"/>
      <c r="E63" s="45"/>
      <c r="F63" s="12"/>
      <c r="G63" s="45"/>
      <c r="H63" s="45"/>
      <c r="I63" s="45"/>
      <c r="J63" s="45"/>
      <c r="K63" s="45"/>
      <c r="L63" s="45"/>
      <c r="M63" s="45"/>
      <c r="N63" s="45">
        <v>66911.100000000006</v>
      </c>
      <c r="O63" s="107">
        <v>66911.100000000006</v>
      </c>
      <c r="P63" s="45">
        <v>66911.100000000006</v>
      </c>
      <c r="Q63" s="45">
        <v>66911.100000000006</v>
      </c>
      <c r="R63" s="12">
        <v>66911.100000000006</v>
      </c>
      <c r="S63" s="45">
        <v>56861.1</v>
      </c>
      <c r="T63" s="45">
        <v>56861.1</v>
      </c>
      <c r="U63" s="45">
        <v>55320.87</v>
      </c>
      <c r="V63" s="45">
        <v>55320.87</v>
      </c>
      <c r="W63" s="45">
        <v>55320.87</v>
      </c>
      <c r="X63" s="45">
        <v>55320.87</v>
      </c>
      <c r="Y63" s="45">
        <v>55320.87</v>
      </c>
      <c r="Z63" s="45">
        <v>50320.87</v>
      </c>
      <c r="AA63" s="107">
        <v>50320.87</v>
      </c>
      <c r="AB63" s="45"/>
      <c r="AC63" s="45">
        <v>44482.61</v>
      </c>
      <c r="AD63" s="45">
        <v>47320.87</v>
      </c>
      <c r="AF63" s="54"/>
      <c r="AJ63" s="31"/>
      <c r="AK63" s="31"/>
      <c r="AL63" s="31"/>
      <c r="AM63" s="31"/>
      <c r="AN63" s="31"/>
    </row>
    <row r="64" spans="1:40" outlineLevel="1">
      <c r="B64" s="16" t="s">
        <v>133</v>
      </c>
      <c r="C64" s="16" t="str">
        <f t="shared" si="15"/>
        <v>Motor Vehicle</v>
      </c>
      <c r="D64" s="45"/>
      <c r="E64" s="45"/>
      <c r="F64" s="12"/>
      <c r="G64" s="45"/>
      <c r="H64" s="45"/>
      <c r="I64" s="45"/>
      <c r="J64" s="45"/>
      <c r="K64" s="45"/>
      <c r="L64" s="45"/>
      <c r="M64" s="45"/>
      <c r="N64" s="45">
        <v>48217.39</v>
      </c>
      <c r="O64" s="107">
        <v>48217.39</v>
      </c>
      <c r="P64" s="45">
        <v>48217.39</v>
      </c>
      <c r="Q64" s="45">
        <v>48217.39</v>
      </c>
      <c r="R64" s="12">
        <v>48217.39</v>
      </c>
      <c r="S64" s="45">
        <v>48217.39</v>
      </c>
      <c r="T64" s="45">
        <v>48217.39</v>
      </c>
      <c r="U64" s="45">
        <v>48217.39</v>
      </c>
      <c r="V64" s="45">
        <v>48217.39</v>
      </c>
      <c r="W64" s="45">
        <v>48217.39</v>
      </c>
      <c r="X64" s="45">
        <v>48217.39</v>
      </c>
      <c r="Y64" s="45">
        <v>48217.39</v>
      </c>
      <c r="Z64" s="45">
        <v>48217.39</v>
      </c>
      <c r="AA64" s="107">
        <v>48217.39</v>
      </c>
      <c r="AB64" s="45"/>
      <c r="AC64" s="45">
        <v>52521.74</v>
      </c>
      <c r="AD64" s="45">
        <v>48217.39</v>
      </c>
      <c r="AF64" s="54"/>
      <c r="AJ64" s="31"/>
      <c r="AK64" s="31"/>
      <c r="AL64" s="31"/>
      <c r="AM64" s="31"/>
      <c r="AN64" s="31"/>
    </row>
    <row r="65" spans="1:40" outlineLevel="1">
      <c r="B65" s="16" t="s">
        <v>587</v>
      </c>
      <c r="C65" s="16" t="str">
        <f t="shared" si="15"/>
        <v>Building Improvement</v>
      </c>
      <c r="D65" s="45"/>
      <c r="E65" s="45"/>
      <c r="F65" s="12"/>
      <c r="G65" s="45"/>
      <c r="H65" s="45"/>
      <c r="I65" s="45"/>
      <c r="J65" s="45"/>
      <c r="K65" s="45"/>
      <c r="L65" s="45"/>
      <c r="M65" s="45"/>
      <c r="N65" s="45">
        <v>178382.44</v>
      </c>
      <c r="O65" s="107">
        <v>178382.44</v>
      </c>
      <c r="P65" s="45">
        <v>178382.44</v>
      </c>
      <c r="Q65" s="45">
        <v>178382.44</v>
      </c>
      <c r="R65" s="12">
        <v>178382.44</v>
      </c>
      <c r="S65" s="45">
        <v>178382.44</v>
      </c>
      <c r="T65" s="45">
        <v>178382.44</v>
      </c>
      <c r="U65" s="45">
        <v>178382.44</v>
      </c>
      <c r="V65" s="45"/>
      <c r="W65" s="45"/>
      <c r="X65" s="45"/>
      <c r="Y65" s="45"/>
      <c r="Z65" s="45"/>
      <c r="AA65" s="107"/>
      <c r="AB65" s="45"/>
      <c r="AC65" s="45"/>
      <c r="AD65" s="45"/>
      <c r="AF65" s="54"/>
      <c r="AJ65" s="31"/>
      <c r="AK65" s="31"/>
      <c r="AL65" s="31"/>
      <c r="AM65" s="31"/>
      <c r="AN65" s="31"/>
    </row>
    <row r="66" spans="1:40" outlineLevel="1">
      <c r="B66" s="16" t="s">
        <v>134</v>
      </c>
      <c r="C66" s="16" t="str">
        <f t="shared" si="15"/>
        <v>Intangible Assets</v>
      </c>
      <c r="D66" s="45"/>
      <c r="E66" s="45"/>
      <c r="F66" s="12"/>
      <c r="G66" s="45"/>
      <c r="H66" s="45"/>
      <c r="I66" s="45"/>
      <c r="J66" s="45"/>
      <c r="K66" s="45"/>
      <c r="L66" s="45"/>
      <c r="M66" s="45"/>
      <c r="N66" s="45">
        <v>1000</v>
      </c>
      <c r="O66" s="107">
        <v>1000</v>
      </c>
      <c r="P66" s="45">
        <v>1000</v>
      </c>
      <c r="Q66" s="45">
        <v>1000</v>
      </c>
      <c r="R66" s="12">
        <v>1000</v>
      </c>
      <c r="S66" s="45">
        <v>1000</v>
      </c>
      <c r="T66" s="45">
        <v>1000</v>
      </c>
      <c r="U66" s="45">
        <v>1000</v>
      </c>
      <c r="V66" s="45">
        <v>1000</v>
      </c>
      <c r="W66" s="45">
        <v>1000</v>
      </c>
      <c r="X66" s="45"/>
      <c r="Y66" s="45"/>
      <c r="Z66" s="45"/>
      <c r="AA66" s="107"/>
      <c r="AB66" s="45"/>
      <c r="AC66" s="45"/>
      <c r="AD66" s="45"/>
      <c r="AF66" s="54"/>
      <c r="AJ66" s="31"/>
      <c r="AK66" s="31"/>
      <c r="AL66" s="31"/>
      <c r="AM66" s="31"/>
      <c r="AN66" s="31"/>
    </row>
    <row r="67" spans="1:40" ht="15">
      <c r="B67" s="16" t="s">
        <v>135</v>
      </c>
      <c r="C67" s="16" t="str">
        <f t="shared" si="15"/>
        <v>Office Equipment</v>
      </c>
      <c r="D67" s="45"/>
      <c r="E67" s="45"/>
      <c r="F67" s="12"/>
      <c r="G67" s="45"/>
      <c r="H67" s="45"/>
      <c r="I67" s="45"/>
      <c r="J67" s="45"/>
      <c r="K67" s="45"/>
      <c r="L67" s="45"/>
      <c r="M67" s="45"/>
      <c r="N67" s="45">
        <v>271539.53000000003</v>
      </c>
      <c r="O67" s="107">
        <v>264791.53000000003</v>
      </c>
      <c r="P67" s="45">
        <v>264791.53000000003</v>
      </c>
      <c r="Q67" s="45">
        <v>256966.31</v>
      </c>
      <c r="R67" s="12">
        <v>226813.98</v>
      </c>
      <c r="S67" s="45">
        <v>206561.73</v>
      </c>
      <c r="T67" s="45">
        <v>197351.73</v>
      </c>
      <c r="U67" s="45">
        <v>185440.43</v>
      </c>
      <c r="V67" s="45">
        <v>184313.04</v>
      </c>
      <c r="W67" s="45">
        <v>173563.17</v>
      </c>
      <c r="X67" s="45">
        <v>173563.17</v>
      </c>
      <c r="Y67" s="45">
        <v>154959.81</v>
      </c>
      <c r="Z67" s="45">
        <v>141910.10999999999</v>
      </c>
      <c r="AA67" s="107">
        <v>141910.10999999999</v>
      </c>
      <c r="AB67" s="46"/>
      <c r="AC67" s="77">
        <v>87873.24</v>
      </c>
      <c r="AD67" s="45">
        <v>140389.23000000001</v>
      </c>
      <c r="AF67" s="54"/>
      <c r="AJ67" s="31"/>
      <c r="AK67" s="31"/>
      <c r="AL67" s="31"/>
      <c r="AM67" s="31"/>
      <c r="AN67" s="31"/>
    </row>
    <row r="68" spans="1:40" ht="15">
      <c r="B68" s="16" t="s">
        <v>594</v>
      </c>
      <c r="C68" s="16" t="str">
        <f t="shared" si="15"/>
        <v>Product Development</v>
      </c>
      <c r="D68" s="45"/>
      <c r="E68" s="45"/>
      <c r="F68" s="12"/>
      <c r="G68" s="45"/>
      <c r="H68" s="45"/>
      <c r="I68" s="45"/>
      <c r="J68" s="45"/>
      <c r="K68" s="45"/>
      <c r="L68" s="45"/>
      <c r="M68" s="45"/>
      <c r="N68" s="45">
        <v>25000</v>
      </c>
      <c r="O68" s="107">
        <v>25000</v>
      </c>
      <c r="P68" s="45">
        <v>25000</v>
      </c>
      <c r="Q68" s="45">
        <v>25000</v>
      </c>
      <c r="R68" s="12">
        <v>20000</v>
      </c>
      <c r="S68" s="45">
        <v>15000</v>
      </c>
      <c r="T68" s="45">
        <v>10000</v>
      </c>
      <c r="U68" s="45">
        <v>5000</v>
      </c>
      <c r="V68" s="45"/>
      <c r="W68" s="45"/>
      <c r="X68" s="45"/>
      <c r="Y68" s="45"/>
      <c r="Z68" s="45"/>
      <c r="AA68" s="107"/>
      <c r="AB68" s="46"/>
      <c r="AC68" s="77"/>
      <c r="AD68" s="45"/>
      <c r="AF68" s="54"/>
      <c r="AJ68" s="31"/>
      <c r="AK68" s="31"/>
      <c r="AL68" s="31"/>
      <c r="AM68" s="31"/>
      <c r="AN68" s="31"/>
    </row>
    <row r="69" spans="1:40" ht="15">
      <c r="B69" s="16" t="s">
        <v>136</v>
      </c>
      <c r="C69" s="16" t="str">
        <f t="shared" si="15"/>
        <v>Capital Work in Progress (Tangible)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>
        <v>0</v>
      </c>
      <c r="O69" s="107">
        <v>0</v>
      </c>
      <c r="P69" s="45">
        <v>0</v>
      </c>
      <c r="Q69" s="45"/>
      <c r="R69" s="45">
        <v>0</v>
      </c>
      <c r="S69" s="45">
        <v>0</v>
      </c>
      <c r="T69" s="45">
        <v>0</v>
      </c>
      <c r="U69" s="45">
        <v>0</v>
      </c>
      <c r="V69" s="45">
        <v>176022.44</v>
      </c>
      <c r="W69" s="45">
        <v>170200.74</v>
      </c>
      <c r="X69" s="45">
        <v>170200.74</v>
      </c>
      <c r="Y69" s="45">
        <v>162177.39000000001</v>
      </c>
      <c r="Z69" s="45">
        <f>161968.7+208.69</f>
        <v>162177.39000000001</v>
      </c>
      <c r="AA69" s="107">
        <v>140563.81</v>
      </c>
      <c r="AB69" s="46"/>
      <c r="AC69" s="46"/>
      <c r="AD69" s="46">
        <v>91368.320000000007</v>
      </c>
      <c r="AF69" s="54"/>
    </row>
    <row r="70" spans="1:40" ht="15">
      <c r="B70" s="16" t="s">
        <v>137</v>
      </c>
      <c r="C70" s="16" t="str">
        <f t="shared" si="15"/>
        <v>Capital Work in Progress (Intangible)</v>
      </c>
      <c r="D70" s="45"/>
      <c r="E70" s="46"/>
      <c r="F70" s="45"/>
      <c r="G70" s="45"/>
      <c r="H70" s="45"/>
      <c r="I70" s="45"/>
      <c r="J70" s="45"/>
      <c r="K70" s="45"/>
      <c r="L70" s="45"/>
      <c r="M70" s="45"/>
      <c r="N70" s="45">
        <v>0</v>
      </c>
      <c r="O70" s="107">
        <v>0</v>
      </c>
      <c r="P70" s="45">
        <v>0</v>
      </c>
      <c r="Q70" s="46"/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107">
        <v>0</v>
      </c>
      <c r="AB70" s="46"/>
      <c r="AC70" s="46"/>
      <c r="AD70" s="46"/>
      <c r="AF70" s="54"/>
    </row>
    <row r="71" spans="1:40" s="69" customFormat="1">
      <c r="A71" s="68"/>
      <c r="B71" s="19" t="s">
        <v>138</v>
      </c>
      <c r="C71" s="19"/>
      <c r="D71" s="48">
        <f t="shared" ref="D71:J71" si="16">SUM(D72:D79)</f>
        <v>0</v>
      </c>
      <c r="E71" s="48">
        <f t="shared" si="16"/>
        <v>0</v>
      </c>
      <c r="F71" s="48">
        <f t="shared" si="16"/>
        <v>0</v>
      </c>
      <c r="G71" s="48">
        <f t="shared" si="16"/>
        <v>0</v>
      </c>
      <c r="H71" s="48">
        <f t="shared" si="16"/>
        <v>0</v>
      </c>
      <c r="I71" s="48">
        <f t="shared" si="16"/>
        <v>0</v>
      </c>
      <c r="J71" s="48">
        <f t="shared" si="16"/>
        <v>0</v>
      </c>
      <c r="K71" s="48">
        <f>SUM(K72:K75)</f>
        <v>0</v>
      </c>
      <c r="L71" s="48">
        <f>SUM(L72:L75)</f>
        <v>0</v>
      </c>
      <c r="M71" s="48">
        <f>SUM(M72:M79)</f>
        <v>0</v>
      </c>
      <c r="N71" s="48">
        <f t="shared" ref="N71:V71" si="17">SUM(N72:N79)</f>
        <v>1839509.99</v>
      </c>
      <c r="O71" s="48">
        <f t="shared" si="17"/>
        <v>1803251.94</v>
      </c>
      <c r="P71" s="48">
        <f t="shared" si="17"/>
        <v>1691856.14</v>
      </c>
      <c r="Q71" s="48">
        <f t="shared" si="17"/>
        <v>1575621.09</v>
      </c>
      <c r="R71" s="48">
        <f t="shared" si="17"/>
        <v>1530424.1</v>
      </c>
      <c r="S71" s="48">
        <f t="shared" si="17"/>
        <v>1412657.59</v>
      </c>
      <c r="T71" s="48">
        <f t="shared" si="17"/>
        <v>1399979.3699999999</v>
      </c>
      <c r="U71" s="48">
        <f t="shared" si="17"/>
        <v>711750.36999999988</v>
      </c>
      <c r="V71" s="48">
        <f t="shared" si="17"/>
        <v>319145.32</v>
      </c>
      <c r="W71" s="48">
        <f>SUM(W72:W75)</f>
        <v>302093.63</v>
      </c>
      <c r="X71" s="48">
        <f>SUM(X72:X75)</f>
        <v>294043.63</v>
      </c>
      <c r="Y71" s="48">
        <f>SUM(Y72:Y79)</f>
        <v>280008.57</v>
      </c>
      <c r="Z71" s="48">
        <f t="shared" ref="Z71:AA71" si="18">SUM(Z72:Z75)</f>
        <v>280008.57</v>
      </c>
      <c r="AA71" s="48">
        <f t="shared" si="18"/>
        <v>280008.57</v>
      </c>
      <c r="AB71" s="49"/>
      <c r="AC71" s="48">
        <v>200320</v>
      </c>
      <c r="AD71" s="48">
        <f>SUM(AD72:AD75)</f>
        <v>275541.35000000003</v>
      </c>
      <c r="AE71" s="31"/>
    </row>
    <row r="72" spans="1:40">
      <c r="B72" s="16" t="s">
        <v>139</v>
      </c>
      <c r="C72" s="16" t="str">
        <f t="shared" ref="C72:C78" si="19">B72</f>
        <v>Buildnow Inc. (US)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>
        <v>1756700.73</v>
      </c>
      <c r="O72" s="107">
        <v>1720442.68</v>
      </c>
      <c r="P72" s="45">
        <v>1615122.13</v>
      </c>
      <c r="Q72" s="45">
        <v>1502512.08</v>
      </c>
      <c r="R72" s="45">
        <v>1459297.61</v>
      </c>
      <c r="S72" s="45">
        <v>1342934.58</v>
      </c>
      <c r="T72" s="45">
        <v>1332281.94</v>
      </c>
      <c r="U72" s="45">
        <v>646252.93999999994</v>
      </c>
      <c r="V72" s="45">
        <v>293647.89</v>
      </c>
      <c r="W72" s="45">
        <v>279850.36</v>
      </c>
      <c r="X72" s="45">
        <v>279850.36</v>
      </c>
      <c r="Y72" s="45">
        <v>269850</v>
      </c>
      <c r="Z72" s="45">
        <v>269850</v>
      </c>
      <c r="AA72" s="107">
        <v>269850</v>
      </c>
      <c r="AB72" s="45"/>
      <c r="AC72" s="45">
        <v>200320</v>
      </c>
      <c r="AD72" s="45">
        <v>269850</v>
      </c>
      <c r="AF72" s="54"/>
    </row>
    <row r="73" spans="1:40">
      <c r="B73" s="16" t="s">
        <v>140</v>
      </c>
      <c r="C73" s="16" t="str">
        <f t="shared" si="19"/>
        <v>Buildnow Tech BD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>
        <v>41.33</v>
      </c>
      <c r="O73" s="107">
        <v>41.33</v>
      </c>
      <c r="P73" s="45">
        <v>41.33</v>
      </c>
      <c r="Q73" s="45">
        <v>41.33</v>
      </c>
      <c r="R73" s="45">
        <v>41.33</v>
      </c>
      <c r="S73" s="45">
        <v>41.33</v>
      </c>
      <c r="T73" s="45">
        <v>41.33</v>
      </c>
      <c r="U73" s="45">
        <v>41.33</v>
      </c>
      <c r="V73" s="45">
        <v>41.33</v>
      </c>
      <c r="W73" s="45">
        <v>41.33</v>
      </c>
      <c r="X73" s="45">
        <v>41.33</v>
      </c>
      <c r="Y73" s="45">
        <v>41.33</v>
      </c>
      <c r="Z73" s="45">
        <v>41.33</v>
      </c>
      <c r="AA73" s="107">
        <v>41.33</v>
      </c>
      <c r="AB73" s="50"/>
      <c r="AC73" s="45"/>
      <c r="AD73" s="45">
        <v>41.33</v>
      </c>
      <c r="AF73" s="54"/>
    </row>
    <row r="74" spans="1:40">
      <c r="B74" s="16" t="s">
        <v>141</v>
      </c>
      <c r="C74" s="16" t="str">
        <f t="shared" si="19"/>
        <v>Buildnow Trading Co (KSA)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>
        <v>0</v>
      </c>
      <c r="O74" s="107">
        <v>0</v>
      </c>
      <c r="P74" s="45">
        <v>0</v>
      </c>
      <c r="Q74" s="45">
        <v>0</v>
      </c>
      <c r="R74" s="45">
        <v>0</v>
      </c>
      <c r="S74" s="45">
        <v>0</v>
      </c>
      <c r="T74" s="45">
        <v>0</v>
      </c>
      <c r="U74" s="45">
        <v>0</v>
      </c>
      <c r="V74" s="45">
        <v>0</v>
      </c>
      <c r="W74" s="45">
        <v>0</v>
      </c>
      <c r="X74" s="45">
        <v>0</v>
      </c>
      <c r="Y74" s="45">
        <v>0</v>
      </c>
      <c r="Z74" s="45">
        <v>0</v>
      </c>
      <c r="AA74" s="107">
        <v>0</v>
      </c>
      <c r="AB74" s="50"/>
      <c r="AC74" s="45"/>
      <c r="AD74" s="45">
        <v>0</v>
      </c>
      <c r="AF74" s="54"/>
    </row>
    <row r="75" spans="1:40" ht="15">
      <c r="B75" s="16" t="s">
        <v>142</v>
      </c>
      <c r="C75" s="16" t="str">
        <f t="shared" si="19"/>
        <v>MISA KSA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>
        <v>30842.42</v>
      </c>
      <c r="O75" s="107">
        <v>30842.42</v>
      </c>
      <c r="P75" s="45">
        <v>30842.42</v>
      </c>
      <c r="Q75" s="45">
        <v>29017.42</v>
      </c>
      <c r="R75" s="45">
        <v>29017.42</v>
      </c>
      <c r="S75" s="45">
        <v>25201.94</v>
      </c>
      <c r="T75" s="45">
        <v>25201.94</v>
      </c>
      <c r="U75" s="45">
        <v>25201.94</v>
      </c>
      <c r="V75" s="45">
        <v>25201.94</v>
      </c>
      <c r="W75" s="45">
        <v>22201.94</v>
      </c>
      <c r="X75" s="45">
        <v>14151.94</v>
      </c>
      <c r="Y75" s="45">
        <v>10117.24</v>
      </c>
      <c r="Z75" s="45">
        <v>10117.24</v>
      </c>
      <c r="AA75" s="107">
        <v>10117.24</v>
      </c>
      <c r="AB75" s="46"/>
      <c r="AC75" s="46"/>
      <c r="AD75" s="45">
        <v>5650.02</v>
      </c>
      <c r="AF75" s="54"/>
    </row>
    <row r="76" spans="1:40" ht="15">
      <c r="B76" s="16" t="s">
        <v>598</v>
      </c>
      <c r="C76" s="16" t="str">
        <f t="shared" si="19"/>
        <v>RHQ Company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>
        <v>7671.35</v>
      </c>
      <c r="O76" s="107">
        <v>7671.35</v>
      </c>
      <c r="P76" s="45">
        <v>1596.1</v>
      </c>
      <c r="Q76" s="45">
        <v>1596.1</v>
      </c>
      <c r="R76" s="45">
        <v>-386.42</v>
      </c>
      <c r="S76" s="45">
        <v>2025.58</v>
      </c>
      <c r="T76" s="45"/>
      <c r="U76" s="45"/>
      <c r="V76" s="45"/>
      <c r="W76" s="45"/>
      <c r="X76" s="45"/>
      <c r="Y76" s="45"/>
      <c r="Z76" s="45"/>
      <c r="AA76" s="107"/>
      <c r="AB76" s="46"/>
      <c r="AC76" s="46"/>
      <c r="AD76" s="45"/>
      <c r="AF76" s="54"/>
    </row>
    <row r="77" spans="1:40" ht="15">
      <c r="B77" s="16" t="s">
        <v>589</v>
      </c>
      <c r="C77" s="16" t="str">
        <f t="shared" si="19"/>
        <v>BNPL-CMA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>
        <v>44000</v>
      </c>
      <c r="O77" s="107">
        <v>44000</v>
      </c>
      <c r="P77" s="45">
        <v>44000</v>
      </c>
      <c r="Q77" s="45">
        <v>42200</v>
      </c>
      <c r="R77" s="45">
        <v>42200</v>
      </c>
      <c r="S77" s="45">
        <v>42200</v>
      </c>
      <c r="T77" s="45">
        <v>42200</v>
      </c>
      <c r="U77" s="45">
        <v>40000</v>
      </c>
      <c r="V77" s="45"/>
      <c r="W77" s="45"/>
      <c r="X77" s="45"/>
      <c r="Y77" s="45"/>
      <c r="Z77" s="45"/>
      <c r="AA77" s="107"/>
      <c r="AB77" s="46"/>
      <c r="AC77" s="46"/>
      <c r="AD77" s="45"/>
      <c r="AF77" s="54"/>
    </row>
    <row r="78" spans="1:40" ht="15">
      <c r="B78" s="16" t="s">
        <v>143</v>
      </c>
      <c r="C78" s="16" t="str">
        <f t="shared" si="19"/>
        <v>Buildnow UK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>
        <v>254.16</v>
      </c>
      <c r="O78" s="107">
        <v>254.16</v>
      </c>
      <c r="P78" s="45">
        <v>254.16</v>
      </c>
      <c r="Q78" s="45">
        <v>254.16</v>
      </c>
      <c r="R78" s="45">
        <v>254.16</v>
      </c>
      <c r="S78" s="45">
        <v>254.16</v>
      </c>
      <c r="T78" s="45">
        <v>254.16</v>
      </c>
      <c r="U78" s="45">
        <v>254.16</v>
      </c>
      <c r="V78" s="45">
        <v>254.16</v>
      </c>
      <c r="W78" s="45">
        <v>0</v>
      </c>
      <c r="X78" s="45">
        <v>0</v>
      </c>
      <c r="Y78" s="45"/>
      <c r="Z78" s="45"/>
      <c r="AA78" s="107"/>
      <c r="AB78" s="46"/>
      <c r="AC78" s="46"/>
      <c r="AD78" s="45"/>
      <c r="AF78" s="54"/>
    </row>
    <row r="79" spans="1:40" ht="15">
      <c r="B79" s="25"/>
      <c r="C79" s="25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108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108"/>
      <c r="AB79" s="46"/>
      <c r="AC79" s="46"/>
      <c r="AD79" s="46"/>
    </row>
    <row r="80" spans="1:40" s="69" customFormat="1">
      <c r="A80" s="68"/>
      <c r="B80" s="19" t="s">
        <v>144</v>
      </c>
      <c r="C80" s="19"/>
      <c r="D80" s="48">
        <f>SUM(D81)</f>
        <v>0</v>
      </c>
      <c r="E80" s="48">
        <f>SUM(E81)</f>
        <v>0</v>
      </c>
      <c r="F80" s="48">
        <f t="shared" ref="F80:N80" si="20">SUM(F81)</f>
        <v>0</v>
      </c>
      <c r="G80" s="48">
        <f t="shared" si="20"/>
        <v>0</v>
      </c>
      <c r="H80" s="48">
        <f t="shared" si="20"/>
        <v>0</v>
      </c>
      <c r="I80" s="48">
        <f t="shared" si="20"/>
        <v>0</v>
      </c>
      <c r="J80" s="48">
        <f t="shared" si="20"/>
        <v>0</v>
      </c>
      <c r="K80" s="48">
        <f t="shared" si="20"/>
        <v>0</v>
      </c>
      <c r="L80" s="48">
        <f t="shared" si="20"/>
        <v>0</v>
      </c>
      <c r="M80" s="48">
        <f t="shared" si="20"/>
        <v>0</v>
      </c>
      <c r="N80" s="48">
        <f t="shared" si="20"/>
        <v>0</v>
      </c>
      <c r="O80" s="48">
        <f>SUM(O81)</f>
        <v>0</v>
      </c>
      <c r="P80" s="48">
        <f>SUM(P81)</f>
        <v>0</v>
      </c>
      <c r="Q80" s="48">
        <f>SUM(Q81)</f>
        <v>0</v>
      </c>
      <c r="R80" s="48">
        <f t="shared" ref="R80:AA80" si="21">SUM(R81)</f>
        <v>0</v>
      </c>
      <c r="S80" s="48">
        <f t="shared" si="21"/>
        <v>0</v>
      </c>
      <c r="T80" s="48">
        <f t="shared" si="21"/>
        <v>0</v>
      </c>
      <c r="U80" s="48">
        <f t="shared" si="21"/>
        <v>0</v>
      </c>
      <c r="V80" s="48">
        <f t="shared" si="21"/>
        <v>0</v>
      </c>
      <c r="W80" s="48">
        <f t="shared" si="21"/>
        <v>0</v>
      </c>
      <c r="X80" s="48">
        <f t="shared" si="21"/>
        <v>0</v>
      </c>
      <c r="Y80" s="48">
        <f t="shared" si="21"/>
        <v>0</v>
      </c>
      <c r="Z80" s="48">
        <f t="shared" si="21"/>
        <v>0</v>
      </c>
      <c r="AA80" s="48">
        <f t="shared" si="21"/>
        <v>0</v>
      </c>
      <c r="AB80" s="49"/>
      <c r="AD80" s="48">
        <f>SUM(AD81)</f>
        <v>0</v>
      </c>
      <c r="AE80" s="31"/>
    </row>
    <row r="81" spans="1:36" ht="15">
      <c r="B81" s="16" t="s">
        <v>145</v>
      </c>
      <c r="C81" s="16" t="str">
        <f>B81</f>
        <v>Buildnow BD Technology Subsidiary</v>
      </c>
      <c r="D81" s="46"/>
      <c r="E81" s="46"/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107">
        <v>0</v>
      </c>
      <c r="P81" s="46"/>
      <c r="Q81" s="46"/>
      <c r="R81" s="45">
        <v>0</v>
      </c>
      <c r="S81" s="45">
        <v>0</v>
      </c>
      <c r="T81" s="45">
        <v>0</v>
      </c>
      <c r="U81" s="45">
        <v>0</v>
      </c>
      <c r="V81" s="45">
        <v>0</v>
      </c>
      <c r="W81" s="45">
        <v>0</v>
      </c>
      <c r="X81" s="45">
        <v>0</v>
      </c>
      <c r="Y81" s="45">
        <v>0</v>
      </c>
      <c r="Z81" s="45">
        <v>0</v>
      </c>
      <c r="AA81" s="107">
        <v>0</v>
      </c>
      <c r="AB81" s="46"/>
      <c r="AC81"/>
      <c r="AD81" s="46"/>
    </row>
    <row r="82" spans="1:36" ht="15">
      <c r="B82" s="16"/>
      <c r="C82" s="1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/>
      <c r="AD82" s="46"/>
    </row>
    <row r="83" spans="1:36" ht="15">
      <c r="B83" s="16"/>
      <c r="C83" s="1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/>
      <c r="AD83" s="46"/>
    </row>
    <row r="84" spans="1:36">
      <c r="B84" s="19" t="s">
        <v>146</v>
      </c>
      <c r="C84" s="19"/>
      <c r="D84" s="48">
        <f t="shared" ref="D84:N84" si="22">+D71+D57+D80</f>
        <v>0</v>
      </c>
      <c r="E84" s="48">
        <f t="shared" si="22"/>
        <v>0</v>
      </c>
      <c r="F84" s="48">
        <f t="shared" si="22"/>
        <v>0</v>
      </c>
      <c r="G84" s="48">
        <f t="shared" si="22"/>
        <v>0</v>
      </c>
      <c r="H84" s="48">
        <f t="shared" si="22"/>
        <v>0</v>
      </c>
      <c r="I84" s="48">
        <f t="shared" si="22"/>
        <v>0</v>
      </c>
      <c r="J84" s="48">
        <f t="shared" si="22"/>
        <v>0</v>
      </c>
      <c r="K84" s="48">
        <f t="shared" si="22"/>
        <v>0</v>
      </c>
      <c r="L84" s="48">
        <f t="shared" si="22"/>
        <v>0</v>
      </c>
      <c r="M84" s="48">
        <f t="shared" si="22"/>
        <v>0</v>
      </c>
      <c r="N84" s="48">
        <f t="shared" si="22"/>
        <v>2183775.0499999998</v>
      </c>
      <c r="O84" s="48">
        <f t="shared" ref="O84:AA84" si="23">+O71+O57+O80</f>
        <v>2152659.9900000002</v>
      </c>
      <c r="P84" s="48">
        <f t="shared" si="23"/>
        <v>2045227.33</v>
      </c>
      <c r="Q84" s="48">
        <f t="shared" si="23"/>
        <v>1935076.31</v>
      </c>
      <c r="R84" s="48">
        <f t="shared" si="23"/>
        <v>1868357.26</v>
      </c>
      <c r="S84" s="48">
        <f t="shared" si="23"/>
        <v>1727662.4200000002</v>
      </c>
      <c r="T84" s="48">
        <f t="shared" si="23"/>
        <v>1712189.8599999999</v>
      </c>
      <c r="U84" s="48">
        <f t="shared" si="23"/>
        <v>1016703.5299999999</v>
      </c>
      <c r="V84" s="48">
        <f t="shared" si="23"/>
        <v>626063.63</v>
      </c>
      <c r="W84" s="48">
        <f t="shared" si="23"/>
        <v>599512.85</v>
      </c>
      <c r="X84" s="48">
        <f t="shared" si="23"/>
        <v>597162.23</v>
      </c>
      <c r="Y84" s="48">
        <f t="shared" si="23"/>
        <v>563804.18999999994</v>
      </c>
      <c r="Z84" s="48">
        <f t="shared" si="23"/>
        <v>551743.18999999994</v>
      </c>
      <c r="AA84" s="48">
        <f t="shared" si="23"/>
        <v>537143.03</v>
      </c>
      <c r="AB84" s="49"/>
      <c r="AC84" s="48">
        <v>329568.72000000003</v>
      </c>
      <c r="AD84" s="48">
        <f>+AD71+AD57+AD80</f>
        <v>483904.60000000003</v>
      </c>
      <c r="AJ84" s="54"/>
    </row>
    <row r="85" spans="1:36" ht="15">
      <c r="B85" s="25"/>
      <c r="C85" s="25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108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108"/>
      <c r="AB85" s="46"/>
      <c r="AC85" s="46"/>
      <c r="AD85" s="46"/>
    </row>
    <row r="86" spans="1:36" ht="15">
      <c r="B86" s="25"/>
      <c r="C86" s="25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108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108"/>
      <c r="AB86" s="46"/>
      <c r="AC86" s="46"/>
      <c r="AD86" s="46"/>
    </row>
    <row r="87" spans="1:36">
      <c r="B87" s="19" t="s">
        <v>147</v>
      </c>
      <c r="C87" s="19"/>
      <c r="D87" s="48">
        <f t="shared" ref="D87:N87" si="24">+D84+D54</f>
        <v>0</v>
      </c>
      <c r="E87" s="48">
        <f t="shared" si="24"/>
        <v>0</v>
      </c>
      <c r="F87" s="48">
        <f t="shared" si="24"/>
        <v>0</v>
      </c>
      <c r="G87" s="48">
        <f t="shared" si="24"/>
        <v>0</v>
      </c>
      <c r="H87" s="48">
        <f t="shared" si="24"/>
        <v>0</v>
      </c>
      <c r="I87" s="48">
        <f t="shared" si="24"/>
        <v>0</v>
      </c>
      <c r="J87" s="48">
        <f t="shared" si="24"/>
        <v>0</v>
      </c>
      <c r="K87" s="48">
        <f t="shared" si="24"/>
        <v>0</v>
      </c>
      <c r="L87" s="48">
        <f t="shared" si="24"/>
        <v>0</v>
      </c>
      <c r="M87" s="48">
        <f t="shared" si="24"/>
        <v>0</v>
      </c>
      <c r="N87" s="48">
        <f t="shared" si="24"/>
        <v>122005982.8</v>
      </c>
      <c r="O87" s="48">
        <f t="shared" ref="O87:AA87" si="25">+O84+O54</f>
        <v>104328601.67</v>
      </c>
      <c r="P87" s="48">
        <f t="shared" si="25"/>
        <v>97053783.209999993</v>
      </c>
      <c r="Q87" s="48">
        <f t="shared" si="25"/>
        <v>84803493.569999993</v>
      </c>
      <c r="R87" s="48">
        <f t="shared" si="25"/>
        <v>83322048.510000005</v>
      </c>
      <c r="S87" s="48">
        <f t="shared" si="25"/>
        <v>75953028.769999996</v>
      </c>
      <c r="T87" s="48">
        <f t="shared" si="25"/>
        <v>73453557.340000004</v>
      </c>
      <c r="U87" s="48">
        <f t="shared" si="25"/>
        <v>73978043.069999993</v>
      </c>
      <c r="V87" s="48">
        <f t="shared" si="25"/>
        <v>68612221.709999993</v>
      </c>
      <c r="W87" s="48">
        <f t="shared" si="25"/>
        <v>66208515.520000003</v>
      </c>
      <c r="X87" s="48">
        <f t="shared" si="25"/>
        <v>65488027.589999996</v>
      </c>
      <c r="Y87" s="48">
        <f t="shared" si="25"/>
        <v>62406060.280000001</v>
      </c>
      <c r="Z87" s="48">
        <f t="shared" si="25"/>
        <v>62084848.799999997</v>
      </c>
      <c r="AA87" s="48">
        <f t="shared" si="25"/>
        <v>50841769.649999999</v>
      </c>
      <c r="AB87" s="49"/>
      <c r="AC87" s="48">
        <v>30324625.859999996</v>
      </c>
      <c r="AD87" s="48">
        <f>+AD84+AD54</f>
        <v>51374713.130000003</v>
      </c>
      <c r="AF87" s="54"/>
      <c r="AG87" s="54">
        <f>AE87-AF87</f>
        <v>0</v>
      </c>
      <c r="AI87" s="2"/>
      <c r="AJ87" s="54"/>
    </row>
    <row r="88" spans="1:36" ht="15">
      <c r="B88" s="25"/>
      <c r="C88" s="25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108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108"/>
      <c r="AB88" s="46"/>
      <c r="AC88" s="46"/>
      <c r="AD88" s="46"/>
      <c r="AI88" s="31"/>
    </row>
    <row r="89" spans="1:36" ht="15">
      <c r="B89" s="25"/>
      <c r="C89" s="25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I89" s="31"/>
    </row>
    <row r="90" spans="1:36" ht="16.2" thickBot="1">
      <c r="B90" s="28" t="s">
        <v>148</v>
      </c>
      <c r="C90" s="28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110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110"/>
      <c r="AB90" s="46"/>
      <c r="AC90" s="51"/>
      <c r="AD90" s="51"/>
    </row>
    <row r="91" spans="1:36" ht="15.6">
      <c r="B91" s="29"/>
      <c r="C91" s="29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108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108"/>
      <c r="AB91" s="46"/>
      <c r="AC91" s="46"/>
      <c r="AD91" s="46"/>
    </row>
    <row r="92" spans="1:36" s="69" customFormat="1">
      <c r="A92" s="68"/>
      <c r="B92" s="19" t="s">
        <v>149</v>
      </c>
      <c r="C92" s="19"/>
      <c r="D92" s="48">
        <f t="shared" ref="D92:AA92" si="26">SUM(D93:D114)</f>
        <v>0</v>
      </c>
      <c r="E92" s="48">
        <f t="shared" si="26"/>
        <v>0</v>
      </c>
      <c r="F92" s="48">
        <f t="shared" si="26"/>
        <v>0</v>
      </c>
      <c r="G92" s="48">
        <f t="shared" si="26"/>
        <v>0</v>
      </c>
      <c r="H92" s="48">
        <f t="shared" si="26"/>
        <v>0</v>
      </c>
      <c r="I92" s="48">
        <f t="shared" si="26"/>
        <v>0</v>
      </c>
      <c r="J92" s="48">
        <f t="shared" si="26"/>
        <v>0</v>
      </c>
      <c r="K92" s="48">
        <f t="shared" si="26"/>
        <v>0</v>
      </c>
      <c r="L92" s="48">
        <f t="shared" si="26"/>
        <v>0</v>
      </c>
      <c r="M92" s="48">
        <f t="shared" si="26"/>
        <v>0</v>
      </c>
      <c r="N92" s="48">
        <f t="shared" si="26"/>
        <v>19156427.91</v>
      </c>
      <c r="O92" s="48">
        <f t="shared" si="26"/>
        <v>12250030.66</v>
      </c>
      <c r="P92" s="48">
        <f t="shared" si="26"/>
        <v>15294276.08</v>
      </c>
      <c r="Q92" s="48">
        <f t="shared" si="26"/>
        <v>12544478.950000001</v>
      </c>
      <c r="R92" s="48">
        <f t="shared" si="26"/>
        <v>10851564.100000001</v>
      </c>
      <c r="S92" s="48">
        <f t="shared" si="26"/>
        <v>10833000.34</v>
      </c>
      <c r="T92" s="48">
        <f t="shared" si="26"/>
        <v>7881045.4399999995</v>
      </c>
      <c r="U92" s="48">
        <f t="shared" si="26"/>
        <v>7969250.71</v>
      </c>
      <c r="V92" s="48">
        <f t="shared" si="26"/>
        <v>6624710.9400000004</v>
      </c>
      <c r="W92" s="48">
        <f t="shared" si="26"/>
        <v>3511802.7900000005</v>
      </c>
      <c r="X92" s="48">
        <f t="shared" si="26"/>
        <v>3328670.89</v>
      </c>
      <c r="Y92" s="48">
        <f t="shared" si="26"/>
        <v>1743199.13</v>
      </c>
      <c r="Z92" s="48">
        <f t="shared" si="26"/>
        <v>1723429.6299999997</v>
      </c>
      <c r="AA92" s="48">
        <f t="shared" si="26"/>
        <v>1130334.27</v>
      </c>
      <c r="AB92" s="49"/>
      <c r="AC92" s="48">
        <v>1472393.06</v>
      </c>
      <c r="AD92" s="48">
        <f>SUM(AD93:AD113)</f>
        <v>1665946.2999999998</v>
      </c>
      <c r="AE92" s="31"/>
      <c r="AF92" s="71"/>
    </row>
    <row r="93" spans="1:36" outlineLevel="1">
      <c r="B93" s="16" t="s">
        <v>150</v>
      </c>
      <c r="C93" s="16" t="s">
        <v>624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>
        <v>5902.9</v>
      </c>
      <c r="O93" s="107">
        <v>5902.9</v>
      </c>
      <c r="P93" s="45">
        <v>5902.9</v>
      </c>
      <c r="Q93" s="45">
        <v>5902.9</v>
      </c>
      <c r="R93" s="45">
        <v>5902.9</v>
      </c>
      <c r="S93" s="45">
        <v>5902.9</v>
      </c>
      <c r="T93" s="45">
        <v>5902.9</v>
      </c>
      <c r="U93" s="45">
        <v>5902.9</v>
      </c>
      <c r="V93" s="45">
        <v>5902.9</v>
      </c>
      <c r="W93" s="45">
        <v>5902.9</v>
      </c>
      <c r="X93" s="45">
        <f>Y93</f>
        <v>45000</v>
      </c>
      <c r="Y93" s="45">
        <v>45000</v>
      </c>
      <c r="Z93" s="45">
        <v>45000</v>
      </c>
      <c r="AA93" s="107">
        <v>45000</v>
      </c>
      <c r="AB93" s="45"/>
      <c r="AC93" s="45">
        <v>75000</v>
      </c>
      <c r="AD93" s="45">
        <v>0</v>
      </c>
      <c r="AF93" s="54"/>
    </row>
    <row r="94" spans="1:36" outlineLevel="1">
      <c r="B94" s="16" t="s">
        <v>151</v>
      </c>
      <c r="C94" s="16" t="str">
        <f t="shared" ref="C94:C101" si="27">B94</f>
        <v>Misc. Payables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>
        <v>0</v>
      </c>
      <c r="O94" s="107">
        <v>0</v>
      </c>
      <c r="P94" s="45">
        <v>0</v>
      </c>
      <c r="Q94" s="45">
        <v>0</v>
      </c>
      <c r="R94" s="45">
        <v>0</v>
      </c>
      <c r="S94" s="45">
        <v>0</v>
      </c>
      <c r="T94" s="45">
        <v>0</v>
      </c>
      <c r="U94" s="45">
        <v>0</v>
      </c>
      <c r="V94" s="45">
        <v>0</v>
      </c>
      <c r="W94" s="45">
        <v>158987.5</v>
      </c>
      <c r="X94" s="45">
        <v>158987.5</v>
      </c>
      <c r="Y94" s="45">
        <v>158987.5</v>
      </c>
      <c r="Z94" s="45">
        <v>158987.5</v>
      </c>
      <c r="AA94" s="107">
        <v>158987.5</v>
      </c>
      <c r="AB94" s="45"/>
      <c r="AC94" s="45">
        <v>158987.5</v>
      </c>
      <c r="AD94" s="45">
        <v>158987.5</v>
      </c>
      <c r="AF94" s="54"/>
    </row>
    <row r="95" spans="1:36" outlineLevel="1">
      <c r="B95" s="16" t="s">
        <v>152</v>
      </c>
      <c r="C95" s="16" t="str">
        <f t="shared" si="27"/>
        <v>Consultancy Fee Payable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>
        <v>0</v>
      </c>
      <c r="O95" s="107">
        <v>0</v>
      </c>
      <c r="P95" s="45">
        <v>0</v>
      </c>
      <c r="Q95" s="45">
        <v>0</v>
      </c>
      <c r="R95" s="45">
        <v>0</v>
      </c>
      <c r="S95" s="45">
        <v>0</v>
      </c>
      <c r="T95" s="45">
        <v>0</v>
      </c>
      <c r="U95" s="45">
        <v>0</v>
      </c>
      <c r="V95" s="45">
        <v>0</v>
      </c>
      <c r="W95" s="45"/>
      <c r="X95" s="45"/>
      <c r="Y95" s="45"/>
      <c r="Z95" s="45"/>
      <c r="AA95" s="45"/>
      <c r="AB95" s="45"/>
      <c r="AC95" s="45"/>
      <c r="AD95"/>
      <c r="AF95" s="54"/>
    </row>
    <row r="96" spans="1:36" outlineLevel="1">
      <c r="B96" s="16" t="s">
        <v>153</v>
      </c>
      <c r="C96" s="16" t="str">
        <f t="shared" si="27"/>
        <v>Other Payables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>
        <v>127255.97</v>
      </c>
      <c r="O96" s="107">
        <v>262755.28000000003</v>
      </c>
      <c r="P96" s="45">
        <f>214241.23+35000</f>
        <v>249241.23</v>
      </c>
      <c r="Q96" s="45">
        <v>193897.54</v>
      </c>
      <c r="R96" s="45">
        <v>183785.76</v>
      </c>
      <c r="S96" s="45">
        <v>183574.57</v>
      </c>
      <c r="T96" s="45">
        <v>100165.03</v>
      </c>
      <c r="U96" s="45">
        <v>128246.38</v>
      </c>
      <c r="V96" s="45">
        <v>166750.07999999999</v>
      </c>
      <c r="W96" s="45">
        <v>152279.57999999999</v>
      </c>
      <c r="X96" s="45">
        <v>244959.08</v>
      </c>
      <c r="Y96" s="45">
        <v>186045.58</v>
      </c>
      <c r="Z96" s="45">
        <v>186226.96</v>
      </c>
      <c r="AA96" s="107">
        <v>182694.27</v>
      </c>
      <c r="AB96" s="45"/>
      <c r="AC96" s="45"/>
      <c r="AD96" s="45">
        <v>139840</v>
      </c>
      <c r="AF96" s="54"/>
    </row>
    <row r="97" spans="2:32" outlineLevel="1">
      <c r="B97" s="16" t="s">
        <v>154</v>
      </c>
      <c r="C97" s="16" t="str">
        <f t="shared" si="27"/>
        <v>Unearned Revenue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>
        <v>13725.11</v>
      </c>
      <c r="O97" s="107">
        <v>13724.88</v>
      </c>
      <c r="P97" s="45">
        <v>13723.45</v>
      </c>
      <c r="Q97" s="45">
        <v>13720.72</v>
      </c>
      <c r="R97" s="45">
        <v>13717.4</v>
      </c>
      <c r="S97" s="45">
        <v>12329.04</v>
      </c>
      <c r="T97" s="45">
        <v>262324.38</v>
      </c>
      <c r="U97" s="45">
        <v>12324.64</v>
      </c>
      <c r="V97" s="45">
        <v>12270.48</v>
      </c>
      <c r="W97" s="45">
        <v>10547.36</v>
      </c>
      <c r="X97" s="45">
        <v>10546.47</v>
      </c>
      <c r="Y97" s="45">
        <v>10544.82</v>
      </c>
      <c r="Z97" s="45">
        <v>10543.5</v>
      </c>
      <c r="AA97" s="107">
        <v>-100.96</v>
      </c>
      <c r="AB97" s="45"/>
      <c r="AC97" s="45">
        <v>0.35</v>
      </c>
      <c r="AD97" s="45">
        <v>1373.79</v>
      </c>
      <c r="AF97" s="54"/>
    </row>
    <row r="98" spans="2:32" outlineLevel="1">
      <c r="B98" s="16" t="s">
        <v>155</v>
      </c>
      <c r="C98" s="16" t="str">
        <f t="shared" si="27"/>
        <v>Employee Payable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>
        <v>0</v>
      </c>
      <c r="O98" s="107">
        <v>0</v>
      </c>
      <c r="P98" s="45">
        <v>0</v>
      </c>
      <c r="Q98" s="45">
        <v>0</v>
      </c>
      <c r="R98" s="45">
        <v>0</v>
      </c>
      <c r="S98" s="45">
        <v>0</v>
      </c>
      <c r="T98" s="45">
        <v>0</v>
      </c>
      <c r="U98" s="45">
        <v>0</v>
      </c>
      <c r="V98" s="45">
        <v>0</v>
      </c>
      <c r="W98" s="45">
        <v>0</v>
      </c>
      <c r="X98" s="45">
        <v>0</v>
      </c>
      <c r="Y98" s="45">
        <v>0</v>
      </c>
      <c r="Z98" s="45">
        <v>0</v>
      </c>
      <c r="AA98" s="107">
        <v>0</v>
      </c>
      <c r="AB98" s="45"/>
      <c r="AC98" s="45">
        <v>616.48</v>
      </c>
      <c r="AD98" s="45">
        <v>0</v>
      </c>
      <c r="AF98" s="54"/>
    </row>
    <row r="99" spans="2:32" outlineLevel="1">
      <c r="B99" s="16" t="s">
        <v>156</v>
      </c>
      <c r="C99" s="16" t="str">
        <f t="shared" si="27"/>
        <v>Employee Allowance Payable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>
        <v>4700</v>
      </c>
      <c r="O99" s="107">
        <v>4700</v>
      </c>
      <c r="P99" s="45">
        <v>4000</v>
      </c>
      <c r="Q99" s="45">
        <v>0</v>
      </c>
      <c r="R99" s="45">
        <v>5409.68</v>
      </c>
      <c r="S99" s="45">
        <v>4700</v>
      </c>
      <c r="T99" s="45">
        <v>4700</v>
      </c>
      <c r="U99" s="45">
        <v>4200</v>
      </c>
      <c r="V99" s="45">
        <v>4200</v>
      </c>
      <c r="W99" s="45">
        <v>0</v>
      </c>
      <c r="X99" s="45">
        <v>0</v>
      </c>
      <c r="Y99" s="45">
        <v>0</v>
      </c>
      <c r="Z99" s="45">
        <v>4900</v>
      </c>
      <c r="AA99" s="107">
        <v>0</v>
      </c>
      <c r="AB99" s="45"/>
      <c r="AC99" s="45"/>
      <c r="AD99" s="45"/>
      <c r="AF99" s="54"/>
    </row>
    <row r="100" spans="2:32" outlineLevel="1">
      <c r="B100" s="16" t="s">
        <v>157</v>
      </c>
      <c r="C100" s="16" t="str">
        <f t="shared" si="27"/>
        <v>Accounts Payable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>
        <v>1019882.83</v>
      </c>
      <c r="O100" s="107">
        <v>1077281.1599999999</v>
      </c>
      <c r="P100" s="45">
        <v>57047.14</v>
      </c>
      <c r="Q100" s="45">
        <v>259886.38</v>
      </c>
      <c r="R100" s="45">
        <v>57026.5</v>
      </c>
      <c r="S100" s="45">
        <v>82345.77</v>
      </c>
      <c r="T100" s="45">
        <v>709595.53</v>
      </c>
      <c r="U100" s="45">
        <v>94951.09</v>
      </c>
      <c r="V100" s="45">
        <v>185549.69</v>
      </c>
      <c r="W100" s="45">
        <v>282007.45</v>
      </c>
      <c r="X100" s="45">
        <v>246996.89</v>
      </c>
      <c r="Y100" s="45">
        <v>565016.32999999996</v>
      </c>
      <c r="Z100" s="45">
        <v>566378.49</v>
      </c>
      <c r="AA100" s="107">
        <v>337658.79</v>
      </c>
      <c r="AB100" s="45"/>
      <c r="AC100" s="45">
        <v>0</v>
      </c>
      <c r="AD100" s="45">
        <v>877017.06</v>
      </c>
      <c r="AF100" s="54"/>
    </row>
    <row r="101" spans="2:32" outlineLevel="1">
      <c r="B101" s="16" t="s">
        <v>158</v>
      </c>
      <c r="C101" s="16" t="str">
        <f t="shared" si="27"/>
        <v>Accrued Expenses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>
        <v>0</v>
      </c>
      <c r="O101" s="107">
        <v>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107"/>
      <c r="AB101" s="45"/>
      <c r="AC101" s="45"/>
      <c r="AD101" s="45">
        <v>25866.83</v>
      </c>
      <c r="AF101" s="54"/>
    </row>
    <row r="102" spans="2:32" outlineLevel="1">
      <c r="B102" s="16" t="s">
        <v>159</v>
      </c>
      <c r="C102" s="16" t="s">
        <v>562</v>
      </c>
      <c r="D102" s="45"/>
      <c r="E102" s="12"/>
      <c r="F102" s="45"/>
      <c r="G102" s="45"/>
      <c r="H102" s="45"/>
      <c r="I102" s="45"/>
      <c r="J102" s="45"/>
      <c r="K102" s="45"/>
      <c r="L102" s="45"/>
      <c r="M102" s="45"/>
      <c r="N102" s="45">
        <v>1.78</v>
      </c>
      <c r="O102" s="107">
        <v>149172</v>
      </c>
      <c r="P102" s="45">
        <v>1.45</v>
      </c>
      <c r="Q102" s="12">
        <v>566220.41</v>
      </c>
      <c r="R102" s="45">
        <v>314646.46000000002</v>
      </c>
      <c r="S102" s="45">
        <v>521945.53</v>
      </c>
      <c r="T102" s="45">
        <v>143546.60999999999</v>
      </c>
      <c r="U102" s="45">
        <v>538204.98</v>
      </c>
      <c r="V102" s="45">
        <v>623802.37</v>
      </c>
      <c r="W102" s="45">
        <v>296852.7</v>
      </c>
      <c r="X102" s="45">
        <v>422673.48</v>
      </c>
      <c r="Y102" s="45">
        <v>572259.43999999994</v>
      </c>
      <c r="Z102" s="45">
        <v>506512.24</v>
      </c>
      <c r="AA102" s="107">
        <v>158790.34</v>
      </c>
      <c r="AB102" s="45"/>
      <c r="AC102" s="45">
        <v>317117.71000000002</v>
      </c>
      <c r="AD102" s="12">
        <v>129870.78</v>
      </c>
      <c r="AF102" s="54"/>
    </row>
    <row r="103" spans="2:32" outlineLevel="1">
      <c r="B103" s="16" t="s">
        <v>160</v>
      </c>
      <c r="C103" s="16" t="str">
        <f t="shared" ref="C103:C105" si="28">B103</f>
        <v>Accrued Investor Profit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>
        <v>0</v>
      </c>
      <c r="O103" s="107">
        <v>0</v>
      </c>
      <c r="P103" s="45">
        <v>0</v>
      </c>
      <c r="Q103" s="45">
        <v>0</v>
      </c>
      <c r="R103" s="45">
        <v>0</v>
      </c>
      <c r="S103" s="45">
        <v>0</v>
      </c>
      <c r="T103" s="45">
        <v>0</v>
      </c>
      <c r="U103" s="45">
        <v>0</v>
      </c>
      <c r="V103" s="45">
        <v>0</v>
      </c>
      <c r="W103" s="45">
        <v>9954</v>
      </c>
      <c r="X103" s="45">
        <v>66292.27</v>
      </c>
      <c r="Y103" s="45">
        <v>66292.27</v>
      </c>
      <c r="Z103" s="45">
        <v>66292.27</v>
      </c>
      <c r="AA103" s="107">
        <v>66292.27</v>
      </c>
      <c r="AB103" s="45"/>
      <c r="AC103" s="45">
        <v>310223.26</v>
      </c>
      <c r="AD103" s="45">
        <v>119793.9</v>
      </c>
      <c r="AF103" s="54"/>
    </row>
    <row r="104" spans="2:32" outlineLevel="1">
      <c r="B104" s="16" t="s">
        <v>161</v>
      </c>
      <c r="C104" s="16" t="str">
        <f t="shared" si="28"/>
        <v>Accrued Investor Profit (Unrealized)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>
        <v>0</v>
      </c>
      <c r="O104" s="107">
        <v>0</v>
      </c>
      <c r="P104" s="45">
        <v>0</v>
      </c>
      <c r="Q104" s="45">
        <v>0</v>
      </c>
      <c r="R104" s="45">
        <v>0</v>
      </c>
      <c r="S104" s="45">
        <v>0</v>
      </c>
      <c r="T104" s="45">
        <v>0</v>
      </c>
      <c r="U104" s="45">
        <v>0</v>
      </c>
      <c r="V104" s="45">
        <v>0</v>
      </c>
      <c r="W104" s="45">
        <v>0</v>
      </c>
      <c r="X104" s="45">
        <v>0</v>
      </c>
      <c r="Y104" s="45">
        <v>0</v>
      </c>
      <c r="Z104" s="45">
        <v>0</v>
      </c>
      <c r="AA104" s="107">
        <v>0</v>
      </c>
      <c r="AB104" s="45"/>
      <c r="AC104" s="45"/>
      <c r="AD104" s="45"/>
      <c r="AF104" s="54"/>
    </row>
    <row r="105" spans="2:32" outlineLevel="1">
      <c r="B105" s="16" t="s">
        <v>612</v>
      </c>
      <c r="C105" s="16" t="str">
        <f t="shared" si="28"/>
        <v>Leave Air Fare Payable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>
        <v>0</v>
      </c>
      <c r="O105" s="107">
        <v>0</v>
      </c>
      <c r="P105" s="45">
        <v>7350</v>
      </c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107"/>
      <c r="AB105" s="45"/>
      <c r="AC105" s="45"/>
      <c r="AD105" s="45"/>
      <c r="AF105" s="54"/>
    </row>
    <row r="106" spans="2:32" outlineLevel="1">
      <c r="B106" s="16" t="s">
        <v>162</v>
      </c>
      <c r="C106" s="16" t="s">
        <v>572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>
        <v>264025.03999999998</v>
      </c>
      <c r="O106" s="107">
        <v>264025.03999999998</v>
      </c>
      <c r="P106" s="45">
        <v>264025.03999999998</v>
      </c>
      <c r="Q106" s="45">
        <v>5857.26</v>
      </c>
      <c r="R106" s="45">
        <v>10798.26</v>
      </c>
      <c r="S106" s="45">
        <v>16746.96</v>
      </c>
      <c r="T106" s="45">
        <v>16746.96</v>
      </c>
      <c r="U106" s="45">
        <v>28646.959999999999</v>
      </c>
      <c r="V106" s="45">
        <v>41530.959999999999</v>
      </c>
      <c r="W106" s="45">
        <v>44774.96</v>
      </c>
      <c r="X106" s="45">
        <v>44774.96</v>
      </c>
      <c r="Y106" s="45">
        <v>44774.96</v>
      </c>
      <c r="Z106" s="45">
        <v>47874.96</v>
      </c>
      <c r="AA106" s="107">
        <v>47874.96</v>
      </c>
      <c r="AB106" s="45"/>
      <c r="AC106" s="45"/>
      <c r="AD106" s="45">
        <v>47874.96</v>
      </c>
      <c r="AF106" s="54"/>
    </row>
    <row r="107" spans="2:32" outlineLevel="1">
      <c r="B107" s="16" t="s">
        <v>163</v>
      </c>
      <c r="C107" s="16" t="s">
        <v>278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>
        <v>449984.14</v>
      </c>
      <c r="O107" s="107">
        <v>9300.17</v>
      </c>
      <c r="P107" s="45">
        <v>50000.17</v>
      </c>
      <c r="Q107" s="45">
        <v>20000.169999999998</v>
      </c>
      <c r="R107" s="45">
        <v>0.18</v>
      </c>
      <c r="S107" s="45">
        <v>5000.17</v>
      </c>
      <c r="T107" s="45">
        <v>0.18</v>
      </c>
      <c r="U107" s="45">
        <v>37833.51</v>
      </c>
      <c r="V107" s="45">
        <v>0.17</v>
      </c>
      <c r="W107" s="45">
        <v>15000.17</v>
      </c>
      <c r="X107" s="45">
        <v>19318.34</v>
      </c>
      <c r="Y107" s="45">
        <f>17970.88-17970.71</f>
        <v>0.17000000000189175</v>
      </c>
      <c r="Z107" s="45">
        <v>0.17</v>
      </c>
      <c r="AA107" s="107">
        <v>0.15</v>
      </c>
      <c r="AB107" s="45"/>
      <c r="AC107" s="45">
        <v>2237.5</v>
      </c>
      <c r="AD107" s="45">
        <v>31871.18</v>
      </c>
      <c r="AF107" s="54"/>
    </row>
    <row r="108" spans="2:32" outlineLevel="1">
      <c r="B108" s="16" t="s">
        <v>164</v>
      </c>
      <c r="C108" s="16" t="str">
        <f t="shared" ref="C108:C111" si="29">B108</f>
        <v>Accrued COGS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>
        <v>14784289.710000001</v>
      </c>
      <c r="O108" s="107">
        <v>10439671.890000001</v>
      </c>
      <c r="P108" s="45">
        <v>11582143.859999999</v>
      </c>
      <c r="Q108" s="45">
        <v>11451308.33</v>
      </c>
      <c r="R108" s="45">
        <v>10231117.65</v>
      </c>
      <c r="S108" s="45">
        <v>9971471.7300000004</v>
      </c>
      <c r="T108" s="45">
        <v>6609166.6299999999</v>
      </c>
      <c r="U108" s="45">
        <v>7097296.8200000003</v>
      </c>
      <c r="V108" s="45">
        <v>5564391.4800000004</v>
      </c>
      <c r="W108" s="45">
        <v>2516415.7200000002</v>
      </c>
      <c r="X108" s="45">
        <v>1977692.64</v>
      </c>
      <c r="Y108" s="45"/>
      <c r="Z108" s="45"/>
      <c r="AA108" s="107"/>
      <c r="AB108" s="45"/>
      <c r="AC108" s="45"/>
      <c r="AD108" s="45"/>
      <c r="AF108" s="54"/>
    </row>
    <row r="109" spans="2:32" outlineLevel="1">
      <c r="B109" s="16" t="s">
        <v>165</v>
      </c>
      <c r="C109" s="16" t="str">
        <f t="shared" si="29"/>
        <v>Output VAT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>
        <v>2463674.94</v>
      </c>
      <c r="O109" s="107">
        <v>0</v>
      </c>
      <c r="P109" s="45">
        <v>3039744.24</v>
      </c>
      <c r="Q109" s="45">
        <v>0</v>
      </c>
      <c r="R109" s="45">
        <v>0</v>
      </c>
      <c r="S109" s="45">
        <v>0</v>
      </c>
      <c r="T109" s="45">
        <v>0</v>
      </c>
      <c r="U109" s="45">
        <v>0</v>
      </c>
      <c r="V109" s="45">
        <v>0</v>
      </c>
      <c r="W109" s="45">
        <v>0</v>
      </c>
      <c r="X109" s="45">
        <v>73342.559999999998</v>
      </c>
      <c r="Y109" s="45">
        <v>73342.559999999998</v>
      </c>
      <c r="Z109" s="45">
        <v>73342.45</v>
      </c>
      <c r="AA109" s="107">
        <v>73342.41</v>
      </c>
      <c r="AB109" s="45"/>
      <c r="AC109" s="45">
        <v>65677.87</v>
      </c>
      <c r="AD109" s="45">
        <v>73342.41</v>
      </c>
      <c r="AF109" s="54"/>
    </row>
    <row r="110" spans="2:32" outlineLevel="1">
      <c r="B110" s="16" t="s">
        <v>166</v>
      </c>
      <c r="C110" s="16" t="str">
        <f t="shared" si="29"/>
        <v>GOSI Payable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>
        <v>22974.49</v>
      </c>
      <c r="O110" s="107">
        <v>23486.34</v>
      </c>
      <c r="P110" s="45">
        <v>21085.599999999999</v>
      </c>
      <c r="Q110" s="45">
        <v>27674.240000000002</v>
      </c>
      <c r="R110" s="45">
        <v>29148.31</v>
      </c>
      <c r="S110" s="45">
        <v>28972.67</v>
      </c>
      <c r="T110" s="45">
        <v>28886.22</v>
      </c>
      <c r="U110" s="45">
        <v>21632.43</v>
      </c>
      <c r="V110" s="45">
        <v>20301.810000000001</v>
      </c>
      <c r="W110" s="45">
        <v>19069.45</v>
      </c>
      <c r="X110" s="45">
        <v>18075.7</v>
      </c>
      <c r="Y110" s="45">
        <v>20924.5</v>
      </c>
      <c r="Z110" s="45">
        <v>26421.63</v>
      </c>
      <c r="AA110" s="107">
        <v>28845.08</v>
      </c>
      <c r="AB110" s="45"/>
      <c r="AC110" s="45">
        <v>6851.52</v>
      </c>
      <c r="AD110" s="45">
        <v>29169.43</v>
      </c>
      <c r="AF110" s="54"/>
    </row>
    <row r="111" spans="2:32" outlineLevel="1">
      <c r="B111" s="16" t="s">
        <v>167</v>
      </c>
      <c r="C111" s="16" t="str">
        <f t="shared" si="29"/>
        <v>Deferred Revenue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>
        <v>11</v>
      </c>
      <c r="O111" s="107">
        <v>11</v>
      </c>
      <c r="P111" s="45">
        <v>11</v>
      </c>
      <c r="Q111" s="45">
        <v>11</v>
      </c>
      <c r="R111" s="45">
        <v>11</v>
      </c>
      <c r="S111" s="45">
        <v>11</v>
      </c>
      <c r="T111" s="45">
        <v>11</v>
      </c>
      <c r="U111" s="45">
        <v>11</v>
      </c>
      <c r="V111" s="45">
        <v>11</v>
      </c>
      <c r="W111" s="45">
        <v>11</v>
      </c>
      <c r="X111" s="45">
        <v>11</v>
      </c>
      <c r="Y111" s="45">
        <v>11</v>
      </c>
      <c r="Z111" s="45">
        <v>11</v>
      </c>
      <c r="AA111" s="107">
        <v>11</v>
      </c>
      <c r="AB111" s="45"/>
      <c r="AC111" s="45"/>
      <c r="AD111" s="45"/>
      <c r="AF111" s="54"/>
    </row>
    <row r="112" spans="2:32" outlineLevel="1">
      <c r="B112" s="16" t="s">
        <v>168</v>
      </c>
      <c r="C112" s="16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>
        <v>0</v>
      </c>
      <c r="O112" s="107">
        <v>0</v>
      </c>
      <c r="P112" s="45">
        <v>0</v>
      </c>
      <c r="Q112" s="45"/>
      <c r="R112" s="45">
        <v>0</v>
      </c>
      <c r="S112" s="45">
        <v>0</v>
      </c>
      <c r="T112" s="45">
        <v>0</v>
      </c>
      <c r="U112" s="45">
        <v>0</v>
      </c>
      <c r="V112" s="45">
        <v>0</v>
      </c>
      <c r="W112" s="45">
        <v>0</v>
      </c>
      <c r="X112" s="45">
        <v>0</v>
      </c>
      <c r="Y112" s="45">
        <v>0</v>
      </c>
      <c r="Z112" s="45">
        <v>30938.46</v>
      </c>
      <c r="AA112" s="107">
        <v>30938.46</v>
      </c>
      <c r="AB112" s="45"/>
      <c r="AC112" s="45"/>
      <c r="AD112" s="45">
        <v>30938.46</v>
      </c>
      <c r="AF112" s="54"/>
    </row>
    <row r="113" spans="1:32">
      <c r="B113" s="16" t="s">
        <v>169</v>
      </c>
      <c r="C113" s="16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>
        <v>0</v>
      </c>
      <c r="O113" s="107">
        <v>0</v>
      </c>
      <c r="P113" s="45">
        <v>0</v>
      </c>
      <c r="Q113" s="45">
        <v>0</v>
      </c>
      <c r="R113" s="45">
        <v>0</v>
      </c>
      <c r="S113" s="45">
        <v>0</v>
      </c>
      <c r="T113" s="45">
        <v>0</v>
      </c>
      <c r="U113" s="45">
        <v>0</v>
      </c>
      <c r="V113" s="45">
        <v>0</v>
      </c>
      <c r="W113" s="45">
        <v>0</v>
      </c>
      <c r="X113" s="45">
        <v>0</v>
      </c>
      <c r="Y113" s="45">
        <v>0</v>
      </c>
      <c r="Z113" s="45"/>
      <c r="AA113" s="107">
        <v>0</v>
      </c>
      <c r="AB113" s="45"/>
      <c r="AC113" s="45"/>
      <c r="AD113" s="45">
        <v>0</v>
      </c>
      <c r="AF113" s="54"/>
    </row>
    <row r="114" spans="1:32">
      <c r="B114" s="14"/>
      <c r="C114" s="14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107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107"/>
      <c r="AB114" s="45"/>
      <c r="AC114" s="45"/>
      <c r="AD114" s="45"/>
    </row>
    <row r="115" spans="1:32" s="69" customFormat="1">
      <c r="A115" s="68"/>
      <c r="B115" s="19" t="s">
        <v>170</v>
      </c>
      <c r="C115" s="19"/>
      <c r="D115" s="48">
        <f t="shared" ref="D115:N115" si="30">SUM(D116:D124)</f>
        <v>0</v>
      </c>
      <c r="E115" s="48">
        <f t="shared" si="30"/>
        <v>0</v>
      </c>
      <c r="F115" s="48">
        <f t="shared" si="30"/>
        <v>0</v>
      </c>
      <c r="G115" s="48">
        <f t="shared" si="30"/>
        <v>0</v>
      </c>
      <c r="H115" s="48">
        <f t="shared" si="30"/>
        <v>0</v>
      </c>
      <c r="I115" s="48">
        <f t="shared" si="30"/>
        <v>0</v>
      </c>
      <c r="J115" s="48">
        <f t="shared" si="30"/>
        <v>0</v>
      </c>
      <c r="K115" s="48">
        <f t="shared" si="30"/>
        <v>0</v>
      </c>
      <c r="L115" s="48">
        <f t="shared" si="30"/>
        <v>0</v>
      </c>
      <c r="M115" s="48">
        <f t="shared" si="30"/>
        <v>0</v>
      </c>
      <c r="N115" s="48">
        <f t="shared" si="30"/>
        <v>63530189.840000004</v>
      </c>
      <c r="O115" s="48">
        <f>SUM(O116:O124)</f>
        <v>53237671.310000002</v>
      </c>
      <c r="P115" s="48">
        <f t="shared" ref="P115:AA115" si="31">SUM(P116:P124)</f>
        <v>43000000</v>
      </c>
      <c r="Q115" s="48">
        <f t="shared" si="31"/>
        <v>33000000</v>
      </c>
      <c r="R115" s="48">
        <f t="shared" si="31"/>
        <v>33000000</v>
      </c>
      <c r="S115" s="48">
        <f t="shared" si="31"/>
        <v>33000000</v>
      </c>
      <c r="T115" s="48">
        <f t="shared" si="31"/>
        <v>33030283.329999998</v>
      </c>
      <c r="U115" s="48">
        <f t="shared" si="31"/>
        <v>33030283.329999998</v>
      </c>
      <c r="V115" s="48">
        <f t="shared" si="31"/>
        <v>33000000</v>
      </c>
      <c r="W115" s="48">
        <f t="shared" si="31"/>
        <v>33030283.329999998</v>
      </c>
      <c r="X115" s="48">
        <f t="shared" si="31"/>
        <v>33030283.329999998</v>
      </c>
      <c r="Y115" s="48">
        <f t="shared" si="31"/>
        <v>33030283.329999998</v>
      </c>
      <c r="Z115" s="48">
        <f t="shared" si="31"/>
        <v>33030283.289999999</v>
      </c>
      <c r="AA115" s="48">
        <f t="shared" si="31"/>
        <v>22530283.309999999</v>
      </c>
      <c r="AB115" s="49"/>
      <c r="AC115" s="48">
        <v>2239362.44</v>
      </c>
      <c r="AD115" s="48">
        <f>SUM(AD116:AD124)</f>
        <v>22530283.309999999</v>
      </c>
      <c r="AE115" s="31"/>
    </row>
    <row r="116" spans="1:32" outlineLevel="1">
      <c r="B116" s="16" t="s">
        <v>171</v>
      </c>
      <c r="C116" s="16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107">
        <v>0</v>
      </c>
      <c r="P116" s="45">
        <v>0</v>
      </c>
      <c r="Q116" s="45">
        <v>0</v>
      </c>
      <c r="R116" s="45">
        <v>0</v>
      </c>
      <c r="S116" s="45">
        <v>0</v>
      </c>
      <c r="T116" s="45">
        <v>30283.33</v>
      </c>
      <c r="U116" s="45">
        <v>30283.33</v>
      </c>
      <c r="V116" s="45">
        <v>0</v>
      </c>
      <c r="W116" s="45">
        <v>30283.33</v>
      </c>
      <c r="X116" s="45">
        <v>30283.33</v>
      </c>
      <c r="Y116" s="45">
        <v>30283.33</v>
      </c>
      <c r="Z116" s="45">
        <v>30283.29</v>
      </c>
      <c r="AA116" s="107">
        <v>30283.31</v>
      </c>
      <c r="AB116" s="45"/>
      <c r="AC116" s="45">
        <v>33956.18</v>
      </c>
      <c r="AD116" s="45">
        <v>30283.31</v>
      </c>
      <c r="AF116" s="54"/>
    </row>
    <row r="117" spans="1:32" outlineLevel="1">
      <c r="B117" s="16" t="s">
        <v>172</v>
      </c>
      <c r="C117" s="16" t="s">
        <v>625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>
        <v>2000000</v>
      </c>
      <c r="O117" s="107">
        <v>2000000</v>
      </c>
      <c r="P117" s="45">
        <v>2000000</v>
      </c>
      <c r="Q117" s="45">
        <v>2000000</v>
      </c>
      <c r="R117" s="45">
        <v>2000000</v>
      </c>
      <c r="S117" s="45">
        <v>2000000</v>
      </c>
      <c r="T117" s="45">
        <v>2000000</v>
      </c>
      <c r="U117" s="45">
        <v>2000000</v>
      </c>
      <c r="V117" s="45">
        <v>2000000</v>
      </c>
      <c r="W117" s="45">
        <v>2000000</v>
      </c>
      <c r="X117" s="45">
        <f>Y117</f>
        <v>2000000</v>
      </c>
      <c r="Y117" s="45">
        <f>Z117</f>
        <v>2000000</v>
      </c>
      <c r="Z117" s="45">
        <f>AA117</f>
        <v>2000000</v>
      </c>
      <c r="AA117" s="107">
        <v>2000000</v>
      </c>
      <c r="AB117" s="45"/>
      <c r="AC117" s="45">
        <v>2205406.2599999998</v>
      </c>
      <c r="AD117" s="45">
        <v>2000000</v>
      </c>
      <c r="AF117" s="54"/>
    </row>
    <row r="118" spans="1:32" outlineLevel="1">
      <c r="B118" s="16" t="s">
        <v>173</v>
      </c>
      <c r="C118" s="16" t="str">
        <f t="shared" ref="C118:C119" si="32">B118</f>
        <v>Arbah Murabaha Facility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>
        <v>31000000</v>
      </c>
      <c r="O118" s="107">
        <v>31000000</v>
      </c>
      <c r="P118" s="45">
        <v>31000000</v>
      </c>
      <c r="Q118" s="45">
        <v>31000000</v>
      </c>
      <c r="R118" s="45">
        <v>31000000</v>
      </c>
      <c r="S118" s="45">
        <v>31000000</v>
      </c>
      <c r="T118" s="45">
        <v>31000000</v>
      </c>
      <c r="U118" s="45">
        <v>31000000</v>
      </c>
      <c r="V118" s="45">
        <v>31000000</v>
      </c>
      <c r="W118" s="45">
        <v>31000000</v>
      </c>
      <c r="X118" s="45">
        <v>31000000</v>
      </c>
      <c r="Y118" s="45">
        <v>31000000</v>
      </c>
      <c r="Z118" s="45">
        <v>31000000</v>
      </c>
      <c r="AA118" s="107">
        <v>20500000</v>
      </c>
      <c r="AB118" s="45"/>
      <c r="AC118" s="45"/>
      <c r="AD118" s="45">
        <v>20500000</v>
      </c>
      <c r="AF118" s="54"/>
    </row>
    <row r="119" spans="1:32" outlineLevel="1">
      <c r="B119" s="16" t="s">
        <v>609</v>
      </c>
      <c r="C119" s="16" t="str">
        <f t="shared" si="32"/>
        <v>SIDF Loan Facility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>
        <v>30000000</v>
      </c>
      <c r="O119" s="107">
        <v>20000000</v>
      </c>
      <c r="P119" s="45">
        <v>10000000</v>
      </c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107"/>
      <c r="AB119" s="45"/>
      <c r="AC119" s="45"/>
      <c r="AD119" s="45"/>
      <c r="AF119" s="54"/>
    </row>
    <row r="120" spans="1:32" outlineLevel="1">
      <c r="B120" s="16" t="s">
        <v>597</v>
      </c>
      <c r="C120" s="16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>
        <v>0</v>
      </c>
      <c r="O120" s="107">
        <v>0</v>
      </c>
      <c r="P120" s="45">
        <v>0</v>
      </c>
      <c r="Q120" s="45">
        <v>0</v>
      </c>
      <c r="R120" s="45">
        <v>0</v>
      </c>
      <c r="S120" s="45"/>
      <c r="T120" s="45"/>
      <c r="U120" s="45"/>
      <c r="V120" s="45"/>
      <c r="W120" s="45"/>
      <c r="X120" s="45"/>
      <c r="Y120" s="45"/>
      <c r="Z120" s="45"/>
      <c r="AA120" s="107"/>
      <c r="AB120" s="45"/>
      <c r="AC120" s="45"/>
      <c r="AD120" s="45"/>
      <c r="AF120" s="54"/>
    </row>
    <row r="121" spans="1:32" outlineLevel="1">
      <c r="B121" s="16" t="s">
        <v>552</v>
      </c>
      <c r="C121" s="16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>
        <v>0</v>
      </c>
      <c r="O121" s="107">
        <v>0</v>
      </c>
      <c r="P121" s="45">
        <v>0</v>
      </c>
      <c r="Q121" s="45">
        <v>0</v>
      </c>
      <c r="R121" s="45">
        <v>0</v>
      </c>
      <c r="S121" s="45">
        <v>0</v>
      </c>
      <c r="T121" s="45">
        <v>0</v>
      </c>
      <c r="U121" s="45">
        <v>0</v>
      </c>
      <c r="V121" s="45">
        <v>0</v>
      </c>
      <c r="W121" s="45"/>
      <c r="X121" s="45"/>
      <c r="Y121" s="45"/>
      <c r="Z121" s="45"/>
      <c r="AA121" s="107"/>
      <c r="AB121" s="45"/>
      <c r="AC121" s="45"/>
      <c r="AD121" s="45"/>
      <c r="AF121" s="54"/>
    </row>
    <row r="122" spans="1:32" outlineLevel="1">
      <c r="B122" s="16" t="s">
        <v>607</v>
      </c>
      <c r="C122" s="16" t="str">
        <f t="shared" ref="C122:C123" si="33">B122</f>
        <v>Profit Payable (SIDF)-Current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>
        <v>258449.1</v>
      </c>
      <c r="O122" s="107">
        <v>115856.5</v>
      </c>
      <c r="P122" s="45">
        <v>0</v>
      </c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107"/>
      <c r="AB122" s="45"/>
      <c r="AC122" s="45"/>
      <c r="AD122" s="45"/>
      <c r="AF122" s="54"/>
    </row>
    <row r="123" spans="1:32" outlineLevel="1">
      <c r="B123" s="16" t="s">
        <v>608</v>
      </c>
      <c r="C123" s="16" t="str">
        <f t="shared" si="33"/>
        <v>Profit Payable (SIDF)-Non Current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>
        <v>271740.74</v>
      </c>
      <c r="O123" s="107">
        <v>121814.81</v>
      </c>
      <c r="P123" s="45">
        <v>0</v>
      </c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107"/>
      <c r="AB123" s="45"/>
      <c r="AC123" s="45"/>
      <c r="AD123" s="45"/>
      <c r="AF123" s="54"/>
    </row>
    <row r="124" spans="1:32" outlineLevel="1">
      <c r="B124" s="16" t="s">
        <v>174</v>
      </c>
      <c r="C124" s="16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107">
        <v>0</v>
      </c>
      <c r="P124" s="45">
        <v>0</v>
      </c>
      <c r="Q124" s="45">
        <v>0</v>
      </c>
      <c r="R124" s="45">
        <v>0</v>
      </c>
      <c r="S124" s="45">
        <v>0</v>
      </c>
      <c r="T124" s="45">
        <v>0</v>
      </c>
      <c r="U124" s="45">
        <v>0</v>
      </c>
      <c r="V124" s="45">
        <v>0</v>
      </c>
      <c r="W124" s="45">
        <v>0</v>
      </c>
      <c r="X124" s="45"/>
      <c r="Y124" s="45"/>
      <c r="Z124" s="45"/>
      <c r="AA124" s="45"/>
      <c r="AB124" s="45"/>
      <c r="AC124" s="45"/>
      <c r="AD124"/>
    </row>
    <row r="125" spans="1:32">
      <c r="B125" s="14"/>
      <c r="C125" s="14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107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107"/>
      <c r="AB125" s="45"/>
      <c r="AC125" s="45"/>
      <c r="AD125" s="45"/>
      <c r="AF125" s="54"/>
    </row>
    <row r="126" spans="1:32">
      <c r="B126" s="19" t="s">
        <v>175</v>
      </c>
      <c r="C126" s="19"/>
      <c r="D126" s="48">
        <f t="shared" ref="D126:AA126" si="34">+D115+D92</f>
        <v>0</v>
      </c>
      <c r="E126" s="48">
        <f t="shared" si="34"/>
        <v>0</v>
      </c>
      <c r="F126" s="48">
        <f t="shared" si="34"/>
        <v>0</v>
      </c>
      <c r="G126" s="48">
        <f t="shared" si="34"/>
        <v>0</v>
      </c>
      <c r="H126" s="48">
        <f t="shared" si="34"/>
        <v>0</v>
      </c>
      <c r="I126" s="48">
        <f t="shared" si="34"/>
        <v>0</v>
      </c>
      <c r="J126" s="48">
        <f t="shared" si="34"/>
        <v>0</v>
      </c>
      <c r="K126" s="48">
        <f t="shared" si="34"/>
        <v>0</v>
      </c>
      <c r="L126" s="48">
        <f t="shared" si="34"/>
        <v>0</v>
      </c>
      <c r="M126" s="48">
        <f t="shared" si="34"/>
        <v>0</v>
      </c>
      <c r="N126" s="48">
        <f t="shared" si="34"/>
        <v>82686617.75</v>
      </c>
      <c r="O126" s="48">
        <f t="shared" si="34"/>
        <v>65487701.969999999</v>
      </c>
      <c r="P126" s="48">
        <f t="shared" si="34"/>
        <v>58294276.079999998</v>
      </c>
      <c r="Q126" s="48">
        <f t="shared" si="34"/>
        <v>45544478.950000003</v>
      </c>
      <c r="R126" s="48">
        <f t="shared" si="34"/>
        <v>43851564.100000001</v>
      </c>
      <c r="S126" s="48">
        <f t="shared" si="34"/>
        <v>43833000.340000004</v>
      </c>
      <c r="T126" s="48">
        <f t="shared" si="34"/>
        <v>40911328.769999996</v>
      </c>
      <c r="U126" s="48">
        <f t="shared" si="34"/>
        <v>40999534.039999999</v>
      </c>
      <c r="V126" s="48">
        <f t="shared" si="34"/>
        <v>39624710.939999998</v>
      </c>
      <c r="W126" s="48">
        <f t="shared" si="34"/>
        <v>36542086.119999997</v>
      </c>
      <c r="X126" s="48">
        <f t="shared" si="34"/>
        <v>36358954.219999999</v>
      </c>
      <c r="Y126" s="48">
        <f t="shared" si="34"/>
        <v>34773482.460000001</v>
      </c>
      <c r="Z126" s="48">
        <f t="shared" si="34"/>
        <v>34753712.920000002</v>
      </c>
      <c r="AA126" s="109">
        <f t="shared" si="34"/>
        <v>23660617.579999998</v>
      </c>
      <c r="AB126" s="49"/>
      <c r="AC126" s="48">
        <v>3711755.5</v>
      </c>
      <c r="AD126" s="48">
        <f>+AD115+AD92</f>
        <v>24196229.609999999</v>
      </c>
      <c r="AF126" s="54"/>
    </row>
    <row r="127" spans="1:32">
      <c r="B127" s="14" t="s">
        <v>176</v>
      </c>
      <c r="C127" s="14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107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107"/>
      <c r="AB127" s="45"/>
      <c r="AC127" s="45"/>
      <c r="AD127" s="45"/>
      <c r="AF127" s="54"/>
    </row>
    <row r="128" spans="1:32">
      <c r="B128" s="14"/>
      <c r="C128" s="14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107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107"/>
      <c r="AB128" s="45"/>
      <c r="AC128" s="45"/>
      <c r="AD128" s="45"/>
      <c r="AF128" s="54"/>
    </row>
    <row r="129" spans="2:35">
      <c r="B129" s="13" t="s">
        <v>177</v>
      </c>
      <c r="C129" s="13" t="s">
        <v>578</v>
      </c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94">
        <v>36227072.759999998</v>
      </c>
      <c r="O129" s="47">
        <v>36227072.759999998</v>
      </c>
      <c r="P129" s="47">
        <v>36227072.759999998</v>
      </c>
      <c r="Q129" s="47">
        <v>37352072.759999998</v>
      </c>
      <c r="R129" s="47">
        <v>37352072.759999998</v>
      </c>
      <c r="S129" s="47">
        <v>29852072.760000002</v>
      </c>
      <c r="T129" s="47">
        <v>29852072.760000002</v>
      </c>
      <c r="U129" s="47">
        <v>29852072.760000002</v>
      </c>
      <c r="V129" s="47">
        <v>26852072.760000002</v>
      </c>
      <c r="W129" s="47">
        <v>27415734.809999999</v>
      </c>
      <c r="X129" s="47">
        <v>25913392.489999998</v>
      </c>
      <c r="Y129" s="47">
        <f>Z129</f>
        <v>24463392.489999998</v>
      </c>
      <c r="Z129" s="47">
        <f>AA129</f>
        <v>24463392.489999998</v>
      </c>
      <c r="AA129" s="83">
        <v>24463392.489999998</v>
      </c>
      <c r="AB129" s="45"/>
      <c r="AC129" s="47">
        <v>25111417.66</v>
      </c>
      <c r="AD129" s="83">
        <v>24463392.489999998</v>
      </c>
      <c r="AF129" s="54"/>
    </row>
    <row r="130" spans="2:35">
      <c r="B130" s="11"/>
      <c r="C130" s="11"/>
      <c r="D130" s="47"/>
      <c r="E130" s="47"/>
      <c r="F130" s="12"/>
      <c r="G130" s="12"/>
      <c r="H130" s="47"/>
      <c r="I130" s="47"/>
      <c r="J130" s="47"/>
      <c r="K130" s="47"/>
      <c r="L130" s="47"/>
      <c r="M130" s="45"/>
      <c r="N130" s="13"/>
      <c r="O130" s="47"/>
      <c r="P130" s="47"/>
      <c r="Q130" s="47"/>
      <c r="R130" s="12"/>
      <c r="S130" s="12"/>
      <c r="T130" s="47"/>
      <c r="U130" s="47"/>
      <c r="V130" s="47"/>
      <c r="W130" s="47"/>
      <c r="X130" s="47"/>
      <c r="Y130" s="45"/>
      <c r="Z130" s="45"/>
      <c r="AA130" s="83"/>
      <c r="AB130" s="45"/>
      <c r="AC130" s="45"/>
      <c r="AD130" s="12"/>
      <c r="AF130" s="54"/>
    </row>
    <row r="131" spans="2:35">
      <c r="B131" s="13" t="s">
        <v>178</v>
      </c>
      <c r="C131" s="16" t="str">
        <f>B131</f>
        <v>External Debt Investor</v>
      </c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13">
        <v>0</v>
      </c>
      <c r="O131" s="47">
        <v>0</v>
      </c>
      <c r="P131" s="47"/>
      <c r="Q131" s="47"/>
      <c r="R131" s="47"/>
      <c r="S131" s="47"/>
      <c r="T131" s="47"/>
      <c r="U131" s="47">
        <v>0</v>
      </c>
      <c r="V131" s="47">
        <v>0</v>
      </c>
      <c r="W131" s="47">
        <v>0</v>
      </c>
      <c r="X131" s="47">
        <v>1186567.2</v>
      </c>
      <c r="Y131" s="47">
        <v>1186567.2</v>
      </c>
      <c r="Z131" s="47">
        <v>1186567.2</v>
      </c>
      <c r="AA131" s="107">
        <v>1186567.2</v>
      </c>
      <c r="AB131" s="45"/>
      <c r="AC131" s="47">
        <v>0</v>
      </c>
      <c r="AD131" s="47">
        <v>1186567.2</v>
      </c>
      <c r="AF131" s="54"/>
    </row>
    <row r="132" spans="2:35" ht="15">
      <c r="B132" s="25"/>
      <c r="C132" s="25"/>
      <c r="D132" s="47"/>
      <c r="E132" s="47"/>
      <c r="F132" s="47"/>
      <c r="G132" s="47"/>
      <c r="H132" s="47"/>
      <c r="I132" s="47"/>
      <c r="J132" s="47"/>
      <c r="K132" s="47"/>
      <c r="L132" s="47"/>
      <c r="M132" s="53"/>
      <c r="N132" s="13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53"/>
      <c r="Z132" s="53"/>
      <c r="AA132" s="83"/>
      <c r="AB132" s="53"/>
      <c r="AC132" s="52"/>
      <c r="AD132" s="52"/>
      <c r="AF132" s="54"/>
    </row>
    <row r="133" spans="2:35">
      <c r="B133" s="13" t="s">
        <v>179</v>
      </c>
      <c r="C133" s="13" t="s">
        <v>561</v>
      </c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>
        <v>124703.99</v>
      </c>
      <c r="O133" s="47">
        <v>124703.99</v>
      </c>
      <c r="P133" s="47">
        <v>124703.99</v>
      </c>
      <c r="Q133" s="47">
        <v>76302.11</v>
      </c>
      <c r="R133" s="47">
        <v>81964.61</v>
      </c>
      <c r="S133" s="47">
        <v>89603.8</v>
      </c>
      <c r="T133" s="47">
        <v>89603.8</v>
      </c>
      <c r="U133" s="47">
        <v>112762.13</v>
      </c>
      <c r="V133" s="47">
        <v>125144.79</v>
      </c>
      <c r="W133" s="47">
        <v>127478.12</v>
      </c>
      <c r="X133" s="47">
        <v>127478.12</v>
      </c>
      <c r="Y133" s="47">
        <v>127478.12</v>
      </c>
      <c r="Z133" s="47">
        <v>139978.12</v>
      </c>
      <c r="AA133" s="83">
        <v>139978.12</v>
      </c>
      <c r="AB133" s="45"/>
      <c r="AC133" s="47">
        <v>33406.83</v>
      </c>
      <c r="AD133" s="47">
        <v>139978.12</v>
      </c>
      <c r="AF133" s="54"/>
    </row>
    <row r="134" spans="2:35" ht="15">
      <c r="B134" s="25"/>
      <c r="C134" s="25"/>
      <c r="D134" s="47"/>
      <c r="E134" s="52"/>
      <c r="F134" s="47"/>
      <c r="G134" s="47"/>
      <c r="H134" s="47"/>
      <c r="I134" s="47"/>
      <c r="J134" s="47"/>
      <c r="K134" s="53"/>
      <c r="L134" s="47"/>
      <c r="M134" s="53"/>
      <c r="N134" s="13"/>
      <c r="O134" s="47"/>
      <c r="P134" s="47"/>
      <c r="Q134" s="52"/>
      <c r="R134" s="47"/>
      <c r="S134" s="47"/>
      <c r="T134" s="47"/>
      <c r="U134" s="47"/>
      <c r="V134" s="47"/>
      <c r="W134" s="53"/>
      <c r="X134" s="47"/>
      <c r="Y134" s="53"/>
      <c r="Z134" s="53"/>
      <c r="AA134" s="53"/>
      <c r="AB134" s="53"/>
      <c r="AC134" s="52"/>
      <c r="AD134" s="52"/>
      <c r="AF134" s="54"/>
    </row>
    <row r="135" spans="2:35">
      <c r="B135" s="19" t="s">
        <v>180</v>
      </c>
      <c r="C135" s="19"/>
      <c r="D135" s="48">
        <f t="shared" ref="D135:I135" si="35">+D133+D129+D131</f>
        <v>0</v>
      </c>
      <c r="E135" s="48">
        <f t="shared" si="35"/>
        <v>0</v>
      </c>
      <c r="F135" s="48">
        <f t="shared" si="35"/>
        <v>0</v>
      </c>
      <c r="G135" s="48">
        <f t="shared" si="35"/>
        <v>0</v>
      </c>
      <c r="H135" s="48">
        <f t="shared" si="35"/>
        <v>0</v>
      </c>
      <c r="I135" s="48">
        <f t="shared" si="35"/>
        <v>0</v>
      </c>
      <c r="J135" s="48">
        <f>+J133+J129+J131</f>
        <v>0</v>
      </c>
      <c r="K135" s="48">
        <f>+K133+K129+K131</f>
        <v>0</v>
      </c>
      <c r="L135" s="48">
        <f>+L133+L129+L131</f>
        <v>0</v>
      </c>
      <c r="M135" s="48">
        <f t="shared" ref="M135" si="36">+M133+M129+M131</f>
        <v>0</v>
      </c>
      <c r="N135" s="48">
        <f>+N133+N129+N131</f>
        <v>36351776.75</v>
      </c>
      <c r="O135" s="48">
        <f t="shared" ref="O135:Y135" si="37">+O133+O129+O131</f>
        <v>36351776.75</v>
      </c>
      <c r="P135" s="48">
        <f t="shared" si="37"/>
        <v>36351776.75</v>
      </c>
      <c r="Q135" s="48">
        <f t="shared" si="37"/>
        <v>37428374.869999997</v>
      </c>
      <c r="R135" s="48">
        <f t="shared" si="37"/>
        <v>37434037.369999997</v>
      </c>
      <c r="S135" s="48">
        <f t="shared" si="37"/>
        <v>29941676.560000002</v>
      </c>
      <c r="T135" s="48">
        <f t="shared" si="37"/>
        <v>29941676.560000002</v>
      </c>
      <c r="U135" s="48">
        <f t="shared" si="37"/>
        <v>29964834.890000001</v>
      </c>
      <c r="V135" s="48">
        <f>+V133+V129+V131</f>
        <v>26977217.550000001</v>
      </c>
      <c r="W135" s="48">
        <f>+W133+W129+W131</f>
        <v>27543212.93</v>
      </c>
      <c r="X135" s="48">
        <f>+X133+X129+X131</f>
        <v>27227437.809999999</v>
      </c>
      <c r="Y135" s="48">
        <f t="shared" si="37"/>
        <v>25777437.809999999</v>
      </c>
      <c r="Z135" s="48">
        <f>+Z133+Z129+Z131</f>
        <v>25789937.809999999</v>
      </c>
      <c r="AA135" s="48">
        <f>+AA133+AA129+AA131</f>
        <v>25789937.809999999</v>
      </c>
      <c r="AB135" s="49"/>
      <c r="AC135" s="48">
        <v>25144824.489999998</v>
      </c>
      <c r="AD135" s="48">
        <f t="shared" ref="AD135" si="38">+AD133+AD129+AD131</f>
        <v>25789937.809999999</v>
      </c>
      <c r="AF135" s="54"/>
    </row>
    <row r="136" spans="2:35">
      <c r="B136" s="14" t="s">
        <v>176</v>
      </c>
      <c r="C136" s="14"/>
      <c r="D136" s="45"/>
      <c r="E136" s="45"/>
      <c r="F136" s="45"/>
      <c r="G136" s="45"/>
      <c r="H136" s="45"/>
      <c r="I136" s="45"/>
      <c r="J136" s="45"/>
      <c r="K136" s="45"/>
      <c r="L136" s="45">
        <f>+K136-K137</f>
        <v>0</v>
      </c>
      <c r="M136" s="45"/>
      <c r="N136" s="45"/>
      <c r="O136" s="31"/>
      <c r="P136" s="45"/>
      <c r="Q136" s="45"/>
      <c r="R136" s="45"/>
      <c r="S136" s="45"/>
      <c r="T136" s="45"/>
      <c r="U136" s="45"/>
      <c r="V136" s="45"/>
      <c r="W136" s="45"/>
      <c r="X136" s="45">
        <f>+W136-W137</f>
        <v>0</v>
      </c>
      <c r="Y136" s="45"/>
      <c r="Z136" s="45"/>
      <c r="AA136" s="107"/>
      <c r="AB136" s="45"/>
      <c r="AC136" s="45"/>
      <c r="AD136" s="45"/>
      <c r="AF136" s="54"/>
    </row>
    <row r="137" spans="2:35">
      <c r="B137" s="14"/>
      <c r="C137" s="14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31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107"/>
      <c r="AB137" s="45"/>
      <c r="AC137" s="45"/>
      <c r="AD137" s="45"/>
      <c r="AF137" s="54"/>
    </row>
    <row r="138" spans="2:35">
      <c r="B138" s="13" t="s">
        <v>181</v>
      </c>
      <c r="C138" s="13" t="s">
        <v>627</v>
      </c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312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5"/>
      <c r="AC138" s="47"/>
      <c r="AD138" s="47">
        <v>0</v>
      </c>
      <c r="AF138" s="54"/>
    </row>
    <row r="139" spans="2:35">
      <c r="J139" s="47"/>
      <c r="K139" s="47"/>
      <c r="L139" s="47"/>
      <c r="M139" s="47"/>
      <c r="N139" s="115"/>
      <c r="O139" s="47"/>
      <c r="V139" s="47"/>
      <c r="W139" s="47"/>
      <c r="X139" s="47"/>
      <c r="Y139" s="47"/>
      <c r="Z139" s="47"/>
      <c r="AA139" s="47"/>
      <c r="AF139" s="54"/>
    </row>
    <row r="140" spans="2:35">
      <c r="B140" s="13" t="s">
        <v>182</v>
      </c>
      <c r="C140" s="13" t="s">
        <v>626</v>
      </c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313">
        <v>25000</v>
      </c>
      <c r="O140" s="47">
        <v>25000</v>
      </c>
      <c r="P140" s="47">
        <v>25000</v>
      </c>
      <c r="Q140" s="47">
        <v>25000</v>
      </c>
      <c r="R140" s="47">
        <v>25000</v>
      </c>
      <c r="S140" s="47">
        <v>25000</v>
      </c>
      <c r="T140" s="47">
        <v>25000</v>
      </c>
      <c r="U140" s="47">
        <v>25000</v>
      </c>
      <c r="V140" s="47">
        <v>25000</v>
      </c>
      <c r="W140" s="47">
        <v>25000</v>
      </c>
      <c r="X140" s="47">
        <f>Y140</f>
        <v>25000</v>
      </c>
      <c r="Y140" s="47">
        <f>Z140</f>
        <v>25000</v>
      </c>
      <c r="Z140" s="47">
        <f>AA140</f>
        <v>25000</v>
      </c>
      <c r="AA140" s="107">
        <v>25000</v>
      </c>
      <c r="AB140" s="45"/>
      <c r="AC140" s="47">
        <v>25000</v>
      </c>
      <c r="AD140" s="47">
        <v>25000</v>
      </c>
      <c r="AF140" s="54"/>
    </row>
    <row r="141" spans="2:35" ht="15">
      <c r="B141" s="25"/>
      <c r="C141" s="25"/>
      <c r="D141" s="47"/>
      <c r="E141" s="53"/>
      <c r="F141" s="53"/>
      <c r="G141" s="53"/>
      <c r="H141" s="53"/>
      <c r="I141" s="53"/>
      <c r="J141" s="47"/>
      <c r="K141" s="47"/>
      <c r="L141" s="47"/>
      <c r="M141" s="47"/>
      <c r="N141" s="47"/>
      <c r="O141" s="47"/>
      <c r="P141" s="47"/>
      <c r="Q141" s="53"/>
      <c r="R141" s="53"/>
      <c r="S141" s="53"/>
      <c r="T141" s="53"/>
      <c r="U141" s="53"/>
      <c r="V141" s="47"/>
      <c r="W141" s="47"/>
      <c r="X141" s="47"/>
      <c r="Y141" s="47"/>
      <c r="Z141" s="47"/>
      <c r="AA141" s="47"/>
      <c r="AB141" s="53"/>
      <c r="AC141" s="52"/>
      <c r="AD141" s="52"/>
      <c r="AF141" s="54"/>
    </row>
    <row r="142" spans="2:35">
      <c r="B142" s="13" t="s">
        <v>183</v>
      </c>
      <c r="C142" s="16" t="str">
        <f>B142</f>
        <v>Statutory Reserve</v>
      </c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55">
        <v>7500</v>
      </c>
      <c r="O142" s="286">
        <v>7500</v>
      </c>
      <c r="P142" s="47">
        <v>7500</v>
      </c>
      <c r="Q142" s="47">
        <v>7500</v>
      </c>
      <c r="R142" s="47">
        <v>7500</v>
      </c>
      <c r="S142" s="47">
        <v>7500</v>
      </c>
      <c r="T142" s="47">
        <v>7500</v>
      </c>
      <c r="U142" s="47">
        <v>7500</v>
      </c>
      <c r="V142" s="47">
        <v>7500</v>
      </c>
      <c r="W142" s="47">
        <v>7500</v>
      </c>
      <c r="X142" s="47">
        <v>7500</v>
      </c>
      <c r="Y142" s="47">
        <v>7500</v>
      </c>
      <c r="Z142" s="47">
        <v>7500</v>
      </c>
      <c r="AA142" s="107">
        <v>7500</v>
      </c>
      <c r="AB142" s="45"/>
      <c r="AC142" s="47">
        <v>7500</v>
      </c>
      <c r="AD142" s="47">
        <v>7500</v>
      </c>
      <c r="AF142" s="54"/>
    </row>
    <row r="143" spans="2:35" ht="15">
      <c r="B143" s="25"/>
      <c r="C143" s="25"/>
      <c r="D143" s="47"/>
      <c r="E143" s="53"/>
      <c r="F143" s="53"/>
      <c r="G143" s="53"/>
      <c r="H143" s="53"/>
      <c r="I143" s="53"/>
      <c r="J143" s="47"/>
      <c r="K143" s="47"/>
      <c r="L143" s="47"/>
      <c r="M143" s="47"/>
      <c r="N143" s="47"/>
      <c r="O143" s="47"/>
      <c r="P143" s="47"/>
      <c r="Q143" s="53"/>
      <c r="R143" s="53"/>
      <c r="S143" s="53"/>
      <c r="T143" s="53"/>
      <c r="U143" s="53"/>
      <c r="V143" s="47"/>
      <c r="W143" s="47"/>
      <c r="X143" s="47"/>
      <c r="Y143" s="47"/>
      <c r="Z143" s="47"/>
      <c r="AA143" s="47"/>
      <c r="AB143" s="53"/>
      <c r="AC143" s="52"/>
      <c r="AD143" s="52"/>
      <c r="AF143" s="54"/>
    </row>
    <row r="144" spans="2:35">
      <c r="B144" s="13" t="s">
        <v>184</v>
      </c>
      <c r="C144" s="13" t="s">
        <v>628</v>
      </c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5">
        <v>673216.74</v>
      </c>
      <c r="O144" s="47">
        <v>194751.39</v>
      </c>
      <c r="P144" s="47">
        <v>1024251.82</v>
      </c>
      <c r="Q144" s="47">
        <v>447161.19</v>
      </c>
      <c r="R144" s="47">
        <v>652968.48</v>
      </c>
      <c r="S144" s="47">
        <v>794873.31</v>
      </c>
      <c r="T144" s="47">
        <v>1217073.45</v>
      </c>
      <c r="U144" s="47">
        <v>1630195.58</v>
      </c>
      <c r="V144" s="47">
        <v>626814.66</v>
      </c>
      <c r="W144" s="47">
        <v>739737.91</v>
      </c>
      <c r="X144" s="47">
        <v>518157</v>
      </c>
      <c r="Y144" s="47">
        <v>471661.45</v>
      </c>
      <c r="Z144" s="47">
        <v>157719.51</v>
      </c>
      <c r="AA144" s="107">
        <v>7735.7</v>
      </c>
      <c r="AB144" s="45"/>
      <c r="AC144" s="47">
        <v>1192072.340603061</v>
      </c>
      <c r="AD144" s="47">
        <v>94209.46</v>
      </c>
      <c r="AF144" s="54"/>
      <c r="AI144" s="54"/>
    </row>
    <row r="145" spans="2:33" ht="15">
      <c r="B145" s="25"/>
      <c r="C145" s="25"/>
      <c r="D145" s="47"/>
      <c r="E145" s="53"/>
      <c r="F145" s="53"/>
      <c r="G145" s="53"/>
      <c r="H145" s="53"/>
      <c r="I145" s="53"/>
      <c r="J145" s="47"/>
      <c r="K145" s="47"/>
      <c r="L145" s="47"/>
      <c r="M145" s="47"/>
      <c r="N145" s="47"/>
      <c r="O145" s="47"/>
      <c r="P145" s="47"/>
      <c r="Q145" s="53"/>
      <c r="R145" s="53"/>
      <c r="S145" s="53"/>
      <c r="T145" s="53"/>
      <c r="U145" s="53"/>
      <c r="V145" s="47"/>
      <c r="W145" s="47"/>
      <c r="X145" s="47"/>
      <c r="Y145" s="47"/>
      <c r="Z145" s="47"/>
      <c r="AA145" s="47"/>
      <c r="AB145" s="53"/>
      <c r="AC145" s="52"/>
      <c r="AD145" s="52"/>
      <c r="AF145" s="54"/>
    </row>
    <row r="146" spans="2:33">
      <c r="B146" s="13" t="s">
        <v>185</v>
      </c>
      <c r="C146" s="13" t="s">
        <v>629</v>
      </c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5">
        <v>2261871.56</v>
      </c>
      <c r="O146" s="47">
        <v>2261871.56</v>
      </c>
      <c r="P146" s="47">
        <v>1350978.5600000001</v>
      </c>
      <c r="Q146" s="47">
        <v>1350978.5600000001</v>
      </c>
      <c r="R146" s="47">
        <v>1350978.5600000001</v>
      </c>
      <c r="S146" s="47">
        <v>1350978.5600000001</v>
      </c>
      <c r="T146" s="47">
        <v>1350978.5600000001</v>
      </c>
      <c r="U146" s="47">
        <v>1350978.5600000001</v>
      </c>
      <c r="V146" s="47">
        <v>1350978.5600000001</v>
      </c>
      <c r="W146" s="47">
        <v>1350978.5600000001</v>
      </c>
      <c r="X146" s="47">
        <v>1350978.5600000001</v>
      </c>
      <c r="Y146" s="47">
        <v>1350978.5600000001</v>
      </c>
      <c r="Z146" s="47">
        <v>1350978.5600000001</v>
      </c>
      <c r="AA146" s="107">
        <v>1350978.5600000001</v>
      </c>
      <c r="AB146" s="45"/>
      <c r="AC146" s="47">
        <v>243473.5</v>
      </c>
      <c r="AD146" s="47">
        <v>1261836.25</v>
      </c>
      <c r="AF146" s="54"/>
    </row>
    <row r="147" spans="2:33" ht="15">
      <c r="B147" s="25"/>
      <c r="C147" s="25"/>
      <c r="D147" s="52"/>
      <c r="E147" s="52"/>
      <c r="F147" s="52"/>
      <c r="G147" s="52"/>
      <c r="H147" s="52"/>
      <c r="I147" s="53"/>
      <c r="J147" s="53"/>
      <c r="K147" s="53"/>
      <c r="L147" s="47"/>
      <c r="M147" s="47"/>
      <c r="N147" s="47"/>
      <c r="O147" s="47"/>
      <c r="P147" s="52"/>
      <c r="Q147" s="52"/>
      <c r="R147" s="52"/>
      <c r="S147" s="52"/>
      <c r="T147" s="52"/>
      <c r="U147" s="53"/>
      <c r="V147" s="53"/>
      <c r="W147" s="53"/>
      <c r="X147" s="47"/>
      <c r="Y147" s="47"/>
      <c r="Z147" s="47"/>
      <c r="AA147" s="47"/>
      <c r="AB147" s="53"/>
      <c r="AC147" s="52"/>
      <c r="AD147" s="52"/>
    </row>
    <row r="148" spans="2:33">
      <c r="B148" s="19" t="s">
        <v>186</v>
      </c>
      <c r="C148" s="19"/>
      <c r="D148" s="48">
        <f>+D140+D142+D144+D146</f>
        <v>0</v>
      </c>
      <c r="E148" s="48">
        <f>+E140+E142+E144+E146</f>
        <v>0</v>
      </c>
      <c r="F148" s="48">
        <f>+F140+F142+F144+F146</f>
        <v>0</v>
      </c>
      <c r="G148" s="48">
        <f>+G140+G142+G144+G146</f>
        <v>0</v>
      </c>
      <c r="H148" s="48">
        <f t="shared" ref="H148:N148" si="39">+H140+H142+H144+H146</f>
        <v>0</v>
      </c>
      <c r="I148" s="48">
        <f t="shared" si="39"/>
        <v>0</v>
      </c>
      <c r="J148" s="48">
        <f t="shared" si="39"/>
        <v>0</v>
      </c>
      <c r="K148" s="48">
        <f t="shared" si="39"/>
        <v>0</v>
      </c>
      <c r="L148" s="48">
        <f t="shared" si="39"/>
        <v>0</v>
      </c>
      <c r="M148" s="48">
        <f t="shared" si="39"/>
        <v>0</v>
      </c>
      <c r="N148" s="48">
        <f t="shared" si="39"/>
        <v>2967588.3</v>
      </c>
      <c r="O148" s="48">
        <f>+O140+O142+O144+O146</f>
        <v>2489122.9500000002</v>
      </c>
      <c r="P148" s="48">
        <f>+P140+P142+P144+P146</f>
        <v>2407730.38</v>
      </c>
      <c r="Q148" s="48">
        <f>+Q140+Q142+Q144+Q146</f>
        <v>1830639.75</v>
      </c>
      <c r="R148" s="48">
        <f>+R140+R142+R144+R146</f>
        <v>2036447.04</v>
      </c>
      <c r="S148" s="48">
        <f>+S140+S142+S144+S146</f>
        <v>2178351.87</v>
      </c>
      <c r="T148" s="48">
        <f t="shared" ref="T148:U148" si="40">+T140+T142+T144+T146</f>
        <v>2600552.0099999998</v>
      </c>
      <c r="U148" s="48">
        <f t="shared" si="40"/>
        <v>3013674.14</v>
      </c>
      <c r="V148" s="48">
        <f t="shared" ref="V148:AA148" si="41">+V140+V142+V144+V146</f>
        <v>2010293.2200000002</v>
      </c>
      <c r="W148" s="48">
        <f t="shared" si="41"/>
        <v>2123216.4700000002</v>
      </c>
      <c r="X148" s="48">
        <f t="shared" si="41"/>
        <v>1901635.56</v>
      </c>
      <c r="Y148" s="48">
        <f t="shared" si="41"/>
        <v>1855140.01</v>
      </c>
      <c r="Z148" s="48">
        <f t="shared" si="41"/>
        <v>1541198.07</v>
      </c>
      <c r="AA148" s="109">
        <f t="shared" si="41"/>
        <v>1391214.26</v>
      </c>
      <c r="AB148" s="49"/>
      <c r="AC148" s="48">
        <v>1468045.840603061</v>
      </c>
      <c r="AD148" s="48">
        <f>+AD140+AD142+AD144+AD146</f>
        <v>1388545.71</v>
      </c>
    </row>
    <row r="149" spans="2:33" ht="15">
      <c r="B149" s="25"/>
      <c r="C149" s="25"/>
      <c r="D149" s="52"/>
      <c r="E149" s="52"/>
      <c r="F149" s="52"/>
      <c r="G149" s="52"/>
      <c r="H149" s="52"/>
      <c r="I149" s="53"/>
      <c r="J149" s="53"/>
      <c r="K149" s="53"/>
      <c r="L149" s="53"/>
      <c r="M149" s="53"/>
      <c r="N149" s="53"/>
      <c r="O149"/>
      <c r="P149" s="52"/>
      <c r="Q149" s="52"/>
      <c r="R149" s="52"/>
      <c r="S149" s="52"/>
      <c r="T149" s="52"/>
      <c r="U149" s="53"/>
      <c r="V149" s="53"/>
      <c r="W149" s="53"/>
      <c r="X149" s="53"/>
      <c r="Y149" s="53"/>
      <c r="Z149" s="53"/>
      <c r="AA149" s="53"/>
      <c r="AB149" s="53"/>
      <c r="AC149" s="52"/>
      <c r="AD149" s="52"/>
    </row>
    <row r="150" spans="2:33" ht="15">
      <c r="B150" s="25"/>
      <c r="C150" s="25"/>
      <c r="D150" s="52"/>
      <c r="E150" s="52"/>
      <c r="F150" s="52"/>
      <c r="G150" s="52"/>
      <c r="H150" s="52"/>
      <c r="I150" s="53"/>
      <c r="J150" s="53"/>
      <c r="K150" s="53"/>
      <c r="L150" s="53"/>
      <c r="M150" s="53"/>
      <c r="N150" s="53"/>
      <c r="O150"/>
      <c r="P150" s="52"/>
      <c r="Q150" s="52"/>
      <c r="R150" s="52"/>
      <c r="S150" s="52"/>
      <c r="T150" s="52"/>
      <c r="U150" s="53"/>
      <c r="V150" s="53"/>
      <c r="W150" s="53"/>
      <c r="X150" s="53"/>
      <c r="Y150" s="53"/>
      <c r="Z150" s="53"/>
      <c r="AA150" s="53"/>
      <c r="AB150" s="53"/>
      <c r="AC150" s="52"/>
      <c r="AD150" s="52"/>
    </row>
    <row r="151" spans="2:33">
      <c r="B151" s="19" t="s">
        <v>187</v>
      </c>
      <c r="C151" s="19"/>
      <c r="D151" s="48">
        <f t="shared" ref="D151:K151" si="42">+D148+D126+D135</f>
        <v>0</v>
      </c>
      <c r="E151" s="48">
        <f t="shared" si="42"/>
        <v>0</v>
      </c>
      <c r="F151" s="48">
        <f t="shared" si="42"/>
        <v>0</v>
      </c>
      <c r="G151" s="48">
        <f t="shared" si="42"/>
        <v>0</v>
      </c>
      <c r="H151" s="48">
        <f t="shared" si="42"/>
        <v>0</v>
      </c>
      <c r="I151" s="48">
        <f t="shared" si="42"/>
        <v>0</v>
      </c>
      <c r="J151" s="48">
        <f t="shared" si="42"/>
        <v>0</v>
      </c>
      <c r="K151" s="48">
        <f t="shared" si="42"/>
        <v>0</v>
      </c>
      <c r="L151" s="111">
        <f>+L148+L126+L135</f>
        <v>0</v>
      </c>
      <c r="M151" s="111">
        <f>+M148+M126+M135</f>
        <v>0</v>
      </c>
      <c r="N151" s="111">
        <f>+N148+N126+N135</f>
        <v>122005982.8</v>
      </c>
      <c r="O151" s="48">
        <f t="shared" ref="O151:W151" si="43">+O148+O126+O135</f>
        <v>104328601.67</v>
      </c>
      <c r="P151" s="48">
        <f t="shared" si="43"/>
        <v>97053783.210000008</v>
      </c>
      <c r="Q151" s="48">
        <f t="shared" si="43"/>
        <v>84803493.569999993</v>
      </c>
      <c r="R151" s="48">
        <f t="shared" si="43"/>
        <v>83322048.50999999</v>
      </c>
      <c r="S151" s="48">
        <f t="shared" si="43"/>
        <v>75953028.770000011</v>
      </c>
      <c r="T151" s="48">
        <f t="shared" si="43"/>
        <v>73453557.340000004</v>
      </c>
      <c r="U151" s="48">
        <f t="shared" si="43"/>
        <v>73978043.069999993</v>
      </c>
      <c r="V151" s="48">
        <f t="shared" si="43"/>
        <v>68612221.709999993</v>
      </c>
      <c r="W151" s="48">
        <f t="shared" si="43"/>
        <v>66208515.519999996</v>
      </c>
      <c r="X151" s="111">
        <f>+X148+X126+X135</f>
        <v>65488027.590000004</v>
      </c>
      <c r="Y151" s="111">
        <f>+Y148+Y126+Y135</f>
        <v>62406060.280000001</v>
      </c>
      <c r="Z151" s="111">
        <f>+Z148+Z126+Z135</f>
        <v>62084848.799999997</v>
      </c>
      <c r="AA151" s="111">
        <f>+AA148+AA126+AA135</f>
        <v>50841769.649999999</v>
      </c>
      <c r="AB151" s="49"/>
      <c r="AC151" s="84">
        <f>+AC148+AC126+AC135+AC140</f>
        <v>30349625.830603059</v>
      </c>
      <c r="AD151" s="48">
        <f t="shared" ref="AD151" si="44">+AD148+AD126+AD135</f>
        <v>51374713.129999995</v>
      </c>
      <c r="AF151" s="2"/>
      <c r="AG151" s="2"/>
    </row>
    <row r="152" spans="2:33" ht="15">
      <c r="B152" s="284"/>
      <c r="C152" s="284"/>
      <c r="D152" s="267">
        <f>D87-D151</f>
        <v>0</v>
      </c>
      <c r="E152" s="267">
        <f t="shared" ref="E152:O152" si="45">+E151-E87</f>
        <v>0</v>
      </c>
      <c r="F152" s="267">
        <f t="shared" si="45"/>
        <v>0</v>
      </c>
      <c r="G152" s="267">
        <f t="shared" si="45"/>
        <v>0</v>
      </c>
      <c r="H152" s="268">
        <f t="shared" si="45"/>
        <v>0</v>
      </c>
      <c r="I152" s="267">
        <f t="shared" si="45"/>
        <v>0</v>
      </c>
      <c r="J152" s="267">
        <f t="shared" si="45"/>
        <v>0</v>
      </c>
      <c r="K152" s="267">
        <f t="shared" si="45"/>
        <v>0</v>
      </c>
      <c r="L152" s="267">
        <f t="shared" si="45"/>
        <v>0</v>
      </c>
      <c r="M152" s="267">
        <f t="shared" si="45"/>
        <v>0</v>
      </c>
      <c r="N152" s="267">
        <f t="shared" si="45"/>
        <v>0</v>
      </c>
      <c r="O152" s="267">
        <f t="shared" si="45"/>
        <v>0</v>
      </c>
      <c r="P152" s="267">
        <f>P87-P151</f>
        <v>0</v>
      </c>
      <c r="Q152" s="267">
        <f t="shared" ref="Q152:AA152" si="46">+Q151-Q87</f>
        <v>0</v>
      </c>
      <c r="R152" s="267">
        <f t="shared" si="46"/>
        <v>0</v>
      </c>
      <c r="S152" s="267">
        <f t="shared" si="46"/>
        <v>0</v>
      </c>
      <c r="T152" s="268">
        <f t="shared" si="46"/>
        <v>0</v>
      </c>
      <c r="U152" s="267">
        <f t="shared" si="46"/>
        <v>0</v>
      </c>
      <c r="V152" s="267">
        <f t="shared" si="46"/>
        <v>0</v>
      </c>
      <c r="W152" s="267">
        <f t="shared" si="46"/>
        <v>0</v>
      </c>
      <c r="X152" s="267">
        <f t="shared" si="46"/>
        <v>0</v>
      </c>
      <c r="Y152" s="267">
        <f t="shared" si="46"/>
        <v>0</v>
      </c>
      <c r="Z152" s="267">
        <f t="shared" si="46"/>
        <v>0</v>
      </c>
      <c r="AA152" s="267">
        <f t="shared" si="46"/>
        <v>0</v>
      </c>
      <c r="AB152" s="269"/>
      <c r="AC152" s="270"/>
      <c r="AD152" s="267">
        <f>AD87-AD151</f>
        <v>0</v>
      </c>
    </row>
    <row r="153" spans="2:33" ht="15">
      <c r="B153" s="266"/>
      <c r="C153" s="266"/>
      <c r="D153" s="270"/>
      <c r="E153" s="270"/>
      <c r="F153" s="270"/>
      <c r="G153" s="270"/>
      <c r="H153" s="271"/>
      <c r="I153" s="267"/>
      <c r="J153" s="267"/>
      <c r="K153" s="267"/>
      <c r="L153" s="268"/>
      <c r="M153" s="267"/>
      <c r="N153" s="267"/>
      <c r="O153" s="267"/>
      <c r="P153" s="270"/>
      <c r="Q153" s="270"/>
      <c r="R153" s="270"/>
      <c r="S153" s="270"/>
      <c r="T153" s="271"/>
      <c r="U153" s="267"/>
      <c r="V153" s="267"/>
      <c r="W153" s="267"/>
      <c r="X153" s="268"/>
      <c r="Y153" s="267"/>
      <c r="Z153" s="267"/>
      <c r="AA153" s="267"/>
      <c r="AB153" s="269"/>
      <c r="AD153" s="270"/>
    </row>
    <row r="154" spans="2:33">
      <c r="D154" s="36"/>
      <c r="E154" s="36"/>
      <c r="K154" s="50"/>
      <c r="O154" s="27"/>
      <c r="P154" s="36"/>
      <c r="Q154" s="36"/>
      <c r="W154" s="50"/>
      <c r="AA154" s="27"/>
      <c r="AD154" s="36"/>
    </row>
    <row r="155" spans="2:33">
      <c r="O155" s="113"/>
      <c r="AA155" s="113"/>
    </row>
    <row r="156" spans="2:33">
      <c r="M156" s="36"/>
      <c r="Y156" s="36"/>
    </row>
  </sheetData>
  <autoFilter ref="A5:AN155" xr:uid="{419F9645-DDE9-4B26-92AF-E34B28D71BD4}"/>
  <conditionalFormatting sqref="AC152">
    <cfRule type="cellIs" dxfId="120" priority="1" operator="equal">
      <formula>0</formula>
    </cfRule>
  </conditionalFormatting>
  <pageMargins left="0.7" right="0.7" top="0.75" bottom="0.75" header="0.3" footer="0.3"/>
  <pageSetup orientation="portrait" r:id="rId1"/>
  <ignoredErrors>
    <ignoredError sqref="U125 U35 U114:AA114 B135 U134:AA134 U85:AA86 V125:AA125 U147:V147 U149:V150 W9:AA9 U136:V136 Y136:AA136 U54 P149:S150 P35:S35 P134:S134 Q52 P137:S137 V127:AA128 P79:S79 U91:AA91 Q90:S91 Q89:R89 P114:S114 P125:S125 P147:S147 R88 P127:S128 P136 R136:S136 S32 Q85:S86 U79:AA79 AD32 U87 Z54 Z87 Y107 X147:AA147 X149:AA150 W143 W135:Y135 AA135 W145 W54:X54 W87:X87 W147:W151 W92:AA92 U98 U117 V32:AA32 U90 W90:AA90 U126:U127 Q126:T126 V126:AA126 P85:P86 P90:P91 P80:P83 P88:P89 O148:S148 O52 N132 N126:O126 N143 N139 N151:O151 N141 N145 N147:N148 N36:O36 N10:O10 N46" unlockedFormula="1"/>
    <ignoredError sqref="N134:N135" evalError="1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2DE5-5FE0-41D8-9993-08C295801AF9}">
  <sheetPr codeName="Sheet3"/>
  <dimension ref="A4:AP187"/>
  <sheetViews>
    <sheetView showGridLines="0" zoomScale="90" zoomScaleNormal="90" workbookViewId="0">
      <pane xSplit="2" ySplit="8" topLeftCell="C115" activePane="bottomRight" state="frozen"/>
      <selection pane="topRight" activeCell="C1" sqref="C1"/>
      <selection pane="bottomLeft" activeCell="A9" sqref="A9"/>
      <selection pane="bottomRight" activeCell="P130" sqref="P130"/>
    </sheetView>
  </sheetViews>
  <sheetFormatPr defaultRowHeight="14.4" outlineLevelRow="1" outlineLevelCol="1"/>
  <cols>
    <col min="1" max="1" width="3.44140625" style="1" customWidth="1"/>
    <col min="2" max="2" width="42.44140625" bestFit="1" customWidth="1"/>
    <col min="3" max="3" width="15.6640625" customWidth="1"/>
    <col min="4" max="4" width="15.44140625" hidden="1" customWidth="1"/>
    <col min="5" max="6" width="14.5546875" hidden="1" customWidth="1" outlineLevel="1"/>
    <col min="7" max="7" width="14.44140625" hidden="1" customWidth="1" outlineLevel="1"/>
    <col min="8" max="8" width="15.109375" hidden="1" customWidth="1" collapsed="1"/>
    <col min="9" max="9" width="17.21875" hidden="1" customWidth="1" outlineLevel="1"/>
    <col min="10" max="10" width="15.5546875" hidden="1" customWidth="1" outlineLevel="1"/>
    <col min="11" max="11" width="15.77734375" hidden="1" customWidth="1" outlineLevel="1"/>
    <col min="12" max="12" width="15.5546875" hidden="1" customWidth="1" collapsed="1"/>
    <col min="13" max="13" width="15.109375" hidden="1" customWidth="1" outlineLevel="1"/>
    <col min="14" max="14" width="16.109375" hidden="1" customWidth="1" outlineLevel="1"/>
    <col min="15" max="15" width="15.109375" hidden="1" customWidth="1" outlineLevel="1"/>
    <col min="16" max="16" width="17" customWidth="1" collapsed="1"/>
    <col min="17" max="17" width="13.77734375" hidden="1" customWidth="1" outlineLevel="1"/>
    <col min="18" max="18" width="15.6640625" customWidth="1" outlineLevel="1"/>
    <col min="19" max="19" width="13.77734375" bestFit="1" customWidth="1" outlineLevel="1"/>
    <col min="20" max="20" width="15.6640625" hidden="1" customWidth="1"/>
    <col min="21" max="21" width="15.44140625" hidden="1" customWidth="1"/>
    <col min="22" max="23" width="14.5546875" hidden="1" customWidth="1" outlineLevel="1"/>
    <col min="24" max="24" width="14.44140625" hidden="1" customWidth="1" outlineLevel="1"/>
    <col min="25" max="25" width="15.109375" hidden="1" customWidth="1" collapsed="1"/>
    <col min="26" max="26" width="17.21875" hidden="1" customWidth="1" outlineLevel="1"/>
    <col min="27" max="27" width="15.5546875" hidden="1" customWidth="1" outlineLevel="1"/>
    <col min="28" max="28" width="15.77734375" hidden="1" customWidth="1" outlineLevel="1"/>
    <col min="29" max="29" width="15.5546875" hidden="1" customWidth="1" collapsed="1"/>
    <col min="30" max="30" width="15.109375" hidden="1" customWidth="1" outlineLevel="1"/>
    <col min="31" max="31" width="16.109375" hidden="1" customWidth="1" outlineLevel="1"/>
    <col min="32" max="32" width="15.109375" hidden="1" customWidth="1" outlineLevel="1"/>
    <col min="33" max="33" width="14.77734375" hidden="1" customWidth="1" collapsed="1"/>
    <col min="34" max="36" width="13.77734375" hidden="1" customWidth="1" outlineLevel="1"/>
    <col min="37" max="37" width="2.33203125" hidden="1" customWidth="1" outlineLevel="1"/>
    <col min="38" max="38" width="10.5546875" hidden="1" customWidth="1" outlineLevel="1"/>
    <col min="39" max="39" width="11.88671875" hidden="1" customWidth="1" collapsed="1"/>
    <col min="40" max="40" width="11.5546875" bestFit="1" customWidth="1"/>
    <col min="41" max="41" width="10.5546875" bestFit="1" customWidth="1"/>
    <col min="42" max="42" width="11.5546875" bestFit="1" customWidth="1"/>
  </cols>
  <sheetData>
    <row r="4" spans="1:40">
      <c r="C4" s="2"/>
      <c r="D4" s="2"/>
      <c r="E4" s="2"/>
      <c r="F4" s="2"/>
      <c r="G4" s="2"/>
      <c r="H4" s="2"/>
      <c r="I4" s="2"/>
      <c r="J4" s="2"/>
      <c r="K4" s="2"/>
      <c r="L4" s="2"/>
      <c r="M4" s="2"/>
      <c r="P4" s="2"/>
      <c r="Q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G4" s="2"/>
      <c r="AH4" s="2"/>
      <c r="AL4" s="2"/>
      <c r="AM4" s="2"/>
    </row>
    <row r="5" spans="1:40" s="6" customFormat="1" ht="15.6">
      <c r="A5" s="3"/>
      <c r="B5" s="4"/>
      <c r="C5" s="5"/>
      <c r="D5" s="35"/>
      <c r="E5" s="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5"/>
      <c r="U5" s="35"/>
      <c r="V5" s="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66"/>
      <c r="AL5" s="5"/>
      <c r="AM5" s="5"/>
    </row>
    <row r="6" spans="1:40" s="6" customFormat="1" ht="16.2" thickBot="1">
      <c r="A6" s="3"/>
      <c r="B6" s="20"/>
      <c r="C6" s="5"/>
      <c r="D6" s="35"/>
      <c r="E6" s="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5"/>
      <c r="U6" s="35"/>
      <c r="V6" s="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66"/>
      <c r="AL6" s="5"/>
      <c r="AM6" s="5"/>
    </row>
    <row r="7" spans="1:40" ht="15" thickBot="1">
      <c r="B7" s="39" t="s">
        <v>188</v>
      </c>
      <c r="C7" s="40" t="s">
        <v>1</v>
      </c>
      <c r="D7" s="41" t="s">
        <v>2</v>
      </c>
      <c r="E7" s="41" t="s">
        <v>3</v>
      </c>
      <c r="F7" s="41" t="s">
        <v>3</v>
      </c>
      <c r="G7" s="41" t="s">
        <v>3</v>
      </c>
      <c r="H7" s="41" t="s">
        <v>4</v>
      </c>
      <c r="I7" s="41" t="s">
        <v>3</v>
      </c>
      <c r="J7" s="41" t="s">
        <v>3</v>
      </c>
      <c r="K7" s="41" t="s">
        <v>3</v>
      </c>
      <c r="L7" s="41" t="s">
        <v>5</v>
      </c>
      <c r="M7" s="41" t="s">
        <v>3</v>
      </c>
      <c r="N7" s="41" t="s">
        <v>3</v>
      </c>
      <c r="O7" s="41" t="s">
        <v>3</v>
      </c>
      <c r="P7" s="41" t="s">
        <v>6</v>
      </c>
      <c r="Q7" s="41" t="s">
        <v>3</v>
      </c>
      <c r="R7" s="41" t="s">
        <v>3</v>
      </c>
      <c r="S7" s="41" t="s">
        <v>3</v>
      </c>
      <c r="T7" s="40" t="s">
        <v>1</v>
      </c>
      <c r="U7" s="41" t="s">
        <v>2</v>
      </c>
      <c r="V7" s="41" t="s">
        <v>3</v>
      </c>
      <c r="W7" s="41" t="s">
        <v>3</v>
      </c>
      <c r="X7" s="41" t="s">
        <v>3</v>
      </c>
      <c r="Y7" s="41" t="s">
        <v>4</v>
      </c>
      <c r="Z7" s="41" t="s">
        <v>3</v>
      </c>
      <c r="AA7" s="41" t="s">
        <v>3</v>
      </c>
      <c r="AB7" s="41" t="s">
        <v>3</v>
      </c>
      <c r="AC7" s="41" t="s">
        <v>5</v>
      </c>
      <c r="AD7" s="41" t="s">
        <v>3</v>
      </c>
      <c r="AE7" s="41" t="s">
        <v>3</v>
      </c>
      <c r="AF7" s="41" t="s">
        <v>3</v>
      </c>
      <c r="AG7" s="41" t="s">
        <v>6</v>
      </c>
      <c r="AH7" s="41" t="s">
        <v>3</v>
      </c>
      <c r="AI7" s="41" t="s">
        <v>3</v>
      </c>
      <c r="AJ7" s="41" t="s">
        <v>3</v>
      </c>
      <c r="AK7" s="65"/>
      <c r="AL7" s="41" t="s">
        <v>3</v>
      </c>
      <c r="AM7" s="40" t="s">
        <v>1</v>
      </c>
    </row>
    <row r="8" spans="1:40">
      <c r="B8" s="7" t="s">
        <v>621</v>
      </c>
      <c r="C8" s="8">
        <v>46387</v>
      </c>
      <c r="D8" s="33" t="s">
        <v>619</v>
      </c>
      <c r="E8" s="8">
        <v>46387</v>
      </c>
      <c r="F8" s="8">
        <v>46356</v>
      </c>
      <c r="G8" s="8">
        <v>46326</v>
      </c>
      <c r="H8" s="33" t="s">
        <v>619</v>
      </c>
      <c r="I8" s="8">
        <v>46295</v>
      </c>
      <c r="J8" s="8">
        <v>46265</v>
      </c>
      <c r="K8" s="8">
        <v>46234</v>
      </c>
      <c r="L8" s="33" t="s">
        <v>619</v>
      </c>
      <c r="M8" s="8">
        <v>46203</v>
      </c>
      <c r="N8" s="8">
        <v>46173</v>
      </c>
      <c r="O8" s="8">
        <v>46142</v>
      </c>
      <c r="P8" s="33" t="s">
        <v>619</v>
      </c>
      <c r="Q8" s="8">
        <v>46112</v>
      </c>
      <c r="R8" s="8">
        <v>46081</v>
      </c>
      <c r="S8" s="8">
        <v>46053</v>
      </c>
      <c r="T8" s="8">
        <v>46022</v>
      </c>
      <c r="U8" s="33" t="s">
        <v>7</v>
      </c>
      <c r="V8" s="8">
        <v>46022</v>
      </c>
      <c r="W8" s="8">
        <v>45991</v>
      </c>
      <c r="X8" s="8">
        <v>45961</v>
      </c>
      <c r="Y8" s="33" t="s">
        <v>7</v>
      </c>
      <c r="Z8" s="8">
        <v>45930</v>
      </c>
      <c r="AA8" s="8">
        <v>45900</v>
      </c>
      <c r="AB8" s="8">
        <v>45869</v>
      </c>
      <c r="AC8" s="33" t="s">
        <v>7</v>
      </c>
      <c r="AD8" s="8">
        <v>45838</v>
      </c>
      <c r="AE8" s="8">
        <v>45808</v>
      </c>
      <c r="AF8" s="8">
        <v>45777</v>
      </c>
      <c r="AG8" s="33" t="s">
        <v>7</v>
      </c>
      <c r="AH8" s="8">
        <v>45747</v>
      </c>
      <c r="AI8" s="8">
        <v>45716</v>
      </c>
      <c r="AJ8" s="8">
        <v>45688</v>
      </c>
      <c r="AK8" s="8"/>
      <c r="AL8" s="8">
        <v>45657</v>
      </c>
      <c r="AM8" s="8">
        <v>45657</v>
      </c>
    </row>
    <row r="9" spans="1:40" ht="15.6">
      <c r="B9" s="9"/>
      <c r="C9" s="10"/>
      <c r="D9" s="10"/>
      <c r="E9" s="10"/>
      <c r="F9" s="35"/>
      <c r="G9" s="35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35"/>
      <c r="X9" s="35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 spans="1:40">
      <c r="B10" s="11" t="s">
        <v>8</v>
      </c>
      <c r="C10" s="45">
        <f>SUM(D10:S10)-P10-L10-H10-D10</f>
        <v>0</v>
      </c>
      <c r="D10" s="45">
        <f>SUM(E10:G10)</f>
        <v>0</v>
      </c>
      <c r="E10" s="45"/>
      <c r="F10" s="45"/>
      <c r="G10" s="45"/>
      <c r="H10" s="45">
        <f>SUM(I10:K10)</f>
        <v>0</v>
      </c>
      <c r="I10" s="45">
        <v>0</v>
      </c>
      <c r="J10" s="45">
        <v>0</v>
      </c>
      <c r="K10" s="45">
        <v>0</v>
      </c>
      <c r="L10" s="45">
        <f>SUM(M10:O10)</f>
        <v>0</v>
      </c>
      <c r="M10" s="45">
        <v>0</v>
      </c>
      <c r="N10" s="45">
        <v>0</v>
      </c>
      <c r="O10" s="45">
        <v>0</v>
      </c>
      <c r="P10" s="45">
        <f>SUM(Q10:S10)</f>
        <v>0</v>
      </c>
      <c r="Q10" s="45">
        <v>0</v>
      </c>
      <c r="R10" s="45">
        <v>0</v>
      </c>
      <c r="S10" s="45">
        <v>0</v>
      </c>
      <c r="T10" s="45">
        <f>SUM(U10:AJ10)-AG10-AC10-Y10-U10</f>
        <v>0</v>
      </c>
      <c r="U10" s="45">
        <f>SUM(V10:X10)</f>
        <v>0</v>
      </c>
      <c r="V10" s="45"/>
      <c r="W10" s="45"/>
      <c r="X10" s="45"/>
      <c r="Y10" s="45">
        <f>SUM(Z10:AB10)</f>
        <v>0</v>
      </c>
      <c r="Z10" s="45">
        <v>0</v>
      </c>
      <c r="AA10" s="45">
        <v>0</v>
      </c>
      <c r="AB10" s="45">
        <v>0</v>
      </c>
      <c r="AC10" s="45">
        <f>SUM(AD10:AF10)</f>
        <v>0</v>
      </c>
      <c r="AD10" s="45">
        <v>0</v>
      </c>
      <c r="AE10" s="45">
        <v>0</v>
      </c>
      <c r="AF10" s="45">
        <v>0</v>
      </c>
      <c r="AG10" s="45">
        <f>SUM(AH10:AJ10)</f>
        <v>0</v>
      </c>
      <c r="AH10" s="45">
        <v>0</v>
      </c>
      <c r="AI10" s="45">
        <v>0</v>
      </c>
      <c r="AJ10" s="45">
        <v>0</v>
      </c>
      <c r="AK10" s="45"/>
      <c r="AL10" s="45"/>
      <c r="AM10" s="45">
        <v>0</v>
      </c>
    </row>
    <row r="11" spans="1:40">
      <c r="B11" s="11" t="s">
        <v>9</v>
      </c>
      <c r="C11" s="45"/>
      <c r="D11" s="45"/>
      <c r="E11" s="45"/>
      <c r="F11" s="45"/>
      <c r="G11" s="45"/>
      <c r="H11" s="45">
        <f>SUM(I11:K11)</f>
        <v>0</v>
      </c>
      <c r="I11" s="12"/>
      <c r="J11" s="45"/>
      <c r="K11" s="45">
        <v>0</v>
      </c>
      <c r="L11" s="45">
        <f>SUM(M11:O11)</f>
        <v>0</v>
      </c>
      <c r="M11" s="45">
        <v>0</v>
      </c>
      <c r="N11" s="45"/>
      <c r="O11" s="45">
        <v>0</v>
      </c>
      <c r="P11" s="45"/>
      <c r="Q11" s="45"/>
      <c r="R11" s="45"/>
      <c r="S11" s="45">
        <v>0</v>
      </c>
      <c r="T11" s="45"/>
      <c r="U11" s="45"/>
      <c r="V11" s="45"/>
      <c r="W11" s="45"/>
      <c r="X11" s="45"/>
      <c r="Y11" s="45">
        <f>SUM(Z11:AB11)</f>
        <v>0</v>
      </c>
      <c r="Z11" s="12"/>
      <c r="AA11" s="45"/>
      <c r="AB11" s="45">
        <v>0</v>
      </c>
      <c r="AC11" s="45">
        <f>SUM(AD11:AF11)</f>
        <v>0</v>
      </c>
      <c r="AD11" s="45">
        <v>0</v>
      </c>
      <c r="AE11" s="45"/>
      <c r="AF11" s="45">
        <v>0</v>
      </c>
      <c r="AG11" s="45"/>
      <c r="AH11" s="45"/>
      <c r="AI11" s="45"/>
      <c r="AJ11" s="45"/>
      <c r="AK11" s="45"/>
      <c r="AL11" s="45"/>
      <c r="AM11" s="45"/>
      <c r="AN11" s="54"/>
    </row>
    <row r="12" spans="1:40">
      <c r="B12" s="11" t="s">
        <v>10</v>
      </c>
      <c r="C12" s="45">
        <f>SUM(D12:S12)-P12-L12-H12-D12</f>
        <v>0</v>
      </c>
      <c r="D12" s="45">
        <f>SUM(E12:G12)</f>
        <v>0</v>
      </c>
      <c r="E12" s="45"/>
      <c r="F12" s="45"/>
      <c r="G12" s="45"/>
      <c r="H12" s="45">
        <f>SUM(I12:K12)</f>
        <v>0</v>
      </c>
      <c r="I12" s="45">
        <v>0</v>
      </c>
      <c r="J12" s="45">
        <v>0</v>
      </c>
      <c r="K12" s="45">
        <v>0</v>
      </c>
      <c r="L12" s="45">
        <f>SUM(M12:O12)</f>
        <v>0</v>
      </c>
      <c r="M12" s="45">
        <v>0</v>
      </c>
      <c r="N12" s="45">
        <v>0</v>
      </c>
      <c r="O12" s="45">
        <v>0</v>
      </c>
      <c r="P12" s="45">
        <f>SUM(Q12:S12)</f>
        <v>0</v>
      </c>
      <c r="Q12" s="45">
        <v>0</v>
      </c>
      <c r="R12" s="45">
        <v>0</v>
      </c>
      <c r="S12" s="45">
        <v>0</v>
      </c>
      <c r="T12" s="45">
        <f>SUM(U12:AJ12)-AG12-AC12-Y12-U12</f>
        <v>0</v>
      </c>
      <c r="U12" s="45">
        <f>SUM(V12:X12)</f>
        <v>0</v>
      </c>
      <c r="V12" s="45"/>
      <c r="W12" s="45"/>
      <c r="X12" s="45"/>
      <c r="Y12" s="45">
        <f>SUM(Z12:AB12)</f>
        <v>0</v>
      </c>
      <c r="Z12" s="45">
        <v>0</v>
      </c>
      <c r="AA12" s="45">
        <v>0</v>
      </c>
      <c r="AB12" s="45">
        <v>0</v>
      </c>
      <c r="AC12" s="45">
        <f>SUM(AD12:AF12)</f>
        <v>0</v>
      </c>
      <c r="AD12" s="45">
        <v>0</v>
      </c>
      <c r="AE12" s="45">
        <v>0</v>
      </c>
      <c r="AF12" s="45">
        <v>0</v>
      </c>
      <c r="AG12" s="45">
        <f>SUM(AH12:AJ12)</f>
        <v>0</v>
      </c>
      <c r="AH12" s="45">
        <v>0</v>
      </c>
      <c r="AI12" s="45">
        <v>0</v>
      </c>
      <c r="AJ12" s="45">
        <v>0</v>
      </c>
      <c r="AK12" s="45"/>
      <c r="AL12" s="45"/>
      <c r="AM12" s="45">
        <v>0</v>
      </c>
    </row>
    <row r="13" spans="1:40" outlineLevel="1">
      <c r="B13" s="11" t="s">
        <v>11</v>
      </c>
      <c r="C13" s="45">
        <f>SUM(D13:S13)-P13-L13-H13-D13</f>
        <v>0</v>
      </c>
      <c r="D13" s="45">
        <f>SUM(E13:G13)</f>
        <v>0</v>
      </c>
      <c r="E13" s="45"/>
      <c r="F13" s="45"/>
      <c r="G13" s="45"/>
      <c r="H13" s="45">
        <f>SUM(I13:K13)</f>
        <v>0</v>
      </c>
      <c r="I13" s="45">
        <v>0</v>
      </c>
      <c r="J13" s="45">
        <v>0</v>
      </c>
      <c r="K13" s="45">
        <v>0</v>
      </c>
      <c r="L13" s="45">
        <f>SUM(M13:O13)</f>
        <v>0</v>
      </c>
      <c r="M13" s="55">
        <v>0</v>
      </c>
      <c r="N13" s="55">
        <v>0</v>
      </c>
      <c r="O13" s="45">
        <v>0</v>
      </c>
      <c r="P13" s="45">
        <f>SUM(Q13:S13)</f>
        <v>0</v>
      </c>
      <c r="Q13" s="45">
        <v>0</v>
      </c>
      <c r="R13" s="45">
        <v>0</v>
      </c>
      <c r="S13" s="45">
        <v>0</v>
      </c>
      <c r="T13" s="45">
        <f>SUM(U13:AJ13)-AG13-AC13-Y13-U13</f>
        <v>0</v>
      </c>
      <c r="U13" s="45">
        <f>SUM(V13:X13)</f>
        <v>0</v>
      </c>
      <c r="V13" s="45"/>
      <c r="W13" s="45"/>
      <c r="X13" s="45"/>
      <c r="Y13" s="45">
        <f>SUM(Z13:AB13)</f>
        <v>0</v>
      </c>
      <c r="Z13" s="45">
        <v>0</v>
      </c>
      <c r="AA13" s="45">
        <v>0</v>
      </c>
      <c r="AB13" s="45">
        <v>0</v>
      </c>
      <c r="AC13" s="45">
        <f>SUM(AD13:AF13)</f>
        <v>0</v>
      </c>
      <c r="AD13" s="55">
        <v>0</v>
      </c>
      <c r="AE13" s="55">
        <v>0</v>
      </c>
      <c r="AF13" s="45">
        <v>0</v>
      </c>
      <c r="AG13" s="45">
        <f>SUM(AH13:AJ13)</f>
        <v>0</v>
      </c>
      <c r="AH13" s="45">
        <v>0</v>
      </c>
      <c r="AI13" s="45">
        <v>0</v>
      </c>
      <c r="AJ13" s="45">
        <v>0</v>
      </c>
      <c r="AK13" s="55"/>
      <c r="AL13" s="45"/>
      <c r="AM13" s="45">
        <v>0</v>
      </c>
    </row>
    <row r="14" spans="1:40">
      <c r="B14" s="75" t="s">
        <v>12</v>
      </c>
      <c r="C14" s="76">
        <f t="shared" ref="C14:J14" si="0">+C10-C12</f>
        <v>0</v>
      </c>
      <c r="D14" s="76">
        <f t="shared" si="0"/>
        <v>0</v>
      </c>
      <c r="E14" s="76">
        <f t="shared" si="0"/>
        <v>0</v>
      </c>
      <c r="F14" s="76">
        <f t="shared" si="0"/>
        <v>0</v>
      </c>
      <c r="G14" s="76">
        <f t="shared" si="0"/>
        <v>0</v>
      </c>
      <c r="H14" s="76">
        <f t="shared" si="0"/>
        <v>0</v>
      </c>
      <c r="I14" s="76">
        <f t="shared" si="0"/>
        <v>0</v>
      </c>
      <c r="J14" s="76">
        <f t="shared" si="0"/>
        <v>0</v>
      </c>
      <c r="K14" s="76">
        <v>0</v>
      </c>
      <c r="L14" s="76">
        <f t="shared" ref="L14:R14" si="1">+L10-L12</f>
        <v>0</v>
      </c>
      <c r="M14" s="76">
        <f t="shared" si="1"/>
        <v>0</v>
      </c>
      <c r="N14" s="76">
        <f t="shared" si="1"/>
        <v>0</v>
      </c>
      <c r="O14" s="76">
        <f t="shared" si="1"/>
        <v>0</v>
      </c>
      <c r="P14" s="76">
        <f t="shared" si="1"/>
        <v>0</v>
      </c>
      <c r="Q14" s="76">
        <f t="shared" si="1"/>
        <v>0</v>
      </c>
      <c r="R14" s="76">
        <f t="shared" si="1"/>
        <v>0</v>
      </c>
      <c r="S14" s="76">
        <f>+S10-S12</f>
        <v>0</v>
      </c>
      <c r="T14" s="76">
        <f t="shared" ref="T14:AJ14" si="2">+T10-T12</f>
        <v>0</v>
      </c>
      <c r="U14" s="76">
        <f t="shared" si="2"/>
        <v>0</v>
      </c>
      <c r="V14" s="76">
        <f t="shared" si="2"/>
        <v>0</v>
      </c>
      <c r="W14" s="76">
        <f t="shared" si="2"/>
        <v>0</v>
      </c>
      <c r="X14" s="76">
        <f t="shared" si="2"/>
        <v>0</v>
      </c>
      <c r="Y14" s="76">
        <f t="shared" si="2"/>
        <v>0</v>
      </c>
      <c r="Z14" s="76">
        <f t="shared" si="2"/>
        <v>0</v>
      </c>
      <c r="AA14" s="76">
        <f t="shared" si="2"/>
        <v>0</v>
      </c>
      <c r="AB14" s="76">
        <v>0</v>
      </c>
      <c r="AC14" s="76">
        <f t="shared" si="2"/>
        <v>0</v>
      </c>
      <c r="AD14" s="76">
        <f t="shared" si="2"/>
        <v>0</v>
      </c>
      <c r="AE14" s="76">
        <f t="shared" si="2"/>
        <v>0</v>
      </c>
      <c r="AF14" s="76">
        <f t="shared" si="2"/>
        <v>0</v>
      </c>
      <c r="AG14" s="76">
        <f t="shared" si="2"/>
        <v>0</v>
      </c>
      <c r="AH14" s="76">
        <f t="shared" si="2"/>
        <v>0</v>
      </c>
      <c r="AI14" s="76">
        <f t="shared" si="2"/>
        <v>0</v>
      </c>
      <c r="AJ14" s="76">
        <f t="shared" si="2"/>
        <v>0</v>
      </c>
      <c r="AK14" s="45"/>
      <c r="AL14" s="76">
        <f t="shared" ref="AL14" si="3">+AL10-AL12</f>
        <v>0</v>
      </c>
      <c r="AM14" s="76">
        <v>0</v>
      </c>
    </row>
    <row r="15" spans="1:40">
      <c r="B15" s="11" t="s">
        <v>13</v>
      </c>
      <c r="C15" s="45">
        <f>+D15+H15+L15+P15</f>
        <v>0</v>
      </c>
      <c r="D15" s="45">
        <f>SUM(E15:G15)</f>
        <v>0</v>
      </c>
      <c r="E15" s="45"/>
      <c r="F15" s="45"/>
      <c r="G15" s="45"/>
      <c r="H15" s="45">
        <f>SUM(I15:K15)</f>
        <v>0</v>
      </c>
      <c r="I15" s="45"/>
      <c r="J15" s="45"/>
      <c r="K15" s="45"/>
      <c r="L15" s="45">
        <f>SUM(M15:O15)</f>
        <v>0</v>
      </c>
      <c r="M15" s="45"/>
      <c r="N15" s="55"/>
      <c r="O15" s="45">
        <v>0</v>
      </c>
      <c r="P15" s="45">
        <f>SUM(Q15:S15)</f>
        <v>0</v>
      </c>
      <c r="Q15" s="45">
        <v>0</v>
      </c>
      <c r="R15" s="45"/>
      <c r="S15" s="45">
        <v>0</v>
      </c>
      <c r="T15" s="45">
        <f>+U15+Y15+AC15+AG15</f>
        <v>230.95999999999998</v>
      </c>
      <c r="U15" s="45">
        <f>SUM(V15:X15)</f>
        <v>0</v>
      </c>
      <c r="V15" s="45"/>
      <c r="W15" s="45"/>
      <c r="X15" s="45"/>
      <c r="Y15" s="45">
        <f>SUM(Z15:AB15)</f>
        <v>124.13</v>
      </c>
      <c r="Z15" s="45">
        <v>37.5</v>
      </c>
      <c r="AA15" s="45"/>
      <c r="AB15" s="45">
        <v>86.63</v>
      </c>
      <c r="AC15" s="45">
        <f>SUM(AD15:AF15)</f>
        <v>98.26</v>
      </c>
      <c r="AD15" s="45">
        <v>49.13</v>
      </c>
      <c r="AE15" s="55">
        <v>49.13</v>
      </c>
      <c r="AF15" s="45">
        <v>0</v>
      </c>
      <c r="AG15" s="45">
        <f>SUM(AH15:AJ15)</f>
        <v>8.57</v>
      </c>
      <c r="AH15" s="45">
        <v>0</v>
      </c>
      <c r="AI15" s="45">
        <v>8.57</v>
      </c>
      <c r="AJ15" s="45"/>
      <c r="AK15" s="45"/>
      <c r="AL15" s="45"/>
      <c r="AM15" s="45"/>
    </row>
    <row r="16" spans="1:40">
      <c r="B16" s="15" t="s">
        <v>14</v>
      </c>
      <c r="C16" s="56">
        <f>+D16+H16+L16+P16</f>
        <v>0</v>
      </c>
      <c r="D16" s="56">
        <f>SUM(E16:G16)</f>
        <v>0</v>
      </c>
      <c r="E16" s="56"/>
      <c r="F16" s="56"/>
      <c r="G16" s="56"/>
      <c r="H16" s="56">
        <f>SUM(I16:K16)</f>
        <v>0</v>
      </c>
      <c r="I16" s="45">
        <v>0</v>
      </c>
      <c r="J16" s="45">
        <v>0</v>
      </c>
      <c r="K16" s="45">
        <v>0</v>
      </c>
      <c r="L16" s="56">
        <f>SUM(M16:O16)</f>
        <v>0</v>
      </c>
      <c r="M16" s="56"/>
      <c r="N16" s="45">
        <v>0</v>
      </c>
      <c r="O16" s="45">
        <v>0</v>
      </c>
      <c r="P16" s="56">
        <f>SUM(Q16:S16)</f>
        <v>0</v>
      </c>
      <c r="Q16" s="45">
        <v>0</v>
      </c>
      <c r="R16" s="45">
        <v>0</v>
      </c>
      <c r="S16" s="45">
        <v>0</v>
      </c>
      <c r="T16" s="56">
        <f>+U16+Y16+AC16+AG16</f>
        <v>0</v>
      </c>
      <c r="U16" s="56">
        <f>SUM(V16:X16)</f>
        <v>0</v>
      </c>
      <c r="V16" s="56"/>
      <c r="W16" s="56"/>
      <c r="X16" s="56"/>
      <c r="Y16" s="56">
        <f>SUM(Z16:AB16)</f>
        <v>0</v>
      </c>
      <c r="Z16" s="45">
        <v>0</v>
      </c>
      <c r="AA16" s="45">
        <v>0</v>
      </c>
      <c r="AB16" s="45">
        <v>0</v>
      </c>
      <c r="AC16" s="56">
        <f>SUM(AD16:AF16)</f>
        <v>0</v>
      </c>
      <c r="AD16" s="56"/>
      <c r="AE16" s="45">
        <v>0</v>
      </c>
      <c r="AF16" s="45">
        <v>0</v>
      </c>
      <c r="AG16" s="56">
        <f>SUM(AH16:AJ16)</f>
        <v>0</v>
      </c>
      <c r="AH16" s="45">
        <v>0</v>
      </c>
      <c r="AI16" s="45">
        <v>0</v>
      </c>
      <c r="AJ16" s="56">
        <v>0</v>
      </c>
      <c r="AK16" s="45"/>
      <c r="AL16" s="56"/>
      <c r="AM16" s="56">
        <v>0</v>
      </c>
    </row>
    <row r="17" spans="1:41" s="69" customFormat="1">
      <c r="A17" s="68"/>
      <c r="B17" s="19" t="s">
        <v>15</v>
      </c>
      <c r="C17" s="48">
        <f>+D17+H17+L17+P17</f>
        <v>0</v>
      </c>
      <c r="D17" s="48">
        <f>SUM(E17:G17)</f>
        <v>0</v>
      </c>
      <c r="E17" s="48">
        <f>+E16+E14</f>
        <v>0</v>
      </c>
      <c r="F17" s="48">
        <f>+F16+F14</f>
        <v>0</v>
      </c>
      <c r="G17" s="48">
        <f>+G16+G14</f>
        <v>0</v>
      </c>
      <c r="H17" s="48">
        <f>SUM(I17:K17)</f>
        <v>0</v>
      </c>
      <c r="I17" s="48">
        <f>+I16+I14</f>
        <v>0</v>
      </c>
      <c r="J17" s="48">
        <f>+J16+J14</f>
        <v>0</v>
      </c>
      <c r="K17" s="48">
        <f>+K16+K14</f>
        <v>0</v>
      </c>
      <c r="L17" s="48">
        <f>SUM(M17:O17)</f>
        <v>0</v>
      </c>
      <c r="M17" s="48">
        <f>+M16+M14</f>
        <v>0</v>
      </c>
      <c r="N17" s="48">
        <f>+N16+N14</f>
        <v>0</v>
      </c>
      <c r="O17" s="48">
        <f>+O16+O14</f>
        <v>0</v>
      </c>
      <c r="P17" s="48">
        <f>SUM(Q17:S17)</f>
        <v>0</v>
      </c>
      <c r="Q17" s="48">
        <f>+Q16+Q14</f>
        <v>0</v>
      </c>
      <c r="R17" s="48">
        <f>+R16+R14</f>
        <v>0</v>
      </c>
      <c r="S17" s="48">
        <f>+S16+S14</f>
        <v>0</v>
      </c>
      <c r="T17" s="48">
        <f>+U17+Y17+AC17+AG17</f>
        <v>0</v>
      </c>
      <c r="U17" s="48">
        <f>SUM(V17:X17)</f>
        <v>0</v>
      </c>
      <c r="V17" s="48">
        <f>+V16+V14</f>
        <v>0</v>
      </c>
      <c r="W17" s="48">
        <f>+W16+W14</f>
        <v>0</v>
      </c>
      <c r="X17" s="48">
        <f>+X16+X14</f>
        <v>0</v>
      </c>
      <c r="Y17" s="48">
        <f>SUM(Z17:AB17)</f>
        <v>0</v>
      </c>
      <c r="Z17" s="48">
        <f>+Z16+Z14</f>
        <v>0</v>
      </c>
      <c r="AA17" s="48">
        <f>+AA16+AA14</f>
        <v>0</v>
      </c>
      <c r="AB17" s="48">
        <f>+AB16+AB14</f>
        <v>0</v>
      </c>
      <c r="AC17" s="48">
        <f>SUM(AD17:AF17)</f>
        <v>0</v>
      </c>
      <c r="AD17" s="48">
        <f>+AD16+AD14</f>
        <v>0</v>
      </c>
      <c r="AE17" s="48">
        <f>+AE16+AE14</f>
        <v>0</v>
      </c>
      <c r="AF17" s="48">
        <f>+AF16+AF14</f>
        <v>0</v>
      </c>
      <c r="AG17" s="48">
        <f>SUM(AH17:AJ17)</f>
        <v>0</v>
      </c>
      <c r="AH17" s="48">
        <f>+AH16+AH14</f>
        <v>0</v>
      </c>
      <c r="AI17" s="48">
        <f>+AI16+AI14</f>
        <v>0</v>
      </c>
      <c r="AJ17" s="48">
        <f>+AJ16+AJ14</f>
        <v>0</v>
      </c>
      <c r="AK17" s="49"/>
      <c r="AL17" s="48">
        <f>+AL16+AL14</f>
        <v>0</v>
      </c>
      <c r="AM17" s="48">
        <v>0</v>
      </c>
    </row>
    <row r="18" spans="1:41">
      <c r="B18" s="30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</row>
    <row r="19" spans="1:41" s="69" customFormat="1">
      <c r="A19" s="68"/>
      <c r="B19" s="67" t="s">
        <v>16</v>
      </c>
      <c r="C19" s="72">
        <f t="shared" ref="C19:D19" si="4">SUM(C20:C36)</f>
        <v>110952.54999999999</v>
      </c>
      <c r="D19" s="72">
        <f t="shared" si="4"/>
        <v>0</v>
      </c>
      <c r="E19" s="72">
        <f>SUM(E20:E38)</f>
        <v>0</v>
      </c>
      <c r="F19" s="72">
        <f>SUM(F20:F38)</f>
        <v>0</v>
      </c>
      <c r="G19" s="72">
        <f>SUM(G20:G38)</f>
        <v>0</v>
      </c>
      <c r="H19" s="72">
        <f>SUM(H20:H36)</f>
        <v>0</v>
      </c>
      <c r="I19" s="72">
        <f>SUM(I20:I36)</f>
        <v>0</v>
      </c>
      <c r="J19" s="72">
        <f>SUM(J20:J36)</f>
        <v>0</v>
      </c>
      <c r="K19" s="72">
        <f>SUM(K20:K36)</f>
        <v>0</v>
      </c>
      <c r="L19" s="72">
        <f t="shared" ref="L19" si="5">SUM(L20:L36)</f>
        <v>0</v>
      </c>
      <c r="M19" s="72">
        <f>SUM(M20:M36)</f>
        <v>0</v>
      </c>
      <c r="N19" s="72">
        <f t="shared" ref="N19:S19" si="6">SUM(N20:N36)</f>
        <v>0</v>
      </c>
      <c r="O19" s="72">
        <f t="shared" si="6"/>
        <v>0</v>
      </c>
      <c r="P19" s="72">
        <f t="shared" si="6"/>
        <v>110952.54999999999</v>
      </c>
      <c r="Q19" s="72">
        <f t="shared" si="6"/>
        <v>0</v>
      </c>
      <c r="R19" s="72">
        <f t="shared" si="6"/>
        <v>53233.35</v>
      </c>
      <c r="S19" s="72">
        <f t="shared" si="6"/>
        <v>57719.199999999997</v>
      </c>
      <c r="T19" s="72">
        <f t="shared" ref="T19:AJ19" si="7">SUM(T20:T36)</f>
        <v>576769.16999999993</v>
      </c>
      <c r="U19" s="72">
        <f t="shared" si="7"/>
        <v>175978.66</v>
      </c>
      <c r="V19" s="72">
        <f>SUM(V20:V38)</f>
        <v>66302.95</v>
      </c>
      <c r="W19" s="72">
        <f>SUM(W20:W38)</f>
        <v>54700.53</v>
      </c>
      <c r="X19" s="72">
        <f>SUM(X20:X38)</f>
        <v>54975.19</v>
      </c>
      <c r="Y19" s="72">
        <f>SUM(Y20:Y36)</f>
        <v>137466.07</v>
      </c>
      <c r="Z19" s="72">
        <f>SUM(Z20:Z36)</f>
        <v>53626.05</v>
      </c>
      <c r="AA19" s="72">
        <f>SUM(AA20:AA36)</f>
        <v>41895.399999999994</v>
      </c>
      <c r="AB19" s="72">
        <f>SUM(AB20:AB36)</f>
        <v>41944.62</v>
      </c>
      <c r="AC19" s="72">
        <f t="shared" si="7"/>
        <v>132170.5</v>
      </c>
      <c r="AD19" s="72">
        <f>SUM(AD20:AD36)</f>
        <v>38505.310000000005</v>
      </c>
      <c r="AE19" s="72">
        <f t="shared" si="7"/>
        <v>47225.39</v>
      </c>
      <c r="AF19" s="72">
        <f t="shared" si="7"/>
        <v>46439.8</v>
      </c>
      <c r="AG19" s="72">
        <f t="shared" si="7"/>
        <v>131153.93000000002</v>
      </c>
      <c r="AH19" s="72">
        <f t="shared" si="7"/>
        <v>52646.53</v>
      </c>
      <c r="AI19" s="72">
        <f t="shared" si="7"/>
        <v>41111.39</v>
      </c>
      <c r="AJ19" s="72">
        <f t="shared" si="7"/>
        <v>37396.009999999995</v>
      </c>
      <c r="AK19" s="49"/>
      <c r="AL19" s="72">
        <f>SUM(AL20:AL36)</f>
        <v>33034.480000000003</v>
      </c>
      <c r="AM19" s="72">
        <f>SUM(AM20:AM36)</f>
        <v>317021.5400000001</v>
      </c>
      <c r="AN19" s="73"/>
      <c r="AO19" s="71"/>
    </row>
    <row r="20" spans="1:41" outlineLevel="1">
      <c r="B20" s="16" t="s">
        <v>17</v>
      </c>
      <c r="C20" s="45">
        <f>SUM(D20:S20)-P20-L20-H20-D20</f>
        <v>0</v>
      </c>
      <c r="D20" s="45">
        <f>SUM(E20:G20)</f>
        <v>0</v>
      </c>
      <c r="E20" s="45"/>
      <c r="F20" s="45"/>
      <c r="G20" s="45"/>
      <c r="H20" s="45">
        <f>SUM(I20:K20)</f>
        <v>0</v>
      </c>
      <c r="I20" s="45"/>
      <c r="J20" s="45"/>
      <c r="K20" s="45"/>
      <c r="L20" s="45">
        <f>SUM(M20:O20)</f>
        <v>0</v>
      </c>
      <c r="M20" s="55"/>
      <c r="N20" s="55"/>
      <c r="O20" s="45"/>
      <c r="P20" s="45">
        <f>SUM(Q20:S20)</f>
        <v>0</v>
      </c>
      <c r="Q20" s="45"/>
      <c r="R20" s="45"/>
      <c r="S20" s="45"/>
      <c r="T20" s="45">
        <f>SUM(U20:AJ20)-AG20-AC20-Y20-U20</f>
        <v>0</v>
      </c>
      <c r="U20" s="45">
        <f>SUM(V20:X20)</f>
        <v>0</v>
      </c>
      <c r="V20" s="45"/>
      <c r="W20" s="45"/>
      <c r="X20" s="45"/>
      <c r="Y20" s="45">
        <f>SUM(Z20:AB20)</f>
        <v>0</v>
      </c>
      <c r="Z20" s="45"/>
      <c r="AA20" s="45"/>
      <c r="AB20" s="45">
        <v>0</v>
      </c>
      <c r="AC20" s="45">
        <f>SUM(AD20:AF20)</f>
        <v>0</v>
      </c>
      <c r="AD20" s="55"/>
      <c r="AE20" s="55"/>
      <c r="AF20" s="45">
        <v>0</v>
      </c>
      <c r="AG20" s="45">
        <f>SUM(AH20:AJ20)</f>
        <v>0</v>
      </c>
      <c r="AH20" s="45">
        <v>0</v>
      </c>
      <c r="AI20" s="45">
        <v>0</v>
      </c>
      <c r="AJ20" s="45">
        <v>0</v>
      </c>
      <c r="AK20" s="55"/>
      <c r="AL20" s="45">
        <v>0</v>
      </c>
      <c r="AM20" s="45">
        <v>0</v>
      </c>
    </row>
    <row r="21" spans="1:41" outlineLevel="1">
      <c r="B21" s="16" t="s">
        <v>18</v>
      </c>
      <c r="C21" s="45">
        <f t="shared" ref="C21:C23" si="8">SUM(D21:S21)-P21-L21-H21-D21</f>
        <v>4023.1499999999996</v>
      </c>
      <c r="D21" s="45">
        <f>SUM(E21:G21)</f>
        <v>0</v>
      </c>
      <c r="E21" s="45"/>
      <c r="F21" s="45"/>
      <c r="G21" s="45"/>
      <c r="H21" s="45">
        <f t="shared" ref="H21:H24" si="9">SUM(I21:K21)</f>
        <v>0</v>
      </c>
      <c r="I21" s="45"/>
      <c r="J21" s="45"/>
      <c r="K21" s="45"/>
      <c r="L21" s="45">
        <f t="shared" ref="L21:L24" si="10">SUM(M21:O21)</f>
        <v>0</v>
      </c>
      <c r="M21" s="45"/>
      <c r="N21" s="55"/>
      <c r="O21" s="45"/>
      <c r="P21" s="45">
        <f t="shared" ref="P21:P24" si="11">SUM(Q21:S21)</f>
        <v>4023.1499999999996</v>
      </c>
      <c r="Q21" s="45"/>
      <c r="R21" s="45">
        <v>1640.47</v>
      </c>
      <c r="S21" s="45">
        <v>2382.6799999999998</v>
      </c>
      <c r="T21" s="45">
        <f t="shared" ref="T21:T86" si="12">SUM(U21:AJ21)-AG21-AC21-Y21-U21</f>
        <v>23806.489999999998</v>
      </c>
      <c r="U21" s="45">
        <f>SUM(V21:X21)</f>
        <v>6354.8899999999994</v>
      </c>
      <c r="V21" s="45">
        <v>2799.75</v>
      </c>
      <c r="W21" s="45">
        <v>1044.6099999999999</v>
      </c>
      <c r="X21" s="45">
        <v>2510.5300000000002</v>
      </c>
      <c r="Y21" s="45">
        <f t="shared" ref="Y21:Y86" si="13">SUM(Z21:AB21)</f>
        <v>5516.6900000000005</v>
      </c>
      <c r="Z21" s="45">
        <v>1401.42</v>
      </c>
      <c r="AA21" s="45">
        <v>1613.27</v>
      </c>
      <c r="AB21" s="45">
        <v>2502</v>
      </c>
      <c r="AC21" s="45">
        <f t="shared" ref="AC21:AC86" si="14">SUM(AD21:AF21)</f>
        <v>5864.87</v>
      </c>
      <c r="AD21" s="45">
        <v>1620.12</v>
      </c>
      <c r="AE21" s="55">
        <v>1984.52</v>
      </c>
      <c r="AF21" s="45">
        <v>2260.23</v>
      </c>
      <c r="AG21" s="45">
        <f t="shared" ref="AG21:AG66" si="15">SUM(AH21:AJ21)</f>
        <v>6070.04</v>
      </c>
      <c r="AH21" s="45">
        <v>2424.4699999999998</v>
      </c>
      <c r="AI21" s="45">
        <v>1909.9</v>
      </c>
      <c r="AJ21" s="45">
        <v>1735.67</v>
      </c>
      <c r="AK21" s="55"/>
      <c r="AL21" s="45">
        <v>2027.25</v>
      </c>
      <c r="AM21" s="45">
        <v>17230.240000000002</v>
      </c>
    </row>
    <row r="22" spans="1:41" outlineLevel="1">
      <c r="B22" s="16" t="s">
        <v>19</v>
      </c>
      <c r="C22" s="45">
        <f t="shared" si="8"/>
        <v>0</v>
      </c>
      <c r="D22" s="45">
        <f t="shared" ref="D22:D24" si="16">SUM(E22:G22)</f>
        <v>0</v>
      </c>
      <c r="E22" s="45"/>
      <c r="F22" s="45"/>
      <c r="G22" s="45"/>
      <c r="H22" s="45">
        <f t="shared" si="9"/>
        <v>0</v>
      </c>
      <c r="I22" s="45"/>
      <c r="J22" s="45"/>
      <c r="K22" s="45"/>
      <c r="L22" s="45">
        <f t="shared" si="10"/>
        <v>0</v>
      </c>
      <c r="M22" s="55"/>
      <c r="N22" s="55"/>
      <c r="O22" s="45"/>
      <c r="P22" s="45">
        <f t="shared" si="11"/>
        <v>0</v>
      </c>
      <c r="Q22" s="45"/>
      <c r="R22" s="45"/>
      <c r="S22" s="45">
        <v>0</v>
      </c>
      <c r="T22" s="45">
        <f t="shared" si="12"/>
        <v>1046.52</v>
      </c>
      <c r="U22" s="45">
        <f t="shared" ref="U22:U64" si="17">SUM(V22:X22)</f>
        <v>71.06</v>
      </c>
      <c r="V22" s="45">
        <v>0</v>
      </c>
      <c r="W22" s="45">
        <v>71.06</v>
      </c>
      <c r="X22" s="45">
        <v>0</v>
      </c>
      <c r="Y22" s="45">
        <f t="shared" si="13"/>
        <v>0</v>
      </c>
      <c r="Z22" s="45"/>
      <c r="AA22" s="45"/>
      <c r="AB22" s="45">
        <v>0</v>
      </c>
      <c r="AC22" s="45">
        <f t="shared" si="14"/>
        <v>0</v>
      </c>
      <c r="AD22" s="55"/>
      <c r="AE22" s="55">
        <v>0</v>
      </c>
      <c r="AF22" s="45">
        <v>0</v>
      </c>
      <c r="AG22" s="45">
        <f t="shared" si="15"/>
        <v>975.46</v>
      </c>
      <c r="AH22" s="45">
        <v>0</v>
      </c>
      <c r="AI22" s="45">
        <v>975.46</v>
      </c>
      <c r="AJ22" s="45">
        <v>0</v>
      </c>
      <c r="AK22" s="55"/>
      <c r="AL22" s="45">
        <v>0</v>
      </c>
      <c r="AM22" s="45">
        <v>28437.690000000006</v>
      </c>
    </row>
    <row r="23" spans="1:41" outlineLevel="1">
      <c r="B23" s="16" t="s">
        <v>20</v>
      </c>
      <c r="C23" s="45">
        <f t="shared" si="8"/>
        <v>0</v>
      </c>
      <c r="D23" s="45">
        <f t="shared" si="16"/>
        <v>0</v>
      </c>
      <c r="E23" s="45"/>
      <c r="F23" s="45"/>
      <c r="G23" s="45"/>
      <c r="H23" s="45">
        <f t="shared" si="9"/>
        <v>0</v>
      </c>
      <c r="I23" s="45"/>
      <c r="J23" s="45"/>
      <c r="K23" s="45"/>
      <c r="L23" s="45">
        <f t="shared" si="10"/>
        <v>0</v>
      </c>
      <c r="M23" s="45"/>
      <c r="N23" s="55"/>
      <c r="O23" s="45"/>
      <c r="P23" s="45">
        <f t="shared" si="11"/>
        <v>0</v>
      </c>
      <c r="Q23" s="45"/>
      <c r="R23" s="45"/>
      <c r="S23" s="45"/>
      <c r="T23" s="45">
        <f t="shared" si="12"/>
        <v>0</v>
      </c>
      <c r="U23" s="45">
        <f t="shared" si="17"/>
        <v>0</v>
      </c>
      <c r="V23" s="45">
        <v>0</v>
      </c>
      <c r="W23" s="45"/>
      <c r="X23" s="45">
        <v>0</v>
      </c>
      <c r="Y23" s="45">
        <f t="shared" si="13"/>
        <v>0</v>
      </c>
      <c r="Z23" s="45"/>
      <c r="AA23" s="45"/>
      <c r="AB23" s="45">
        <v>0</v>
      </c>
      <c r="AC23" s="45">
        <f t="shared" si="14"/>
        <v>0</v>
      </c>
      <c r="AD23" s="45"/>
      <c r="AE23" s="55">
        <v>0</v>
      </c>
      <c r="AF23" s="45">
        <v>0</v>
      </c>
      <c r="AG23" s="45">
        <f t="shared" si="15"/>
        <v>0</v>
      </c>
      <c r="AH23" s="45">
        <v>0</v>
      </c>
      <c r="AI23" s="45">
        <v>0</v>
      </c>
      <c r="AJ23" s="45">
        <v>0</v>
      </c>
      <c r="AK23" s="55"/>
      <c r="AL23" s="45">
        <v>0</v>
      </c>
      <c r="AM23" s="45">
        <v>0</v>
      </c>
    </row>
    <row r="24" spans="1:41" outlineLevel="1">
      <c r="B24" s="16" t="s">
        <v>21</v>
      </c>
      <c r="C24" s="45">
        <f t="shared" ref="C24" si="18">SUM(D24:S24)-P24-L24-H24-D24</f>
        <v>0</v>
      </c>
      <c r="D24" s="45">
        <f t="shared" si="16"/>
        <v>0</v>
      </c>
      <c r="E24" s="45"/>
      <c r="F24" s="45"/>
      <c r="G24" s="45"/>
      <c r="H24" s="45">
        <f t="shared" si="9"/>
        <v>0</v>
      </c>
      <c r="I24" s="45"/>
      <c r="J24" s="45"/>
      <c r="K24" s="45"/>
      <c r="L24" s="45">
        <f t="shared" si="10"/>
        <v>0</v>
      </c>
      <c r="M24" s="45"/>
      <c r="N24" s="55"/>
      <c r="O24" s="45"/>
      <c r="P24" s="45">
        <f t="shared" si="11"/>
        <v>0</v>
      </c>
      <c r="Q24" s="45"/>
      <c r="R24" s="45"/>
      <c r="S24" s="45">
        <v>0</v>
      </c>
      <c r="T24" s="45">
        <f t="shared" ref="T24" si="19">SUM(U24:AJ24)-AG24-AC24-Y24-U24</f>
        <v>667.5</v>
      </c>
      <c r="U24" s="45">
        <f t="shared" ref="U24" si="20">SUM(V24:X24)</f>
        <v>0</v>
      </c>
      <c r="V24" s="45">
        <v>0</v>
      </c>
      <c r="W24" s="45"/>
      <c r="X24" s="45">
        <v>0</v>
      </c>
      <c r="Y24" s="45">
        <f t="shared" ref="Y24" si="21">SUM(Z24:AB24)</f>
        <v>0</v>
      </c>
      <c r="Z24" s="45">
        <v>0</v>
      </c>
      <c r="AA24" s="45"/>
      <c r="AB24" s="45">
        <v>0</v>
      </c>
      <c r="AC24" s="45">
        <f t="shared" ref="AC24" si="22">SUM(AD24:AF24)</f>
        <v>667.5</v>
      </c>
      <c r="AD24" s="45">
        <v>0</v>
      </c>
      <c r="AE24" s="55">
        <v>0</v>
      </c>
      <c r="AF24" s="45">
        <v>667.5</v>
      </c>
      <c r="AG24" s="45">
        <f t="shared" ref="AG24" si="23">SUM(AH24:AJ24)</f>
        <v>0</v>
      </c>
      <c r="AH24" s="45">
        <v>0</v>
      </c>
      <c r="AI24" s="45">
        <v>0</v>
      </c>
      <c r="AJ24" s="45">
        <v>0</v>
      </c>
      <c r="AK24" s="55"/>
      <c r="AL24" s="45">
        <v>0</v>
      </c>
      <c r="AM24" s="45">
        <v>2963.41</v>
      </c>
    </row>
    <row r="25" spans="1:41" outlineLevel="1">
      <c r="B25" s="16" t="s">
        <v>592</v>
      </c>
      <c r="C25" s="45"/>
      <c r="D25" s="45"/>
      <c r="E25" s="45"/>
      <c r="F25" s="45"/>
      <c r="G25" s="45"/>
      <c r="H25" s="45"/>
      <c r="I25" s="45"/>
      <c r="J25" s="45"/>
      <c r="K25" s="45"/>
      <c r="L25" s="45">
        <f t="shared" ref="L25" si="24">SUM(M25:O25)</f>
        <v>0</v>
      </c>
      <c r="M25" s="45"/>
      <c r="N25" s="55"/>
      <c r="O25" s="45"/>
      <c r="P25" s="45">
        <f t="shared" ref="P25" si="25">SUM(Q25:S25)</f>
        <v>0</v>
      </c>
      <c r="Q25" s="45"/>
      <c r="R25" s="45"/>
      <c r="S25" s="45"/>
      <c r="T25" s="45"/>
      <c r="U25" s="45"/>
      <c r="V25" s="45">
        <v>0</v>
      </c>
      <c r="W25" s="45"/>
      <c r="X25" s="45">
        <v>0</v>
      </c>
      <c r="Y25" s="45"/>
      <c r="Z25" s="45"/>
      <c r="AA25" s="45"/>
      <c r="AB25" s="45"/>
      <c r="AC25" s="45"/>
      <c r="AD25" s="45"/>
      <c r="AE25" s="55"/>
      <c r="AF25" s="45"/>
      <c r="AG25" s="45"/>
      <c r="AH25" s="45"/>
      <c r="AI25" s="45"/>
      <c r="AJ25" s="45"/>
      <c r="AK25" s="55"/>
      <c r="AL25" s="45"/>
      <c r="AM25" s="45"/>
    </row>
    <row r="26" spans="1:41" outlineLevel="1">
      <c r="B26" s="16" t="s">
        <v>22</v>
      </c>
      <c r="C26" s="45">
        <f t="shared" ref="C26" si="26">SUM(D26:S26)-P26-L26-H26-D26</f>
        <v>2487.7200000000003</v>
      </c>
      <c r="D26" s="45">
        <f t="shared" ref="D26:D34" si="27">SUM(E26:G26)</f>
        <v>0</v>
      </c>
      <c r="E26" s="45"/>
      <c r="F26" s="45"/>
      <c r="G26" s="45"/>
      <c r="H26" s="45">
        <f t="shared" ref="H26:H33" si="28">SUM(I26:K26)</f>
        <v>0</v>
      </c>
      <c r="I26" s="45"/>
      <c r="J26" s="45"/>
      <c r="K26" s="45"/>
      <c r="L26" s="45">
        <f t="shared" ref="L26:L32" si="29">SUM(M26:O26)</f>
        <v>0</v>
      </c>
      <c r="M26" s="55"/>
      <c r="N26" s="55"/>
      <c r="O26" s="45"/>
      <c r="P26" s="45">
        <f t="shared" ref="P26:P32" si="30">SUM(Q26:S26)</f>
        <v>2487.7200000000003</v>
      </c>
      <c r="Q26" s="45"/>
      <c r="R26" s="45">
        <v>687.72</v>
      </c>
      <c r="S26" s="45">
        <v>1800</v>
      </c>
      <c r="T26" s="45">
        <f t="shared" ref="T26" si="31">SUM(U26:AJ26)-AG26-AC26-Y26-U26</f>
        <v>13275.919999999996</v>
      </c>
      <c r="U26" s="45">
        <f t="shared" ref="U26" si="32">SUM(V26:X26)</f>
        <v>10260.879999999999</v>
      </c>
      <c r="V26" s="45">
        <v>6471.88</v>
      </c>
      <c r="W26" s="45">
        <v>1684.86</v>
      </c>
      <c r="X26" s="45">
        <v>2104.14</v>
      </c>
      <c r="Y26" s="45">
        <f t="shared" ref="Y26" si="33">SUM(Z26:AB26)</f>
        <v>3015.04</v>
      </c>
      <c r="Z26" s="45">
        <v>178.05</v>
      </c>
      <c r="AA26" s="45">
        <v>2836.99</v>
      </c>
      <c r="AB26" s="45">
        <v>0</v>
      </c>
      <c r="AC26" s="45">
        <f t="shared" ref="AC26" si="34">SUM(AD26:AF26)</f>
        <v>0</v>
      </c>
      <c r="AD26" s="55"/>
      <c r="AE26" s="55">
        <v>0</v>
      </c>
      <c r="AF26" s="45">
        <v>0</v>
      </c>
      <c r="AG26" s="45">
        <f t="shared" ref="AG26" si="35">SUM(AH26:AJ26)</f>
        <v>0</v>
      </c>
      <c r="AH26" s="45">
        <v>0</v>
      </c>
      <c r="AI26" s="45">
        <v>0</v>
      </c>
      <c r="AJ26" s="45">
        <v>0</v>
      </c>
      <c r="AK26" s="55"/>
      <c r="AL26" s="45">
        <v>0</v>
      </c>
      <c r="AM26" s="45">
        <v>8231.2499999999982</v>
      </c>
    </row>
    <row r="27" spans="1:41" outlineLevel="1">
      <c r="B27" s="16" t="s">
        <v>23</v>
      </c>
      <c r="C27" s="45">
        <f t="shared" ref="C27:C33" si="36">SUM(D27:S27)-P27-L27-H27-D27</f>
        <v>0</v>
      </c>
      <c r="D27" s="45">
        <f t="shared" si="27"/>
        <v>0</v>
      </c>
      <c r="E27" s="45"/>
      <c r="F27" s="45"/>
      <c r="G27" s="45"/>
      <c r="H27" s="45">
        <f t="shared" si="28"/>
        <v>0</v>
      </c>
      <c r="I27" s="45"/>
      <c r="J27" s="45"/>
      <c r="K27" s="45"/>
      <c r="L27" s="45">
        <f t="shared" si="29"/>
        <v>0</v>
      </c>
      <c r="M27" s="45"/>
      <c r="N27" s="55"/>
      <c r="O27" s="45"/>
      <c r="P27" s="45">
        <f t="shared" si="30"/>
        <v>0</v>
      </c>
      <c r="Q27" s="45"/>
      <c r="R27" s="45"/>
      <c r="S27" s="45">
        <v>0</v>
      </c>
      <c r="T27" s="45">
        <f t="shared" si="12"/>
        <v>223.48</v>
      </c>
      <c r="U27" s="45">
        <f t="shared" si="17"/>
        <v>0</v>
      </c>
      <c r="V27" s="45">
        <v>0</v>
      </c>
      <c r="W27" s="45"/>
      <c r="X27" s="45">
        <v>0</v>
      </c>
      <c r="Y27" s="45">
        <f t="shared" si="13"/>
        <v>0</v>
      </c>
      <c r="Z27" s="45"/>
      <c r="AA27" s="45"/>
      <c r="AB27" s="45">
        <v>0</v>
      </c>
      <c r="AC27" s="45">
        <f t="shared" si="14"/>
        <v>0</v>
      </c>
      <c r="AD27" s="45">
        <v>0</v>
      </c>
      <c r="AE27" s="55">
        <v>0</v>
      </c>
      <c r="AF27" s="45">
        <v>0</v>
      </c>
      <c r="AG27" s="45">
        <f t="shared" si="15"/>
        <v>223.48</v>
      </c>
      <c r="AH27" s="45">
        <v>0</v>
      </c>
      <c r="AI27" s="45">
        <v>0</v>
      </c>
      <c r="AJ27" s="45">
        <v>223.48</v>
      </c>
      <c r="AK27" s="55"/>
      <c r="AL27" s="45">
        <v>0</v>
      </c>
      <c r="AM27" s="45">
        <v>0</v>
      </c>
    </row>
    <row r="28" spans="1:41" outlineLevel="1">
      <c r="B28" s="16" t="s">
        <v>24</v>
      </c>
      <c r="C28" s="45">
        <f t="shared" si="36"/>
        <v>0</v>
      </c>
      <c r="D28" s="45">
        <f t="shared" si="27"/>
        <v>0</v>
      </c>
      <c r="E28" s="45"/>
      <c r="F28" s="45"/>
      <c r="G28" s="45"/>
      <c r="H28" s="45">
        <f t="shared" si="28"/>
        <v>0</v>
      </c>
      <c r="I28" s="45"/>
      <c r="J28" s="45"/>
      <c r="K28" s="45"/>
      <c r="L28" s="45">
        <f t="shared" si="29"/>
        <v>0</v>
      </c>
      <c r="M28" s="45"/>
      <c r="N28" s="55"/>
      <c r="O28" s="45"/>
      <c r="P28" s="45">
        <f t="shared" si="30"/>
        <v>0</v>
      </c>
      <c r="Q28" s="45"/>
      <c r="R28" s="45"/>
      <c r="S28" s="45"/>
      <c r="T28" s="45">
        <f t="shared" si="12"/>
        <v>0</v>
      </c>
      <c r="U28" s="45">
        <f t="shared" si="17"/>
        <v>0</v>
      </c>
      <c r="V28" s="45">
        <v>0</v>
      </c>
      <c r="W28" s="45"/>
      <c r="X28" s="45">
        <v>0</v>
      </c>
      <c r="Y28" s="45">
        <f t="shared" si="13"/>
        <v>0</v>
      </c>
      <c r="Z28" s="45"/>
      <c r="AA28" s="45"/>
      <c r="AB28" s="45">
        <v>0</v>
      </c>
      <c r="AC28" s="45">
        <f t="shared" si="14"/>
        <v>0</v>
      </c>
      <c r="AD28" s="45">
        <v>0</v>
      </c>
      <c r="AE28" s="55">
        <v>0</v>
      </c>
      <c r="AF28" s="45">
        <v>0</v>
      </c>
      <c r="AG28" s="45">
        <f t="shared" si="15"/>
        <v>0</v>
      </c>
      <c r="AH28" s="45">
        <v>0</v>
      </c>
      <c r="AI28" s="45">
        <v>0</v>
      </c>
      <c r="AJ28" s="45">
        <v>0</v>
      </c>
      <c r="AK28" s="55"/>
      <c r="AL28" s="45">
        <v>0</v>
      </c>
      <c r="AM28" s="45">
        <v>0</v>
      </c>
    </row>
    <row r="29" spans="1:41" outlineLevel="1">
      <c r="B29" s="16" t="s">
        <v>25</v>
      </c>
      <c r="C29" s="45">
        <f t="shared" si="36"/>
        <v>1014.94</v>
      </c>
      <c r="D29" s="45">
        <f t="shared" si="27"/>
        <v>0</v>
      </c>
      <c r="E29" s="45"/>
      <c r="F29" s="45"/>
      <c r="G29" s="45"/>
      <c r="H29" s="45">
        <f t="shared" si="28"/>
        <v>0</v>
      </c>
      <c r="I29" s="45"/>
      <c r="J29" s="45"/>
      <c r="K29" s="45"/>
      <c r="L29" s="45">
        <f t="shared" si="29"/>
        <v>0</v>
      </c>
      <c r="M29" s="45"/>
      <c r="N29" s="55"/>
      <c r="O29" s="45"/>
      <c r="P29" s="45">
        <f t="shared" si="30"/>
        <v>1014.94</v>
      </c>
      <c r="Q29" s="45"/>
      <c r="R29" s="45">
        <v>1014.94</v>
      </c>
      <c r="S29" s="45">
        <v>0</v>
      </c>
      <c r="T29" s="45">
        <f t="shared" si="12"/>
        <v>6281.590000000002</v>
      </c>
      <c r="U29" s="45">
        <f t="shared" si="17"/>
        <v>2641.82</v>
      </c>
      <c r="V29" s="45">
        <f>1486.69+150</f>
        <v>1636.69</v>
      </c>
      <c r="W29" s="45">
        <v>0</v>
      </c>
      <c r="X29" s="45">
        <v>1005.13</v>
      </c>
      <c r="Y29" s="45">
        <f t="shared" si="13"/>
        <v>986.55</v>
      </c>
      <c r="Z29" s="45">
        <v>0</v>
      </c>
      <c r="AA29" s="45">
        <v>574.04999999999995</v>
      </c>
      <c r="AB29" s="45">
        <v>412.5</v>
      </c>
      <c r="AC29" s="45">
        <f t="shared" si="14"/>
        <v>1677.26</v>
      </c>
      <c r="AD29" s="45">
        <v>0</v>
      </c>
      <c r="AE29" s="55">
        <v>1677.26</v>
      </c>
      <c r="AF29" s="45">
        <v>0</v>
      </c>
      <c r="AG29" s="45">
        <f t="shared" si="15"/>
        <v>975.96</v>
      </c>
      <c r="AH29" s="45">
        <v>0</v>
      </c>
      <c r="AI29" s="45">
        <v>975.96</v>
      </c>
      <c r="AJ29" s="45">
        <v>0</v>
      </c>
      <c r="AK29" s="55"/>
      <c r="AL29" s="45">
        <v>0</v>
      </c>
      <c r="AM29" s="45">
        <v>7229.1199999999972</v>
      </c>
    </row>
    <row r="30" spans="1:41" outlineLevel="1">
      <c r="B30" s="16" t="s">
        <v>26</v>
      </c>
      <c r="C30" s="45">
        <f t="shared" si="36"/>
        <v>0</v>
      </c>
      <c r="D30" s="45">
        <f t="shared" si="27"/>
        <v>0</v>
      </c>
      <c r="E30" s="45"/>
      <c r="F30" s="45"/>
      <c r="G30" s="45"/>
      <c r="H30" s="45">
        <f t="shared" si="28"/>
        <v>0</v>
      </c>
      <c r="I30" s="45"/>
      <c r="J30" s="45"/>
      <c r="K30" s="45"/>
      <c r="L30" s="45">
        <f t="shared" si="29"/>
        <v>0</v>
      </c>
      <c r="M30" s="45"/>
      <c r="N30" s="55"/>
      <c r="O30" s="45"/>
      <c r="P30" s="45">
        <f t="shared" si="30"/>
        <v>0</v>
      </c>
      <c r="Q30" s="45"/>
      <c r="R30" s="45"/>
      <c r="S30" s="45"/>
      <c r="T30" s="45">
        <f t="shared" si="12"/>
        <v>0</v>
      </c>
      <c r="U30" s="45">
        <f t="shared" si="17"/>
        <v>0</v>
      </c>
      <c r="V30" s="45">
        <v>0</v>
      </c>
      <c r="W30" s="45"/>
      <c r="X30" s="45">
        <v>0</v>
      </c>
      <c r="Y30" s="45">
        <f t="shared" si="13"/>
        <v>0</v>
      </c>
      <c r="Z30" s="45"/>
      <c r="AA30" s="45"/>
      <c r="AB30" s="45">
        <v>0</v>
      </c>
      <c r="AC30" s="45">
        <f t="shared" si="14"/>
        <v>0</v>
      </c>
      <c r="AD30" s="45">
        <v>0</v>
      </c>
      <c r="AE30" s="55">
        <v>0</v>
      </c>
      <c r="AF30" s="45">
        <v>0</v>
      </c>
      <c r="AG30" s="45">
        <f t="shared" si="15"/>
        <v>0</v>
      </c>
      <c r="AH30" s="45">
        <v>0</v>
      </c>
      <c r="AI30" s="45">
        <v>0</v>
      </c>
      <c r="AJ30" s="45">
        <v>0</v>
      </c>
      <c r="AK30" s="55"/>
      <c r="AL30" s="45">
        <v>0</v>
      </c>
      <c r="AM30" s="45">
        <v>0</v>
      </c>
    </row>
    <row r="31" spans="1:41" outlineLevel="1">
      <c r="B31" s="16" t="s">
        <v>27</v>
      </c>
      <c r="C31" s="45">
        <f t="shared" si="36"/>
        <v>0</v>
      </c>
      <c r="D31" s="45">
        <f t="shared" si="27"/>
        <v>0</v>
      </c>
      <c r="E31" s="45"/>
      <c r="F31" s="45"/>
      <c r="G31" s="45"/>
      <c r="H31" s="45">
        <f t="shared" si="28"/>
        <v>0</v>
      </c>
      <c r="I31" s="45"/>
      <c r="J31" s="45"/>
      <c r="K31" s="45"/>
      <c r="L31" s="45">
        <f t="shared" si="29"/>
        <v>0</v>
      </c>
      <c r="M31" s="45"/>
      <c r="N31" s="55"/>
      <c r="O31" s="45"/>
      <c r="P31" s="45">
        <f t="shared" si="30"/>
        <v>0</v>
      </c>
      <c r="Q31" s="45"/>
      <c r="R31" s="45"/>
      <c r="S31" s="45">
        <v>0</v>
      </c>
      <c r="T31" s="45">
        <f t="shared" si="12"/>
        <v>1983.34</v>
      </c>
      <c r="U31" s="45">
        <f t="shared" si="17"/>
        <v>0</v>
      </c>
      <c r="V31" s="45">
        <v>0</v>
      </c>
      <c r="W31" s="45"/>
      <c r="X31" s="45">
        <v>0</v>
      </c>
      <c r="Y31" s="45">
        <f t="shared" si="13"/>
        <v>1348.39</v>
      </c>
      <c r="Z31" s="45"/>
      <c r="AA31" s="45"/>
      <c r="AB31" s="45">
        <v>1348.39</v>
      </c>
      <c r="AC31" s="45">
        <f t="shared" si="14"/>
        <v>346.34</v>
      </c>
      <c r="AD31" s="45">
        <v>0</v>
      </c>
      <c r="AE31" s="55">
        <v>0</v>
      </c>
      <c r="AF31" s="45">
        <v>346.34</v>
      </c>
      <c r="AG31" s="45">
        <f t="shared" si="15"/>
        <v>288.61</v>
      </c>
      <c r="AH31" s="45">
        <v>0</v>
      </c>
      <c r="AI31" s="45">
        <v>173.24</v>
      </c>
      <c r="AJ31" s="45">
        <v>115.37</v>
      </c>
      <c r="AK31" s="55"/>
      <c r="AL31" s="45">
        <v>0</v>
      </c>
      <c r="AM31" s="45">
        <v>852.61999999999989</v>
      </c>
    </row>
    <row r="32" spans="1:41" outlineLevel="1">
      <c r="B32" s="16" t="s">
        <v>28</v>
      </c>
      <c r="C32" s="45">
        <f t="shared" si="36"/>
        <v>103426.73999999999</v>
      </c>
      <c r="D32" s="45">
        <f t="shared" si="27"/>
        <v>0</v>
      </c>
      <c r="E32" s="45"/>
      <c r="F32" s="45"/>
      <c r="G32" s="45"/>
      <c r="H32" s="45">
        <f t="shared" si="28"/>
        <v>0</v>
      </c>
      <c r="I32" s="45"/>
      <c r="J32" s="45"/>
      <c r="K32" s="45"/>
      <c r="L32" s="45">
        <f t="shared" si="29"/>
        <v>0</v>
      </c>
      <c r="M32" s="45"/>
      <c r="N32" s="55"/>
      <c r="O32" s="45"/>
      <c r="P32" s="45">
        <f t="shared" si="30"/>
        <v>103426.73999999999</v>
      </c>
      <c r="Q32" s="45"/>
      <c r="R32" s="45">
        <v>49890.22</v>
      </c>
      <c r="S32" s="45">
        <v>53536.52</v>
      </c>
      <c r="T32" s="45">
        <f t="shared" si="12"/>
        <v>525463.25999999989</v>
      </c>
      <c r="U32" s="45">
        <f t="shared" si="17"/>
        <v>156650.01</v>
      </c>
      <c r="V32" s="45">
        <v>55394.62</v>
      </c>
      <c r="W32" s="45">
        <v>51900</v>
      </c>
      <c r="X32" s="45">
        <v>49355.39</v>
      </c>
      <c r="Y32" s="45">
        <f t="shared" si="13"/>
        <v>126599.4</v>
      </c>
      <c r="Z32" s="45">
        <v>52046.58</v>
      </c>
      <c r="AA32" s="45">
        <v>36871.089999999997</v>
      </c>
      <c r="AB32" s="45">
        <v>37681.730000000003</v>
      </c>
      <c r="AC32" s="45">
        <f t="shared" si="14"/>
        <v>123614.53</v>
      </c>
      <c r="AD32" s="45">
        <v>36885.19</v>
      </c>
      <c r="AE32" s="55">
        <v>43563.61</v>
      </c>
      <c r="AF32" s="45">
        <v>43165.73</v>
      </c>
      <c r="AG32" s="45">
        <f t="shared" si="15"/>
        <v>118599.32</v>
      </c>
      <c r="AH32" s="45">
        <v>50222.06</v>
      </c>
      <c r="AI32" s="45">
        <v>37076.83</v>
      </c>
      <c r="AJ32" s="45">
        <v>31300.43</v>
      </c>
      <c r="AK32" s="55"/>
      <c r="AL32" s="45">
        <v>29315.68</v>
      </c>
      <c r="AM32" s="45">
        <v>244247.2300000001</v>
      </c>
    </row>
    <row r="33" spans="1:39" outlineLevel="1">
      <c r="B33" s="16" t="s">
        <v>600</v>
      </c>
      <c r="C33" s="45">
        <f t="shared" si="36"/>
        <v>0</v>
      </c>
      <c r="D33" s="45">
        <f t="shared" si="27"/>
        <v>0</v>
      </c>
      <c r="E33" s="45"/>
      <c r="F33" s="45"/>
      <c r="G33" s="45"/>
      <c r="H33" s="45">
        <f t="shared" si="28"/>
        <v>0</v>
      </c>
      <c r="I33" s="45"/>
      <c r="J33" s="45"/>
      <c r="K33" s="45"/>
      <c r="L33" s="45">
        <f t="shared" ref="L33:L38" si="37">SUM(M33:O33)</f>
        <v>0</v>
      </c>
      <c r="M33" s="45"/>
      <c r="N33" s="55"/>
      <c r="O33" s="45"/>
      <c r="P33" s="45">
        <f t="shared" ref="P33:P38" si="38">SUM(Q33:S33)</f>
        <v>0</v>
      </c>
      <c r="Q33" s="45"/>
      <c r="R33" s="45"/>
      <c r="S33" s="45"/>
      <c r="T33" s="45">
        <f t="shared" si="12"/>
        <v>0</v>
      </c>
      <c r="U33" s="45">
        <f t="shared" si="17"/>
        <v>0</v>
      </c>
      <c r="V33" s="45">
        <v>0</v>
      </c>
      <c r="W33" s="45"/>
      <c r="X33" s="45">
        <v>0</v>
      </c>
      <c r="Y33" s="45">
        <f t="shared" si="13"/>
        <v>0</v>
      </c>
      <c r="Z33" s="45"/>
      <c r="AA33" s="45"/>
      <c r="AB33" s="45"/>
      <c r="AC33" s="45"/>
      <c r="AD33" s="45"/>
      <c r="AE33" s="55"/>
      <c r="AF33" s="45"/>
      <c r="AG33" s="45"/>
      <c r="AH33" s="45"/>
      <c r="AI33" s="45"/>
      <c r="AJ33" s="45"/>
      <c r="AK33" s="55"/>
      <c r="AL33" s="45"/>
      <c r="AM33" s="45"/>
    </row>
    <row r="34" spans="1:39" outlineLevel="1">
      <c r="B34" s="16" t="s">
        <v>601</v>
      </c>
      <c r="C34" s="45">
        <f t="shared" ref="C34" si="39">SUM(D34:S34)-P34-L34-H34-D34</f>
        <v>0</v>
      </c>
      <c r="D34" s="45">
        <f t="shared" si="27"/>
        <v>0</v>
      </c>
      <c r="E34" s="45"/>
      <c r="F34" s="45"/>
      <c r="G34" s="45"/>
      <c r="H34" s="45"/>
      <c r="I34" s="45"/>
      <c r="J34" s="45"/>
      <c r="K34" s="45"/>
      <c r="L34" s="45">
        <f t="shared" si="37"/>
        <v>0</v>
      </c>
      <c r="M34" s="45"/>
      <c r="N34" s="55"/>
      <c r="O34" s="45"/>
      <c r="P34" s="45">
        <f t="shared" si="38"/>
        <v>0</v>
      </c>
      <c r="Q34" s="45"/>
      <c r="R34" s="45"/>
      <c r="S34" s="45"/>
      <c r="T34" s="45">
        <f t="shared" ref="T34" si="40">SUM(U34:AJ34)-AG34-AC34-Y34-U34</f>
        <v>0</v>
      </c>
      <c r="U34" s="45">
        <f t="shared" ref="U34" si="41">SUM(V34:X34)</f>
        <v>0</v>
      </c>
      <c r="V34" s="45">
        <v>0</v>
      </c>
      <c r="W34" s="45"/>
      <c r="X34" s="45">
        <v>0</v>
      </c>
      <c r="Y34" s="45"/>
      <c r="Z34" s="45"/>
      <c r="AA34" s="45"/>
      <c r="AB34" s="45"/>
      <c r="AC34" s="45"/>
      <c r="AD34" s="45"/>
      <c r="AE34" s="55"/>
      <c r="AF34" s="45"/>
      <c r="AG34" s="45"/>
      <c r="AH34" s="45"/>
      <c r="AI34" s="45"/>
      <c r="AJ34" s="45"/>
      <c r="AK34" s="55"/>
      <c r="AL34" s="45"/>
      <c r="AM34" s="45"/>
    </row>
    <row r="35" spans="1:39" outlineLevel="1">
      <c r="B35" s="16" t="s">
        <v>29</v>
      </c>
      <c r="C35" s="45">
        <f t="shared" ref="C35" si="42">SUM(D35:S35)-P35-L35-H35-D35</f>
        <v>0</v>
      </c>
      <c r="D35" s="45"/>
      <c r="E35" s="45"/>
      <c r="F35" s="45"/>
      <c r="G35" s="45"/>
      <c r="H35" s="45">
        <f t="shared" ref="H35:H38" si="43">SUM(I35:K35)</f>
        <v>0</v>
      </c>
      <c r="I35" s="45"/>
      <c r="J35" s="45"/>
      <c r="K35" s="45"/>
      <c r="L35" s="45">
        <f t="shared" si="37"/>
        <v>0</v>
      </c>
      <c r="M35" s="45"/>
      <c r="N35" s="55"/>
      <c r="O35" s="45"/>
      <c r="P35" s="45">
        <f t="shared" si="38"/>
        <v>0</v>
      </c>
      <c r="Q35" s="45"/>
      <c r="R35" s="45"/>
      <c r="S35" s="45">
        <v>0</v>
      </c>
      <c r="T35" s="45">
        <f t="shared" si="12"/>
        <v>0.01</v>
      </c>
      <c r="U35" s="45"/>
      <c r="V35" s="45">
        <v>0.01</v>
      </c>
      <c r="W35" s="45"/>
      <c r="X35" s="45">
        <v>0</v>
      </c>
      <c r="Y35" s="45">
        <f t="shared" si="13"/>
        <v>0</v>
      </c>
      <c r="Z35" s="45"/>
      <c r="AA35" s="45"/>
      <c r="AB35" s="45">
        <v>0</v>
      </c>
      <c r="AC35" s="45"/>
      <c r="AD35" s="45">
        <v>0</v>
      </c>
      <c r="AE35" s="55">
        <v>0</v>
      </c>
      <c r="AF35" s="45">
        <v>0</v>
      </c>
      <c r="AG35" s="45">
        <f t="shared" si="15"/>
        <v>0</v>
      </c>
      <c r="AH35" s="45">
        <v>0</v>
      </c>
      <c r="AI35" s="45">
        <v>0</v>
      </c>
      <c r="AJ35" s="45">
        <v>0</v>
      </c>
      <c r="AK35" s="55"/>
      <c r="AL35" s="45">
        <v>0</v>
      </c>
      <c r="AM35" s="45">
        <v>0</v>
      </c>
    </row>
    <row r="36" spans="1:39" outlineLevel="1">
      <c r="B36" s="16" t="s">
        <v>30</v>
      </c>
      <c r="C36" s="45">
        <f t="shared" ref="C36" si="44">SUM(D36:S36)-P36-L36-H36-D36</f>
        <v>0</v>
      </c>
      <c r="D36" s="45">
        <f t="shared" ref="D36" si="45">SUM(E36:G36)</f>
        <v>0</v>
      </c>
      <c r="E36" s="45"/>
      <c r="F36" s="45"/>
      <c r="G36" s="45"/>
      <c r="H36" s="45">
        <f t="shared" si="43"/>
        <v>0</v>
      </c>
      <c r="I36" s="45"/>
      <c r="J36" s="45"/>
      <c r="K36" s="45"/>
      <c r="L36" s="45">
        <f t="shared" si="37"/>
        <v>0</v>
      </c>
      <c r="M36" s="45"/>
      <c r="N36" s="55"/>
      <c r="O36" s="45"/>
      <c r="P36" s="45">
        <f t="shared" si="38"/>
        <v>0</v>
      </c>
      <c r="Q36" s="45"/>
      <c r="R36" s="45"/>
      <c r="S36" s="45">
        <v>0</v>
      </c>
      <c r="T36" s="45">
        <f t="shared" ref="T36" si="46">SUM(U36:AJ36)-AG36-AC36-Y36-U36</f>
        <v>4021.06</v>
      </c>
      <c r="U36" s="45">
        <f t="shared" ref="U36" si="47">SUM(V36:X36)</f>
        <v>0</v>
      </c>
      <c r="V36" s="45">
        <v>0</v>
      </c>
      <c r="W36" s="45"/>
      <c r="X36" s="45">
        <v>0</v>
      </c>
      <c r="Y36" s="45">
        <f t="shared" si="13"/>
        <v>0</v>
      </c>
      <c r="Z36" s="45"/>
      <c r="AA36" s="45"/>
      <c r="AB36" s="45">
        <v>0</v>
      </c>
      <c r="AC36" s="45">
        <f t="shared" ref="AC36" si="48">SUM(AD36:AF36)</f>
        <v>0</v>
      </c>
      <c r="AD36" s="45">
        <v>0</v>
      </c>
      <c r="AE36" s="55">
        <v>0</v>
      </c>
      <c r="AF36" s="45">
        <v>0</v>
      </c>
      <c r="AG36" s="45">
        <f t="shared" ref="AG36:AG38" si="49">SUM(AH36:AJ36)</f>
        <v>4021.06</v>
      </c>
      <c r="AH36" s="45">
        <v>0</v>
      </c>
      <c r="AI36" s="45">
        <v>0</v>
      </c>
      <c r="AJ36" s="45">
        <v>4021.06</v>
      </c>
      <c r="AK36" s="55"/>
      <c r="AL36" s="45">
        <v>1691.55</v>
      </c>
      <c r="AM36" s="45">
        <v>7829.9800000000005</v>
      </c>
    </row>
    <row r="37" spans="1:39" outlineLevel="1">
      <c r="B37" s="16" t="s">
        <v>31</v>
      </c>
      <c r="C37" s="45">
        <f>SUM(D37:S37)-P37-L37-H37-D37</f>
        <v>0</v>
      </c>
      <c r="D37" s="45">
        <f>SUM(E37:G37)</f>
        <v>0</v>
      </c>
      <c r="E37" s="45"/>
      <c r="F37" s="45"/>
      <c r="G37" s="45"/>
      <c r="H37" s="45">
        <f t="shared" si="43"/>
        <v>0</v>
      </c>
      <c r="I37" s="45"/>
      <c r="J37" s="45"/>
      <c r="K37" s="45"/>
      <c r="L37" s="45">
        <f t="shared" si="37"/>
        <v>0</v>
      </c>
      <c r="M37" s="45"/>
      <c r="N37" s="55"/>
      <c r="O37" s="45"/>
      <c r="P37" s="45">
        <f t="shared" si="38"/>
        <v>0</v>
      </c>
      <c r="Q37" s="45"/>
      <c r="R37" s="45"/>
      <c r="S37" s="45"/>
      <c r="T37" s="45">
        <f>SUM(U37:AJ37)-AG37-AC37-Y37-U37</f>
        <v>0</v>
      </c>
      <c r="U37" s="45">
        <f>SUM(V37:X37)</f>
        <v>0</v>
      </c>
      <c r="V37" s="45">
        <v>0</v>
      </c>
      <c r="W37" s="45"/>
      <c r="X37" s="45">
        <v>0</v>
      </c>
      <c r="Y37" s="45">
        <f t="shared" si="13"/>
        <v>0</v>
      </c>
      <c r="Z37" s="45"/>
      <c r="AA37" s="45"/>
      <c r="AB37" s="45">
        <v>0</v>
      </c>
      <c r="AC37" s="45"/>
      <c r="AD37" s="45">
        <v>0</v>
      </c>
      <c r="AE37" s="55">
        <v>0</v>
      </c>
      <c r="AF37" s="45">
        <v>0</v>
      </c>
      <c r="AG37" s="45">
        <f t="shared" si="49"/>
        <v>0</v>
      </c>
      <c r="AH37" s="45">
        <v>0</v>
      </c>
      <c r="AI37" s="45">
        <v>0</v>
      </c>
      <c r="AJ37" s="45">
        <v>0</v>
      </c>
      <c r="AK37" s="55"/>
      <c r="AL37" s="45"/>
      <c r="AM37" s="45">
        <v>0</v>
      </c>
    </row>
    <row r="38" spans="1:39" outlineLevel="1">
      <c r="B38" s="16" t="s">
        <v>32</v>
      </c>
      <c r="C38" s="45">
        <f>SUM(D38:S38)-P38-L38-H38-D38</f>
        <v>0</v>
      </c>
      <c r="D38" s="45">
        <f>SUM(E38:G38)</f>
        <v>0</v>
      </c>
      <c r="E38" s="45"/>
      <c r="F38" s="45"/>
      <c r="G38" s="45"/>
      <c r="H38" s="45">
        <f t="shared" si="43"/>
        <v>0</v>
      </c>
      <c r="I38" s="45"/>
      <c r="J38" s="45"/>
      <c r="K38" s="45"/>
      <c r="L38" s="45">
        <f t="shared" si="37"/>
        <v>0</v>
      </c>
      <c r="M38" s="45"/>
      <c r="N38" s="55"/>
      <c r="O38" s="45"/>
      <c r="P38" s="45">
        <f t="shared" si="38"/>
        <v>0</v>
      </c>
      <c r="Q38" s="45"/>
      <c r="R38" s="45"/>
      <c r="S38" s="45"/>
      <c r="T38" s="45">
        <f>SUM(U38:AJ38)-AG38-AC38-Y38-U38</f>
        <v>0</v>
      </c>
      <c r="U38" s="45">
        <f>SUM(V38:X38)</f>
        <v>0</v>
      </c>
      <c r="V38" s="45">
        <v>0</v>
      </c>
      <c r="W38" s="45"/>
      <c r="X38" s="45">
        <v>0</v>
      </c>
      <c r="Y38" s="45">
        <f t="shared" si="13"/>
        <v>0</v>
      </c>
      <c r="Z38" s="45"/>
      <c r="AA38" s="45"/>
      <c r="AB38" s="45">
        <v>0</v>
      </c>
      <c r="AC38" s="45"/>
      <c r="AD38" s="45">
        <v>0</v>
      </c>
      <c r="AE38" s="55">
        <v>0</v>
      </c>
      <c r="AF38" s="45">
        <v>0</v>
      </c>
      <c r="AG38" s="45">
        <f t="shared" si="49"/>
        <v>0</v>
      </c>
      <c r="AH38" s="45">
        <v>0</v>
      </c>
      <c r="AI38" s="45">
        <v>0</v>
      </c>
      <c r="AJ38" s="45">
        <v>0</v>
      </c>
      <c r="AK38" s="55"/>
      <c r="AL38" s="45"/>
      <c r="AM38" s="45">
        <v>0</v>
      </c>
    </row>
    <row r="39" spans="1:39" s="69" customFormat="1">
      <c r="A39" s="68"/>
      <c r="B39" s="67" t="s">
        <v>33</v>
      </c>
      <c r="C39" s="72">
        <f>SUM(C40:C55)</f>
        <v>82983.06</v>
      </c>
      <c r="D39" s="72">
        <f>SUM(E39:G39)</f>
        <v>0</v>
      </c>
      <c r="E39" s="72">
        <f>SUM(E40:E55)</f>
        <v>0</v>
      </c>
      <c r="F39" s="72">
        <f>SUM(F40:F55)</f>
        <v>0</v>
      </c>
      <c r="G39" s="72">
        <f>SUM(G40:G55)</f>
        <v>0</v>
      </c>
      <c r="H39" s="72">
        <f>SUM(I39:K39)</f>
        <v>0</v>
      </c>
      <c r="I39" s="72">
        <f>SUM(I40:I55)</f>
        <v>0</v>
      </c>
      <c r="J39" s="72">
        <f>SUM(J40:J55)</f>
        <v>0</v>
      </c>
      <c r="K39" s="72">
        <f>SUM(K40:K55)</f>
        <v>0</v>
      </c>
      <c r="L39" s="72">
        <f>SUM(M39:O39)</f>
        <v>0</v>
      </c>
      <c r="M39" s="72">
        <f>SUM(M40:M55)</f>
        <v>0</v>
      </c>
      <c r="N39" s="72">
        <f>SUM(N40:N55)</f>
        <v>0</v>
      </c>
      <c r="O39" s="72">
        <f>SUM(O40:O55)</f>
        <v>0</v>
      </c>
      <c r="P39" s="72">
        <f>SUM(Q39:S39)</f>
        <v>82983.06</v>
      </c>
      <c r="Q39" s="72">
        <f>SUM(Q40:Q55)</f>
        <v>0</v>
      </c>
      <c r="R39" s="72">
        <f>SUM(R40:R55)</f>
        <v>45138.65</v>
      </c>
      <c r="S39" s="72">
        <f>SUM(S40:S55)</f>
        <v>37844.410000000003</v>
      </c>
      <c r="T39" s="72">
        <f>SUM(T40:T55)</f>
        <v>669599.74999999988</v>
      </c>
      <c r="U39" s="72">
        <f>SUM(V39:X39)</f>
        <v>162969.64000000001</v>
      </c>
      <c r="V39" s="72">
        <f>SUM(V40:V55)</f>
        <v>52018.05</v>
      </c>
      <c r="W39" s="72">
        <f>SUM(W40:W55)</f>
        <v>41585.01</v>
      </c>
      <c r="X39" s="72">
        <f>SUM(X40:X55)</f>
        <v>69366.58</v>
      </c>
      <c r="Y39" s="72">
        <f>SUM(Z39:AB39)</f>
        <v>177755.03000000003</v>
      </c>
      <c r="Z39" s="72">
        <f>SUM(Z40:Z55)</f>
        <v>55789.35</v>
      </c>
      <c r="AA39" s="72">
        <f>SUM(AA40:AA55)</f>
        <v>56565.600000000006</v>
      </c>
      <c r="AB39" s="72">
        <f>SUM(AB40:AB55)</f>
        <v>65400.08</v>
      </c>
      <c r="AC39" s="72">
        <f>SUM(AD39:AF39)</f>
        <v>155760.79</v>
      </c>
      <c r="AD39" s="72">
        <f>SUM(AD40:AD55)</f>
        <v>68407.3</v>
      </c>
      <c r="AE39" s="72">
        <f>SUM(AE40:AE55)</f>
        <v>59361.170000000006</v>
      </c>
      <c r="AF39" s="72">
        <f>SUM(AF40:AF55)</f>
        <v>27992.32</v>
      </c>
      <c r="AG39" s="72">
        <f>SUM(AH39:AJ39)</f>
        <v>173114.29</v>
      </c>
      <c r="AH39" s="72">
        <f>SUM(AH40:AH55)</f>
        <v>41542.730000000003</v>
      </c>
      <c r="AI39" s="72">
        <f>SUM(AI40:AI55)</f>
        <v>95489.88</v>
      </c>
      <c r="AJ39" s="72">
        <f>SUM(AJ40:AJ55)</f>
        <v>36081.68</v>
      </c>
      <c r="AK39" s="74"/>
      <c r="AL39" s="72">
        <f>SUM(AL40:AL55)</f>
        <v>29936.940000000002</v>
      </c>
      <c r="AM39" s="72">
        <f>SUM(AM40:AM55)</f>
        <v>179659.18</v>
      </c>
    </row>
    <row r="40" spans="1:39" outlineLevel="1">
      <c r="B40" s="16" t="s">
        <v>34</v>
      </c>
      <c r="C40" s="45">
        <f t="shared" ref="C40:C55" si="50">SUM(D40:S40)-P40-L40-H40-D40</f>
        <v>0</v>
      </c>
      <c r="D40" s="45">
        <f>SUM(E40:G40)</f>
        <v>0</v>
      </c>
      <c r="E40" s="45"/>
      <c r="F40" s="45"/>
      <c r="G40" s="45"/>
      <c r="H40" s="45">
        <f t="shared" ref="H40:H50" si="51">SUM(I40:K40)</f>
        <v>0</v>
      </c>
      <c r="I40" s="45"/>
      <c r="J40" s="45"/>
      <c r="K40" s="45"/>
      <c r="L40" s="45">
        <f t="shared" ref="L40:L44" si="52">SUM(M40:O40)</f>
        <v>0</v>
      </c>
      <c r="M40" s="45"/>
      <c r="N40" s="55"/>
      <c r="O40" s="45"/>
      <c r="P40" s="45">
        <f t="shared" ref="P40:P44" si="53">SUM(Q40:S40)</f>
        <v>0</v>
      </c>
      <c r="Q40" s="45"/>
      <c r="R40" s="45"/>
      <c r="S40" s="45">
        <v>0</v>
      </c>
      <c r="T40" s="45">
        <f t="shared" si="12"/>
        <v>83690.519999999975</v>
      </c>
      <c r="U40" s="45">
        <f>SUM(V40:X40)</f>
        <v>6761.3200000000006</v>
      </c>
      <c r="V40" s="45">
        <v>811.01</v>
      </c>
      <c r="W40" s="45">
        <v>2549.5100000000002</v>
      </c>
      <c r="X40" s="45">
        <v>3400.8</v>
      </c>
      <c r="Y40" s="45">
        <f t="shared" si="13"/>
        <v>12885.49</v>
      </c>
      <c r="Z40" s="45">
        <v>0</v>
      </c>
      <c r="AA40" s="45">
        <v>995.44</v>
      </c>
      <c r="AB40" s="45">
        <v>11890.05</v>
      </c>
      <c r="AC40" s="45">
        <f t="shared" si="14"/>
        <v>15967.62</v>
      </c>
      <c r="AD40" s="45">
        <v>7793.14</v>
      </c>
      <c r="AE40" s="55">
        <v>6787.8</v>
      </c>
      <c r="AF40" s="45">
        <v>1386.68</v>
      </c>
      <c r="AG40" s="45">
        <f t="shared" si="15"/>
        <v>48076.09</v>
      </c>
      <c r="AH40" s="45">
        <v>7086.76</v>
      </c>
      <c r="AI40" s="45">
        <v>36880.6</v>
      </c>
      <c r="AJ40" s="45">
        <v>4108.7299999999996</v>
      </c>
      <c r="AK40" s="55"/>
      <c r="AL40" s="45">
        <v>37.58</v>
      </c>
      <c r="AM40" s="45">
        <v>14193.81</v>
      </c>
    </row>
    <row r="41" spans="1:39" outlineLevel="1">
      <c r="B41" s="16" t="s">
        <v>591</v>
      </c>
      <c r="C41" s="45">
        <f t="shared" si="50"/>
        <v>0</v>
      </c>
      <c r="D41" s="45">
        <f>SUM(E41:G41)</f>
        <v>0</v>
      </c>
      <c r="E41" s="45"/>
      <c r="F41" s="45"/>
      <c r="G41" s="45"/>
      <c r="H41" s="45">
        <f t="shared" si="51"/>
        <v>0</v>
      </c>
      <c r="I41" s="45"/>
      <c r="J41" s="45"/>
      <c r="K41" s="45"/>
      <c r="L41" s="45">
        <f t="shared" si="52"/>
        <v>0</v>
      </c>
      <c r="M41" s="45"/>
      <c r="N41" s="55"/>
      <c r="O41" s="45"/>
      <c r="P41" s="45">
        <f t="shared" si="53"/>
        <v>0</v>
      </c>
      <c r="Q41" s="45"/>
      <c r="R41" s="45"/>
      <c r="S41" s="45">
        <v>0</v>
      </c>
      <c r="T41" s="45">
        <f t="shared" si="12"/>
        <v>6445.1200000000008</v>
      </c>
      <c r="U41" s="45">
        <f>SUM(V41:X41)</f>
        <v>3421.77</v>
      </c>
      <c r="V41" s="45">
        <v>0</v>
      </c>
      <c r="W41" s="45">
        <v>0</v>
      </c>
      <c r="X41" s="45">
        <v>3421.77</v>
      </c>
      <c r="Y41" s="45">
        <f t="shared" si="13"/>
        <v>0</v>
      </c>
      <c r="Z41" s="45"/>
      <c r="AA41" s="45"/>
      <c r="AB41" s="45"/>
      <c r="AC41" s="45">
        <f t="shared" si="14"/>
        <v>1020.9</v>
      </c>
      <c r="AD41" s="45"/>
      <c r="AE41" s="55"/>
      <c r="AF41" s="45">
        <v>1020.9</v>
      </c>
      <c r="AG41" s="45">
        <f t="shared" si="15"/>
        <v>2002.45</v>
      </c>
      <c r="AH41" s="45">
        <v>1401.17</v>
      </c>
      <c r="AI41" s="45"/>
      <c r="AJ41" s="45">
        <v>601.28</v>
      </c>
      <c r="AK41" s="55"/>
      <c r="AL41" s="45"/>
      <c r="AM41" s="45"/>
    </row>
    <row r="42" spans="1:39" outlineLevel="1">
      <c r="B42" s="16" t="s">
        <v>35</v>
      </c>
      <c r="C42" s="45">
        <f t="shared" si="50"/>
        <v>0</v>
      </c>
      <c r="D42" s="45">
        <f t="shared" ref="D42:D44" si="54">SUM(E42:G42)</f>
        <v>0</v>
      </c>
      <c r="E42" s="45"/>
      <c r="F42" s="55"/>
      <c r="G42" s="55"/>
      <c r="H42" s="45">
        <f t="shared" si="51"/>
        <v>0</v>
      </c>
      <c r="I42" s="45"/>
      <c r="J42" s="45"/>
      <c r="K42" s="45"/>
      <c r="L42" s="45">
        <f t="shared" si="52"/>
        <v>0</v>
      </c>
      <c r="M42" s="45"/>
      <c r="N42" s="55"/>
      <c r="O42" s="45"/>
      <c r="P42" s="45">
        <f t="shared" si="53"/>
        <v>0</v>
      </c>
      <c r="Q42" s="45"/>
      <c r="R42" s="45"/>
      <c r="S42" s="45"/>
      <c r="T42" s="45">
        <f t="shared" si="12"/>
        <v>0</v>
      </c>
      <c r="U42" s="45">
        <f t="shared" si="17"/>
        <v>0</v>
      </c>
      <c r="V42" s="45">
        <v>0</v>
      </c>
      <c r="W42" s="55"/>
      <c r="X42" s="55"/>
      <c r="Y42" s="45">
        <f t="shared" si="13"/>
        <v>0</v>
      </c>
      <c r="Z42" s="45"/>
      <c r="AA42" s="45"/>
      <c r="AB42" s="45">
        <v>0</v>
      </c>
      <c r="AC42" s="45">
        <f t="shared" si="14"/>
        <v>0</v>
      </c>
      <c r="AD42" s="45">
        <v>0</v>
      </c>
      <c r="AE42" s="55">
        <v>0</v>
      </c>
      <c r="AF42" s="45">
        <v>0</v>
      </c>
      <c r="AG42" s="45">
        <f t="shared" si="15"/>
        <v>0</v>
      </c>
      <c r="AH42" s="45">
        <v>0</v>
      </c>
      <c r="AI42" s="45">
        <v>0</v>
      </c>
      <c r="AJ42" s="45">
        <v>0</v>
      </c>
      <c r="AK42" s="55"/>
      <c r="AL42" s="45">
        <v>0</v>
      </c>
      <c r="AM42" s="45">
        <v>0</v>
      </c>
    </row>
    <row r="43" spans="1:39" outlineLevel="1">
      <c r="B43" s="16" t="s">
        <v>36</v>
      </c>
      <c r="C43" s="45">
        <f t="shared" si="50"/>
        <v>0</v>
      </c>
      <c r="D43" s="45">
        <f t="shared" si="54"/>
        <v>0</v>
      </c>
      <c r="E43" s="45"/>
      <c r="F43" s="45"/>
      <c r="G43" s="45"/>
      <c r="H43" s="45">
        <f t="shared" si="51"/>
        <v>0</v>
      </c>
      <c r="I43" s="45"/>
      <c r="J43" s="45"/>
      <c r="K43" s="45"/>
      <c r="L43" s="45">
        <f t="shared" si="52"/>
        <v>0</v>
      </c>
      <c r="M43" s="45"/>
      <c r="N43" s="55"/>
      <c r="O43" s="45"/>
      <c r="P43" s="45">
        <f t="shared" si="53"/>
        <v>0</v>
      </c>
      <c r="Q43" s="45"/>
      <c r="R43" s="45"/>
      <c r="S43" s="45"/>
      <c r="T43" s="45">
        <f t="shared" si="12"/>
        <v>0</v>
      </c>
      <c r="U43" s="45">
        <f t="shared" si="17"/>
        <v>0</v>
      </c>
      <c r="V43" s="45">
        <v>0</v>
      </c>
      <c r="W43" s="45"/>
      <c r="X43" s="45"/>
      <c r="Y43" s="45">
        <f t="shared" si="13"/>
        <v>0</v>
      </c>
      <c r="Z43" s="45"/>
      <c r="AA43" s="45"/>
      <c r="AB43" s="45">
        <v>0</v>
      </c>
      <c r="AC43" s="45">
        <f t="shared" si="14"/>
        <v>0</v>
      </c>
      <c r="AD43" s="45">
        <v>0</v>
      </c>
      <c r="AE43" s="55">
        <v>0</v>
      </c>
      <c r="AF43" s="45">
        <v>0</v>
      </c>
      <c r="AG43" s="45">
        <f t="shared" si="15"/>
        <v>0</v>
      </c>
      <c r="AH43" s="45">
        <v>0</v>
      </c>
      <c r="AI43" s="45">
        <v>0</v>
      </c>
      <c r="AJ43" s="45">
        <v>0</v>
      </c>
      <c r="AK43" s="55"/>
      <c r="AL43" s="45">
        <v>0</v>
      </c>
      <c r="AM43" s="45">
        <v>0</v>
      </c>
    </row>
    <row r="44" spans="1:39" outlineLevel="1">
      <c r="B44" s="16" t="s">
        <v>37</v>
      </c>
      <c r="C44" s="45">
        <f t="shared" si="50"/>
        <v>0</v>
      </c>
      <c r="D44" s="45">
        <f t="shared" si="54"/>
        <v>0</v>
      </c>
      <c r="E44" s="45"/>
      <c r="F44" s="55"/>
      <c r="G44" s="55"/>
      <c r="H44" s="45">
        <f t="shared" si="51"/>
        <v>0</v>
      </c>
      <c r="I44" s="45"/>
      <c r="J44" s="45"/>
      <c r="K44" s="45"/>
      <c r="L44" s="45">
        <f t="shared" si="52"/>
        <v>0</v>
      </c>
      <c r="M44" s="45"/>
      <c r="N44" s="55"/>
      <c r="O44" s="45"/>
      <c r="P44" s="45">
        <f t="shared" si="53"/>
        <v>0</v>
      </c>
      <c r="Q44" s="45"/>
      <c r="R44" s="45"/>
      <c r="S44" s="45"/>
      <c r="T44" s="45">
        <f t="shared" si="12"/>
        <v>0</v>
      </c>
      <c r="U44" s="45">
        <f t="shared" si="17"/>
        <v>0</v>
      </c>
      <c r="V44" s="45">
        <v>0</v>
      </c>
      <c r="W44" s="55"/>
      <c r="X44" s="55"/>
      <c r="Y44" s="45">
        <f t="shared" si="13"/>
        <v>0</v>
      </c>
      <c r="Z44" s="45"/>
      <c r="AA44" s="45"/>
      <c r="AB44" s="45">
        <v>0</v>
      </c>
      <c r="AC44" s="45">
        <f t="shared" si="14"/>
        <v>0</v>
      </c>
      <c r="AD44" s="45">
        <v>0</v>
      </c>
      <c r="AE44" s="55">
        <v>0</v>
      </c>
      <c r="AF44" s="45">
        <v>0</v>
      </c>
      <c r="AG44" s="45">
        <f t="shared" si="15"/>
        <v>0</v>
      </c>
      <c r="AH44" s="45">
        <v>0</v>
      </c>
      <c r="AI44" s="45">
        <v>0</v>
      </c>
      <c r="AJ44" s="45">
        <v>0</v>
      </c>
      <c r="AK44" s="55"/>
      <c r="AL44" s="45">
        <v>0</v>
      </c>
      <c r="AM44" s="45">
        <v>0</v>
      </c>
    </row>
    <row r="45" spans="1:39" outlineLevel="1">
      <c r="B45" s="16" t="s">
        <v>38</v>
      </c>
      <c r="C45" s="45">
        <f t="shared" si="50"/>
        <v>0</v>
      </c>
      <c r="D45" s="45"/>
      <c r="E45" s="45"/>
      <c r="F45" s="45"/>
      <c r="G45" s="55"/>
      <c r="H45" s="45">
        <f t="shared" si="51"/>
        <v>0</v>
      </c>
      <c r="I45" s="45"/>
      <c r="J45" s="45"/>
      <c r="K45" s="45"/>
      <c r="L45" s="45"/>
      <c r="M45" s="45"/>
      <c r="N45" s="55"/>
      <c r="O45" s="45"/>
      <c r="P45" s="45"/>
      <c r="Q45" s="45"/>
      <c r="R45" s="45"/>
      <c r="S45" s="45"/>
      <c r="T45" s="45">
        <f t="shared" si="12"/>
        <v>0</v>
      </c>
      <c r="U45" s="45"/>
      <c r="V45" s="45">
        <v>0</v>
      </c>
      <c r="W45" s="45"/>
      <c r="X45" s="55"/>
      <c r="Y45" s="45">
        <f t="shared" si="13"/>
        <v>0</v>
      </c>
      <c r="Z45" s="45"/>
      <c r="AA45" s="45"/>
      <c r="AB45" s="45">
        <v>0</v>
      </c>
      <c r="AC45" s="45"/>
      <c r="AD45" s="45">
        <v>0</v>
      </c>
      <c r="AE45" s="55">
        <v>0</v>
      </c>
      <c r="AF45" s="45">
        <v>0</v>
      </c>
      <c r="AG45" s="45"/>
      <c r="AH45" s="45">
        <v>0</v>
      </c>
      <c r="AI45" s="45">
        <v>0</v>
      </c>
      <c r="AJ45" s="45">
        <v>0</v>
      </c>
      <c r="AK45" s="55"/>
      <c r="AL45" s="45"/>
      <c r="AM45" s="45"/>
    </row>
    <row r="46" spans="1:39" outlineLevel="1">
      <c r="B46" s="16" t="s">
        <v>39</v>
      </c>
      <c r="C46" s="45">
        <f t="shared" si="50"/>
        <v>0</v>
      </c>
      <c r="D46" s="45"/>
      <c r="E46" s="45"/>
      <c r="F46" s="45"/>
      <c r="G46" s="55"/>
      <c r="H46" s="45">
        <f t="shared" si="51"/>
        <v>0</v>
      </c>
      <c r="I46" s="45"/>
      <c r="J46" s="45"/>
      <c r="K46" s="45"/>
      <c r="L46" s="45"/>
      <c r="M46" s="45"/>
      <c r="N46" s="55"/>
      <c r="O46" s="45"/>
      <c r="P46" s="45"/>
      <c r="Q46" s="45"/>
      <c r="R46" s="45"/>
      <c r="S46" s="45"/>
      <c r="T46" s="45">
        <f t="shared" si="12"/>
        <v>0</v>
      </c>
      <c r="U46" s="45"/>
      <c r="V46" s="45">
        <v>0</v>
      </c>
      <c r="W46" s="45"/>
      <c r="X46" s="55"/>
      <c r="Y46" s="45">
        <f t="shared" si="13"/>
        <v>0</v>
      </c>
      <c r="Z46" s="45"/>
      <c r="AA46" s="45"/>
      <c r="AB46" s="45">
        <v>0</v>
      </c>
      <c r="AC46" s="45"/>
      <c r="AD46" s="45">
        <v>0</v>
      </c>
      <c r="AE46" s="55">
        <v>0</v>
      </c>
      <c r="AF46" s="45">
        <v>0</v>
      </c>
      <c r="AG46" s="45"/>
      <c r="AH46" s="45">
        <v>0</v>
      </c>
      <c r="AI46" s="45">
        <v>0</v>
      </c>
      <c r="AJ46" s="45">
        <v>0</v>
      </c>
      <c r="AK46" s="55"/>
      <c r="AL46" s="45"/>
      <c r="AM46" s="45"/>
    </row>
    <row r="47" spans="1:39" outlineLevel="1">
      <c r="B47" s="16" t="s">
        <v>40</v>
      </c>
      <c r="C47" s="45">
        <f t="shared" si="50"/>
        <v>0</v>
      </c>
      <c r="D47" s="45"/>
      <c r="E47" s="45"/>
      <c r="F47" s="55"/>
      <c r="G47" s="55"/>
      <c r="H47" s="45">
        <f t="shared" si="51"/>
        <v>0</v>
      </c>
      <c r="I47" s="45"/>
      <c r="J47" s="45"/>
      <c r="K47" s="45"/>
      <c r="L47" s="45">
        <f t="shared" ref="L47:L48" si="55">SUM(M47:O47)</f>
        <v>0</v>
      </c>
      <c r="M47" s="45"/>
      <c r="N47" s="55"/>
      <c r="O47" s="45"/>
      <c r="P47" s="45"/>
      <c r="Q47" s="45"/>
      <c r="R47" s="45"/>
      <c r="S47" s="45"/>
      <c r="T47" s="45">
        <f t="shared" si="12"/>
        <v>0</v>
      </c>
      <c r="U47" s="45"/>
      <c r="V47" s="45">
        <v>0</v>
      </c>
      <c r="W47" s="55"/>
      <c r="X47" s="55"/>
      <c r="Y47" s="45">
        <f t="shared" si="13"/>
        <v>0</v>
      </c>
      <c r="Z47" s="45"/>
      <c r="AA47" s="45"/>
      <c r="AB47" s="45">
        <v>0</v>
      </c>
      <c r="AC47" s="45">
        <f t="shared" si="14"/>
        <v>0</v>
      </c>
      <c r="AD47" s="45">
        <v>0</v>
      </c>
      <c r="AE47" s="55">
        <v>0</v>
      </c>
      <c r="AF47" s="45">
        <v>0</v>
      </c>
      <c r="AG47" s="45"/>
      <c r="AH47" s="45">
        <v>0</v>
      </c>
      <c r="AI47" s="45">
        <v>0</v>
      </c>
      <c r="AJ47" s="45">
        <v>0</v>
      </c>
      <c r="AK47" s="55"/>
      <c r="AL47" s="45">
        <v>0</v>
      </c>
      <c r="AM47" s="45"/>
    </row>
    <row r="48" spans="1:39" outlineLevel="1">
      <c r="B48" s="16" t="s">
        <v>41</v>
      </c>
      <c r="C48" s="45">
        <f t="shared" si="50"/>
        <v>0</v>
      </c>
      <c r="D48" s="45"/>
      <c r="E48" s="45"/>
      <c r="F48" s="55"/>
      <c r="G48" s="55"/>
      <c r="H48" s="45">
        <f t="shared" si="51"/>
        <v>0</v>
      </c>
      <c r="I48" s="45"/>
      <c r="J48" s="45"/>
      <c r="K48" s="45"/>
      <c r="L48" s="45">
        <f t="shared" si="55"/>
        <v>0</v>
      </c>
      <c r="M48" s="45"/>
      <c r="N48" s="55"/>
      <c r="O48" s="45"/>
      <c r="P48" s="45"/>
      <c r="Q48" s="45"/>
      <c r="R48" s="45"/>
      <c r="S48" s="45"/>
      <c r="T48" s="45">
        <f t="shared" si="12"/>
        <v>0</v>
      </c>
      <c r="U48" s="45"/>
      <c r="V48" s="45">
        <v>0</v>
      </c>
      <c r="W48" s="55"/>
      <c r="X48" s="55"/>
      <c r="Y48" s="45">
        <f t="shared" si="13"/>
        <v>0</v>
      </c>
      <c r="Z48" s="45"/>
      <c r="AA48" s="45"/>
      <c r="AB48" s="45">
        <v>0</v>
      </c>
      <c r="AC48" s="45">
        <f t="shared" si="14"/>
        <v>0</v>
      </c>
      <c r="AD48" s="45">
        <v>0</v>
      </c>
      <c r="AE48" s="55">
        <v>0</v>
      </c>
      <c r="AF48" s="45">
        <v>0</v>
      </c>
      <c r="AG48" s="45"/>
      <c r="AH48" s="45">
        <v>0</v>
      </c>
      <c r="AI48" s="45">
        <v>0</v>
      </c>
      <c r="AJ48" s="45">
        <v>0</v>
      </c>
      <c r="AK48" s="55"/>
      <c r="AL48" s="45">
        <v>0</v>
      </c>
      <c r="AM48" s="45"/>
    </row>
    <row r="49" spans="1:39" outlineLevel="1">
      <c r="B49" s="16" t="s">
        <v>586</v>
      </c>
      <c r="C49" s="45">
        <f t="shared" si="50"/>
        <v>0</v>
      </c>
      <c r="D49" s="45"/>
      <c r="E49" s="45"/>
      <c r="F49" s="55"/>
      <c r="G49" s="55"/>
      <c r="H49" s="45">
        <f t="shared" si="51"/>
        <v>0</v>
      </c>
      <c r="I49" s="45"/>
      <c r="J49" s="45"/>
      <c r="K49" s="45"/>
      <c r="L49" s="45"/>
      <c r="M49" s="45"/>
      <c r="N49" s="55"/>
      <c r="O49" s="45"/>
      <c r="P49" s="45"/>
      <c r="Q49" s="45"/>
      <c r="R49" s="45"/>
      <c r="S49" s="45"/>
      <c r="T49" s="45">
        <f t="shared" si="12"/>
        <v>0</v>
      </c>
      <c r="U49" s="45"/>
      <c r="V49" s="45">
        <v>0</v>
      </c>
      <c r="W49" s="55"/>
      <c r="X49" s="55"/>
      <c r="Y49" s="45">
        <f t="shared" si="13"/>
        <v>0</v>
      </c>
      <c r="Z49" s="45"/>
      <c r="AA49" s="45"/>
      <c r="AB49" s="45">
        <v>0</v>
      </c>
      <c r="AC49" s="45"/>
      <c r="AD49" s="45"/>
      <c r="AE49" s="55"/>
      <c r="AF49" s="45"/>
      <c r="AG49" s="45"/>
      <c r="AH49" s="45"/>
      <c r="AI49" s="45"/>
      <c r="AJ49" s="45"/>
      <c r="AK49" s="55"/>
      <c r="AL49" s="45"/>
      <c r="AM49" s="45"/>
    </row>
    <row r="50" spans="1:39" outlineLevel="1">
      <c r="B50" s="16" t="s">
        <v>584</v>
      </c>
      <c r="C50" s="45">
        <f t="shared" si="50"/>
        <v>0</v>
      </c>
      <c r="D50" s="45"/>
      <c r="E50" s="45"/>
      <c r="F50" s="55"/>
      <c r="G50" s="55"/>
      <c r="H50" s="45">
        <f t="shared" si="51"/>
        <v>0</v>
      </c>
      <c r="I50" s="45"/>
      <c r="J50" s="45"/>
      <c r="K50" s="45"/>
      <c r="L50" s="45"/>
      <c r="M50" s="45"/>
      <c r="N50" s="55"/>
      <c r="O50" s="45"/>
      <c r="P50" s="45"/>
      <c r="Q50" s="45"/>
      <c r="R50" s="45"/>
      <c r="S50" s="45"/>
      <c r="T50" s="45">
        <f t="shared" si="12"/>
        <v>0</v>
      </c>
      <c r="U50" s="45"/>
      <c r="V50" s="45">
        <v>0</v>
      </c>
      <c r="W50" s="55"/>
      <c r="X50" s="55"/>
      <c r="Y50" s="45">
        <f t="shared" si="13"/>
        <v>0</v>
      </c>
      <c r="Z50" s="45"/>
      <c r="AA50" s="45"/>
      <c r="AB50" s="45">
        <v>0</v>
      </c>
      <c r="AC50" s="45"/>
      <c r="AD50" s="45"/>
      <c r="AE50" s="55"/>
      <c r="AF50" s="45"/>
      <c r="AG50" s="45"/>
      <c r="AH50" s="45"/>
      <c r="AI50" s="45"/>
      <c r="AJ50" s="45"/>
      <c r="AK50" s="55"/>
      <c r="AL50" s="45"/>
      <c r="AM50" s="45"/>
    </row>
    <row r="51" spans="1:39" outlineLevel="1">
      <c r="B51" s="16" t="s">
        <v>602</v>
      </c>
      <c r="C51" s="45">
        <f t="shared" si="50"/>
        <v>0</v>
      </c>
      <c r="D51" s="45">
        <f t="shared" ref="D51" si="56">SUM(E51:G51)</f>
        <v>0</v>
      </c>
      <c r="E51" s="45"/>
      <c r="F51" s="55"/>
      <c r="G51" s="55"/>
      <c r="H51" s="45"/>
      <c r="I51" s="45"/>
      <c r="J51" s="45"/>
      <c r="K51" s="45"/>
      <c r="L51" s="45"/>
      <c r="M51" s="45"/>
      <c r="N51" s="55"/>
      <c r="O51" s="45"/>
      <c r="P51" s="45"/>
      <c r="Q51" s="45"/>
      <c r="R51" s="45"/>
      <c r="S51" s="45"/>
      <c r="T51" s="45">
        <f t="shared" si="12"/>
        <v>0</v>
      </c>
      <c r="U51" s="45">
        <f t="shared" ref="U51" si="57">SUM(V51:X51)</f>
        <v>0</v>
      </c>
      <c r="V51" s="45">
        <v>0</v>
      </c>
      <c r="W51" s="55"/>
      <c r="X51" s="55"/>
      <c r="Y51" s="45"/>
      <c r="Z51" s="45"/>
      <c r="AA51" s="45"/>
      <c r="AB51" s="45"/>
      <c r="AC51" s="45"/>
      <c r="AD51" s="45"/>
      <c r="AE51" s="55"/>
      <c r="AF51" s="45"/>
      <c r="AG51" s="45"/>
      <c r="AH51" s="45"/>
      <c r="AI51" s="45"/>
      <c r="AJ51" s="45"/>
      <c r="AK51" s="55"/>
      <c r="AL51" s="45"/>
      <c r="AM51" s="45"/>
    </row>
    <row r="52" spans="1:39" outlineLevel="1">
      <c r="B52" s="16" t="s">
        <v>620</v>
      </c>
      <c r="C52" s="45">
        <f t="shared" si="50"/>
        <v>0</v>
      </c>
      <c r="D52" s="45"/>
      <c r="E52" s="45"/>
      <c r="F52" s="55"/>
      <c r="G52" s="55"/>
      <c r="H52" s="45"/>
      <c r="I52" s="45"/>
      <c r="J52" s="45"/>
      <c r="K52" s="45"/>
      <c r="L52" s="45"/>
      <c r="M52" s="45"/>
      <c r="N52" s="55"/>
      <c r="O52" s="45"/>
      <c r="P52" s="45"/>
      <c r="Q52" s="45"/>
      <c r="R52" s="45"/>
      <c r="S52" s="45"/>
      <c r="T52" s="45">
        <f t="shared" si="12"/>
        <v>0</v>
      </c>
      <c r="U52" s="45"/>
      <c r="V52" s="45"/>
      <c r="W52" s="55"/>
      <c r="X52" s="55"/>
      <c r="Y52" s="45"/>
      <c r="Z52" s="45"/>
      <c r="AA52" s="45"/>
      <c r="AB52" s="45"/>
      <c r="AC52" s="45"/>
      <c r="AD52" s="45"/>
      <c r="AE52" s="55"/>
      <c r="AF52" s="45"/>
      <c r="AG52" s="45"/>
      <c r="AH52" s="45"/>
      <c r="AI52" s="45"/>
      <c r="AJ52" s="45"/>
      <c r="AK52" s="55"/>
      <c r="AL52" s="45"/>
      <c r="AM52" s="45"/>
    </row>
    <row r="53" spans="1:39" outlineLevel="1">
      <c r="B53" s="16" t="s">
        <v>42</v>
      </c>
      <c r="C53" s="45">
        <f t="shared" si="50"/>
        <v>0</v>
      </c>
      <c r="D53" s="45">
        <f t="shared" ref="D53:D55" si="58">SUM(E53:G53)</f>
        <v>0</v>
      </c>
      <c r="E53" s="45"/>
      <c r="F53" s="55"/>
      <c r="G53" s="55"/>
      <c r="H53" s="45">
        <f t="shared" ref="H53:H55" si="59">SUM(I53:K53)</f>
        <v>0</v>
      </c>
      <c r="I53" s="45"/>
      <c r="J53" s="45"/>
      <c r="K53" s="45"/>
      <c r="L53" s="45">
        <f t="shared" ref="L53:L55" si="60">SUM(M53:O53)</f>
        <v>0</v>
      </c>
      <c r="M53" s="45"/>
      <c r="N53" s="55"/>
      <c r="O53" s="45"/>
      <c r="P53" s="45">
        <f t="shared" ref="P53:P55" si="61">SUM(Q53:S53)</f>
        <v>0</v>
      </c>
      <c r="Q53" s="45"/>
      <c r="R53" s="45"/>
      <c r="S53" s="45"/>
      <c r="T53" s="45">
        <f t="shared" si="12"/>
        <v>0</v>
      </c>
      <c r="U53" s="45">
        <f t="shared" si="17"/>
        <v>0</v>
      </c>
      <c r="V53" s="45">
        <v>0</v>
      </c>
      <c r="W53" s="55"/>
      <c r="X53" s="55"/>
      <c r="Y53" s="45">
        <f t="shared" si="13"/>
        <v>0</v>
      </c>
      <c r="Z53" s="45"/>
      <c r="AA53" s="45"/>
      <c r="AB53" s="45">
        <v>0</v>
      </c>
      <c r="AC53" s="45">
        <f t="shared" si="14"/>
        <v>0</v>
      </c>
      <c r="AD53" s="45">
        <v>0</v>
      </c>
      <c r="AE53" s="55">
        <v>0</v>
      </c>
      <c r="AF53" s="45">
        <v>0</v>
      </c>
      <c r="AG53" s="45">
        <f t="shared" si="15"/>
        <v>0</v>
      </c>
      <c r="AH53" s="45">
        <v>0</v>
      </c>
      <c r="AI53" s="45">
        <v>0</v>
      </c>
      <c r="AJ53" s="45">
        <v>0</v>
      </c>
      <c r="AK53" s="55"/>
      <c r="AL53" s="45">
        <v>0</v>
      </c>
      <c r="AM53" s="45">
        <v>0</v>
      </c>
    </row>
    <row r="54" spans="1:39" outlineLevel="1">
      <c r="B54" s="16" t="s">
        <v>604</v>
      </c>
      <c r="C54" s="45">
        <f t="shared" si="50"/>
        <v>82983.06</v>
      </c>
      <c r="D54" s="45">
        <f t="shared" si="58"/>
        <v>0</v>
      </c>
      <c r="E54" s="45"/>
      <c r="F54" s="45"/>
      <c r="G54" s="45"/>
      <c r="H54" s="45">
        <f t="shared" si="59"/>
        <v>0</v>
      </c>
      <c r="I54" s="45"/>
      <c r="J54" s="55"/>
      <c r="K54" s="45"/>
      <c r="L54" s="45">
        <f t="shared" si="60"/>
        <v>0</v>
      </c>
      <c r="M54" s="45"/>
      <c r="N54" s="55"/>
      <c r="O54" s="45"/>
      <c r="P54" s="45">
        <f t="shared" si="61"/>
        <v>82983.06</v>
      </c>
      <c r="Q54" s="45"/>
      <c r="R54" s="45">
        <v>45138.65</v>
      </c>
      <c r="S54" s="45">
        <v>37844.410000000003</v>
      </c>
      <c r="T54" s="45">
        <f t="shared" si="12"/>
        <v>579464.10999999987</v>
      </c>
      <c r="U54" s="45">
        <f t="shared" si="17"/>
        <v>152786.55000000002</v>
      </c>
      <c r="V54" s="45">
        <v>51207.040000000001</v>
      </c>
      <c r="W54" s="45">
        <v>39035.5</v>
      </c>
      <c r="X54" s="45">
        <v>62544.01</v>
      </c>
      <c r="Y54" s="45">
        <f t="shared" si="13"/>
        <v>164869.54</v>
      </c>
      <c r="Z54" s="45">
        <v>55789.35</v>
      </c>
      <c r="AA54" s="55">
        <v>55570.16</v>
      </c>
      <c r="AB54" s="45">
        <v>53510.03</v>
      </c>
      <c r="AC54" s="45">
        <f t="shared" si="14"/>
        <v>138772.26999999999</v>
      </c>
      <c r="AD54" s="45">
        <v>60614.16</v>
      </c>
      <c r="AE54" s="55">
        <v>52573.37</v>
      </c>
      <c r="AF54" s="45">
        <v>25584.74</v>
      </c>
      <c r="AG54" s="45">
        <f t="shared" si="15"/>
        <v>123035.75</v>
      </c>
      <c r="AH54" s="45">
        <v>33054.800000000003</v>
      </c>
      <c r="AI54" s="45">
        <v>58609.279999999999</v>
      </c>
      <c r="AJ54" s="45">
        <v>31371.67</v>
      </c>
      <c r="AK54" s="55"/>
      <c r="AL54" s="45">
        <v>29899.360000000001</v>
      </c>
      <c r="AM54" s="45">
        <v>165465.37</v>
      </c>
    </row>
    <row r="55" spans="1:39" outlineLevel="1">
      <c r="B55" s="16" t="s">
        <v>44</v>
      </c>
      <c r="C55" s="45">
        <f t="shared" si="50"/>
        <v>0</v>
      </c>
      <c r="D55" s="45">
        <f t="shared" si="58"/>
        <v>0</v>
      </c>
      <c r="E55" s="45"/>
      <c r="F55" s="55"/>
      <c r="G55" s="55"/>
      <c r="H55" s="45">
        <f t="shared" si="59"/>
        <v>0</v>
      </c>
      <c r="I55" s="45"/>
      <c r="J55" s="45"/>
      <c r="K55" s="45">
        <v>0</v>
      </c>
      <c r="L55" s="45">
        <f t="shared" si="60"/>
        <v>0</v>
      </c>
      <c r="M55" s="55"/>
      <c r="N55" s="55">
        <v>0</v>
      </c>
      <c r="O55" s="45">
        <v>0</v>
      </c>
      <c r="P55" s="45">
        <f t="shared" si="61"/>
        <v>0</v>
      </c>
      <c r="Q55" s="45"/>
      <c r="R55" s="45"/>
      <c r="S55" s="45"/>
      <c r="T55" s="45">
        <f t="shared" si="12"/>
        <v>0</v>
      </c>
      <c r="U55" s="45">
        <f t="shared" si="17"/>
        <v>0</v>
      </c>
      <c r="V55" s="45">
        <v>0</v>
      </c>
      <c r="W55" s="55"/>
      <c r="X55" s="55"/>
      <c r="Y55" s="45">
        <f t="shared" si="13"/>
        <v>0</v>
      </c>
      <c r="Z55" s="45"/>
      <c r="AA55" s="45"/>
      <c r="AB55" s="45">
        <v>0</v>
      </c>
      <c r="AC55" s="45">
        <f t="shared" si="14"/>
        <v>0</v>
      </c>
      <c r="AD55" s="55"/>
      <c r="AE55" s="55">
        <v>0</v>
      </c>
      <c r="AF55" s="45">
        <v>0</v>
      </c>
      <c r="AG55" s="45">
        <f t="shared" si="15"/>
        <v>0</v>
      </c>
      <c r="AH55" s="45">
        <v>0</v>
      </c>
      <c r="AI55" s="45">
        <v>0</v>
      </c>
      <c r="AJ55" s="45">
        <v>0</v>
      </c>
      <c r="AK55" s="55"/>
      <c r="AL55" s="45">
        <v>0</v>
      </c>
      <c r="AM55" s="45">
        <v>0</v>
      </c>
    </row>
    <row r="56" spans="1:39" s="69" customFormat="1">
      <c r="A56" s="68"/>
      <c r="B56" s="67" t="s">
        <v>45</v>
      </c>
      <c r="C56" s="72">
        <f>SUM(C57:C59)</f>
        <v>166579.88</v>
      </c>
      <c r="D56" s="72">
        <f>SUM(E56:G56)</f>
        <v>0</v>
      </c>
      <c r="E56" s="72">
        <f>SUM(E57:E59)</f>
        <v>0</v>
      </c>
      <c r="F56" s="72">
        <f>SUM(F57:F59)</f>
        <v>0</v>
      </c>
      <c r="G56" s="72">
        <f>SUM(G57:G59)</f>
        <v>0</v>
      </c>
      <c r="H56" s="72">
        <f>SUM(I56:K56)</f>
        <v>0</v>
      </c>
      <c r="I56" s="72">
        <f>SUM(I57:I59)</f>
        <v>0</v>
      </c>
      <c r="J56" s="72">
        <f>SUM(J57:J59)</f>
        <v>0</v>
      </c>
      <c r="K56" s="72">
        <f>SUM(K57:K59)</f>
        <v>0</v>
      </c>
      <c r="L56" s="72">
        <f>SUM(M56:O56)</f>
        <v>0</v>
      </c>
      <c r="M56" s="72">
        <f>SUM(M57:M59)</f>
        <v>0</v>
      </c>
      <c r="N56" s="72">
        <f>SUM(N57:N59)</f>
        <v>0</v>
      </c>
      <c r="O56" s="72">
        <f>SUM(O57:O59)</f>
        <v>0</v>
      </c>
      <c r="P56" s="72">
        <f>SUM(Q56:S56)</f>
        <v>166579.88</v>
      </c>
      <c r="Q56" s="72">
        <f>SUM(Q57:Q59)</f>
        <v>0</v>
      </c>
      <c r="R56" s="72">
        <f>SUM(R57:R59)</f>
        <v>80677.52</v>
      </c>
      <c r="S56" s="72">
        <f>SUM(S57:S59)</f>
        <v>85902.36</v>
      </c>
      <c r="T56" s="72">
        <f>SUM(T57:T59)</f>
        <v>1563755.6799999992</v>
      </c>
      <c r="U56" s="72">
        <f>SUM(V56:X56)</f>
        <v>448539</v>
      </c>
      <c r="V56" s="72">
        <f>SUM(V57:V59)</f>
        <v>128679.12</v>
      </c>
      <c r="W56" s="72">
        <f>SUM(W57:W59)</f>
        <v>128520.87999999999</v>
      </c>
      <c r="X56" s="72">
        <f>SUM(X57:X59)</f>
        <v>191339</v>
      </c>
      <c r="Y56" s="72">
        <f>SUM(Z56:AB56)</f>
        <v>420453.06000000006</v>
      </c>
      <c r="Z56" s="72">
        <f>SUM(Z57:Z59)</f>
        <v>157985.82</v>
      </c>
      <c r="AA56" s="72">
        <f>SUM(AA57:AA59)</f>
        <v>119195.64</v>
      </c>
      <c r="AB56" s="72">
        <f>SUM(AB57:AB59)</f>
        <v>143271.6</v>
      </c>
      <c r="AC56" s="72">
        <f>SUM(AD56:AF56)</f>
        <v>488266.15</v>
      </c>
      <c r="AD56" s="72">
        <f>SUM(AD57:AD59)</f>
        <v>211433.13999999998</v>
      </c>
      <c r="AE56" s="72">
        <f>SUM(AE57:AE59)</f>
        <v>130831.25</v>
      </c>
      <c r="AF56" s="72">
        <f>SUM(AF57:AF59)</f>
        <v>146001.75999999998</v>
      </c>
      <c r="AG56" s="72">
        <f>SUM(AH56:AJ56)</f>
        <v>206497.47</v>
      </c>
      <c r="AH56" s="72">
        <f>SUM(AH57:AH59)</f>
        <v>73447.239999999991</v>
      </c>
      <c r="AI56" s="72">
        <f>SUM(AI57:AI59)</f>
        <v>71688.22</v>
      </c>
      <c r="AJ56" s="72">
        <f>SUM(AJ57:AJ59)</f>
        <v>61362.01</v>
      </c>
      <c r="AK56" s="74"/>
      <c r="AL56" s="72">
        <f>SUM(AL57:AL59)</f>
        <v>79135.86</v>
      </c>
      <c r="AM56" s="72">
        <f>SUM(AM57:AM59)</f>
        <v>504511.87999999995</v>
      </c>
    </row>
    <row r="57" spans="1:39" outlineLevel="1">
      <c r="B57" s="16" t="s">
        <v>46</v>
      </c>
      <c r="C57" s="45">
        <f t="shared" ref="C57:C59" si="62">SUM(D57:S57)-P57-L57-H57-D57</f>
        <v>157467.73000000001</v>
      </c>
      <c r="D57" s="45">
        <f t="shared" ref="D57:D59" si="63">SUM(E57:G57)</f>
        <v>0</v>
      </c>
      <c r="E57" s="45"/>
      <c r="F57" s="45"/>
      <c r="G57" s="45"/>
      <c r="H57" s="45">
        <f t="shared" ref="H57:H59" si="64">SUM(I57:K57)</f>
        <v>0</v>
      </c>
      <c r="I57" s="45"/>
      <c r="J57" s="45"/>
      <c r="K57" s="45"/>
      <c r="L57" s="45">
        <f t="shared" ref="L57:L59" si="65">SUM(M57:O57)</f>
        <v>0</v>
      </c>
      <c r="M57" s="45"/>
      <c r="N57" s="55"/>
      <c r="O57" s="45"/>
      <c r="P57" s="45">
        <f t="shared" ref="P57:P59" si="66">SUM(Q57:S57)</f>
        <v>157467.73000000001</v>
      </c>
      <c r="Q57" s="45"/>
      <c r="R57" s="45">
        <v>75832.13</v>
      </c>
      <c r="S57" s="45">
        <v>81635.600000000006</v>
      </c>
      <c r="T57" s="45">
        <f t="shared" si="12"/>
        <v>1411570.9699999993</v>
      </c>
      <c r="U57" s="45">
        <f t="shared" si="17"/>
        <v>353084.13</v>
      </c>
      <c r="V57" s="45">
        <v>121860.83</v>
      </c>
      <c r="W57" s="45">
        <v>121702.59</v>
      </c>
      <c r="X57" s="45">
        <v>109520.71</v>
      </c>
      <c r="Y57" s="45">
        <f t="shared" si="13"/>
        <v>396573.48</v>
      </c>
      <c r="Z57" s="45">
        <v>148998.87</v>
      </c>
      <c r="AA57" s="45">
        <v>112386.58</v>
      </c>
      <c r="AB57" s="45">
        <v>135188.03</v>
      </c>
      <c r="AC57" s="45">
        <f t="shared" si="14"/>
        <v>474904.62</v>
      </c>
      <c r="AD57" s="45">
        <v>207175.65</v>
      </c>
      <c r="AE57" s="55">
        <v>126573.75999999999</v>
      </c>
      <c r="AF57" s="45">
        <v>141155.21</v>
      </c>
      <c r="AG57" s="45">
        <f t="shared" si="15"/>
        <v>187008.74</v>
      </c>
      <c r="AH57" s="45">
        <v>69203.37</v>
      </c>
      <c r="AI57" s="45">
        <v>58649.16</v>
      </c>
      <c r="AJ57" s="45">
        <v>59156.21</v>
      </c>
      <c r="AK57" s="55"/>
      <c r="AL57" s="45">
        <v>74891.990000000005</v>
      </c>
      <c r="AM57" s="45">
        <v>441363.29999999993</v>
      </c>
    </row>
    <row r="58" spans="1:39" outlineLevel="1">
      <c r="B58" s="16" t="s">
        <v>47</v>
      </c>
      <c r="C58" s="45">
        <f t="shared" si="62"/>
        <v>0</v>
      </c>
      <c r="D58" s="45">
        <f t="shared" si="63"/>
        <v>0</v>
      </c>
      <c r="E58" s="45">
        <v>0</v>
      </c>
      <c r="F58" s="45"/>
      <c r="G58" s="45">
        <v>0</v>
      </c>
      <c r="H58" s="45">
        <f t="shared" si="64"/>
        <v>0</v>
      </c>
      <c r="I58" s="45"/>
      <c r="J58" s="45"/>
      <c r="K58" s="45">
        <v>0</v>
      </c>
      <c r="L58" s="45">
        <f t="shared" si="65"/>
        <v>0</v>
      </c>
      <c r="M58" s="45">
        <v>0</v>
      </c>
      <c r="N58" s="55">
        <v>0</v>
      </c>
      <c r="O58" s="45">
        <v>0</v>
      </c>
      <c r="P58" s="45">
        <f t="shared" si="66"/>
        <v>0</v>
      </c>
      <c r="Q58" s="45">
        <v>0</v>
      </c>
      <c r="R58" s="45">
        <v>0</v>
      </c>
      <c r="S58" s="45"/>
      <c r="T58" s="45">
        <f t="shared" si="12"/>
        <v>0</v>
      </c>
      <c r="U58" s="45">
        <f t="shared" si="17"/>
        <v>0</v>
      </c>
      <c r="V58" s="45">
        <v>0</v>
      </c>
      <c r="W58" s="45"/>
      <c r="X58" s="45">
        <v>0</v>
      </c>
      <c r="Y58" s="45">
        <f t="shared" si="13"/>
        <v>0</v>
      </c>
      <c r="Z58" s="45"/>
      <c r="AA58" s="45"/>
      <c r="AB58" s="45">
        <v>0</v>
      </c>
      <c r="AC58" s="45">
        <f t="shared" si="14"/>
        <v>0</v>
      </c>
      <c r="AD58" s="45">
        <v>0</v>
      </c>
      <c r="AE58" s="55">
        <v>0</v>
      </c>
      <c r="AF58" s="45">
        <v>0</v>
      </c>
      <c r="AG58" s="45">
        <f t="shared" si="15"/>
        <v>0</v>
      </c>
      <c r="AH58" s="45">
        <v>0</v>
      </c>
      <c r="AI58" s="45">
        <v>0</v>
      </c>
      <c r="AJ58" s="45">
        <v>0</v>
      </c>
      <c r="AK58" s="55"/>
      <c r="AL58" s="45">
        <v>0</v>
      </c>
      <c r="AM58" s="45">
        <v>0</v>
      </c>
    </row>
    <row r="59" spans="1:39" outlineLevel="1">
      <c r="B59" s="16" t="s">
        <v>48</v>
      </c>
      <c r="C59" s="45">
        <f t="shared" si="62"/>
        <v>9112.1500000000015</v>
      </c>
      <c r="D59" s="45">
        <f t="shared" si="63"/>
        <v>0</v>
      </c>
      <c r="E59" s="45"/>
      <c r="F59" s="45"/>
      <c r="G59" s="45"/>
      <c r="H59" s="45">
        <f t="shared" si="64"/>
        <v>0</v>
      </c>
      <c r="I59" s="45"/>
      <c r="J59" s="55"/>
      <c r="K59" s="45"/>
      <c r="L59" s="45">
        <f t="shared" si="65"/>
        <v>0</v>
      </c>
      <c r="M59" s="45"/>
      <c r="N59" s="55"/>
      <c r="O59" s="45"/>
      <c r="P59" s="45">
        <f t="shared" si="66"/>
        <v>9112.1500000000015</v>
      </c>
      <c r="Q59" s="45"/>
      <c r="R59" s="45">
        <v>4845.3900000000003</v>
      </c>
      <c r="S59" s="45">
        <v>4266.76</v>
      </c>
      <c r="T59" s="45">
        <f t="shared" si="12"/>
        <v>152184.71000000002</v>
      </c>
      <c r="U59" s="45">
        <f t="shared" si="17"/>
        <v>95454.87</v>
      </c>
      <c r="V59" s="45">
        <v>6818.29</v>
      </c>
      <c r="W59" s="45">
        <v>6818.29</v>
      </c>
      <c r="X59" s="45">
        <v>81818.289999999994</v>
      </c>
      <c r="Y59" s="45">
        <f t="shared" si="13"/>
        <v>23879.58</v>
      </c>
      <c r="Z59" s="45">
        <v>8986.9500000000007</v>
      </c>
      <c r="AA59" s="55">
        <v>6809.06</v>
      </c>
      <c r="AB59" s="45">
        <v>8083.57</v>
      </c>
      <c r="AC59" s="45">
        <f t="shared" si="14"/>
        <v>13361.529999999999</v>
      </c>
      <c r="AD59" s="45">
        <v>4257.49</v>
      </c>
      <c r="AE59" s="55">
        <v>4257.49</v>
      </c>
      <c r="AF59" s="45">
        <v>4846.55</v>
      </c>
      <c r="AG59" s="45">
        <f t="shared" si="15"/>
        <v>19488.73</v>
      </c>
      <c r="AH59" s="45">
        <v>4243.87</v>
      </c>
      <c r="AI59" s="45">
        <v>13039.06</v>
      </c>
      <c r="AJ59" s="45">
        <v>2205.8000000000002</v>
      </c>
      <c r="AK59" s="55"/>
      <c r="AL59" s="45">
        <v>4243.87</v>
      </c>
      <c r="AM59" s="45">
        <v>63148.580000000016</v>
      </c>
    </row>
    <row r="60" spans="1:39" s="69" customFormat="1">
      <c r="A60" s="68"/>
      <c r="B60" s="67" t="s">
        <v>49</v>
      </c>
      <c r="C60" s="72">
        <f>SUM(C61:C64)</f>
        <v>1856.12</v>
      </c>
      <c r="D60" s="72">
        <f>SUM(E60:G60)</f>
        <v>0</v>
      </c>
      <c r="E60" s="72">
        <f>SUM(E61:E64)</f>
        <v>0</v>
      </c>
      <c r="F60" s="72">
        <f>SUM(F61:F64)</f>
        <v>0</v>
      </c>
      <c r="G60" s="72">
        <f>SUM(G61:G64)</f>
        <v>0</v>
      </c>
      <c r="H60" s="72">
        <f>SUM(I60:K60)</f>
        <v>0</v>
      </c>
      <c r="I60" s="72">
        <f>SUM(I61:I64)</f>
        <v>0</v>
      </c>
      <c r="J60" s="72">
        <f>SUM(J61:J64)</f>
        <v>0</v>
      </c>
      <c r="K60" s="72">
        <f>SUM(K61:K64)</f>
        <v>0</v>
      </c>
      <c r="L60" s="72">
        <f>SUM(M60:O60)</f>
        <v>0</v>
      </c>
      <c r="M60" s="72">
        <f>SUM(M61:M64)</f>
        <v>0</v>
      </c>
      <c r="N60" s="72">
        <f>SUM(N61:N64)</f>
        <v>0</v>
      </c>
      <c r="O60" s="72">
        <f>SUM(O61:O64)</f>
        <v>0</v>
      </c>
      <c r="P60" s="72">
        <f>SUM(Q60:S60)</f>
        <v>1856.12</v>
      </c>
      <c r="Q60" s="72">
        <f>SUM(Q61:Q64)</f>
        <v>0</v>
      </c>
      <c r="R60" s="72">
        <f>SUM(R61:R64)</f>
        <v>928.06</v>
      </c>
      <c r="S60" s="72">
        <f>SUM(S61:S64)</f>
        <v>928.06</v>
      </c>
      <c r="T60" s="72">
        <f>SUM(T61:T64)</f>
        <v>8975.3400000000038</v>
      </c>
      <c r="U60" s="72">
        <f>SUM(V60:X60)</f>
        <v>2393.58</v>
      </c>
      <c r="V60" s="72">
        <f>SUM(V61:V64)</f>
        <v>797.86</v>
      </c>
      <c r="W60" s="72">
        <f>SUM(W61:W64)</f>
        <v>797.86</v>
      </c>
      <c r="X60" s="72">
        <f>SUM(X61:X64)</f>
        <v>797.86</v>
      </c>
      <c r="Y60" s="72">
        <f>SUM(Z60:AB60)</f>
        <v>2393.58</v>
      </c>
      <c r="Z60" s="72">
        <f>SUM(Z61:Z64)</f>
        <v>797.86</v>
      </c>
      <c r="AA60" s="72">
        <f>SUM(AA61:AA64)</f>
        <v>797.86</v>
      </c>
      <c r="AB60" s="72">
        <f>SUM(AB61:AB64)</f>
        <v>797.86</v>
      </c>
      <c r="AC60" s="72">
        <f>SUM(AD60:AF60)</f>
        <v>2393.58</v>
      </c>
      <c r="AD60" s="72">
        <f>SUM(AD61:AD64)</f>
        <v>797.86</v>
      </c>
      <c r="AE60" s="72">
        <f>SUM(AE61:AE64)</f>
        <v>797.86</v>
      </c>
      <c r="AF60" s="72">
        <f>SUM(AF61:AF64)</f>
        <v>797.86</v>
      </c>
      <c r="AG60" s="72">
        <f>SUM(AH60:AJ60)</f>
        <v>1794.6000000000001</v>
      </c>
      <c r="AH60" s="72">
        <f>SUM(AH61:AH64)</f>
        <v>598.20000000000005</v>
      </c>
      <c r="AI60" s="72">
        <f>SUM(AI61:AI64)</f>
        <v>598.20000000000005</v>
      </c>
      <c r="AJ60" s="72">
        <f>SUM(AJ61:AJ64)</f>
        <v>598.20000000000005</v>
      </c>
      <c r="AK60" s="74"/>
      <c r="AL60" s="72">
        <f>SUM(AL61:AL64)</f>
        <v>598.20000000000005</v>
      </c>
      <c r="AM60" s="72">
        <f>SUM(AM61:AM64)</f>
        <v>3589.1999999999989</v>
      </c>
    </row>
    <row r="61" spans="1:39" outlineLevel="1">
      <c r="B61" s="16" t="s">
        <v>50</v>
      </c>
      <c r="C61" s="45">
        <f t="shared" ref="C61:C62" si="67">SUM(D61:S61)-P61-L61-H61-D61</f>
        <v>0</v>
      </c>
      <c r="D61" s="45">
        <f t="shared" ref="D61:D64" si="68">SUM(E61:G61)</f>
        <v>0</v>
      </c>
      <c r="E61" s="45">
        <v>0</v>
      </c>
      <c r="F61" s="45"/>
      <c r="G61" s="45"/>
      <c r="H61" s="45">
        <f t="shared" ref="H61:H64" si="69">SUM(I61:K61)</f>
        <v>0</v>
      </c>
      <c r="I61" s="45"/>
      <c r="J61" s="45"/>
      <c r="K61" s="45">
        <v>0</v>
      </c>
      <c r="L61" s="45">
        <f t="shared" ref="L61:L62" si="70">SUM(M61:O61)</f>
        <v>0</v>
      </c>
      <c r="M61" s="45">
        <v>0</v>
      </c>
      <c r="N61" s="55">
        <v>0</v>
      </c>
      <c r="O61" s="45">
        <v>0</v>
      </c>
      <c r="P61" s="45">
        <f t="shared" ref="P61:P62" si="71">SUM(Q61:S61)</f>
        <v>0</v>
      </c>
      <c r="Q61" s="45">
        <v>0</v>
      </c>
      <c r="R61" s="45">
        <v>0</v>
      </c>
      <c r="S61" s="45"/>
      <c r="T61" s="45">
        <f t="shared" si="12"/>
        <v>0</v>
      </c>
      <c r="U61" s="45">
        <f t="shared" si="17"/>
        <v>0</v>
      </c>
      <c r="V61" s="45">
        <v>0</v>
      </c>
      <c r="W61" s="45"/>
      <c r="X61" s="45"/>
      <c r="Y61" s="45">
        <f t="shared" si="13"/>
        <v>0</v>
      </c>
      <c r="Z61" s="45"/>
      <c r="AA61" s="45"/>
      <c r="AB61" s="45">
        <v>0</v>
      </c>
      <c r="AC61" s="45">
        <f t="shared" si="14"/>
        <v>0</v>
      </c>
      <c r="AD61" s="45">
        <v>0</v>
      </c>
      <c r="AE61" s="55">
        <v>0</v>
      </c>
      <c r="AF61" s="45">
        <v>0</v>
      </c>
      <c r="AG61" s="45">
        <f t="shared" si="15"/>
        <v>0</v>
      </c>
      <c r="AH61" s="45">
        <v>0</v>
      </c>
      <c r="AI61" s="45">
        <v>0</v>
      </c>
      <c r="AJ61" s="45">
        <v>0</v>
      </c>
      <c r="AK61" s="55"/>
      <c r="AL61" s="45">
        <v>0</v>
      </c>
      <c r="AM61" s="45">
        <v>0</v>
      </c>
    </row>
    <row r="62" spans="1:39" outlineLevel="1">
      <c r="B62" s="16" t="s">
        <v>51</v>
      </c>
      <c r="C62" s="45">
        <f t="shared" si="67"/>
        <v>0</v>
      </c>
      <c r="D62" s="45">
        <f t="shared" si="68"/>
        <v>0</v>
      </c>
      <c r="E62" s="45">
        <v>0</v>
      </c>
      <c r="F62" s="45"/>
      <c r="G62" s="45"/>
      <c r="H62" s="45">
        <f t="shared" si="69"/>
        <v>0</v>
      </c>
      <c r="I62" s="45"/>
      <c r="J62" s="45"/>
      <c r="K62" s="45">
        <v>0</v>
      </c>
      <c r="L62" s="45">
        <f t="shared" si="70"/>
        <v>0</v>
      </c>
      <c r="M62" s="45">
        <v>0</v>
      </c>
      <c r="N62" s="55">
        <v>0</v>
      </c>
      <c r="O62" s="45">
        <v>0</v>
      </c>
      <c r="P62" s="45">
        <f t="shared" si="71"/>
        <v>0</v>
      </c>
      <c r="Q62" s="45">
        <v>0</v>
      </c>
      <c r="R62" s="45">
        <v>0</v>
      </c>
      <c r="S62" s="45"/>
      <c r="T62" s="45">
        <f t="shared" si="12"/>
        <v>0</v>
      </c>
      <c r="U62" s="45">
        <f t="shared" si="17"/>
        <v>0</v>
      </c>
      <c r="V62" s="45">
        <v>0</v>
      </c>
      <c r="W62" s="45"/>
      <c r="X62" s="45"/>
      <c r="Y62" s="45">
        <f t="shared" si="13"/>
        <v>0</v>
      </c>
      <c r="Z62" s="45"/>
      <c r="AA62" s="45"/>
      <c r="AB62" s="45">
        <v>0</v>
      </c>
      <c r="AC62" s="45">
        <f t="shared" si="14"/>
        <v>0</v>
      </c>
      <c r="AD62" s="45">
        <v>0</v>
      </c>
      <c r="AE62" s="55">
        <v>0</v>
      </c>
      <c r="AF62" s="45">
        <v>0</v>
      </c>
      <c r="AG62" s="45">
        <f t="shared" si="15"/>
        <v>0</v>
      </c>
      <c r="AH62" s="45">
        <v>0</v>
      </c>
      <c r="AI62" s="45">
        <v>0</v>
      </c>
      <c r="AJ62" s="45">
        <v>0</v>
      </c>
      <c r="AK62" s="55"/>
      <c r="AL62" s="45">
        <v>0</v>
      </c>
      <c r="AM62" s="45">
        <v>0</v>
      </c>
    </row>
    <row r="63" spans="1:39" outlineLevel="1">
      <c r="B63" s="16" t="s">
        <v>583</v>
      </c>
      <c r="C63" s="45">
        <f t="shared" ref="C63" si="72">SUM(D63:S63)-P63-L63-H63-D63</f>
        <v>0</v>
      </c>
      <c r="D63" s="45">
        <f t="shared" si="68"/>
        <v>0</v>
      </c>
      <c r="E63" s="45">
        <v>0</v>
      </c>
      <c r="F63" s="45"/>
      <c r="G63" s="45"/>
      <c r="H63" s="45">
        <f t="shared" si="69"/>
        <v>0</v>
      </c>
      <c r="I63" s="45"/>
      <c r="J63" s="45"/>
      <c r="K63" s="45">
        <v>0</v>
      </c>
      <c r="L63" s="45"/>
      <c r="M63" s="45"/>
      <c r="N63" s="55"/>
      <c r="O63" s="45"/>
      <c r="P63" s="45"/>
      <c r="Q63" s="45"/>
      <c r="R63" s="45"/>
      <c r="S63" s="45"/>
      <c r="T63" s="45">
        <f t="shared" ref="T63" si="73">SUM(U63:AJ63)-AG63-AC63-Y63-U63</f>
        <v>0</v>
      </c>
      <c r="U63" s="45">
        <f t="shared" ref="U63" si="74">SUM(V63:X63)</f>
        <v>0</v>
      </c>
      <c r="V63" s="45">
        <v>0</v>
      </c>
      <c r="W63" s="45"/>
      <c r="X63" s="45"/>
      <c r="Y63" s="45">
        <f t="shared" ref="Y63" si="75">SUM(Z63:AB63)</f>
        <v>0</v>
      </c>
      <c r="Z63" s="45"/>
      <c r="AA63" s="45"/>
      <c r="AB63" s="45">
        <v>0</v>
      </c>
      <c r="AC63" s="45"/>
      <c r="AD63" s="45"/>
      <c r="AE63" s="55"/>
      <c r="AF63" s="45"/>
      <c r="AG63" s="45"/>
      <c r="AH63" s="45"/>
      <c r="AI63" s="45"/>
      <c r="AJ63" s="45"/>
      <c r="AK63" s="55"/>
      <c r="AL63" s="45"/>
      <c r="AM63" s="45"/>
    </row>
    <row r="64" spans="1:39" outlineLevel="1">
      <c r="B64" s="16" t="s">
        <v>52</v>
      </c>
      <c r="C64" s="45">
        <f t="shared" ref="C64" si="76">SUM(D64:S64)-P64-L64-H64-D64</f>
        <v>1856.12</v>
      </c>
      <c r="D64" s="45">
        <f t="shared" si="68"/>
        <v>0</v>
      </c>
      <c r="E64" s="45"/>
      <c r="F64" s="45"/>
      <c r="G64" s="45"/>
      <c r="H64" s="45">
        <f t="shared" si="69"/>
        <v>0</v>
      </c>
      <c r="I64" s="45"/>
      <c r="J64" s="45"/>
      <c r="K64" s="45"/>
      <c r="L64" s="45">
        <f t="shared" ref="L64" si="77">SUM(M64:O64)</f>
        <v>0</v>
      </c>
      <c r="M64" s="45"/>
      <c r="N64" s="55"/>
      <c r="O64" s="45"/>
      <c r="P64" s="45">
        <f t="shared" ref="P64" si="78">SUM(Q64:S64)</f>
        <v>1856.12</v>
      </c>
      <c r="Q64" s="45"/>
      <c r="R64" s="45">
        <v>928.06</v>
      </c>
      <c r="S64" s="45">
        <v>928.06</v>
      </c>
      <c r="T64" s="45">
        <f t="shared" si="12"/>
        <v>8975.3400000000038</v>
      </c>
      <c r="U64" s="45">
        <f t="shared" si="17"/>
        <v>2393.58</v>
      </c>
      <c r="V64" s="45">
        <v>797.86</v>
      </c>
      <c r="W64" s="45">
        <v>797.86</v>
      </c>
      <c r="X64" s="45">
        <v>797.86</v>
      </c>
      <c r="Y64" s="45">
        <f t="shared" si="13"/>
        <v>2393.58</v>
      </c>
      <c r="Z64" s="45">
        <v>797.86</v>
      </c>
      <c r="AA64" s="45">
        <v>797.86</v>
      </c>
      <c r="AB64" s="45">
        <v>797.86</v>
      </c>
      <c r="AC64" s="45">
        <f t="shared" si="14"/>
        <v>2393.58</v>
      </c>
      <c r="AD64" s="45">
        <v>797.86</v>
      </c>
      <c r="AE64" s="55">
        <v>797.86</v>
      </c>
      <c r="AF64" s="45">
        <v>797.86</v>
      </c>
      <c r="AG64" s="45">
        <f t="shared" si="15"/>
        <v>1794.6000000000001</v>
      </c>
      <c r="AH64" s="45">
        <v>598.20000000000005</v>
      </c>
      <c r="AI64" s="45">
        <v>598.20000000000005</v>
      </c>
      <c r="AJ64" s="45">
        <v>598.20000000000005</v>
      </c>
      <c r="AK64" s="55"/>
      <c r="AL64" s="45">
        <v>598.20000000000005</v>
      </c>
      <c r="AM64" s="45">
        <v>3589.1999999999989</v>
      </c>
    </row>
    <row r="65" spans="1:41" s="69" customFormat="1">
      <c r="A65" s="68"/>
      <c r="B65" s="67" t="s">
        <v>53</v>
      </c>
      <c r="C65" s="72">
        <f>SUM(C66:C86)</f>
        <v>656327.98</v>
      </c>
      <c r="D65" s="72">
        <f t="shared" ref="D65" si="79">SUM(D66:D86)</f>
        <v>0</v>
      </c>
      <c r="E65" s="72">
        <f>SUM(E66:E86)</f>
        <v>0</v>
      </c>
      <c r="F65" s="72">
        <f>SUM(F66:F86)</f>
        <v>0</v>
      </c>
      <c r="G65" s="72">
        <f>SUM(G66:G86)</f>
        <v>0</v>
      </c>
      <c r="H65" s="72">
        <f t="shared" ref="H65:S65" si="80">SUM(H66:H86)</f>
        <v>0</v>
      </c>
      <c r="I65" s="72">
        <f t="shared" si="80"/>
        <v>0</v>
      </c>
      <c r="J65" s="72">
        <f t="shared" si="80"/>
        <v>0</v>
      </c>
      <c r="K65" s="72">
        <f t="shared" si="80"/>
        <v>0</v>
      </c>
      <c r="L65" s="72">
        <f t="shared" si="80"/>
        <v>0</v>
      </c>
      <c r="M65" s="72">
        <f t="shared" si="80"/>
        <v>0</v>
      </c>
      <c r="N65" s="72">
        <f t="shared" si="80"/>
        <v>0</v>
      </c>
      <c r="O65" s="72">
        <f t="shared" si="80"/>
        <v>0</v>
      </c>
      <c r="P65" s="72">
        <f t="shared" si="80"/>
        <v>630310.27999999991</v>
      </c>
      <c r="Q65" s="72">
        <f t="shared" si="80"/>
        <v>0</v>
      </c>
      <c r="R65" s="72">
        <f t="shared" si="80"/>
        <v>339379.49</v>
      </c>
      <c r="S65" s="72">
        <f t="shared" si="80"/>
        <v>316948.49</v>
      </c>
      <c r="T65" s="72">
        <f>SUM(T66:T86)</f>
        <v>2706329.4699999993</v>
      </c>
      <c r="U65" s="72">
        <f t="shared" ref="U65:AJ65" si="81">SUM(U66:U86)</f>
        <v>865966.26</v>
      </c>
      <c r="V65" s="72">
        <f>SUM(V66:V86)</f>
        <v>282786.19</v>
      </c>
      <c r="W65" s="72">
        <f>SUM(W66:W86)</f>
        <v>233211.25</v>
      </c>
      <c r="X65" s="72">
        <f>SUM(X66:X86)</f>
        <v>382642.2</v>
      </c>
      <c r="Y65" s="72">
        <f t="shared" si="81"/>
        <v>617853.44999999995</v>
      </c>
      <c r="Z65" s="72">
        <f t="shared" si="81"/>
        <v>167881.66999999998</v>
      </c>
      <c r="AA65" s="72">
        <f t="shared" si="81"/>
        <v>253265.63</v>
      </c>
      <c r="AB65" s="72">
        <f t="shared" si="81"/>
        <v>196706.15000000002</v>
      </c>
      <c r="AC65" s="72">
        <f t="shared" si="81"/>
        <v>596880.84</v>
      </c>
      <c r="AD65" s="72">
        <f t="shared" si="81"/>
        <v>139415.4</v>
      </c>
      <c r="AE65" s="72">
        <f t="shared" si="81"/>
        <v>259477.30000000002</v>
      </c>
      <c r="AF65" s="72">
        <f t="shared" si="81"/>
        <v>197988.13999999998</v>
      </c>
      <c r="AG65" s="72">
        <f t="shared" si="81"/>
        <v>592955.54</v>
      </c>
      <c r="AH65" s="72">
        <f t="shared" si="81"/>
        <v>212396.34</v>
      </c>
      <c r="AI65" s="72">
        <f t="shared" si="81"/>
        <v>184258.56999999998</v>
      </c>
      <c r="AJ65" s="72">
        <f t="shared" si="81"/>
        <v>196300.63</v>
      </c>
      <c r="AK65" s="49"/>
      <c r="AL65" s="72">
        <f t="shared" ref="AL65:AM65" si="82">SUM(AL66:AL86)</f>
        <v>145009.16</v>
      </c>
      <c r="AM65" s="72">
        <f t="shared" si="82"/>
        <v>1863026.3499999996</v>
      </c>
      <c r="AN65" s="73"/>
      <c r="AO65" s="71"/>
    </row>
    <row r="66" spans="1:41" outlineLevel="1">
      <c r="B66" s="16" t="s">
        <v>54</v>
      </c>
      <c r="C66" s="45">
        <f t="shared" ref="C66:C70" si="83">SUM(D66:S66)-P66-L66-H66-D66</f>
        <v>10308</v>
      </c>
      <c r="D66" s="45">
        <f>SUM(E66:G66)</f>
        <v>0</v>
      </c>
      <c r="E66" s="45"/>
      <c r="F66" s="45"/>
      <c r="G66" s="45"/>
      <c r="H66" s="45">
        <f t="shared" ref="H66:H86" si="84">SUM(I66:K66)</f>
        <v>0</v>
      </c>
      <c r="I66" s="45"/>
      <c r="J66" s="45"/>
      <c r="K66" s="45"/>
      <c r="L66" s="45">
        <f t="shared" ref="L66" si="85">SUM(M66:O66)</f>
        <v>0</v>
      </c>
      <c r="M66" s="45"/>
      <c r="N66" s="55"/>
      <c r="O66" s="45"/>
      <c r="P66" s="45">
        <f t="shared" ref="P66" si="86">SUM(Q66:S66)</f>
        <v>10308</v>
      </c>
      <c r="Q66" s="45"/>
      <c r="R66" s="45"/>
      <c r="S66" s="45">
        <v>10308</v>
      </c>
      <c r="T66" s="45">
        <f t="shared" si="12"/>
        <v>2790</v>
      </c>
      <c r="U66" s="45">
        <f>SUM(V66:X66)</f>
        <v>2790</v>
      </c>
      <c r="V66" s="45">
        <v>2790</v>
      </c>
      <c r="W66" s="45"/>
      <c r="X66" s="45"/>
      <c r="Y66" s="45">
        <f t="shared" si="13"/>
        <v>0</v>
      </c>
      <c r="Z66" s="45"/>
      <c r="AA66" s="45"/>
      <c r="AB66" s="45">
        <v>0</v>
      </c>
      <c r="AC66" s="45">
        <f t="shared" si="14"/>
        <v>0</v>
      </c>
      <c r="AD66" s="45">
        <v>0</v>
      </c>
      <c r="AE66" s="55">
        <v>0</v>
      </c>
      <c r="AF66" s="45">
        <v>0</v>
      </c>
      <c r="AG66" s="45">
        <f t="shared" si="15"/>
        <v>0</v>
      </c>
      <c r="AH66" s="45">
        <v>0</v>
      </c>
      <c r="AI66" s="45">
        <v>0</v>
      </c>
      <c r="AJ66" s="45">
        <v>0</v>
      </c>
      <c r="AK66" s="55"/>
      <c r="AL66" s="45">
        <v>0</v>
      </c>
      <c r="AM66" s="45">
        <v>0</v>
      </c>
    </row>
    <row r="67" spans="1:41" outlineLevel="1">
      <c r="B67" s="16" t="s">
        <v>55</v>
      </c>
      <c r="C67" s="45">
        <f t="shared" si="83"/>
        <v>0</v>
      </c>
      <c r="D67" s="45"/>
      <c r="E67" s="45"/>
      <c r="F67" s="45"/>
      <c r="G67" s="55"/>
      <c r="H67" s="45">
        <f t="shared" si="84"/>
        <v>0</v>
      </c>
      <c r="I67" s="45"/>
      <c r="J67" s="45"/>
      <c r="K67" s="45"/>
      <c r="L67" s="45"/>
      <c r="M67" s="45"/>
      <c r="N67" s="55"/>
      <c r="O67" s="45"/>
      <c r="P67" s="45"/>
      <c r="Q67" s="45"/>
      <c r="R67" s="45"/>
      <c r="S67" s="45"/>
      <c r="T67" s="45">
        <f t="shared" si="12"/>
        <v>0</v>
      </c>
      <c r="U67" s="45"/>
      <c r="V67" s="45">
        <v>0</v>
      </c>
      <c r="W67" s="45"/>
      <c r="X67" s="55"/>
      <c r="Y67" s="45">
        <f t="shared" si="13"/>
        <v>0</v>
      </c>
      <c r="Z67" s="45"/>
      <c r="AA67" s="45"/>
      <c r="AB67" s="45">
        <v>0</v>
      </c>
      <c r="AC67" s="45"/>
      <c r="AD67" s="45">
        <v>0</v>
      </c>
      <c r="AE67" s="55">
        <v>0</v>
      </c>
      <c r="AF67" s="45">
        <v>0</v>
      </c>
      <c r="AG67" s="45"/>
      <c r="AH67" s="45"/>
      <c r="AI67" s="45"/>
      <c r="AJ67" s="45"/>
      <c r="AK67" s="55"/>
      <c r="AL67" s="45"/>
      <c r="AM67" s="45"/>
      <c r="AN67" s="54"/>
    </row>
    <row r="68" spans="1:41" outlineLevel="1">
      <c r="B68" s="16" t="s">
        <v>56</v>
      </c>
      <c r="C68" s="45">
        <f t="shared" si="83"/>
        <v>1599.15</v>
      </c>
      <c r="D68" s="45">
        <f t="shared" ref="D68:D79" si="87">SUM(E68:G68)</f>
        <v>0</v>
      </c>
      <c r="E68" s="45"/>
      <c r="F68" s="45"/>
      <c r="G68" s="45"/>
      <c r="H68" s="45">
        <f t="shared" si="84"/>
        <v>0</v>
      </c>
      <c r="I68" s="45"/>
      <c r="J68" s="45"/>
      <c r="K68" s="45"/>
      <c r="L68" s="45"/>
      <c r="M68" s="45"/>
      <c r="N68" s="55"/>
      <c r="O68" s="45"/>
      <c r="P68" s="45"/>
      <c r="Q68" s="45"/>
      <c r="R68" s="45">
        <v>1599.15</v>
      </c>
      <c r="S68" s="45">
        <v>0</v>
      </c>
      <c r="T68" s="45">
        <f t="shared" si="12"/>
        <v>31001.67</v>
      </c>
      <c r="U68" s="45">
        <f t="shared" ref="U68:U86" si="88">SUM(V68:X68)</f>
        <v>31001.67</v>
      </c>
      <c r="V68" s="45">
        <v>0</v>
      </c>
      <c r="W68" s="45">
        <v>31001.67</v>
      </c>
      <c r="X68" s="45"/>
      <c r="Y68" s="45">
        <f t="shared" si="13"/>
        <v>0</v>
      </c>
      <c r="Z68" s="45"/>
      <c r="AA68" s="45"/>
      <c r="AB68" s="45">
        <v>0</v>
      </c>
      <c r="AC68" s="45"/>
      <c r="AD68" s="45">
        <v>0</v>
      </c>
      <c r="AE68" s="55">
        <v>0</v>
      </c>
      <c r="AF68" s="45">
        <v>0</v>
      </c>
      <c r="AG68" s="45"/>
      <c r="AH68" s="45">
        <v>0</v>
      </c>
      <c r="AI68" s="45">
        <v>0</v>
      </c>
      <c r="AJ68" s="45">
        <v>0</v>
      </c>
      <c r="AK68" s="55"/>
      <c r="AL68" s="45">
        <v>0</v>
      </c>
      <c r="AM68" s="45"/>
    </row>
    <row r="69" spans="1:41" outlineLevel="1">
      <c r="B69" s="16" t="s">
        <v>57</v>
      </c>
      <c r="C69" s="45">
        <f t="shared" si="83"/>
        <v>0</v>
      </c>
      <c r="D69" s="45">
        <f t="shared" si="87"/>
        <v>0</v>
      </c>
      <c r="E69" s="45"/>
      <c r="F69" s="45"/>
      <c r="G69" s="45"/>
      <c r="H69" s="45">
        <f t="shared" si="84"/>
        <v>0</v>
      </c>
      <c r="I69" s="45"/>
      <c r="J69" s="45"/>
      <c r="K69" s="45"/>
      <c r="L69" s="45">
        <f t="shared" ref="L69:L70" si="89">SUM(M69:O69)</f>
        <v>0</v>
      </c>
      <c r="M69" s="45"/>
      <c r="N69" s="55"/>
      <c r="O69" s="45"/>
      <c r="P69" s="45">
        <f>SUM(Q69:S69)</f>
        <v>0</v>
      </c>
      <c r="Q69" s="45"/>
      <c r="R69" s="45"/>
      <c r="S69" s="45">
        <v>0</v>
      </c>
      <c r="T69" s="45">
        <f t="shared" si="12"/>
        <v>0</v>
      </c>
      <c r="U69" s="45">
        <f t="shared" si="88"/>
        <v>0</v>
      </c>
      <c r="V69" s="45">
        <v>0</v>
      </c>
      <c r="W69" s="45"/>
      <c r="X69" s="45"/>
      <c r="Y69" s="45">
        <f t="shared" si="13"/>
        <v>0</v>
      </c>
      <c r="Z69" s="45"/>
      <c r="AA69" s="45"/>
      <c r="AB69" s="45">
        <v>0</v>
      </c>
      <c r="AC69" s="45">
        <f t="shared" si="14"/>
        <v>0</v>
      </c>
      <c r="AD69" s="45">
        <v>0</v>
      </c>
      <c r="AE69" s="55">
        <v>0</v>
      </c>
      <c r="AF69" s="45">
        <v>0</v>
      </c>
      <c r="AG69" s="45">
        <f>SUM(AH69:AJ69)</f>
        <v>0</v>
      </c>
      <c r="AH69" s="45">
        <v>0</v>
      </c>
      <c r="AI69" s="45">
        <v>0</v>
      </c>
      <c r="AJ69" s="45">
        <v>0</v>
      </c>
      <c r="AK69" s="55"/>
      <c r="AL69" s="45">
        <v>0</v>
      </c>
      <c r="AM69" s="45">
        <v>682.08</v>
      </c>
    </row>
    <row r="70" spans="1:41" outlineLevel="1">
      <c r="B70" s="16" t="s">
        <v>58</v>
      </c>
      <c r="C70" s="45">
        <f t="shared" si="83"/>
        <v>0</v>
      </c>
      <c r="D70" s="45">
        <f t="shared" si="87"/>
        <v>0</v>
      </c>
      <c r="E70" s="45"/>
      <c r="F70" s="45"/>
      <c r="G70" s="45"/>
      <c r="H70" s="45">
        <f t="shared" si="84"/>
        <v>0</v>
      </c>
      <c r="I70" s="45"/>
      <c r="J70" s="45"/>
      <c r="K70" s="45"/>
      <c r="L70" s="45">
        <f t="shared" si="89"/>
        <v>0</v>
      </c>
      <c r="M70" s="45"/>
      <c r="N70" s="55"/>
      <c r="O70" s="45"/>
      <c r="P70" s="45">
        <f t="shared" ref="P70" si="90">SUM(Q70:S70)</f>
        <v>0</v>
      </c>
      <c r="Q70" s="45"/>
      <c r="R70" s="45"/>
      <c r="S70" s="45"/>
      <c r="T70" s="45">
        <f t="shared" si="12"/>
        <v>0</v>
      </c>
      <c r="U70" s="45">
        <f t="shared" si="88"/>
        <v>0</v>
      </c>
      <c r="V70" s="45">
        <v>0</v>
      </c>
      <c r="W70" s="45"/>
      <c r="X70" s="45"/>
      <c r="Y70" s="45">
        <f t="shared" si="13"/>
        <v>0</v>
      </c>
      <c r="Z70" s="45"/>
      <c r="AA70" s="45"/>
      <c r="AB70" s="45">
        <v>0</v>
      </c>
      <c r="AC70" s="45">
        <f t="shared" si="14"/>
        <v>0</v>
      </c>
      <c r="AD70" s="45">
        <v>0</v>
      </c>
      <c r="AE70" s="55">
        <v>0</v>
      </c>
      <c r="AF70" s="45">
        <v>0</v>
      </c>
      <c r="AG70" s="45">
        <f t="shared" ref="AG70:AG84" si="91">SUM(AH70:AJ70)</f>
        <v>0</v>
      </c>
      <c r="AH70" s="45">
        <v>0</v>
      </c>
      <c r="AI70" s="45">
        <v>0</v>
      </c>
      <c r="AJ70" s="45">
        <v>0</v>
      </c>
      <c r="AK70" s="55"/>
      <c r="AL70" s="45">
        <v>0</v>
      </c>
      <c r="AM70" s="45">
        <v>0</v>
      </c>
    </row>
    <row r="71" spans="1:41" outlineLevel="1">
      <c r="B71" s="16" t="s">
        <v>59</v>
      </c>
      <c r="C71" s="45">
        <f t="shared" ref="C71:C72" si="92">SUM(D71:S71)-P71-L71-H71-D71</f>
        <v>0</v>
      </c>
      <c r="D71" s="45">
        <f t="shared" si="87"/>
        <v>0</v>
      </c>
      <c r="E71" s="45"/>
      <c r="F71" s="45"/>
      <c r="G71" s="45"/>
      <c r="H71" s="45">
        <f t="shared" si="84"/>
        <v>0</v>
      </c>
      <c r="I71" s="45"/>
      <c r="J71" s="45"/>
      <c r="K71" s="45"/>
      <c r="L71" s="45"/>
      <c r="M71" s="45"/>
      <c r="N71" s="55"/>
      <c r="O71" s="45"/>
      <c r="P71" s="45"/>
      <c r="Q71" s="45"/>
      <c r="R71" s="45"/>
      <c r="S71" s="45">
        <v>0</v>
      </c>
      <c r="T71" s="45">
        <f t="shared" ref="T71:T72" si="93">SUM(U71:AJ71)-AG71-AC71-Y71-U71</f>
        <v>1800</v>
      </c>
      <c r="U71" s="45">
        <f t="shared" ref="U71:U72" si="94">SUM(V71:X71)</f>
        <v>1800</v>
      </c>
      <c r="V71" s="45">
        <v>0</v>
      </c>
      <c r="W71" s="45">
        <v>0</v>
      </c>
      <c r="X71" s="45">
        <v>1800</v>
      </c>
      <c r="Y71" s="45">
        <f t="shared" ref="Y71:Y72" si="95">SUM(Z71:AB71)</f>
        <v>0</v>
      </c>
      <c r="Z71" s="45"/>
      <c r="AA71" s="45"/>
      <c r="AB71" s="45">
        <v>0</v>
      </c>
      <c r="AC71" s="45"/>
      <c r="AD71" s="45">
        <v>0</v>
      </c>
      <c r="AE71" s="55">
        <v>0</v>
      </c>
      <c r="AF71" s="45">
        <v>0</v>
      </c>
      <c r="AG71" s="45"/>
      <c r="AH71" s="45">
        <v>0</v>
      </c>
      <c r="AI71" s="45">
        <v>0</v>
      </c>
      <c r="AJ71" s="45">
        <v>0</v>
      </c>
      <c r="AK71" s="55"/>
      <c r="AL71" s="45"/>
      <c r="AM71" s="45"/>
    </row>
    <row r="72" spans="1:41" outlineLevel="1">
      <c r="B72" s="16" t="s">
        <v>603</v>
      </c>
      <c r="C72" s="45">
        <f t="shared" si="92"/>
        <v>0</v>
      </c>
      <c r="D72" s="45">
        <f t="shared" si="87"/>
        <v>0</v>
      </c>
      <c r="E72" s="45"/>
      <c r="F72" s="45"/>
      <c r="G72" s="45"/>
      <c r="H72" s="45">
        <f t="shared" si="84"/>
        <v>0</v>
      </c>
      <c r="I72" s="45"/>
      <c r="J72" s="45"/>
      <c r="K72" s="45"/>
      <c r="L72" s="45"/>
      <c r="M72" s="45"/>
      <c r="N72" s="55"/>
      <c r="O72" s="45"/>
      <c r="P72" s="45"/>
      <c r="Q72" s="45"/>
      <c r="R72" s="45"/>
      <c r="S72" s="45">
        <v>0</v>
      </c>
      <c r="T72" s="45">
        <f t="shared" si="93"/>
        <v>4845.75</v>
      </c>
      <c r="U72" s="45">
        <f t="shared" si="94"/>
        <v>4845.75</v>
      </c>
      <c r="V72" s="45">
        <v>0</v>
      </c>
      <c r="W72" s="45">
        <v>0</v>
      </c>
      <c r="X72" s="45">
        <v>4845.75</v>
      </c>
      <c r="Y72" s="45">
        <f t="shared" si="95"/>
        <v>0</v>
      </c>
      <c r="Z72" s="45"/>
      <c r="AA72" s="45"/>
      <c r="AB72" s="45"/>
      <c r="AC72" s="45"/>
      <c r="AD72" s="45"/>
      <c r="AE72" s="55"/>
      <c r="AF72" s="45"/>
      <c r="AG72" s="45"/>
      <c r="AH72" s="45"/>
      <c r="AI72" s="45"/>
      <c r="AJ72" s="45"/>
      <c r="AK72" s="55"/>
      <c r="AL72" s="45"/>
      <c r="AM72" s="45"/>
    </row>
    <row r="73" spans="1:41" outlineLevel="1">
      <c r="B73" s="16" t="s">
        <v>60</v>
      </c>
      <c r="C73" s="45">
        <f t="shared" ref="C73:C86" si="96">SUM(D73:S73)-P73-L73-H73-D73</f>
        <v>0</v>
      </c>
      <c r="D73" s="45">
        <f t="shared" si="87"/>
        <v>0</v>
      </c>
      <c r="E73" s="45"/>
      <c r="F73" s="45"/>
      <c r="G73" s="45"/>
      <c r="H73" s="45">
        <f t="shared" si="84"/>
        <v>0</v>
      </c>
      <c r="I73" s="45"/>
      <c r="J73" s="45"/>
      <c r="K73" s="45"/>
      <c r="L73" s="45">
        <f t="shared" ref="L73:L79" si="97">SUM(M73:O73)</f>
        <v>0</v>
      </c>
      <c r="M73" s="45"/>
      <c r="N73" s="55"/>
      <c r="O73" s="45"/>
      <c r="P73" s="45"/>
      <c r="Q73" s="45"/>
      <c r="R73" s="45"/>
      <c r="S73" s="45">
        <v>0</v>
      </c>
      <c r="T73" s="45">
        <f t="shared" si="12"/>
        <v>549.55999999999995</v>
      </c>
      <c r="U73" s="45">
        <f t="shared" si="88"/>
        <v>549.55999999999995</v>
      </c>
      <c r="V73" s="45">
        <v>153.75</v>
      </c>
      <c r="W73" s="45">
        <v>0</v>
      </c>
      <c r="X73" s="45">
        <v>395.81</v>
      </c>
      <c r="Y73" s="45">
        <f t="shared" si="13"/>
        <v>0</v>
      </c>
      <c r="Z73" s="45">
        <v>0</v>
      </c>
      <c r="AA73" s="45"/>
      <c r="AB73" s="45">
        <v>0</v>
      </c>
      <c r="AC73" s="45">
        <f t="shared" si="14"/>
        <v>0</v>
      </c>
      <c r="AD73" s="45">
        <v>0</v>
      </c>
      <c r="AE73" s="55">
        <v>0</v>
      </c>
      <c r="AF73" s="45">
        <v>0</v>
      </c>
      <c r="AG73" s="45"/>
      <c r="AH73" s="45">
        <v>0</v>
      </c>
      <c r="AI73" s="45">
        <v>0</v>
      </c>
      <c r="AJ73" s="45">
        <v>0</v>
      </c>
      <c r="AK73" s="55"/>
      <c r="AL73" s="45">
        <v>0</v>
      </c>
      <c r="AM73" s="45">
        <v>7500.1</v>
      </c>
    </row>
    <row r="74" spans="1:41" outlineLevel="1">
      <c r="B74" s="16" t="s">
        <v>61</v>
      </c>
      <c r="C74" s="45">
        <f t="shared" si="96"/>
        <v>0</v>
      </c>
      <c r="D74" s="45">
        <f t="shared" si="87"/>
        <v>0</v>
      </c>
      <c r="E74" s="45"/>
      <c r="F74" s="45"/>
      <c r="G74" s="45"/>
      <c r="H74" s="45">
        <f t="shared" si="84"/>
        <v>0</v>
      </c>
      <c r="I74" s="45"/>
      <c r="J74" s="45"/>
      <c r="K74" s="45"/>
      <c r="L74" s="45">
        <f t="shared" si="97"/>
        <v>0</v>
      </c>
      <c r="M74" s="45"/>
      <c r="N74" s="55"/>
      <c r="O74" s="45"/>
      <c r="P74" s="45">
        <f t="shared" ref="P74:P79" si="98">SUM(Q74:S74)</f>
        <v>0</v>
      </c>
      <c r="Q74" s="45"/>
      <c r="R74" s="45"/>
      <c r="S74" s="45">
        <v>0</v>
      </c>
      <c r="T74" s="45">
        <f t="shared" si="12"/>
        <v>0</v>
      </c>
      <c r="U74" s="45">
        <f t="shared" si="88"/>
        <v>0</v>
      </c>
      <c r="V74" s="45">
        <v>0</v>
      </c>
      <c r="W74" s="45"/>
      <c r="X74" s="45"/>
      <c r="Y74" s="45">
        <f t="shared" si="13"/>
        <v>0</v>
      </c>
      <c r="Z74" s="45"/>
      <c r="AA74" s="45"/>
      <c r="AB74" s="45">
        <v>0</v>
      </c>
      <c r="AC74" s="45">
        <f t="shared" si="14"/>
        <v>0</v>
      </c>
      <c r="AD74" s="45">
        <v>0</v>
      </c>
      <c r="AE74" s="55">
        <v>0</v>
      </c>
      <c r="AF74" s="45">
        <v>0</v>
      </c>
      <c r="AG74" s="45">
        <f t="shared" si="91"/>
        <v>0</v>
      </c>
      <c r="AH74" s="45">
        <v>0</v>
      </c>
      <c r="AI74" s="45">
        <v>0</v>
      </c>
      <c r="AJ74" s="45">
        <v>0</v>
      </c>
      <c r="AK74" s="55"/>
      <c r="AL74" s="45">
        <v>0</v>
      </c>
      <c r="AM74" s="45">
        <v>647.88000000000011</v>
      </c>
    </row>
    <row r="75" spans="1:41" outlineLevel="1">
      <c r="B75" s="16" t="s">
        <v>62</v>
      </c>
      <c r="C75" s="45">
        <f t="shared" si="96"/>
        <v>7222.3200000000015</v>
      </c>
      <c r="D75" s="45">
        <f t="shared" si="87"/>
        <v>0</v>
      </c>
      <c r="E75" s="45"/>
      <c r="F75" s="45"/>
      <c r="G75" s="45"/>
      <c r="H75" s="45">
        <f t="shared" si="84"/>
        <v>0</v>
      </c>
      <c r="I75" s="45"/>
      <c r="J75" s="45"/>
      <c r="K75" s="45"/>
      <c r="L75" s="45">
        <f t="shared" si="97"/>
        <v>0</v>
      </c>
      <c r="M75" s="45"/>
      <c r="N75" s="55"/>
      <c r="O75" s="45"/>
      <c r="P75" s="45">
        <f t="shared" si="98"/>
        <v>7222.32</v>
      </c>
      <c r="Q75" s="45"/>
      <c r="R75" s="45">
        <v>4362.79</v>
      </c>
      <c r="S75" s="45">
        <v>2859.53</v>
      </c>
      <c r="T75" s="45">
        <f t="shared" si="12"/>
        <v>33265.009999999987</v>
      </c>
      <c r="U75" s="45">
        <f t="shared" si="88"/>
        <v>7914.57</v>
      </c>
      <c r="V75" s="45">
        <v>2467.1999999999998</v>
      </c>
      <c r="W75" s="45">
        <v>2523.04</v>
      </c>
      <c r="X75" s="45">
        <v>2924.33</v>
      </c>
      <c r="Y75" s="45">
        <f t="shared" si="13"/>
        <v>7377.01</v>
      </c>
      <c r="Z75" s="45">
        <v>3322.62</v>
      </c>
      <c r="AA75" s="45">
        <v>1319.59</v>
      </c>
      <c r="AB75" s="45">
        <v>2734.8</v>
      </c>
      <c r="AC75" s="45">
        <f t="shared" si="14"/>
        <v>5066.4699999999993</v>
      </c>
      <c r="AD75" s="45">
        <v>0</v>
      </c>
      <c r="AE75" s="55">
        <v>1135.31</v>
      </c>
      <c r="AF75" s="45">
        <v>3931.16</v>
      </c>
      <c r="AG75" s="45">
        <f t="shared" ref="AG75" si="99">SUM(AH75:AJ75)</f>
        <v>12906.96</v>
      </c>
      <c r="AH75" s="45">
        <v>4054.24</v>
      </c>
      <c r="AI75" s="45">
        <v>4561.2700000000004</v>
      </c>
      <c r="AJ75" s="45">
        <v>4291.45</v>
      </c>
      <c r="AK75" s="55"/>
      <c r="AL75" s="45">
        <v>3054.31</v>
      </c>
      <c r="AM75" s="45">
        <v>35255.31</v>
      </c>
    </row>
    <row r="76" spans="1:41" outlineLevel="1">
      <c r="B76" s="16" t="s">
        <v>63</v>
      </c>
      <c r="C76" s="45">
        <f t="shared" si="96"/>
        <v>0</v>
      </c>
      <c r="D76" s="45">
        <f t="shared" si="87"/>
        <v>0</v>
      </c>
      <c r="E76" s="45"/>
      <c r="F76" s="45"/>
      <c r="G76" s="45"/>
      <c r="H76" s="45">
        <f t="shared" si="84"/>
        <v>0</v>
      </c>
      <c r="I76" s="45"/>
      <c r="J76" s="45"/>
      <c r="K76" s="45"/>
      <c r="L76" s="45">
        <f t="shared" si="97"/>
        <v>0</v>
      </c>
      <c r="M76" s="45"/>
      <c r="N76" s="55"/>
      <c r="O76" s="45"/>
      <c r="P76" s="45">
        <f t="shared" si="98"/>
        <v>0</v>
      </c>
      <c r="Q76" s="45"/>
      <c r="R76" s="45"/>
      <c r="S76" s="45"/>
      <c r="T76" s="45">
        <f t="shared" si="12"/>
        <v>0</v>
      </c>
      <c r="U76" s="45">
        <f t="shared" si="88"/>
        <v>0</v>
      </c>
      <c r="V76" s="45">
        <v>0</v>
      </c>
      <c r="W76" s="45"/>
      <c r="X76" s="45"/>
      <c r="Y76" s="45">
        <f t="shared" si="13"/>
        <v>0</v>
      </c>
      <c r="Z76" s="45"/>
      <c r="AA76" s="45"/>
      <c r="AB76" s="45">
        <v>0</v>
      </c>
      <c r="AC76" s="45">
        <f t="shared" si="14"/>
        <v>0</v>
      </c>
      <c r="AD76" s="45">
        <v>0</v>
      </c>
      <c r="AE76" s="55">
        <v>0</v>
      </c>
      <c r="AF76" s="45">
        <v>0</v>
      </c>
      <c r="AG76" s="45">
        <f t="shared" si="91"/>
        <v>0</v>
      </c>
      <c r="AH76" s="45">
        <v>0</v>
      </c>
      <c r="AI76" s="45">
        <v>0</v>
      </c>
      <c r="AJ76" s="45">
        <v>0</v>
      </c>
      <c r="AK76" s="55"/>
      <c r="AL76" s="45">
        <v>0</v>
      </c>
      <c r="AM76" s="45">
        <v>0</v>
      </c>
    </row>
    <row r="77" spans="1:41" outlineLevel="1">
      <c r="B77" s="16" t="s">
        <v>64</v>
      </c>
      <c r="C77" s="45">
        <f t="shared" si="96"/>
        <v>0</v>
      </c>
      <c r="D77" s="45">
        <f t="shared" si="87"/>
        <v>0</v>
      </c>
      <c r="E77" s="45"/>
      <c r="F77" s="45"/>
      <c r="G77" s="45"/>
      <c r="H77" s="45">
        <f t="shared" si="84"/>
        <v>0</v>
      </c>
      <c r="I77" s="45"/>
      <c r="J77" s="45"/>
      <c r="K77" s="45"/>
      <c r="L77" s="45">
        <f t="shared" si="97"/>
        <v>0</v>
      </c>
      <c r="M77" s="45"/>
      <c r="N77" s="55"/>
      <c r="O77" s="45"/>
      <c r="P77" s="45">
        <f t="shared" si="98"/>
        <v>0</v>
      </c>
      <c r="Q77" s="45"/>
      <c r="R77" s="45"/>
      <c r="S77" s="45"/>
      <c r="T77" s="45">
        <f t="shared" si="12"/>
        <v>0</v>
      </c>
      <c r="U77" s="45">
        <f t="shared" si="88"/>
        <v>0</v>
      </c>
      <c r="V77" s="45">
        <v>0</v>
      </c>
      <c r="W77" s="45"/>
      <c r="X77" s="45"/>
      <c r="Y77" s="45">
        <f t="shared" si="13"/>
        <v>0</v>
      </c>
      <c r="Z77" s="45"/>
      <c r="AA77" s="45"/>
      <c r="AB77" s="45">
        <v>0</v>
      </c>
      <c r="AC77" s="45">
        <f t="shared" si="14"/>
        <v>0</v>
      </c>
      <c r="AD77" s="45">
        <v>0</v>
      </c>
      <c r="AE77" s="55">
        <v>0</v>
      </c>
      <c r="AF77" s="45">
        <v>0</v>
      </c>
      <c r="AG77" s="45">
        <f t="shared" si="91"/>
        <v>0</v>
      </c>
      <c r="AH77" s="45">
        <v>0</v>
      </c>
      <c r="AI77" s="45">
        <v>0</v>
      </c>
      <c r="AJ77" s="45">
        <v>0</v>
      </c>
      <c r="AK77" s="55"/>
      <c r="AL77" s="45">
        <v>0</v>
      </c>
      <c r="AM77" s="45">
        <v>0</v>
      </c>
    </row>
    <row r="78" spans="1:41" outlineLevel="1">
      <c r="B78" s="16" t="s">
        <v>65</v>
      </c>
      <c r="C78" s="45">
        <f t="shared" si="96"/>
        <v>8650.24</v>
      </c>
      <c r="D78" s="45">
        <f t="shared" si="87"/>
        <v>0</v>
      </c>
      <c r="E78" s="45"/>
      <c r="F78" s="45"/>
      <c r="G78" s="45"/>
      <c r="H78" s="45">
        <f t="shared" si="84"/>
        <v>0</v>
      </c>
      <c r="I78" s="45"/>
      <c r="J78" s="45"/>
      <c r="K78" s="45"/>
      <c r="L78" s="45">
        <f t="shared" si="97"/>
        <v>0</v>
      </c>
      <c r="M78" s="45"/>
      <c r="N78" s="55"/>
      <c r="O78" s="45"/>
      <c r="P78" s="45">
        <f t="shared" si="98"/>
        <v>8650.24</v>
      </c>
      <c r="Q78" s="45"/>
      <c r="R78" s="45">
        <v>840</v>
      </c>
      <c r="S78" s="45">
        <v>7810.24</v>
      </c>
      <c r="T78" s="45">
        <f t="shared" si="12"/>
        <v>201373.91</v>
      </c>
      <c r="U78" s="45">
        <f t="shared" si="88"/>
        <v>72731.22</v>
      </c>
      <c r="V78" s="45">
        <v>10371.64</v>
      </c>
      <c r="W78" s="45">
        <v>8613.27</v>
      </c>
      <c r="X78" s="45">
        <v>53746.31</v>
      </c>
      <c r="Y78" s="45">
        <f t="shared" si="13"/>
        <v>86572.6</v>
      </c>
      <c r="Z78" s="45">
        <v>5408.34</v>
      </c>
      <c r="AA78" s="45">
        <v>65191.05</v>
      </c>
      <c r="AB78" s="45">
        <v>15973.21</v>
      </c>
      <c r="AC78" s="45">
        <f t="shared" si="14"/>
        <v>39017.389999999992</v>
      </c>
      <c r="AD78" s="45">
        <v>14121.64</v>
      </c>
      <c r="AE78" s="55">
        <v>24181.73</v>
      </c>
      <c r="AF78" s="45">
        <v>714.02</v>
      </c>
      <c r="AG78" s="45">
        <f t="shared" si="91"/>
        <v>3052.7</v>
      </c>
      <c r="AH78" s="45">
        <v>3052.7</v>
      </c>
      <c r="AI78" s="45">
        <v>0</v>
      </c>
      <c r="AJ78" s="45">
        <v>0</v>
      </c>
      <c r="AK78" s="55"/>
      <c r="AL78" s="45">
        <v>0</v>
      </c>
      <c r="AM78" s="45">
        <v>1681.29</v>
      </c>
    </row>
    <row r="79" spans="1:41" outlineLevel="1">
      <c r="B79" s="16" t="s">
        <v>66</v>
      </c>
      <c r="C79" s="45">
        <f t="shared" si="96"/>
        <v>0</v>
      </c>
      <c r="D79" s="45">
        <f t="shared" si="87"/>
        <v>0</v>
      </c>
      <c r="E79" s="45"/>
      <c r="F79" s="45"/>
      <c r="G79" s="45"/>
      <c r="H79" s="45">
        <f t="shared" si="84"/>
        <v>0</v>
      </c>
      <c r="I79" s="45"/>
      <c r="J79" s="45"/>
      <c r="K79" s="45"/>
      <c r="L79" s="45">
        <f t="shared" si="97"/>
        <v>0</v>
      </c>
      <c r="M79" s="45"/>
      <c r="N79" s="55"/>
      <c r="O79" s="45"/>
      <c r="P79" s="45">
        <f t="shared" si="98"/>
        <v>0</v>
      </c>
      <c r="Q79" s="45"/>
      <c r="R79" s="45"/>
      <c r="S79" s="45">
        <v>0</v>
      </c>
      <c r="T79" s="45">
        <f t="shared" si="12"/>
        <v>227596.38</v>
      </c>
      <c r="U79" s="45">
        <f t="shared" si="88"/>
        <v>110000.02</v>
      </c>
      <c r="V79" s="45">
        <v>0</v>
      </c>
      <c r="W79" s="45">
        <v>0</v>
      </c>
      <c r="X79" s="45">
        <v>110000.02</v>
      </c>
      <c r="Y79" s="45">
        <f t="shared" si="13"/>
        <v>49999.99</v>
      </c>
      <c r="Z79" s="45">
        <v>0</v>
      </c>
      <c r="AA79" s="45">
        <v>49999.99</v>
      </c>
      <c r="AB79" s="45">
        <v>0</v>
      </c>
      <c r="AC79" s="45">
        <f t="shared" si="14"/>
        <v>39675</v>
      </c>
      <c r="AD79" s="45">
        <v>0</v>
      </c>
      <c r="AE79" s="55">
        <v>39675</v>
      </c>
      <c r="AF79" s="45">
        <v>0</v>
      </c>
      <c r="AG79" s="45">
        <f t="shared" si="91"/>
        <v>27921.37</v>
      </c>
      <c r="AH79" s="45">
        <v>11887.31</v>
      </c>
      <c r="AI79" s="45">
        <v>0</v>
      </c>
      <c r="AJ79" s="45">
        <v>16034.06</v>
      </c>
      <c r="AK79" s="55"/>
      <c r="AL79" s="45">
        <v>0</v>
      </c>
      <c r="AM79" s="45">
        <v>55786.27</v>
      </c>
    </row>
    <row r="80" spans="1:41" outlineLevel="1">
      <c r="B80" s="16" t="s">
        <v>585</v>
      </c>
      <c r="C80" s="45">
        <f t="shared" si="96"/>
        <v>22786.880000000001</v>
      </c>
      <c r="D80" s="45"/>
      <c r="E80" s="45"/>
      <c r="F80" s="45"/>
      <c r="G80" s="45"/>
      <c r="H80" s="45">
        <f t="shared" si="84"/>
        <v>0</v>
      </c>
      <c r="I80" s="45"/>
      <c r="J80" s="45"/>
      <c r="K80" s="45"/>
      <c r="L80" s="45"/>
      <c r="M80" s="45"/>
      <c r="N80" s="55"/>
      <c r="O80" s="45"/>
      <c r="P80" s="45"/>
      <c r="Q80" s="45"/>
      <c r="R80" s="45">
        <v>22786.880000000001</v>
      </c>
      <c r="S80" s="45">
        <v>0</v>
      </c>
      <c r="T80" s="45">
        <f t="shared" si="12"/>
        <v>85246.139999999985</v>
      </c>
      <c r="U80" s="45"/>
      <c r="V80" s="45">
        <v>20673.38</v>
      </c>
      <c r="W80" s="45">
        <v>0</v>
      </c>
      <c r="X80" s="45">
        <v>12000</v>
      </c>
      <c r="Y80" s="45">
        <f t="shared" si="13"/>
        <v>52572.76</v>
      </c>
      <c r="Z80" s="45">
        <v>20673.38</v>
      </c>
      <c r="AA80" s="45"/>
      <c r="AB80" s="45">
        <v>31899.38</v>
      </c>
      <c r="AC80" s="45"/>
      <c r="AD80" s="45"/>
      <c r="AE80" s="55"/>
      <c r="AF80" s="45"/>
      <c r="AG80" s="45"/>
      <c r="AH80" s="45"/>
      <c r="AI80" s="45"/>
      <c r="AJ80" s="45"/>
      <c r="AK80" s="55"/>
      <c r="AL80" s="45"/>
      <c r="AM80" s="45"/>
    </row>
    <row r="81" spans="1:42" outlineLevel="1">
      <c r="B81" s="16" t="s">
        <v>67</v>
      </c>
      <c r="C81" s="45">
        <f t="shared" si="96"/>
        <v>597676.87</v>
      </c>
      <c r="D81" s="45">
        <f t="shared" ref="D81:D86" si="100">SUM(E81:G81)</f>
        <v>0</v>
      </c>
      <c r="E81" s="45"/>
      <c r="F81" s="45"/>
      <c r="G81" s="45"/>
      <c r="H81" s="45">
        <f t="shared" si="84"/>
        <v>0</v>
      </c>
      <c r="I81" s="45"/>
      <c r="J81" s="45"/>
      <c r="K81" s="45"/>
      <c r="L81" s="45">
        <f t="shared" ref="L81:L86" si="101">SUM(M81:O81)</f>
        <v>0</v>
      </c>
      <c r="M81" s="45"/>
      <c r="N81" s="55"/>
      <c r="O81" s="45"/>
      <c r="P81" s="45">
        <f t="shared" ref="P81:P85" si="102">SUM(Q81:S81)</f>
        <v>597676.87</v>
      </c>
      <c r="Q81" s="45"/>
      <c r="R81" s="45">
        <v>309790.67</v>
      </c>
      <c r="S81" s="45">
        <v>287886.2</v>
      </c>
      <c r="T81" s="45">
        <f t="shared" si="12"/>
        <v>2101354.6499999994</v>
      </c>
      <c r="U81" s="45">
        <f t="shared" si="88"/>
        <v>634333.47</v>
      </c>
      <c r="V81" s="45">
        <v>246330.22</v>
      </c>
      <c r="W81" s="45">
        <v>191073.27</v>
      </c>
      <c r="X81" s="45">
        <v>196929.98</v>
      </c>
      <c r="Y81" s="45">
        <f t="shared" si="13"/>
        <v>407831.08999999997</v>
      </c>
      <c r="Z81" s="45">
        <v>138477.32999999999</v>
      </c>
      <c r="AA81" s="45">
        <v>136755</v>
      </c>
      <c r="AB81" s="45">
        <v>132598.76</v>
      </c>
      <c r="AC81" s="45">
        <f t="shared" si="14"/>
        <v>513121.98</v>
      </c>
      <c r="AD81" s="45">
        <v>125293.75999999999</v>
      </c>
      <c r="AE81" s="55">
        <v>194485.26</v>
      </c>
      <c r="AF81" s="45">
        <v>193342.96</v>
      </c>
      <c r="AG81" s="45">
        <f t="shared" si="91"/>
        <v>546068.11</v>
      </c>
      <c r="AH81" s="45">
        <v>193402.09</v>
      </c>
      <c r="AI81" s="45">
        <v>179697.3</v>
      </c>
      <c r="AJ81" s="45">
        <v>172968.72</v>
      </c>
      <c r="AK81" s="55"/>
      <c r="AL81" s="45">
        <v>140124.70000000001</v>
      </c>
      <c r="AM81" s="45">
        <v>1748662.9999999998</v>
      </c>
    </row>
    <row r="82" spans="1:42" outlineLevel="1">
      <c r="B82" s="16" t="s">
        <v>68</v>
      </c>
      <c r="C82" s="45">
        <f t="shared" si="96"/>
        <v>0</v>
      </c>
      <c r="D82" s="45">
        <f t="shared" si="100"/>
        <v>0</v>
      </c>
      <c r="E82" s="45"/>
      <c r="F82" s="45"/>
      <c r="G82" s="45"/>
      <c r="H82" s="45">
        <f t="shared" si="84"/>
        <v>0</v>
      </c>
      <c r="I82" s="45"/>
      <c r="J82" s="45"/>
      <c r="K82" s="45"/>
      <c r="L82" s="45">
        <f t="shared" si="101"/>
        <v>0</v>
      </c>
      <c r="M82" s="45"/>
      <c r="N82" s="55"/>
      <c r="O82" s="45"/>
      <c r="P82" s="45">
        <f t="shared" si="102"/>
        <v>0</v>
      </c>
      <c r="Q82" s="45"/>
      <c r="R82" s="45"/>
      <c r="S82" s="45"/>
      <c r="T82" s="45">
        <f t="shared" si="12"/>
        <v>0</v>
      </c>
      <c r="U82" s="45">
        <f t="shared" si="88"/>
        <v>0</v>
      </c>
      <c r="V82" s="45">
        <v>0</v>
      </c>
      <c r="W82" s="45"/>
      <c r="X82" s="45"/>
      <c r="Y82" s="45">
        <f t="shared" si="13"/>
        <v>0</v>
      </c>
      <c r="Z82" s="45"/>
      <c r="AA82" s="45"/>
      <c r="AB82" s="45">
        <v>0</v>
      </c>
      <c r="AC82" s="45">
        <f t="shared" si="14"/>
        <v>0</v>
      </c>
      <c r="AD82" s="45">
        <v>0</v>
      </c>
      <c r="AE82" s="55">
        <v>0</v>
      </c>
      <c r="AF82" s="45">
        <v>0</v>
      </c>
      <c r="AG82" s="45">
        <f t="shared" si="91"/>
        <v>0</v>
      </c>
      <c r="AH82" s="45">
        <v>0</v>
      </c>
      <c r="AI82" s="45">
        <v>0</v>
      </c>
      <c r="AJ82" s="45">
        <v>0</v>
      </c>
      <c r="AK82" s="55"/>
      <c r="AL82" s="45">
        <v>0</v>
      </c>
      <c r="AM82" s="45">
        <v>0</v>
      </c>
    </row>
    <row r="83" spans="1:42" outlineLevel="1">
      <c r="B83" s="16" t="s">
        <v>69</v>
      </c>
      <c r="C83" s="45">
        <f t="shared" si="96"/>
        <v>6452.85</v>
      </c>
      <c r="D83" s="45">
        <f t="shared" si="100"/>
        <v>0</v>
      </c>
      <c r="E83" s="45"/>
      <c r="F83" s="45"/>
      <c r="G83" s="45"/>
      <c r="H83" s="45">
        <f t="shared" si="84"/>
        <v>0</v>
      </c>
      <c r="I83" s="45"/>
      <c r="J83" s="45"/>
      <c r="K83" s="45"/>
      <c r="L83" s="45">
        <f t="shared" si="101"/>
        <v>0</v>
      </c>
      <c r="M83" s="45"/>
      <c r="N83" s="55"/>
      <c r="O83" s="45"/>
      <c r="P83" s="45">
        <f t="shared" si="102"/>
        <v>6452.85</v>
      </c>
      <c r="Q83" s="45"/>
      <c r="R83" s="45">
        <v>0</v>
      </c>
      <c r="S83" s="45">
        <v>6452.85</v>
      </c>
      <c r="T83" s="45">
        <f t="shared" si="12"/>
        <v>0</v>
      </c>
      <c r="U83" s="45">
        <f t="shared" si="88"/>
        <v>0</v>
      </c>
      <c r="V83" s="45">
        <v>0</v>
      </c>
      <c r="W83" s="45"/>
      <c r="X83" s="45"/>
      <c r="Y83" s="45">
        <f t="shared" si="13"/>
        <v>0</v>
      </c>
      <c r="Z83" s="45"/>
      <c r="AA83" s="45"/>
      <c r="AB83" s="45">
        <v>0</v>
      </c>
      <c r="AC83" s="45">
        <f t="shared" si="14"/>
        <v>0</v>
      </c>
      <c r="AD83" s="45">
        <v>0</v>
      </c>
      <c r="AE83" s="55">
        <v>0</v>
      </c>
      <c r="AF83" s="45">
        <v>0</v>
      </c>
      <c r="AG83" s="45">
        <f t="shared" si="91"/>
        <v>0</v>
      </c>
      <c r="AH83" s="45">
        <v>0</v>
      </c>
      <c r="AI83" s="45">
        <v>0</v>
      </c>
      <c r="AJ83" s="45">
        <v>0</v>
      </c>
      <c r="AK83" s="55"/>
      <c r="AL83" s="45">
        <v>0</v>
      </c>
      <c r="AM83" s="45">
        <v>1589.0700000000002</v>
      </c>
    </row>
    <row r="84" spans="1:42" outlineLevel="1">
      <c r="B84" s="16" t="s">
        <v>70</v>
      </c>
      <c r="C84" s="45">
        <f t="shared" si="96"/>
        <v>0</v>
      </c>
      <c r="D84" s="45">
        <f t="shared" si="100"/>
        <v>0</v>
      </c>
      <c r="E84" s="45"/>
      <c r="F84" s="45"/>
      <c r="G84" s="45"/>
      <c r="H84" s="45">
        <f t="shared" si="84"/>
        <v>0</v>
      </c>
      <c r="I84" s="45"/>
      <c r="J84" s="45"/>
      <c r="K84" s="45"/>
      <c r="L84" s="45">
        <f t="shared" si="101"/>
        <v>0</v>
      </c>
      <c r="M84" s="45"/>
      <c r="N84" s="55"/>
      <c r="O84" s="45"/>
      <c r="P84" s="45">
        <f t="shared" si="102"/>
        <v>0</v>
      </c>
      <c r="Q84" s="45"/>
      <c r="R84" s="45"/>
      <c r="S84" s="45"/>
      <c r="T84" s="45">
        <f t="shared" si="12"/>
        <v>0</v>
      </c>
      <c r="U84" s="45">
        <f t="shared" si="88"/>
        <v>0</v>
      </c>
      <c r="V84" s="45">
        <v>0</v>
      </c>
      <c r="W84" s="45"/>
      <c r="X84" s="45"/>
      <c r="Y84" s="45">
        <f t="shared" si="13"/>
        <v>0</v>
      </c>
      <c r="Z84" s="45"/>
      <c r="AA84" s="45"/>
      <c r="AB84" s="45">
        <v>0</v>
      </c>
      <c r="AC84" s="45">
        <f t="shared" si="14"/>
        <v>0</v>
      </c>
      <c r="AD84" s="45">
        <v>0</v>
      </c>
      <c r="AE84" s="55">
        <v>0</v>
      </c>
      <c r="AF84" s="45">
        <v>0</v>
      </c>
      <c r="AG84" s="45">
        <f t="shared" si="91"/>
        <v>0</v>
      </c>
      <c r="AH84" s="45">
        <v>0</v>
      </c>
      <c r="AI84" s="45">
        <v>0</v>
      </c>
      <c r="AJ84" s="45">
        <v>0</v>
      </c>
      <c r="AK84" s="55"/>
      <c r="AL84" s="45">
        <v>0</v>
      </c>
      <c r="AM84" s="45">
        <v>0</v>
      </c>
    </row>
    <row r="85" spans="1:42" outlineLevel="1">
      <c r="B85" s="16" t="s">
        <v>71</v>
      </c>
      <c r="C85" s="45">
        <f t="shared" si="96"/>
        <v>0</v>
      </c>
      <c r="D85" s="45">
        <f t="shared" si="100"/>
        <v>0</v>
      </c>
      <c r="E85" s="45"/>
      <c r="F85" s="45"/>
      <c r="G85" s="45"/>
      <c r="H85" s="45">
        <f t="shared" si="84"/>
        <v>0</v>
      </c>
      <c r="I85" s="45"/>
      <c r="J85" s="45"/>
      <c r="K85" s="45"/>
      <c r="L85" s="45">
        <f t="shared" si="101"/>
        <v>0</v>
      </c>
      <c r="M85" s="45"/>
      <c r="N85" s="55"/>
      <c r="O85" s="45"/>
      <c r="P85" s="45">
        <f t="shared" si="102"/>
        <v>0</v>
      </c>
      <c r="Q85" s="45"/>
      <c r="R85" s="45"/>
      <c r="S85" s="45">
        <v>0</v>
      </c>
      <c r="T85" s="45">
        <f t="shared" si="12"/>
        <v>16506.400000000001</v>
      </c>
      <c r="U85" s="45">
        <f t="shared" si="88"/>
        <v>0</v>
      </c>
      <c r="V85" s="45">
        <v>0</v>
      </c>
      <c r="W85" s="45"/>
      <c r="X85" s="45">
        <v>0</v>
      </c>
      <c r="Y85" s="45">
        <f t="shared" si="13"/>
        <v>13500</v>
      </c>
      <c r="Z85" s="45"/>
      <c r="AA85" s="45"/>
      <c r="AB85" s="45">
        <v>13500</v>
      </c>
      <c r="AC85" s="45">
        <f t="shared" ref="AC85" si="103">SUM(AD85:AF85)</f>
        <v>0</v>
      </c>
      <c r="AD85" s="45">
        <v>0</v>
      </c>
      <c r="AE85" s="55">
        <v>0</v>
      </c>
      <c r="AF85" s="45">
        <v>0</v>
      </c>
      <c r="AG85" s="45">
        <f t="shared" ref="AG85" si="104">SUM(AH85:AJ85)</f>
        <v>3006.4</v>
      </c>
      <c r="AH85" s="45">
        <v>0</v>
      </c>
      <c r="AI85" s="45">
        <v>0</v>
      </c>
      <c r="AJ85" s="45">
        <v>3006.4</v>
      </c>
      <c r="AK85" s="55"/>
      <c r="AL85" s="45">
        <v>1830.15</v>
      </c>
      <c r="AM85" s="45">
        <v>9346.15</v>
      </c>
    </row>
    <row r="86" spans="1:42" outlineLevel="1">
      <c r="B86" s="16" t="s">
        <v>72</v>
      </c>
      <c r="C86" s="45">
        <f t="shared" si="96"/>
        <v>1631.67</v>
      </c>
      <c r="D86" s="45">
        <f t="shared" si="100"/>
        <v>0</v>
      </c>
      <c r="E86" s="45"/>
      <c r="F86" s="45"/>
      <c r="G86" s="45"/>
      <c r="H86" s="45">
        <f t="shared" si="84"/>
        <v>0</v>
      </c>
      <c r="I86" s="45"/>
      <c r="J86" s="45"/>
      <c r="K86" s="45"/>
      <c r="L86" s="45">
        <f t="shared" si="101"/>
        <v>0</v>
      </c>
      <c r="M86" s="45"/>
      <c r="N86" s="55"/>
      <c r="O86" s="45"/>
      <c r="P86" s="45"/>
      <c r="Q86" s="55"/>
      <c r="R86" s="45">
        <v>0</v>
      </c>
      <c r="S86" s="45">
        <v>1631.67</v>
      </c>
      <c r="T86" s="45">
        <f t="shared" si="12"/>
        <v>0</v>
      </c>
      <c r="U86" s="45">
        <f t="shared" si="88"/>
        <v>0</v>
      </c>
      <c r="V86" s="45"/>
      <c r="W86" s="45"/>
      <c r="X86" s="45"/>
      <c r="Y86" s="45">
        <f t="shared" si="13"/>
        <v>0</v>
      </c>
      <c r="Z86" s="45"/>
      <c r="AA86" s="45"/>
      <c r="AB86" s="45"/>
      <c r="AC86" s="45">
        <f t="shared" si="14"/>
        <v>0</v>
      </c>
      <c r="AD86" s="45">
        <v>0</v>
      </c>
      <c r="AE86" s="55">
        <v>0</v>
      </c>
      <c r="AF86" s="45">
        <v>0</v>
      </c>
      <c r="AG86" s="45"/>
      <c r="AH86" s="55"/>
      <c r="AI86" s="45">
        <v>0</v>
      </c>
      <c r="AJ86" s="45">
        <v>0</v>
      </c>
      <c r="AK86" s="55"/>
      <c r="AL86" s="45">
        <v>0</v>
      </c>
      <c r="AM86" s="45">
        <v>1875.2000000000003</v>
      </c>
    </row>
    <row r="87" spans="1:42" s="69" customFormat="1">
      <c r="A87" s="68"/>
      <c r="B87" s="19" t="s">
        <v>73</v>
      </c>
      <c r="C87" s="48">
        <f>+C65+C60+C56+C39+C19</f>
        <v>1018699.5900000001</v>
      </c>
      <c r="D87" s="48">
        <f>SUM(E87:G87)</f>
        <v>0</v>
      </c>
      <c r="E87" s="48">
        <f>+E65+E60+E56+E39+E19</f>
        <v>0</v>
      </c>
      <c r="F87" s="48">
        <f>+F65+F60+F56+F39+F19</f>
        <v>0</v>
      </c>
      <c r="G87" s="48">
        <f>+G65+G60+G56+G39+G19</f>
        <v>0</v>
      </c>
      <c r="H87" s="48">
        <f>SUM(I87:K87)</f>
        <v>0</v>
      </c>
      <c r="I87" s="48">
        <f>+I65+I60+I56+I39+I19</f>
        <v>0</v>
      </c>
      <c r="J87" s="48">
        <f>+J65+J60+J56+J39+J19</f>
        <v>0</v>
      </c>
      <c r="K87" s="48">
        <f>+K65+K60+K56+K39+K19</f>
        <v>0</v>
      </c>
      <c r="L87" s="48">
        <f>SUM(M87:O87)</f>
        <v>0</v>
      </c>
      <c r="M87" s="48">
        <f>+M65+M60+M56+M39+M19</f>
        <v>0</v>
      </c>
      <c r="N87" s="48">
        <f>+N65+N60+N56+N39+N19</f>
        <v>0</v>
      </c>
      <c r="O87" s="48">
        <f>+O65+O60+O56+O39+O19</f>
        <v>0</v>
      </c>
      <c r="P87" s="48">
        <f>SUM(Q87:S87)</f>
        <v>1018699.59</v>
      </c>
      <c r="Q87" s="48">
        <f>+Q65+Q60+Q56+Q39+Q19</f>
        <v>0</v>
      </c>
      <c r="R87" s="48">
        <f>+R65+R60+R56+R39+R19</f>
        <v>519357.07</v>
      </c>
      <c r="S87" s="48">
        <f>+S65+S60+S56+S39+S19</f>
        <v>499342.51999999996</v>
      </c>
      <c r="T87" s="48">
        <f>+T65+T60+T56+T39+T19</f>
        <v>5525429.4099999983</v>
      </c>
      <c r="U87" s="48">
        <f>SUM(V87:X87)</f>
        <v>1688520.53</v>
      </c>
      <c r="V87" s="48">
        <f>+V65+V60+V56+V39+V19</f>
        <v>530584.16999999993</v>
      </c>
      <c r="W87" s="48">
        <f>+W65+W60+W56+W39+W19</f>
        <v>458815.53</v>
      </c>
      <c r="X87" s="48">
        <f>+X65+X60+X56+X39+X19</f>
        <v>699120.83000000007</v>
      </c>
      <c r="Y87" s="48">
        <f>SUM(Z87:AB87)</f>
        <v>1355921.19</v>
      </c>
      <c r="Z87" s="48">
        <f>+Z65+Z60+Z56+Z39+Z19</f>
        <v>436080.74999999994</v>
      </c>
      <c r="AA87" s="48">
        <f>+AA65+AA60+AA56+AA39+AA19</f>
        <v>471720.13</v>
      </c>
      <c r="AB87" s="48">
        <f>+AB65+AB60+AB56+AB39+AB19</f>
        <v>448120.31</v>
      </c>
      <c r="AC87" s="48">
        <f>SUM(AD87:AF87)</f>
        <v>1375471.8599999999</v>
      </c>
      <c r="AD87" s="48">
        <f>+AD65+AD60+AD56+AD39+AD19</f>
        <v>458559.00999999995</v>
      </c>
      <c r="AE87" s="48">
        <f>+AE65+AE60+AE56+AE39+AE19</f>
        <v>497692.97000000003</v>
      </c>
      <c r="AF87" s="48">
        <f>+AF65+AF60+AF56+AF39+AF19</f>
        <v>419219.87999999995</v>
      </c>
      <c r="AG87" s="48">
        <f>SUM(AH87:AJ87)</f>
        <v>1105515.83</v>
      </c>
      <c r="AH87" s="48">
        <f>+AH65+AH60+AH56+AH39+AH19</f>
        <v>380631.04000000004</v>
      </c>
      <c r="AI87" s="48">
        <f>+AI65+AI60+AI56+AI39+AI19</f>
        <v>393146.26</v>
      </c>
      <c r="AJ87" s="48">
        <f>+AJ65+AJ60+AJ56+AJ39+AJ19</f>
        <v>331738.53000000003</v>
      </c>
      <c r="AK87" s="49"/>
      <c r="AL87" s="48">
        <f>+AL65+AL60+AL56+AL39+AL19</f>
        <v>287714.64</v>
      </c>
      <c r="AM87" s="48">
        <f>+AM65+AM60+AM56+AM39+AM19</f>
        <v>2867808.15</v>
      </c>
      <c r="AN87" s="70"/>
      <c r="AO87" s="70"/>
      <c r="AP87" s="71"/>
    </row>
    <row r="88" spans="1:42">
      <c r="B88" s="14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</row>
    <row r="89" spans="1:42">
      <c r="B89" s="14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17"/>
    </row>
    <row r="90" spans="1:42">
      <c r="B90" s="13" t="s">
        <v>74</v>
      </c>
      <c r="C90" s="47">
        <f>SUM(C14+C16+C15)-C87</f>
        <v>-1018699.5900000001</v>
      </c>
      <c r="D90" s="48">
        <f>SUM(E90:G90)</f>
        <v>0</v>
      </c>
      <c r="E90" s="47">
        <f>SUM(E14+E16+E15)-E87</f>
        <v>0</v>
      </c>
      <c r="F90" s="47">
        <f>SUM(F14+F16+F15)-F87</f>
        <v>0</v>
      </c>
      <c r="G90" s="47">
        <f>SUM(G14+G16+G15)-G87</f>
        <v>0</v>
      </c>
      <c r="H90" s="48">
        <f>SUM(I90:K90)</f>
        <v>0</v>
      </c>
      <c r="I90" s="47">
        <f>SUM(I14+I16+I15)-I87</f>
        <v>0</v>
      </c>
      <c r="J90" s="47">
        <f>SUM(J14+J16+J15)-J87</f>
        <v>0</v>
      </c>
      <c r="K90" s="47">
        <f>SUM(K14+K16+K15)-K87</f>
        <v>0</v>
      </c>
      <c r="L90" s="48">
        <f>SUM(M90:O90)</f>
        <v>0</v>
      </c>
      <c r="M90" s="47">
        <f>SUM(M14+M16+M15)-M87</f>
        <v>0</v>
      </c>
      <c r="N90" s="47">
        <f>SUM(N14+N16+N15)-N87</f>
        <v>0</v>
      </c>
      <c r="O90" s="47">
        <f>SUM(O14+O16+O15)-O87</f>
        <v>0</v>
      </c>
      <c r="P90" s="48">
        <f>SUM(Q90:S90)</f>
        <v>-1018699.59</v>
      </c>
      <c r="Q90" s="47">
        <f>SUM(Q14+Q16+Q15)-Q87</f>
        <v>0</v>
      </c>
      <c r="R90" s="47">
        <f>SUM(R14+R16+R15)-R87</f>
        <v>-519357.07</v>
      </c>
      <c r="S90" s="47">
        <f>SUM(S14+S16+S15)-S87</f>
        <v>-499342.51999999996</v>
      </c>
      <c r="T90" s="47">
        <f>SUM(T14+T16+T15)-T87</f>
        <v>-5525198.4499999983</v>
      </c>
      <c r="U90" s="48">
        <f>SUM(V90:X90)</f>
        <v>-1688520.53</v>
      </c>
      <c r="V90" s="47">
        <f>SUM(V14+V16+V15)-V87</f>
        <v>-530584.16999999993</v>
      </c>
      <c r="W90" s="47">
        <f>SUM(W14+W16+W15)-W87</f>
        <v>-458815.53</v>
      </c>
      <c r="X90" s="47">
        <f>SUM(X14+X16+X15)-X87</f>
        <v>-699120.83000000007</v>
      </c>
      <c r="Y90" s="48">
        <f>SUM(Z90:AB90)</f>
        <v>-1355797.0599999998</v>
      </c>
      <c r="Z90" s="47">
        <f>SUM(Z14+Z16+Z15)-Z87</f>
        <v>-436043.24999999994</v>
      </c>
      <c r="AA90" s="47">
        <f>SUM(AA14+AA16+AA15)-AA87</f>
        <v>-471720.13</v>
      </c>
      <c r="AB90" s="47">
        <f>SUM(AB14+AB16+AB15)-AB87</f>
        <v>-448033.68</v>
      </c>
      <c r="AC90" s="48">
        <f>SUM(AD90:AF90)</f>
        <v>-1375373.5999999999</v>
      </c>
      <c r="AD90" s="47">
        <f>SUM(AD14+AD16+AD15)-AD87</f>
        <v>-458509.87999999995</v>
      </c>
      <c r="AE90" s="47">
        <f>SUM(AE14+AE16+AE15)-AE87</f>
        <v>-497643.84</v>
      </c>
      <c r="AF90" s="47">
        <f>SUM(AF14+AF16+AF15)-AF87</f>
        <v>-419219.87999999995</v>
      </c>
      <c r="AG90" s="48">
        <f>SUM(AH90:AJ90)</f>
        <v>-1105507.26</v>
      </c>
      <c r="AH90" s="47">
        <f>SUM(AH14+AH16+AH15)-AH87</f>
        <v>-380631.04000000004</v>
      </c>
      <c r="AI90" s="47">
        <f>SUM(AI14+AI16+AI15)-AI87</f>
        <v>-393137.69</v>
      </c>
      <c r="AJ90" s="47">
        <f>SUM(AJ14+AJ16+AJ15)-AJ87</f>
        <v>-331738.53000000003</v>
      </c>
      <c r="AK90" s="45"/>
      <c r="AL90" s="47">
        <f>SUM(AL14+AL16)-AL87</f>
        <v>-287714.64</v>
      </c>
      <c r="AM90" s="47">
        <v>-2867808.15</v>
      </c>
    </row>
    <row r="91" spans="1:42">
      <c r="B91" s="14"/>
      <c r="C91" s="14"/>
      <c r="D91" s="14"/>
      <c r="E91" s="14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14"/>
      <c r="S91" s="14"/>
      <c r="T91" s="14"/>
      <c r="U91" s="14"/>
      <c r="V91" s="14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14"/>
      <c r="AJ91" s="14"/>
      <c r="AK91" s="55"/>
      <c r="AL91" s="14"/>
      <c r="AM91" s="14"/>
      <c r="AN91" s="17"/>
    </row>
    <row r="92" spans="1:42">
      <c r="B92" s="14"/>
      <c r="C92" s="14"/>
      <c r="D92" s="14"/>
      <c r="E92" s="14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14"/>
      <c r="S92" s="14"/>
      <c r="T92" s="14"/>
      <c r="U92" s="14"/>
      <c r="V92" s="14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14"/>
      <c r="AJ92" s="14"/>
      <c r="AK92" s="55"/>
      <c r="AL92" s="14"/>
      <c r="AM92" s="14"/>
      <c r="AN92" s="17"/>
    </row>
    <row r="93" spans="1:42">
      <c r="B93" s="13" t="s">
        <v>75</v>
      </c>
      <c r="C93" s="47">
        <f>SUM(D93:S93)-P93-L93-H93-D93</f>
        <v>-4.3100000000000005</v>
      </c>
      <c r="D93" s="47">
        <f>SUM(E93:G93)</f>
        <v>0</v>
      </c>
      <c r="E93" s="83"/>
      <c r="F93" s="83"/>
      <c r="G93" s="85"/>
      <c r="H93" s="47">
        <f>SUM(I93:K93)</f>
        <v>0</v>
      </c>
      <c r="I93" s="47"/>
      <c r="J93" s="47"/>
      <c r="K93" s="13"/>
      <c r="L93" s="47">
        <f>SUM(M93:O93)</f>
        <v>0</v>
      </c>
      <c r="M93" s="83"/>
      <c r="N93" s="47"/>
      <c r="O93" s="13"/>
      <c r="P93" s="47">
        <f>SUM(Q93:S93)</f>
        <v>-4.3100000000000005</v>
      </c>
      <c r="Q93" s="13"/>
      <c r="R93" s="47">
        <v>1.55</v>
      </c>
      <c r="S93" s="47">
        <v>-5.86</v>
      </c>
      <c r="T93" s="47">
        <f>SUM(U93:AJ93)-AG93-AC93-Y93-U93</f>
        <v>-2514.0899999999983</v>
      </c>
      <c r="U93" s="47">
        <f>SUM(V93:X93)</f>
        <v>0.08</v>
      </c>
      <c r="V93" s="83">
        <v>-0.02</v>
      </c>
      <c r="W93" s="83">
        <v>0.05</v>
      </c>
      <c r="X93" s="85">
        <v>0.05</v>
      </c>
      <c r="Y93" s="47">
        <f>SUM(Z93:AB93)</f>
        <v>-2664.95</v>
      </c>
      <c r="Z93" s="47">
        <v>0.03</v>
      </c>
      <c r="AA93" s="47">
        <v>-1937.58</v>
      </c>
      <c r="AB93" s="13">
        <v>-727.4</v>
      </c>
      <c r="AC93" s="47">
        <f>SUM(AD93:AF93)</f>
        <v>150.89000000000001</v>
      </c>
      <c r="AD93" s="83">
        <v>0.02</v>
      </c>
      <c r="AE93" s="47">
        <v>152.02000000000001</v>
      </c>
      <c r="AF93" s="13">
        <v>-1.1499999999999999</v>
      </c>
      <c r="AG93" s="47">
        <f>SUM(AH93:AJ93)</f>
        <v>-0.11000000000000001</v>
      </c>
      <c r="AH93" s="13">
        <v>-0.04</v>
      </c>
      <c r="AI93" s="47">
        <v>-0.03</v>
      </c>
      <c r="AJ93" s="47">
        <v>-0.04</v>
      </c>
      <c r="AK93" s="55"/>
      <c r="AL93" s="83">
        <v>147.97</v>
      </c>
      <c r="AM93" s="47">
        <v>-1090.2099999999996</v>
      </c>
      <c r="AN93" s="17"/>
    </row>
    <row r="94" spans="1:42">
      <c r="B94" s="14"/>
      <c r="C94" s="47">
        <f t="shared" ref="C94:C95" si="105">SUM(D94:S94)-P94-L94-H94-D94</f>
        <v>0</v>
      </c>
      <c r="D94" s="55"/>
      <c r="E94" s="55"/>
      <c r="F94" s="55"/>
      <c r="G94" s="85"/>
      <c r="H94" s="55"/>
      <c r="I94" s="47"/>
      <c r="J94" s="55"/>
      <c r="K94" s="55"/>
      <c r="L94" s="55"/>
      <c r="M94" s="55"/>
      <c r="N94" s="55"/>
      <c r="O94" s="55"/>
      <c r="P94" s="55"/>
      <c r="Q94" s="55"/>
      <c r="R94" s="47"/>
      <c r="S94" s="47"/>
      <c r="T94" s="47">
        <f t="shared" ref="T94:T120" si="106">SUM(U94:AJ94)-AG94-AC94-Y94-U94</f>
        <v>0</v>
      </c>
      <c r="U94" s="55"/>
      <c r="V94" s="55"/>
      <c r="W94" s="55"/>
      <c r="X94" s="85"/>
      <c r="Y94" s="55"/>
      <c r="Z94" s="47"/>
      <c r="AA94" s="55"/>
      <c r="AB94" s="55"/>
      <c r="AC94" s="55"/>
      <c r="AD94" s="55"/>
      <c r="AE94" s="55"/>
      <c r="AF94" s="55"/>
      <c r="AG94" s="55"/>
      <c r="AH94" s="55"/>
      <c r="AI94" s="47"/>
      <c r="AJ94" s="47"/>
      <c r="AK94" s="55"/>
      <c r="AL94" s="47"/>
      <c r="AM94" s="47">
        <v>0</v>
      </c>
      <c r="AN94" s="2"/>
    </row>
    <row r="95" spans="1:42">
      <c r="B95" s="13" t="s">
        <v>76</v>
      </c>
      <c r="C95" s="47">
        <f t="shared" si="105"/>
        <v>0</v>
      </c>
      <c r="D95" s="47">
        <f>SUM(E95:G95)</f>
        <v>0</v>
      </c>
      <c r="E95" s="13"/>
      <c r="F95" s="13"/>
      <c r="G95" s="85"/>
      <c r="H95" s="47"/>
      <c r="I95" s="47"/>
      <c r="J95" s="13"/>
      <c r="K95" s="13"/>
      <c r="L95" s="94"/>
      <c r="M95" s="85"/>
      <c r="N95" s="85"/>
      <c r="O95" s="85"/>
      <c r="P95" s="47"/>
      <c r="Q95" s="85"/>
      <c r="R95" s="47">
        <v>0</v>
      </c>
      <c r="S95" s="47">
        <v>0</v>
      </c>
      <c r="T95" s="47">
        <f t="shared" si="106"/>
        <v>0</v>
      </c>
      <c r="U95" s="47">
        <f>SUM(V95:X95)</f>
        <v>0</v>
      </c>
      <c r="V95" s="13"/>
      <c r="W95" s="13"/>
      <c r="X95" s="85"/>
      <c r="Y95" s="47"/>
      <c r="Z95" s="47"/>
      <c r="AA95" s="13"/>
      <c r="AB95" s="13"/>
      <c r="AC95" s="94"/>
      <c r="AD95" s="85"/>
      <c r="AE95" s="85"/>
      <c r="AF95" s="85"/>
      <c r="AG95" s="47"/>
      <c r="AH95" s="85"/>
      <c r="AI95" s="47">
        <v>0</v>
      </c>
      <c r="AJ95" s="47">
        <v>0</v>
      </c>
      <c r="AK95" s="55"/>
      <c r="AL95" s="47"/>
      <c r="AM95" s="47">
        <v>0</v>
      </c>
      <c r="AN95" s="2"/>
    </row>
    <row r="96" spans="1:42">
      <c r="B96" s="13"/>
      <c r="C96" s="47"/>
      <c r="D96" s="47"/>
      <c r="E96" s="13"/>
      <c r="F96" s="13"/>
      <c r="G96" s="85"/>
      <c r="H96" s="47"/>
      <c r="I96" s="13"/>
      <c r="J96" s="13"/>
      <c r="K96" s="13"/>
      <c r="L96" s="94"/>
      <c r="M96" s="85"/>
      <c r="N96" s="85"/>
      <c r="O96" s="85"/>
      <c r="P96" s="47"/>
      <c r="Q96" s="85"/>
      <c r="R96" s="47"/>
      <c r="S96" s="47"/>
      <c r="T96" s="47"/>
      <c r="U96" s="47"/>
      <c r="V96" s="13"/>
      <c r="W96" s="13"/>
      <c r="X96" s="85"/>
      <c r="Y96" s="47"/>
      <c r="Z96" s="13"/>
      <c r="AA96" s="13"/>
      <c r="AB96" s="13"/>
      <c r="AC96" s="94"/>
      <c r="AD96" s="85"/>
      <c r="AE96" s="85"/>
      <c r="AF96" s="85"/>
      <c r="AG96" s="47"/>
      <c r="AH96" s="85"/>
      <c r="AI96" s="47"/>
      <c r="AJ96" s="47"/>
      <c r="AK96" s="55"/>
      <c r="AL96" s="47"/>
      <c r="AM96" s="47"/>
      <c r="AN96" s="2"/>
    </row>
    <row r="97" spans="1:40">
      <c r="B97" s="14"/>
      <c r="C97" s="47">
        <f t="shared" ref="C97:C103" si="107">SUM(D97:S97)-P97-L97-H97-D97</f>
        <v>0</v>
      </c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47"/>
      <c r="S97" s="47">
        <v>0</v>
      </c>
      <c r="T97" s="47">
        <f t="shared" si="106"/>
        <v>0</v>
      </c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47"/>
      <c r="AJ97" s="47">
        <v>0</v>
      </c>
      <c r="AK97" s="55"/>
      <c r="AL97" s="47"/>
      <c r="AM97" s="47">
        <v>0</v>
      </c>
      <c r="AN97" s="2"/>
    </row>
    <row r="98" spans="1:40">
      <c r="B98" s="13" t="s">
        <v>77</v>
      </c>
      <c r="C98" s="47">
        <f t="shared" si="107"/>
        <v>0</v>
      </c>
      <c r="D98" s="47">
        <f>SUM(E98:G98)</f>
        <v>0</v>
      </c>
      <c r="E98" s="47"/>
      <c r="F98" s="47"/>
      <c r="G98" s="47"/>
      <c r="H98" s="47">
        <f>SUM(I98:K98)</f>
        <v>0</v>
      </c>
      <c r="I98" s="47"/>
      <c r="J98" s="47">
        <v>0</v>
      </c>
      <c r="K98" s="47">
        <v>0</v>
      </c>
      <c r="L98" s="47">
        <f>SUM(M98:O98)</f>
        <v>0</v>
      </c>
      <c r="M98" s="47">
        <v>0</v>
      </c>
      <c r="N98" s="47">
        <v>0</v>
      </c>
      <c r="O98" s="47">
        <v>0</v>
      </c>
      <c r="P98" s="47">
        <f>SUM(Q98:S98)</f>
        <v>0</v>
      </c>
      <c r="Q98" s="47"/>
      <c r="R98" s="47">
        <v>0</v>
      </c>
      <c r="S98" s="47">
        <v>0</v>
      </c>
      <c r="T98" s="47">
        <f t="shared" si="106"/>
        <v>0</v>
      </c>
      <c r="U98" s="47">
        <f>SUM(V98:X98)</f>
        <v>0</v>
      </c>
      <c r="V98" s="47"/>
      <c r="W98" s="47"/>
      <c r="X98" s="47"/>
      <c r="Y98" s="47">
        <f>SUM(Z98:AB98)</f>
        <v>0</v>
      </c>
      <c r="Z98" s="47"/>
      <c r="AA98" s="47">
        <v>0</v>
      </c>
      <c r="AB98" s="47">
        <v>0</v>
      </c>
      <c r="AC98" s="47">
        <f>SUM(AD98:AF98)</f>
        <v>0</v>
      </c>
      <c r="AD98" s="47">
        <v>0</v>
      </c>
      <c r="AE98" s="47">
        <v>0</v>
      </c>
      <c r="AF98" s="47">
        <v>0</v>
      </c>
      <c r="AG98" s="47">
        <f>SUM(AH98:AJ98)</f>
        <v>0</v>
      </c>
      <c r="AH98" s="47"/>
      <c r="AI98" s="47">
        <v>0</v>
      </c>
      <c r="AJ98" s="47">
        <v>0</v>
      </c>
      <c r="AK98" s="45"/>
      <c r="AL98" s="47"/>
      <c r="AM98" s="47">
        <v>0</v>
      </c>
      <c r="AN98" s="2"/>
    </row>
    <row r="99" spans="1:40">
      <c r="B99" s="14"/>
      <c r="C99" s="47">
        <f t="shared" si="107"/>
        <v>0</v>
      </c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47"/>
      <c r="S99" s="47"/>
      <c r="T99" s="47">
        <f t="shared" si="106"/>
        <v>0</v>
      </c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47"/>
      <c r="AJ99" s="47"/>
      <c r="AK99" s="55"/>
      <c r="AL99" s="47"/>
      <c r="AM99" s="47">
        <v>0</v>
      </c>
      <c r="AN99" s="2"/>
    </row>
    <row r="100" spans="1:40">
      <c r="B100" s="13" t="s">
        <v>189</v>
      </c>
      <c r="C100" s="47">
        <f t="shared" si="107"/>
        <v>0</v>
      </c>
      <c r="D100" s="47">
        <f>SUM(E100:G100)</f>
        <v>0</v>
      </c>
      <c r="E100" s="47"/>
      <c r="F100" s="47"/>
      <c r="G100" s="47"/>
      <c r="H100" s="47">
        <f>SUM(I100:K100)</f>
        <v>0</v>
      </c>
      <c r="I100" s="47"/>
      <c r="J100" s="47"/>
      <c r="K100" s="47"/>
      <c r="L100" s="47">
        <f>SUM(M100:O100)</f>
        <v>0</v>
      </c>
      <c r="M100" s="47">
        <v>0</v>
      </c>
      <c r="N100" s="47">
        <v>0</v>
      </c>
      <c r="O100" s="47">
        <v>0</v>
      </c>
      <c r="P100" s="47">
        <f>SUM(Q100:S100)</f>
        <v>0</v>
      </c>
      <c r="Q100" s="47">
        <v>0</v>
      </c>
      <c r="R100" s="47">
        <v>0</v>
      </c>
      <c r="S100" s="47">
        <v>0</v>
      </c>
      <c r="T100" s="47">
        <f t="shared" si="106"/>
        <v>0</v>
      </c>
      <c r="U100" s="47">
        <f>SUM(V100:X100)</f>
        <v>0</v>
      </c>
      <c r="V100" s="47"/>
      <c r="W100" s="47"/>
      <c r="X100" s="47"/>
      <c r="Y100" s="47">
        <f>SUM(Z100:AB100)</f>
        <v>0</v>
      </c>
      <c r="Z100" s="47"/>
      <c r="AA100" s="47"/>
      <c r="AB100" s="47"/>
      <c r="AC100" s="47">
        <f>SUM(AD100:AF100)</f>
        <v>0</v>
      </c>
      <c r="AD100" s="47">
        <v>0</v>
      </c>
      <c r="AE100" s="47">
        <v>0</v>
      </c>
      <c r="AF100" s="47">
        <v>0</v>
      </c>
      <c r="AG100" s="47">
        <f>SUM(AH100:AJ100)</f>
        <v>0</v>
      </c>
      <c r="AH100" s="47">
        <v>0</v>
      </c>
      <c r="AI100" s="47">
        <v>0</v>
      </c>
      <c r="AJ100" s="47">
        <v>0</v>
      </c>
      <c r="AK100" s="45"/>
      <c r="AL100" s="47"/>
      <c r="AM100" s="47">
        <v>0</v>
      </c>
      <c r="AN100" s="2"/>
    </row>
    <row r="101" spans="1:40">
      <c r="B101" s="14"/>
      <c r="C101" s="47">
        <f t="shared" si="107"/>
        <v>0</v>
      </c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47"/>
      <c r="S101" s="47"/>
      <c r="T101" s="47">
        <f t="shared" si="106"/>
        <v>0</v>
      </c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47"/>
      <c r="AJ101" s="47"/>
      <c r="AK101" s="2"/>
      <c r="AL101" s="47"/>
      <c r="AM101" s="47">
        <v>0</v>
      </c>
    </row>
    <row r="102" spans="1:40">
      <c r="B102" s="13" t="s">
        <v>79</v>
      </c>
      <c r="C102" s="47">
        <f t="shared" si="107"/>
        <v>0</v>
      </c>
      <c r="D102" s="47">
        <f>SUM(E102:G102)</f>
        <v>0</v>
      </c>
      <c r="E102" s="47"/>
      <c r="F102" s="47"/>
      <c r="G102" s="47"/>
      <c r="H102" s="47">
        <f>SUM(I102:K102)</f>
        <v>0</v>
      </c>
      <c r="I102" s="47"/>
      <c r="J102" s="47"/>
      <c r="K102" s="47"/>
      <c r="L102" s="47"/>
      <c r="M102" s="47"/>
      <c r="N102" s="47"/>
      <c r="O102" s="47"/>
      <c r="P102" s="47">
        <f>SUM(Q102:S102)</f>
        <v>0</v>
      </c>
      <c r="Q102" s="47"/>
      <c r="R102" s="47">
        <v>0</v>
      </c>
      <c r="S102" s="47">
        <v>0</v>
      </c>
      <c r="T102" s="47">
        <f t="shared" si="106"/>
        <v>0</v>
      </c>
      <c r="U102" s="47">
        <f>SUM(V102:X102)</f>
        <v>0</v>
      </c>
      <c r="V102" s="47"/>
      <c r="W102" s="47"/>
      <c r="X102" s="47"/>
      <c r="Y102" s="47">
        <f>SUM(Z102:AB102)</f>
        <v>0</v>
      </c>
      <c r="Z102" s="47"/>
      <c r="AA102" s="47"/>
      <c r="AB102" s="47"/>
      <c r="AC102" s="47"/>
      <c r="AD102" s="47"/>
      <c r="AE102" s="47"/>
      <c r="AF102" s="47"/>
      <c r="AG102" s="47">
        <f>SUM(AH102:AJ102)</f>
        <v>0</v>
      </c>
      <c r="AH102" s="47"/>
      <c r="AI102" s="47">
        <v>0</v>
      </c>
      <c r="AJ102" s="47">
        <v>0</v>
      </c>
      <c r="AK102" s="2"/>
      <c r="AL102" s="47"/>
      <c r="AM102" s="47">
        <v>0</v>
      </c>
    </row>
    <row r="103" spans="1:40">
      <c r="A103" s="11"/>
      <c r="B103" s="13"/>
      <c r="C103" s="47">
        <f t="shared" si="107"/>
        <v>0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47"/>
      <c r="S103" s="47"/>
      <c r="T103" s="47">
        <f t="shared" si="106"/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47"/>
      <c r="AJ103" s="47"/>
      <c r="AK103" s="2"/>
      <c r="AL103" s="47"/>
      <c r="AM103" s="47">
        <v>0</v>
      </c>
    </row>
    <row r="104" spans="1:40">
      <c r="A104" s="11"/>
      <c r="B104" s="13" t="s">
        <v>80</v>
      </c>
      <c r="C104" s="47">
        <f>SUM(D104:S104)-P104-L104-H104-D104</f>
        <v>-78018.759999999995</v>
      </c>
      <c r="D104" s="45">
        <f>SUM(E104:G104)</f>
        <v>0</v>
      </c>
      <c r="E104" s="45"/>
      <c r="F104" s="45"/>
      <c r="G104" s="45"/>
      <c r="H104" s="45">
        <f>SUM(I104:K104)</f>
        <v>0</v>
      </c>
      <c r="I104" s="45"/>
      <c r="J104" s="45"/>
      <c r="K104" s="45"/>
      <c r="L104" s="45">
        <f>SUM(M104:O104)</f>
        <v>0</v>
      </c>
      <c r="M104" s="45"/>
      <c r="N104" s="45"/>
      <c r="O104" s="45"/>
      <c r="P104" s="47">
        <f>SUM(Q104:S104)</f>
        <v>-78018.759999999995</v>
      </c>
      <c r="Q104" s="45"/>
      <c r="R104" s="45">
        <v>-39009.379999999997</v>
      </c>
      <c r="S104" s="47">
        <v>-39009.379999999997</v>
      </c>
      <c r="T104" s="47">
        <f>SUM(U104:AJ104)-AG104-AC104-Y104-U104</f>
        <v>-295867.16000000003</v>
      </c>
      <c r="U104" s="45">
        <f>SUM(V104:X104)</f>
        <v>-94903.14</v>
      </c>
      <c r="V104" s="45">
        <v>-39009.379999999997</v>
      </c>
      <c r="W104" s="45">
        <v>-27946.880000000001</v>
      </c>
      <c r="X104" s="45">
        <v>-27946.880000000001</v>
      </c>
      <c r="Y104" s="45">
        <f>SUM(Z104:AB104)</f>
        <v>-83840.639999999999</v>
      </c>
      <c r="Z104" s="45">
        <v>-27946.880000000001</v>
      </c>
      <c r="AA104" s="45">
        <v>-27946.880000000001</v>
      </c>
      <c r="AB104" s="45">
        <v>-27946.880000000001</v>
      </c>
      <c r="AC104" s="45">
        <f>SUM(AD104:AF104)</f>
        <v>-63571.880000000005</v>
      </c>
      <c r="AD104" s="45">
        <v>-27946.880000000001</v>
      </c>
      <c r="AE104" s="45">
        <v>-17812.5</v>
      </c>
      <c r="AF104" s="45">
        <v>-17812.5</v>
      </c>
      <c r="AG104" s="47">
        <f>SUM(AH104:AJ104)</f>
        <v>-53551.5</v>
      </c>
      <c r="AH104" s="45">
        <v>-17850.5</v>
      </c>
      <c r="AI104" s="47">
        <v>-17850.5</v>
      </c>
      <c r="AJ104" s="47">
        <v>-17850.5</v>
      </c>
      <c r="AK104" s="2"/>
      <c r="AL104" s="47">
        <v>-17850.5</v>
      </c>
      <c r="AM104" s="47">
        <v>-69147.199999999997</v>
      </c>
    </row>
    <row r="105" spans="1:40">
      <c r="A105" s="11"/>
      <c r="B105" s="13"/>
      <c r="C105" s="47">
        <f t="shared" ref="C105" si="108">SUM(D105:S105)-P105-L105-H105-D105</f>
        <v>0</v>
      </c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13"/>
      <c r="P105" s="13"/>
      <c r="Q105" s="13"/>
      <c r="R105" s="47"/>
      <c r="S105" s="47"/>
      <c r="T105" s="47">
        <f t="shared" si="106"/>
        <v>0</v>
      </c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13"/>
      <c r="AG105" s="13"/>
      <c r="AH105" s="13"/>
      <c r="AI105" s="47"/>
      <c r="AJ105" s="47"/>
      <c r="AK105" s="2"/>
      <c r="AL105" s="47"/>
      <c r="AM105" s="47">
        <v>0</v>
      </c>
    </row>
    <row r="106" spans="1:40">
      <c r="B106" s="13" t="s">
        <v>81</v>
      </c>
      <c r="C106" s="47">
        <f>SUM(D106:S106)-P106-L106-H106-D106</f>
        <v>-76125.009999999995</v>
      </c>
      <c r="D106" s="47">
        <f>SUM(E106:G106)</f>
        <v>0</v>
      </c>
      <c r="E106" s="47"/>
      <c r="F106" s="47"/>
      <c r="G106" s="47"/>
      <c r="H106" s="47">
        <f>SUM(I106:K106)</f>
        <v>0</v>
      </c>
      <c r="I106" s="47"/>
      <c r="J106" s="47"/>
      <c r="K106" s="47"/>
      <c r="L106" s="47">
        <f>SUM(M106:O106)</f>
        <v>0</v>
      </c>
      <c r="M106" s="47"/>
      <c r="N106" s="47"/>
      <c r="O106" s="47">
        <v>0</v>
      </c>
      <c r="P106" s="47">
        <f>SUM(Q106:S106)</f>
        <v>-76125.009999999995</v>
      </c>
      <c r="Q106" s="47"/>
      <c r="R106" s="45">
        <v>-41854.17</v>
      </c>
      <c r="S106" s="47">
        <v>-34270.839999999997</v>
      </c>
      <c r="T106" s="47">
        <f>SUM(U106:AJ106)-AG106-AC106-Y106-U106</f>
        <v>-253416.66000000003</v>
      </c>
      <c r="U106" s="47">
        <f>SUM(V106:X106)</f>
        <v>-102812.5</v>
      </c>
      <c r="V106" s="47">
        <v>-34270.83</v>
      </c>
      <c r="W106" s="47">
        <v>-34270.83</v>
      </c>
      <c r="X106" s="47">
        <v>-34270.839999999997</v>
      </c>
      <c r="Y106" s="47">
        <f>SUM(Z106:AB106)</f>
        <v>-95895.84</v>
      </c>
      <c r="Z106" s="47">
        <v>-34270.83</v>
      </c>
      <c r="AA106" s="47">
        <v>-34270.83</v>
      </c>
      <c r="AB106" s="47">
        <v>-27354.18</v>
      </c>
      <c r="AC106" s="47">
        <f>SUM(AD106:AF106)</f>
        <v>-54708.320000000007</v>
      </c>
      <c r="AD106" s="47">
        <v>-33354.160000000003</v>
      </c>
      <c r="AE106" s="47">
        <v>-21354.16</v>
      </c>
      <c r="AF106" s="47">
        <v>0</v>
      </c>
      <c r="AG106" s="47"/>
      <c r="AH106" s="47"/>
      <c r="AI106" s="47">
        <v>0</v>
      </c>
      <c r="AJ106" s="45">
        <v>0</v>
      </c>
      <c r="AK106" s="45"/>
      <c r="AL106" s="47"/>
      <c r="AM106" s="47"/>
      <c r="AN106" s="54"/>
    </row>
    <row r="107" spans="1:40">
      <c r="A107" s="11"/>
      <c r="B107" s="13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13"/>
      <c r="P107" s="13"/>
      <c r="Q107" s="13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13"/>
      <c r="AG107" s="13"/>
      <c r="AH107" s="13"/>
      <c r="AI107" s="47"/>
      <c r="AJ107" s="47"/>
      <c r="AK107" s="2"/>
      <c r="AL107" s="47"/>
      <c r="AM107" s="47"/>
    </row>
    <row r="108" spans="1:40">
      <c r="B108" s="13" t="s">
        <v>551</v>
      </c>
      <c r="C108" s="47">
        <f>SUM(D108:S108)-P108-L108-H108-D108</f>
        <v>-24166.68</v>
      </c>
      <c r="D108" s="47">
        <f>SUM(E108:G108)</f>
        <v>0</v>
      </c>
      <c r="E108" s="47"/>
      <c r="F108" s="47"/>
      <c r="G108" s="47"/>
      <c r="H108" s="47">
        <f>SUM(I108:K108)</f>
        <v>0</v>
      </c>
      <c r="I108" s="47"/>
      <c r="J108" s="47"/>
      <c r="K108" s="47"/>
      <c r="L108" s="47">
        <f>SUM(M108:O108)</f>
        <v>0</v>
      </c>
      <c r="M108" s="47"/>
      <c r="N108" s="47"/>
      <c r="O108" s="47">
        <v>0</v>
      </c>
      <c r="P108" s="47">
        <f>SUM(Q108:S108)</f>
        <v>-24166.68</v>
      </c>
      <c r="Q108" s="47"/>
      <c r="R108" s="45">
        <v>-12083.36</v>
      </c>
      <c r="S108" s="47">
        <v>-12083.32</v>
      </c>
      <c r="T108" s="47">
        <f>SUM(U108:AJ108)-AG108-AC108-Y108-U108</f>
        <v>-84583.319999999963</v>
      </c>
      <c r="U108" s="47">
        <f>SUM(V108:X108)</f>
        <v>-36249.979999999996</v>
      </c>
      <c r="V108" s="47">
        <v>-12083.32</v>
      </c>
      <c r="W108" s="47">
        <v>-12083.32</v>
      </c>
      <c r="X108" s="47">
        <v>-12083.34</v>
      </c>
      <c r="Y108" s="47">
        <f>SUM(Z108:AB108)</f>
        <v>-36250.01</v>
      </c>
      <c r="Z108" s="47">
        <v>-12083.34</v>
      </c>
      <c r="AA108" s="47">
        <v>-12083.34</v>
      </c>
      <c r="AB108" s="47">
        <v>-12083.33</v>
      </c>
      <c r="AC108" s="47">
        <f>SUM(AD108:AF108)</f>
        <v>-12083.33</v>
      </c>
      <c r="AD108" s="47">
        <v>-12083.33</v>
      </c>
      <c r="AE108" s="47">
        <v>0</v>
      </c>
      <c r="AF108" s="47">
        <v>0</v>
      </c>
      <c r="AG108" s="47"/>
      <c r="AH108" s="47"/>
      <c r="AI108" s="47">
        <v>0</v>
      </c>
      <c r="AJ108" s="47">
        <v>0</v>
      </c>
      <c r="AK108" s="45"/>
      <c r="AL108" s="47"/>
      <c r="AM108" s="47"/>
      <c r="AN108" s="54"/>
    </row>
    <row r="109" spans="1:40">
      <c r="B109" s="13"/>
      <c r="C109" s="47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7"/>
      <c r="P109" s="47"/>
      <c r="Q109" s="47"/>
      <c r="R109" s="47"/>
      <c r="S109" s="47"/>
      <c r="T109" s="47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7"/>
      <c r="AG109" s="47"/>
      <c r="AH109" s="47"/>
      <c r="AI109" s="47"/>
      <c r="AJ109" s="47"/>
      <c r="AK109" s="45"/>
      <c r="AL109" s="47"/>
      <c r="AM109" s="47"/>
      <c r="AN109" s="54"/>
    </row>
    <row r="110" spans="1:40">
      <c r="B110" s="13" t="s">
        <v>593</v>
      </c>
      <c r="C110" s="47">
        <f>SUM(D110:S110)-P110-L110-H110-D110</f>
        <v>0</v>
      </c>
      <c r="D110" s="47">
        <f>SUM(E110:G110)</f>
        <v>0</v>
      </c>
      <c r="E110" s="47"/>
      <c r="F110" s="47"/>
      <c r="G110" s="47"/>
      <c r="H110" s="47">
        <f>SUM(I110:K110)</f>
        <v>0</v>
      </c>
      <c r="I110" s="47"/>
      <c r="J110" s="47"/>
      <c r="K110" s="47"/>
      <c r="L110" s="47"/>
      <c r="M110" s="47"/>
      <c r="N110" s="47"/>
      <c r="O110" s="47"/>
      <c r="P110" s="47">
        <f>SUM(Q110:S110)</f>
        <v>0</v>
      </c>
      <c r="Q110" s="47"/>
      <c r="R110" s="47"/>
      <c r="S110" s="47">
        <v>0</v>
      </c>
      <c r="T110" s="47">
        <f>SUM(U110:AJ110)-AG110-AC110-Y110-U110</f>
        <v>-181250</v>
      </c>
      <c r="U110" s="47">
        <f>SUM(V110:X110)</f>
        <v>-108750</v>
      </c>
      <c r="V110" s="47">
        <v>-36250</v>
      </c>
      <c r="W110" s="47">
        <v>-36250</v>
      </c>
      <c r="X110" s="47">
        <v>-36250</v>
      </c>
      <c r="Y110" s="47">
        <f>SUM(Z110:AB110)</f>
        <v>-72500</v>
      </c>
      <c r="Z110" s="47">
        <v>-36250</v>
      </c>
      <c r="AA110" s="47">
        <v>-36250</v>
      </c>
      <c r="AB110" s="47"/>
      <c r="AC110" s="47"/>
      <c r="AD110" s="47"/>
      <c r="AE110" s="47"/>
      <c r="AF110" s="47"/>
      <c r="AG110" s="47"/>
      <c r="AH110" s="47"/>
      <c r="AI110" s="47"/>
      <c r="AJ110" s="47"/>
      <c r="AK110" s="45"/>
      <c r="AL110" s="47"/>
      <c r="AM110" s="47"/>
      <c r="AN110" s="54"/>
    </row>
    <row r="111" spans="1:40">
      <c r="B111" s="13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5"/>
      <c r="AL111" s="47"/>
      <c r="AM111" s="47"/>
      <c r="AN111" s="54"/>
    </row>
    <row r="112" spans="1:40">
      <c r="B112" s="13" t="s">
        <v>606</v>
      </c>
      <c r="C112" s="47">
        <f>SUM(D112:S112)-P112-L112-H112-D112</f>
        <v>0</v>
      </c>
      <c r="D112" s="47">
        <f>SUM(E112:G112)</f>
        <v>0</v>
      </c>
      <c r="E112" s="47"/>
      <c r="F112" s="47"/>
      <c r="G112" s="47"/>
      <c r="H112" s="47">
        <f>SUM(I112:K112)</f>
        <v>0</v>
      </c>
      <c r="I112" s="47"/>
      <c r="J112" s="47"/>
      <c r="K112" s="47"/>
      <c r="L112" s="47"/>
      <c r="M112" s="47"/>
      <c r="N112" s="47"/>
      <c r="O112" s="47"/>
      <c r="P112" s="47">
        <f>SUM(Q112:S112)</f>
        <v>0</v>
      </c>
      <c r="Q112" s="47"/>
      <c r="R112" s="47"/>
      <c r="S112" s="47"/>
      <c r="T112" s="47">
        <f>SUM(U112:AJ112)-AG112-AC112-Y112-U112</f>
        <v>-119666.66</v>
      </c>
      <c r="U112" s="47">
        <f>SUM(V112:X112)</f>
        <v>-119666.66</v>
      </c>
      <c r="V112" s="47">
        <v>-119666.66</v>
      </c>
      <c r="W112" s="47"/>
      <c r="X112" s="47"/>
      <c r="Y112" s="47">
        <f>SUM(Z112:AB112)</f>
        <v>0</v>
      </c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5"/>
      <c r="AL112" s="47"/>
      <c r="AM112" s="47"/>
      <c r="AN112" s="54"/>
    </row>
    <row r="113" spans="1:40">
      <c r="B113" s="13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5"/>
      <c r="AL113" s="47"/>
      <c r="AM113" s="47"/>
      <c r="AN113" s="54"/>
    </row>
    <row r="114" spans="1:40">
      <c r="B114" s="13" t="s">
        <v>82</v>
      </c>
      <c r="C114" s="47">
        <f t="shared" ref="C114:C120" si="109">SUM(D114:S114)-P114-L114-H114-D114</f>
        <v>0</v>
      </c>
      <c r="D114" s="47">
        <f>SUM(E114:G114)</f>
        <v>0</v>
      </c>
      <c r="E114" s="47"/>
      <c r="F114" s="47"/>
      <c r="G114" s="47"/>
      <c r="H114" s="47">
        <f>SUM(I114:K114)</f>
        <v>0</v>
      </c>
      <c r="I114" s="47"/>
      <c r="J114" s="47"/>
      <c r="K114" s="47"/>
      <c r="L114" s="47">
        <f>SUM(M114:O114)</f>
        <v>0</v>
      </c>
      <c r="M114" s="47"/>
      <c r="N114" s="47"/>
      <c r="O114" s="47"/>
      <c r="P114" s="47">
        <f>SUM(Q114:S114)</f>
        <v>0</v>
      </c>
      <c r="Q114" s="47"/>
      <c r="R114" s="47">
        <v>0</v>
      </c>
      <c r="S114" s="47">
        <v>0</v>
      </c>
      <c r="T114" s="47">
        <f t="shared" si="106"/>
        <v>-9998.84</v>
      </c>
      <c r="U114" s="47">
        <f>SUM(V114:X114)</f>
        <v>0</v>
      </c>
      <c r="V114" s="47"/>
      <c r="W114" s="47"/>
      <c r="X114" s="47"/>
      <c r="Y114" s="47">
        <f>SUM(Z114:AB114)</f>
        <v>0</v>
      </c>
      <c r="Z114" s="47"/>
      <c r="AA114" s="47"/>
      <c r="AB114" s="47"/>
      <c r="AC114" s="47">
        <f>SUM(AD114:AF114)</f>
        <v>-9998.84</v>
      </c>
      <c r="AD114" s="47"/>
      <c r="AE114" s="47">
        <v>0</v>
      </c>
      <c r="AF114" s="47">
        <v>-9998.84</v>
      </c>
      <c r="AG114" s="47"/>
      <c r="AH114" s="47"/>
      <c r="AI114" s="47">
        <v>0</v>
      </c>
      <c r="AJ114" s="47">
        <v>0</v>
      </c>
      <c r="AK114" s="2"/>
      <c r="AL114" s="47"/>
      <c r="AM114" s="47">
        <v>0</v>
      </c>
    </row>
    <row r="115" spans="1:40">
      <c r="B115" s="14"/>
      <c r="C115" s="47">
        <f t="shared" si="109"/>
        <v>0</v>
      </c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55"/>
      <c r="P115" s="55"/>
      <c r="Q115" s="47"/>
      <c r="R115" s="47"/>
      <c r="S115" s="47"/>
      <c r="T115" s="47">
        <f t="shared" si="106"/>
        <v>0</v>
      </c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55"/>
      <c r="AG115" s="55"/>
      <c r="AH115" s="47"/>
      <c r="AI115" s="47"/>
      <c r="AJ115" s="47"/>
      <c r="AK115" s="55"/>
      <c r="AL115" s="47"/>
      <c r="AM115" s="47">
        <v>0</v>
      </c>
    </row>
    <row r="116" spans="1:40">
      <c r="B116" s="13" t="s">
        <v>83</v>
      </c>
      <c r="C116" s="47">
        <f t="shared" si="109"/>
        <v>-2499.98</v>
      </c>
      <c r="D116" s="45">
        <f>SUM(E116:G116)</f>
        <v>0</v>
      </c>
      <c r="E116" s="45"/>
      <c r="F116" s="45"/>
      <c r="G116" s="45"/>
      <c r="H116" s="45">
        <f>SUM(I116:K116)</f>
        <v>0</v>
      </c>
      <c r="I116" s="45"/>
      <c r="J116" s="45"/>
      <c r="K116" s="45"/>
      <c r="L116" s="45">
        <f>SUM(M116:O116)</f>
        <v>0</v>
      </c>
      <c r="M116" s="45"/>
      <c r="N116" s="45"/>
      <c r="O116" s="47"/>
      <c r="P116" s="47">
        <f>SUM(Q116:S116)</f>
        <v>-2499.98</v>
      </c>
      <c r="Q116" s="47"/>
      <c r="R116" s="45">
        <v>-1249.99</v>
      </c>
      <c r="S116" s="47">
        <v>-1249.99</v>
      </c>
      <c r="T116" s="47">
        <f t="shared" si="106"/>
        <v>-15007.860000000004</v>
      </c>
      <c r="U116" s="45">
        <f>SUM(V116:X116)</f>
        <v>-3749.9700000000003</v>
      </c>
      <c r="V116" s="45">
        <v>-1249.99</v>
      </c>
      <c r="W116" s="45">
        <v>-1249.99</v>
      </c>
      <c r="X116" s="45">
        <v>-1249.99</v>
      </c>
      <c r="Y116" s="45">
        <f>SUM(Z116:AB116)</f>
        <v>-3749.9700000000003</v>
      </c>
      <c r="Z116" s="45">
        <v>-1249.99</v>
      </c>
      <c r="AA116" s="45">
        <v>-1249.99</v>
      </c>
      <c r="AB116" s="45">
        <v>-1249.99</v>
      </c>
      <c r="AC116" s="45">
        <f>SUM(AD116:AF116)</f>
        <v>-3749.9700000000003</v>
      </c>
      <c r="AD116" s="45">
        <v>-1249.99</v>
      </c>
      <c r="AE116" s="45">
        <v>-1249.99</v>
      </c>
      <c r="AF116" s="47">
        <v>-1249.99</v>
      </c>
      <c r="AG116" s="47">
        <f>SUM(AH116:AJ116)</f>
        <v>-3757.9500000000003</v>
      </c>
      <c r="AH116" s="47">
        <v>-1252.6500000000001</v>
      </c>
      <c r="AI116" s="47">
        <v>-1252.6500000000001</v>
      </c>
      <c r="AJ116" s="47">
        <v>-1252.6500000000001</v>
      </c>
      <c r="AK116" s="45"/>
      <c r="AL116" s="47">
        <v>-1252.6500000000001</v>
      </c>
      <c r="AM116" s="47">
        <v>-3757.9499999999994</v>
      </c>
    </row>
    <row r="117" spans="1:40">
      <c r="B117" s="14"/>
      <c r="C117" s="47">
        <f t="shared" si="109"/>
        <v>0</v>
      </c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55"/>
      <c r="P117" s="55"/>
      <c r="Q117" s="47"/>
      <c r="R117" s="47"/>
      <c r="S117" s="47"/>
      <c r="T117" s="47">
        <f t="shared" si="106"/>
        <v>0</v>
      </c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55"/>
      <c r="AG117" s="55"/>
      <c r="AH117" s="47"/>
      <c r="AI117" s="47"/>
      <c r="AJ117" s="47"/>
      <c r="AK117" s="55"/>
      <c r="AL117" s="47"/>
      <c r="AM117" s="47">
        <v>0</v>
      </c>
      <c r="AN117" s="2"/>
    </row>
    <row r="118" spans="1:40">
      <c r="B118" s="13" t="s">
        <v>84</v>
      </c>
      <c r="C118" s="47">
        <f t="shared" si="109"/>
        <v>0</v>
      </c>
      <c r="D118" s="47">
        <f>SUM(E118:G118)</f>
        <v>0</v>
      </c>
      <c r="E118" s="47">
        <v>0</v>
      </c>
      <c r="F118" s="47">
        <v>0</v>
      </c>
      <c r="G118" s="47">
        <v>0</v>
      </c>
      <c r="H118" s="47">
        <f>SUM(I118:K118)</f>
        <v>0</v>
      </c>
      <c r="I118" s="47">
        <v>0</v>
      </c>
      <c r="J118" s="47">
        <v>0</v>
      </c>
      <c r="K118" s="47">
        <v>0</v>
      </c>
      <c r="L118" s="47">
        <f>SUM(M118:O118)</f>
        <v>0</v>
      </c>
      <c r="M118" s="47">
        <v>0</v>
      </c>
      <c r="N118" s="47">
        <v>0</v>
      </c>
      <c r="O118" s="47">
        <v>0</v>
      </c>
      <c r="P118" s="47">
        <f>SUM(Q118:S118)</f>
        <v>0</v>
      </c>
      <c r="Q118" s="47">
        <v>0</v>
      </c>
      <c r="R118" s="47">
        <v>0</v>
      </c>
      <c r="S118" s="47">
        <v>0</v>
      </c>
      <c r="T118" s="47">
        <f t="shared" si="106"/>
        <v>0</v>
      </c>
      <c r="U118" s="47">
        <f>SUM(V118:X118)</f>
        <v>0</v>
      </c>
      <c r="V118" s="47">
        <v>0</v>
      </c>
      <c r="W118" s="47">
        <v>0</v>
      </c>
      <c r="X118" s="47">
        <v>0</v>
      </c>
      <c r="Y118" s="47">
        <f>SUM(Z118:AB118)</f>
        <v>0</v>
      </c>
      <c r="Z118" s="47">
        <v>0</v>
      </c>
      <c r="AA118" s="47">
        <v>0</v>
      </c>
      <c r="AB118" s="47">
        <v>0</v>
      </c>
      <c r="AC118" s="47">
        <f>SUM(AD118:AF118)</f>
        <v>0</v>
      </c>
      <c r="AD118" s="47">
        <v>0</v>
      </c>
      <c r="AE118" s="47">
        <v>0</v>
      </c>
      <c r="AF118" s="47">
        <v>0</v>
      </c>
      <c r="AG118" s="47">
        <f>SUM(AH118:AJ118)</f>
        <v>0</v>
      </c>
      <c r="AH118" s="47">
        <v>0</v>
      </c>
      <c r="AI118" s="47">
        <v>0</v>
      </c>
      <c r="AJ118" s="47">
        <v>0</v>
      </c>
      <c r="AK118" s="45"/>
      <c r="AL118" s="47">
        <v>0</v>
      </c>
      <c r="AM118" s="47">
        <v>0</v>
      </c>
    </row>
    <row r="119" spans="1:40">
      <c r="B119" s="14"/>
      <c r="C119" s="47">
        <f t="shared" si="109"/>
        <v>0</v>
      </c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55"/>
      <c r="P119" s="55"/>
      <c r="Q119" s="47"/>
      <c r="R119" s="47"/>
      <c r="S119" s="47"/>
      <c r="T119" s="47">
        <f t="shared" si="106"/>
        <v>0</v>
      </c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55"/>
      <c r="AG119" s="55"/>
      <c r="AH119" s="47"/>
      <c r="AI119" s="47"/>
      <c r="AJ119" s="47"/>
      <c r="AK119" s="55"/>
      <c r="AL119" s="47"/>
      <c r="AM119" s="47">
        <v>0</v>
      </c>
    </row>
    <row r="120" spans="1:40">
      <c r="B120" s="13" t="s">
        <v>85</v>
      </c>
      <c r="C120" s="47">
        <f t="shared" si="109"/>
        <v>0</v>
      </c>
      <c r="D120" s="47">
        <f>SUM(E120:G120)</f>
        <v>0</v>
      </c>
      <c r="E120" s="47">
        <v>0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v>0</v>
      </c>
      <c r="Q120" s="47">
        <v>0</v>
      </c>
      <c r="R120" s="47">
        <v>0</v>
      </c>
      <c r="S120" s="47">
        <v>0</v>
      </c>
      <c r="T120" s="47">
        <f t="shared" si="106"/>
        <v>0</v>
      </c>
      <c r="U120" s="47">
        <f>SUM(V120:X120)</f>
        <v>0</v>
      </c>
      <c r="V120" s="47">
        <v>0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7">
        <v>0</v>
      </c>
      <c r="AH120" s="47">
        <v>0</v>
      </c>
      <c r="AI120" s="47">
        <v>0</v>
      </c>
      <c r="AJ120" s="47">
        <v>0</v>
      </c>
      <c r="AK120" s="45"/>
      <c r="AL120" s="47">
        <v>0</v>
      </c>
      <c r="AM120" s="47">
        <v>0</v>
      </c>
    </row>
    <row r="121" spans="1:40">
      <c r="B121" s="14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47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47"/>
      <c r="AK121" s="55"/>
      <c r="AL121" s="55"/>
      <c r="AM121" s="55"/>
    </row>
    <row r="122" spans="1:40">
      <c r="B122" s="285" t="s">
        <v>86</v>
      </c>
      <c r="C122" s="84">
        <f t="shared" ref="C122:S122" si="110">+C90+C100+C118+C120+C98+C93+C116+C114+C104+C102+C106+C108+C110+C112</f>
        <v>-1199514.33</v>
      </c>
      <c r="D122" s="84">
        <f t="shared" si="110"/>
        <v>0</v>
      </c>
      <c r="E122" s="84">
        <f t="shared" si="110"/>
        <v>0</v>
      </c>
      <c r="F122" s="84">
        <f t="shared" si="110"/>
        <v>0</v>
      </c>
      <c r="G122" s="84">
        <f t="shared" si="110"/>
        <v>0</v>
      </c>
      <c r="H122" s="84">
        <f t="shared" si="110"/>
        <v>0</v>
      </c>
      <c r="I122" s="84">
        <f t="shared" si="110"/>
        <v>0</v>
      </c>
      <c r="J122" s="84">
        <f t="shared" si="110"/>
        <v>0</v>
      </c>
      <c r="K122" s="84">
        <f t="shared" si="110"/>
        <v>0</v>
      </c>
      <c r="L122" s="84">
        <f t="shared" si="110"/>
        <v>0</v>
      </c>
      <c r="M122" s="84">
        <f t="shared" si="110"/>
        <v>0</v>
      </c>
      <c r="N122" s="84">
        <f t="shared" si="110"/>
        <v>0</v>
      </c>
      <c r="O122" s="84">
        <f t="shared" si="110"/>
        <v>0</v>
      </c>
      <c r="P122" s="84">
        <f t="shared" si="110"/>
        <v>-1199514.3299999998</v>
      </c>
      <c r="Q122" s="84">
        <f t="shared" si="110"/>
        <v>0</v>
      </c>
      <c r="R122" s="84">
        <f t="shared" si="110"/>
        <v>-613552.42000000004</v>
      </c>
      <c r="S122" s="84">
        <f t="shared" si="110"/>
        <v>-585961.9099999998</v>
      </c>
      <c r="T122" s="84">
        <f t="shared" ref="T122:AJ122" si="111">+T90+T100+T118+T120+T98+T93+T116+T114+T104+T102+T106+T108+T110+T112</f>
        <v>-6487503.0399999991</v>
      </c>
      <c r="U122" s="84">
        <f t="shared" si="111"/>
        <v>-2154652.6999999997</v>
      </c>
      <c r="V122" s="84">
        <f t="shared" si="111"/>
        <v>-773114.36999999988</v>
      </c>
      <c r="W122" s="84">
        <f t="shared" si="111"/>
        <v>-570616.5</v>
      </c>
      <c r="X122" s="84">
        <f t="shared" si="111"/>
        <v>-810921.83</v>
      </c>
      <c r="Y122" s="84">
        <f t="shared" si="111"/>
        <v>-1650698.4699999997</v>
      </c>
      <c r="Z122" s="84">
        <f t="shared" si="111"/>
        <v>-547844.26</v>
      </c>
      <c r="AA122" s="84">
        <f t="shared" si="111"/>
        <v>-585458.75</v>
      </c>
      <c r="AB122" s="84">
        <f t="shared" si="111"/>
        <v>-517395.46</v>
      </c>
      <c r="AC122" s="84">
        <f t="shared" si="111"/>
        <v>-1519335.05</v>
      </c>
      <c r="AD122" s="84">
        <f t="shared" si="111"/>
        <v>-533144.21999999986</v>
      </c>
      <c r="AE122" s="84">
        <f t="shared" si="111"/>
        <v>-537908.47</v>
      </c>
      <c r="AF122" s="84">
        <f t="shared" si="111"/>
        <v>-448282.36</v>
      </c>
      <c r="AG122" s="84">
        <f t="shared" si="111"/>
        <v>-1162816.82</v>
      </c>
      <c r="AH122" s="84">
        <f t="shared" si="111"/>
        <v>-399734.23000000004</v>
      </c>
      <c r="AI122" s="84">
        <f t="shared" si="111"/>
        <v>-412240.87000000005</v>
      </c>
      <c r="AJ122" s="84">
        <f t="shared" si="111"/>
        <v>-350841.72000000003</v>
      </c>
      <c r="AK122" s="49"/>
      <c r="AL122" s="48">
        <f>+AL90+AL100+AL118+AL120+AL98+AL93+AL116+AL114+AL104+AL102</f>
        <v>-306669.82000000007</v>
      </c>
      <c r="AM122" s="48">
        <f>+AM90+AM100+AM118+AM120+AM98+AM93+AM116+AM114+AM104+AM102</f>
        <v>-2941803.5100000002</v>
      </c>
    </row>
    <row r="123" spans="1:40" s="295" customFormat="1" ht="15">
      <c r="A123" s="290"/>
      <c r="B123" s="291"/>
      <c r="C123" s="297"/>
      <c r="D123" s="293"/>
      <c r="E123" s="293"/>
      <c r="F123" s="294"/>
      <c r="G123" s="293"/>
      <c r="H123" s="293"/>
      <c r="I123" s="293"/>
      <c r="J123" s="293"/>
      <c r="K123" s="293"/>
      <c r="L123" s="293"/>
      <c r="M123" s="293"/>
      <c r="N123" s="293"/>
      <c r="O123" s="293"/>
      <c r="P123" s="293"/>
      <c r="Q123" s="294"/>
      <c r="R123" s="294">
        <v>-613552.42000000004</v>
      </c>
      <c r="S123" s="294">
        <v>-585961.91</v>
      </c>
      <c r="T123" s="297"/>
      <c r="U123" s="293"/>
      <c r="V123" s="293"/>
      <c r="W123" s="294"/>
      <c r="X123" s="293"/>
      <c r="Y123" s="293"/>
      <c r="Z123" s="293"/>
      <c r="AA123" s="293"/>
      <c r="AB123" s="293"/>
      <c r="AC123" s="293"/>
      <c r="AD123" s="293"/>
      <c r="AE123" s="293"/>
      <c r="AF123" s="293"/>
      <c r="AG123" s="293"/>
      <c r="AH123" s="294"/>
      <c r="AI123" s="294"/>
      <c r="AJ123" s="294"/>
      <c r="AK123" s="294"/>
      <c r="AL123" s="293"/>
      <c r="AM123" s="297"/>
    </row>
    <row r="124" spans="1:40" s="295" customFormat="1" ht="15">
      <c r="A124" s="290"/>
      <c r="B124" s="300"/>
      <c r="C124" s="301"/>
      <c r="D124" s="302"/>
      <c r="E124" s="302"/>
      <c r="F124" s="302"/>
      <c r="G124" s="302"/>
      <c r="H124" s="303"/>
      <c r="I124" s="302"/>
      <c r="J124" s="302"/>
      <c r="K124" s="302"/>
      <c r="M124" s="302"/>
      <c r="N124" s="302"/>
      <c r="O124" s="302"/>
      <c r="Q124" s="302"/>
      <c r="R124" s="302">
        <f>R122-R123</f>
        <v>0</v>
      </c>
      <c r="S124" s="302">
        <f>S122-S123</f>
        <v>0</v>
      </c>
      <c r="T124" s="301"/>
      <c r="U124" s="302"/>
      <c r="V124" s="302"/>
      <c r="W124" s="302"/>
      <c r="X124" s="302"/>
      <c r="Y124" s="303"/>
      <c r="Z124" s="302"/>
      <c r="AA124" s="302"/>
      <c r="AB124" s="302"/>
      <c r="AD124" s="302"/>
      <c r="AE124" s="302"/>
      <c r="AF124" s="302"/>
      <c r="AH124" s="302"/>
      <c r="AI124" s="302"/>
      <c r="AJ124" s="302"/>
      <c r="AK124" s="302"/>
      <c r="AL124" s="302"/>
      <c r="AM124" s="301"/>
    </row>
    <row r="125" spans="1:40" s="305" customFormat="1">
      <c r="A125" s="304"/>
      <c r="C125" s="306"/>
      <c r="D125" s="308"/>
      <c r="E125" s="308"/>
      <c r="F125" s="308"/>
      <c r="G125" s="308"/>
      <c r="H125" s="308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6"/>
      <c r="U125" s="308"/>
      <c r="V125" s="308"/>
      <c r="W125" s="308"/>
      <c r="X125" s="308"/>
      <c r="Y125" s="308"/>
      <c r="Z125" s="308"/>
      <c r="AA125" s="308"/>
      <c r="AB125" s="308"/>
      <c r="AC125" s="308"/>
      <c r="AD125" s="308"/>
      <c r="AE125" s="308"/>
      <c r="AF125" s="308"/>
      <c r="AG125" s="308"/>
      <c r="AH125" s="308"/>
      <c r="AI125" s="308"/>
      <c r="AJ125" s="308"/>
      <c r="AL125" s="308"/>
      <c r="AM125" s="306"/>
    </row>
    <row r="126" spans="1:40">
      <c r="C126" s="31"/>
      <c r="D126" s="2"/>
      <c r="F126" s="2"/>
      <c r="G126" s="31"/>
      <c r="H126" s="31"/>
      <c r="I126" s="2"/>
      <c r="J126" s="31"/>
      <c r="T126" s="31"/>
      <c r="U126" s="2"/>
      <c r="W126" s="2"/>
      <c r="X126" s="31"/>
      <c r="Y126" s="31"/>
      <c r="Z126" s="2"/>
      <c r="AA126" s="31"/>
      <c r="AM126" s="31"/>
    </row>
    <row r="127" spans="1:40">
      <c r="C127" s="2"/>
      <c r="D127" s="31"/>
      <c r="F127" s="18"/>
      <c r="G127" s="18"/>
      <c r="H127" s="31"/>
      <c r="I127" s="31"/>
      <c r="J127" s="31"/>
      <c r="T127" s="2"/>
      <c r="U127" s="31"/>
      <c r="W127" s="18"/>
      <c r="X127" s="18"/>
      <c r="Y127" s="31"/>
      <c r="Z127" s="31"/>
      <c r="AA127" s="31"/>
    </row>
    <row r="128" spans="1:40">
      <c r="D128" s="31"/>
      <c r="E128" s="31"/>
      <c r="F128" s="18"/>
      <c r="G128" s="18"/>
      <c r="H128" s="31"/>
      <c r="I128" s="2"/>
      <c r="J128" s="31"/>
      <c r="K128" s="37"/>
      <c r="U128" s="31"/>
      <c r="V128" s="31"/>
      <c r="W128" s="18"/>
      <c r="X128" s="18"/>
      <c r="Y128" s="31"/>
      <c r="Z128" s="2"/>
      <c r="AA128" s="31"/>
      <c r="AB128" s="37"/>
      <c r="AL128" s="31"/>
    </row>
    <row r="129" spans="3:39">
      <c r="D129" s="31"/>
      <c r="E129" s="31"/>
      <c r="F129" s="2"/>
      <c r="G129" s="18"/>
      <c r="H129" s="31"/>
      <c r="U129" s="31"/>
      <c r="V129" s="31"/>
      <c r="W129" s="2"/>
      <c r="X129" s="18"/>
      <c r="Y129" s="31"/>
      <c r="AL129" s="31"/>
    </row>
    <row r="130" spans="3:39">
      <c r="C130" s="31"/>
      <c r="D130" s="31"/>
      <c r="F130" s="18"/>
      <c r="G130" s="18"/>
      <c r="H130" s="31"/>
      <c r="T130" s="31"/>
      <c r="U130" s="31"/>
      <c r="W130" s="18"/>
      <c r="X130" s="18"/>
      <c r="Y130" s="31"/>
      <c r="AM130" s="31"/>
    </row>
    <row r="131" spans="3:39">
      <c r="C131" s="31"/>
      <c r="D131" s="31"/>
      <c r="F131" s="18"/>
      <c r="G131" s="18"/>
      <c r="H131" s="31"/>
      <c r="O131" s="31"/>
      <c r="P131" s="31"/>
      <c r="Q131" s="31"/>
      <c r="R131" s="31"/>
      <c r="T131" s="31"/>
      <c r="U131" s="31"/>
      <c r="W131" s="18"/>
      <c r="X131" s="18"/>
      <c r="Y131" s="31"/>
      <c r="AF131" s="31"/>
      <c r="AG131" s="31"/>
      <c r="AH131" s="31"/>
      <c r="AI131" s="31"/>
      <c r="AM131" s="31"/>
    </row>
    <row r="132" spans="3:39">
      <c r="C132" s="31"/>
      <c r="D132" s="31"/>
      <c r="O132" s="31"/>
      <c r="P132" s="31"/>
      <c r="Q132" s="31"/>
      <c r="R132" s="31"/>
      <c r="T132" s="31"/>
      <c r="U132" s="31"/>
      <c r="AF132" s="31"/>
      <c r="AG132" s="31"/>
      <c r="AH132" s="31"/>
      <c r="AI132" s="31"/>
      <c r="AM132" s="31"/>
    </row>
    <row r="133" spans="3:39">
      <c r="C133" s="31"/>
      <c r="D133" s="31"/>
      <c r="O133" s="18"/>
      <c r="P133" s="18"/>
      <c r="Q133" s="18"/>
      <c r="R133" s="18"/>
      <c r="T133" s="31"/>
      <c r="U133" s="31"/>
      <c r="AF133" s="18"/>
      <c r="AG133" s="18"/>
      <c r="AH133" s="18"/>
      <c r="AI133" s="18"/>
      <c r="AM133" s="31"/>
    </row>
    <row r="134" spans="3:39">
      <c r="C134" s="31"/>
      <c r="D134" s="31"/>
      <c r="T134" s="31"/>
      <c r="U134" s="31"/>
      <c r="AM134" s="31"/>
    </row>
    <row r="135" spans="3:39">
      <c r="C135" s="31"/>
      <c r="D135" s="31"/>
      <c r="T135" s="31"/>
      <c r="U135" s="31"/>
      <c r="AM135" s="31"/>
    </row>
    <row r="136" spans="3:39">
      <c r="C136" s="31"/>
      <c r="D136" s="31"/>
      <c r="T136" s="31"/>
      <c r="U136" s="31"/>
      <c r="AM136" s="31"/>
    </row>
    <row r="137" spans="3:39">
      <c r="C137" s="31"/>
      <c r="D137" s="31"/>
      <c r="T137" s="31"/>
      <c r="U137" s="31"/>
      <c r="AM137" s="31"/>
    </row>
    <row r="138" spans="3:39">
      <c r="C138" s="31"/>
      <c r="D138" s="31"/>
      <c r="T138" s="31"/>
      <c r="U138" s="31"/>
      <c r="AM138" s="31"/>
    </row>
    <row r="139" spans="3:39">
      <c r="C139" s="31"/>
      <c r="D139" s="31"/>
      <c r="T139" s="31"/>
      <c r="U139" s="31"/>
      <c r="AM139" s="31"/>
    </row>
    <row r="140" spans="3:39">
      <c r="C140" s="31"/>
      <c r="D140" s="31"/>
      <c r="T140" s="31"/>
      <c r="U140" s="31"/>
      <c r="AM140" s="31"/>
    </row>
    <row r="141" spans="3:39">
      <c r="C141" s="31"/>
      <c r="D141" s="31"/>
      <c r="T141" s="31"/>
      <c r="U141" s="31"/>
      <c r="AM141" s="31"/>
    </row>
    <row r="142" spans="3:39">
      <c r="C142" s="31"/>
      <c r="D142" s="31"/>
      <c r="T142" s="31"/>
      <c r="U142" s="31"/>
      <c r="AM142" s="31"/>
    </row>
    <row r="143" spans="3:39">
      <c r="C143" s="31"/>
      <c r="D143" s="31"/>
      <c r="T143" s="31"/>
      <c r="U143" s="31"/>
      <c r="AM143" s="31"/>
    </row>
    <row r="144" spans="3:39">
      <c r="C144" s="31"/>
      <c r="D144" s="31"/>
      <c r="T144" s="31"/>
      <c r="U144" s="31"/>
      <c r="AM144" s="31"/>
    </row>
    <row r="145" spans="3:39">
      <c r="C145" s="31"/>
      <c r="D145" s="31"/>
      <c r="T145" s="31"/>
      <c r="U145" s="31"/>
      <c r="AM145" s="31"/>
    </row>
    <row r="146" spans="3:39">
      <c r="C146" s="31"/>
      <c r="D146" s="31"/>
      <c r="T146" s="31"/>
      <c r="U146" s="31"/>
      <c r="AM146" s="31"/>
    </row>
    <row r="147" spans="3:39">
      <c r="C147" s="31"/>
      <c r="D147" s="31"/>
      <c r="T147" s="31"/>
      <c r="U147" s="31"/>
      <c r="AM147" s="31"/>
    </row>
    <row r="148" spans="3:39">
      <c r="C148" s="31"/>
      <c r="D148" s="31"/>
      <c r="T148" s="31"/>
      <c r="U148" s="31"/>
      <c r="AM148" s="31"/>
    </row>
    <row r="149" spans="3:39">
      <c r="C149" s="31"/>
      <c r="D149" s="31"/>
      <c r="T149" s="31"/>
      <c r="U149" s="31"/>
      <c r="AM149" s="31"/>
    </row>
    <row r="150" spans="3:39">
      <c r="C150" s="31"/>
      <c r="D150" s="31"/>
      <c r="T150" s="31"/>
      <c r="U150" s="31"/>
      <c r="AM150" s="31"/>
    </row>
    <row r="151" spans="3:39">
      <c r="C151" s="31"/>
      <c r="D151" s="31"/>
      <c r="T151" s="31"/>
      <c r="U151" s="31"/>
      <c r="AM151" s="31"/>
    </row>
    <row r="152" spans="3:39">
      <c r="C152" s="31"/>
      <c r="D152" s="31"/>
      <c r="T152" s="31"/>
      <c r="U152" s="31"/>
      <c r="AM152" s="31"/>
    </row>
    <row r="153" spans="3:39">
      <c r="C153" s="31"/>
      <c r="D153" s="31"/>
      <c r="T153" s="31"/>
      <c r="U153" s="31"/>
      <c r="AM153" s="31"/>
    </row>
    <row r="154" spans="3:39">
      <c r="C154" s="31"/>
      <c r="D154" s="31"/>
      <c r="T154" s="31"/>
      <c r="U154" s="31"/>
      <c r="AM154" s="31"/>
    </row>
    <row r="155" spans="3:39">
      <c r="C155" s="31"/>
      <c r="D155" s="31"/>
      <c r="T155" s="31"/>
      <c r="U155" s="31"/>
      <c r="AM155" s="31"/>
    </row>
    <row r="156" spans="3:39">
      <c r="C156" s="31"/>
      <c r="D156" s="31"/>
      <c r="T156" s="31"/>
      <c r="U156" s="31"/>
      <c r="AM156" s="31"/>
    </row>
    <row r="157" spans="3:39">
      <c r="C157" s="31"/>
      <c r="D157" s="31"/>
      <c r="T157" s="31"/>
      <c r="U157" s="31"/>
      <c r="AM157" s="31"/>
    </row>
    <row r="158" spans="3:39">
      <c r="C158" s="31"/>
      <c r="D158" s="31"/>
      <c r="T158" s="31"/>
      <c r="U158" s="31"/>
      <c r="AM158" s="31"/>
    </row>
    <row r="159" spans="3:39">
      <c r="C159" s="31"/>
      <c r="D159" s="31"/>
      <c r="T159" s="31"/>
      <c r="U159" s="31"/>
      <c r="AM159" s="31"/>
    </row>
    <row r="160" spans="3:39">
      <c r="C160" s="31"/>
      <c r="D160" s="31"/>
      <c r="T160" s="31"/>
      <c r="U160" s="31"/>
      <c r="AM160" s="31"/>
    </row>
    <row r="161" spans="3:39">
      <c r="C161" s="31"/>
      <c r="D161" s="31"/>
      <c r="T161" s="31"/>
      <c r="U161" s="31"/>
      <c r="AM161" s="31"/>
    </row>
    <row r="162" spans="3:39">
      <c r="C162" s="31"/>
      <c r="D162" s="31"/>
      <c r="T162" s="31"/>
      <c r="U162" s="31"/>
      <c r="AM162" s="31"/>
    </row>
    <row r="163" spans="3:39">
      <c r="C163" s="31"/>
      <c r="D163" s="31"/>
      <c r="T163" s="31"/>
      <c r="U163" s="31"/>
      <c r="AM163" s="31"/>
    </row>
    <row r="164" spans="3:39">
      <c r="C164" s="31"/>
      <c r="D164" s="31"/>
      <c r="T164" s="31"/>
      <c r="U164" s="31"/>
      <c r="AM164" s="31"/>
    </row>
    <row r="165" spans="3:39">
      <c r="C165" s="31"/>
      <c r="D165" s="31"/>
      <c r="T165" s="31"/>
      <c r="U165" s="31"/>
      <c r="AM165" s="31"/>
    </row>
    <row r="166" spans="3:39">
      <c r="C166" s="31"/>
      <c r="D166" s="31"/>
      <c r="T166" s="31"/>
      <c r="U166" s="31"/>
      <c r="AM166" s="31"/>
    </row>
    <row r="167" spans="3:39">
      <c r="C167" s="31"/>
      <c r="D167" s="31"/>
      <c r="T167" s="31"/>
      <c r="U167" s="31"/>
      <c r="AM167" s="31"/>
    </row>
    <row r="168" spans="3:39">
      <c r="C168" s="31"/>
      <c r="D168" s="31"/>
      <c r="T168" s="31"/>
      <c r="U168" s="31"/>
      <c r="AM168" s="31"/>
    </row>
    <row r="169" spans="3:39">
      <c r="C169" s="31"/>
      <c r="D169" s="31"/>
      <c r="T169" s="31"/>
      <c r="U169" s="31"/>
      <c r="AM169" s="31"/>
    </row>
    <row r="170" spans="3:39">
      <c r="C170" s="31"/>
      <c r="D170" s="31"/>
      <c r="T170" s="31"/>
      <c r="U170" s="31"/>
      <c r="AM170" s="31"/>
    </row>
    <row r="171" spans="3:39">
      <c r="C171" s="31"/>
      <c r="D171" s="31"/>
      <c r="T171" s="31"/>
      <c r="U171" s="31"/>
      <c r="AM171" s="31"/>
    </row>
    <row r="172" spans="3:39">
      <c r="C172" s="31"/>
      <c r="D172" s="31"/>
      <c r="T172" s="31"/>
      <c r="U172" s="31"/>
      <c r="AM172" s="31"/>
    </row>
    <row r="173" spans="3:39">
      <c r="C173" s="31"/>
      <c r="D173" s="31"/>
      <c r="T173" s="31"/>
      <c r="U173" s="31"/>
      <c r="AM173" s="31"/>
    </row>
    <row r="174" spans="3:39">
      <c r="C174" s="31"/>
      <c r="D174" s="31"/>
      <c r="T174" s="31"/>
      <c r="U174" s="31"/>
      <c r="AM174" s="31"/>
    </row>
    <row r="175" spans="3:39">
      <c r="C175" s="31"/>
      <c r="D175" s="31"/>
      <c r="T175" s="31"/>
      <c r="U175" s="31"/>
      <c r="AM175" s="31"/>
    </row>
    <row r="176" spans="3:39">
      <c r="C176" s="31"/>
      <c r="D176" s="31"/>
      <c r="T176" s="31"/>
      <c r="U176" s="31"/>
      <c r="AM176" s="31"/>
    </row>
    <row r="177" spans="3:39">
      <c r="C177" s="31"/>
      <c r="D177" s="31"/>
      <c r="T177" s="31"/>
      <c r="U177" s="31"/>
      <c r="AM177" s="31"/>
    </row>
    <row r="178" spans="3:39">
      <c r="C178" s="31"/>
      <c r="D178" s="31"/>
      <c r="T178" s="31"/>
      <c r="U178" s="31"/>
      <c r="AM178" s="31"/>
    </row>
    <row r="179" spans="3:39">
      <c r="C179" s="31"/>
      <c r="D179" s="31"/>
      <c r="T179" s="31"/>
      <c r="U179" s="31"/>
      <c r="AM179" s="31"/>
    </row>
    <row r="180" spans="3:39">
      <c r="C180" s="31"/>
      <c r="D180" s="31"/>
      <c r="T180" s="31"/>
      <c r="U180" s="31"/>
      <c r="AM180" s="31"/>
    </row>
    <row r="181" spans="3:39">
      <c r="C181" s="31"/>
      <c r="D181" s="31"/>
      <c r="T181" s="31"/>
      <c r="U181" s="31"/>
      <c r="AM181" s="31"/>
    </row>
    <row r="182" spans="3:39">
      <c r="C182" s="31"/>
      <c r="D182" s="31"/>
      <c r="T182" s="31"/>
      <c r="U182" s="31"/>
      <c r="AM182" s="31"/>
    </row>
    <row r="183" spans="3:39">
      <c r="C183" s="31"/>
      <c r="D183" s="31"/>
      <c r="T183" s="31"/>
      <c r="U183" s="31"/>
      <c r="AM183" s="31"/>
    </row>
    <row r="184" spans="3:39">
      <c r="C184" s="31"/>
      <c r="D184" s="31"/>
      <c r="T184" s="31"/>
      <c r="U184" s="31"/>
      <c r="AM184" s="31"/>
    </row>
    <row r="185" spans="3:39">
      <c r="C185" s="31"/>
      <c r="D185" s="31"/>
      <c r="T185" s="31"/>
      <c r="U185" s="31"/>
      <c r="AM185" s="31"/>
    </row>
    <row r="186" spans="3:39">
      <c r="C186" s="31"/>
      <c r="D186" s="31"/>
      <c r="T186" s="31"/>
      <c r="U186" s="31"/>
      <c r="AM186" s="31"/>
    </row>
    <row r="187" spans="3:39">
      <c r="F187" s="18">
        <f>F122-F123</f>
        <v>0</v>
      </c>
      <c r="W187" s="18">
        <f>W122-W123</f>
        <v>-570616.5</v>
      </c>
    </row>
  </sheetData>
  <autoFilter ref="A4:AP186" xr:uid="{BA1F2DE5-5FE0-41D8-9993-08C295801AF9}"/>
  <conditionalFormatting sqref="C123:AM123">
    <cfRule type="cellIs" dxfId="119" priority="1" operator="equal">
      <formula>0</formula>
    </cfRule>
  </conditionalFormatting>
  <pageMargins left="0.7" right="0.7" top="0.75" bottom="0.75" header="0.3" footer="0.3"/>
  <pageSetup orientation="portrait" r:id="rId1"/>
  <ignoredErrors>
    <ignoredError sqref="U94 T14 U89:AF89 U119:AF119 Y100:AC100 AG12 T17:AF18 T16:Y16 T86 AG93 U88:AD88 U99 Y98:AC98 AE98:AF98 U42:U44 T12 AC12 AC16:AD16 T20:U20 AC20:AC23 AC27:AC32 AC42:AC43 AC54:AC55 AC57:AC59 AC64 AC66 T81:T84 U87:V87 AB87:AD87 U101 T21 T27:U32 U64 Y64 T22:U23 Y27:Y32 Y20:Y23 W42:Y44 W55:X55 W61:Y62 AA94:AF94 V118:Z118 U121:AF121 V120:AF120 Y94 Y99:AF99 Y101:AF101 T69:T70 U91:AF91 U90 AC90 Y90 AG10 AC10 T10 AE118:AF118 U53:U62 AC61:AC62 T73:T79 AC14:AF14 AC56:AD56 AC39:AC40 AB118:AC118 Y39:Y40 Y56:Y59 Y60:AC60 X87:Y87 W53:Y53 V14:AA14 V12:Y12 V10:Y10 Y45:Y51" unlockedFormula="1"/>
    <ignoredError sqref="AG100 AG119:AJ119 AG98:AH98 AG99:AJ99 AG94 AH60:AJ60 AH56:AJ56 AH39:AJ39 AG16 AG17:AJ18 AG14:AJ14 T88:T89 AG89:AJ89 T59 AH87:AJ88 T54:T57 T42:T44 T121 T66 AG101:AJ101 T64 AG118:AH118 AG121:AJ121 AG120:AH120 AG91:AJ91 T91 AI94:AJ94 T61:T62 T40" formula="1" unlockedFormula="1"/>
    <ignoredError sqref="U10 U12 U14" numberStoredAsText="1" unlockedFormula="1"/>
    <ignoredError sqref="U8:U9 U15 U13 U1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4C86-21D2-4D18-83F3-5D7E98E0A486}">
  <sheetPr codeName="Sheet4"/>
  <dimension ref="A5:AN156"/>
  <sheetViews>
    <sheetView showGridLines="0" zoomScale="85" zoomScaleNormal="85" workbookViewId="0">
      <pane xSplit="2" ySplit="10" topLeftCell="C146" activePane="bottomRight" state="frozen"/>
      <selection pane="topRight" activeCell="B28" sqref="B28"/>
      <selection pane="bottomLeft" activeCell="B28" sqref="B28"/>
      <selection pane="bottomRight" activeCell="AI64" sqref="AI64"/>
    </sheetView>
  </sheetViews>
  <sheetFormatPr defaultRowHeight="14.4" outlineLevelRow="1"/>
  <cols>
    <col min="1" max="1" width="5.5546875" style="1" customWidth="1"/>
    <col min="2" max="2" width="55" customWidth="1"/>
    <col min="3" max="4" width="16.21875" style="27" hidden="1" customWidth="1"/>
    <col min="5" max="5" width="16.5546875" style="27" hidden="1" customWidth="1"/>
    <col min="6" max="6" width="17.33203125" style="27" hidden="1" customWidth="1"/>
    <col min="7" max="7" width="16.21875" style="27" hidden="1" customWidth="1"/>
    <col min="8" max="8" width="17.109375" style="27" hidden="1" customWidth="1"/>
    <col min="9" max="9" width="16.21875" style="27" hidden="1" customWidth="1"/>
    <col min="10" max="10" width="19.33203125" style="27" hidden="1" customWidth="1"/>
    <col min="11" max="11" width="19" style="27" hidden="1" customWidth="1"/>
    <col min="12" max="12" width="12.88671875" style="27" hidden="1" customWidth="1"/>
    <col min="13" max="13" width="16.33203125" style="27" hidden="1" customWidth="1"/>
    <col min="14" max="15" width="18.44140625" style="27" bestFit="1" customWidth="1"/>
    <col min="16" max="16" width="13.33203125" style="27" hidden="1" customWidth="1"/>
    <col min="17" max="17" width="16.5546875" style="27" hidden="1" customWidth="1"/>
    <col min="18" max="18" width="17.33203125" style="27" hidden="1" customWidth="1"/>
    <col min="19" max="19" width="16.21875" style="27" hidden="1" customWidth="1"/>
    <col min="20" max="20" width="17.109375" style="27" hidden="1" customWidth="1"/>
    <col min="21" max="21" width="16.21875" style="27" hidden="1" customWidth="1"/>
    <col min="22" max="22" width="19.33203125" style="27" hidden="1" customWidth="1"/>
    <col min="23" max="23" width="19" style="27" hidden="1" customWidth="1"/>
    <col min="24" max="24" width="12.88671875" style="27" hidden="1" customWidth="1"/>
    <col min="25" max="25" width="16.33203125" style="27" hidden="1" customWidth="1"/>
    <col min="26" max="26" width="16.6640625" style="27" hidden="1" customWidth="1"/>
    <col min="27" max="27" width="18.44140625" style="27" hidden="1" customWidth="1"/>
    <col min="28" max="28" width="3" style="27" customWidth="1"/>
    <col min="29" max="29" width="19.33203125" style="27" hidden="1" customWidth="1"/>
    <col min="30" max="30" width="9.44140625" hidden="1" customWidth="1"/>
    <col min="31" max="31" width="14.5546875" hidden="1" customWidth="1"/>
    <col min="32" max="32" width="15.44140625" hidden="1" customWidth="1"/>
    <col min="33" max="33" width="9.44140625" customWidth="1"/>
    <col min="34" max="34" width="13.44140625" bestFit="1" customWidth="1"/>
    <col min="35" max="35" width="11.5546875" bestFit="1" customWidth="1"/>
    <col min="37" max="37" width="11.44140625" bestFit="1" customWidth="1"/>
    <col min="38" max="38" width="11.44140625" customWidth="1"/>
    <col min="39" max="39" width="11.44140625" bestFit="1" customWidth="1"/>
  </cols>
  <sheetData>
    <row r="5" spans="1:29" s="6" customFormat="1" ht="16.2" thickBot="1">
      <c r="A5" s="3"/>
      <c r="B5" s="2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6.2" thickBot="1">
      <c r="B6" s="42" t="s">
        <v>190</v>
      </c>
      <c r="C6" s="43"/>
      <c r="D6" s="43">
        <v>46387</v>
      </c>
      <c r="E6" s="43">
        <v>46356</v>
      </c>
      <c r="F6" s="43">
        <v>46326</v>
      </c>
      <c r="G6" s="43">
        <v>46295</v>
      </c>
      <c r="H6" s="43">
        <v>46265</v>
      </c>
      <c r="I6" s="43">
        <v>46234</v>
      </c>
      <c r="J6" s="43">
        <v>46203</v>
      </c>
      <c r="K6" s="43">
        <v>46173</v>
      </c>
      <c r="L6" s="43">
        <v>46142</v>
      </c>
      <c r="M6" s="43">
        <v>46112</v>
      </c>
      <c r="N6" s="43">
        <v>46081</v>
      </c>
      <c r="O6" s="43">
        <v>46053</v>
      </c>
      <c r="P6" s="43">
        <v>46022</v>
      </c>
      <c r="Q6" s="43">
        <v>45991</v>
      </c>
      <c r="R6" s="43">
        <v>45961</v>
      </c>
      <c r="S6" s="43">
        <v>45930</v>
      </c>
      <c r="T6" s="43">
        <v>45900</v>
      </c>
      <c r="U6" s="43">
        <v>45869</v>
      </c>
      <c r="V6" s="43">
        <v>45838</v>
      </c>
      <c r="W6" s="43">
        <v>45808</v>
      </c>
      <c r="X6" s="43">
        <v>45777</v>
      </c>
      <c r="Y6" s="43">
        <v>45747</v>
      </c>
      <c r="Z6" s="43">
        <v>45716</v>
      </c>
      <c r="AA6" s="43">
        <v>45688</v>
      </c>
      <c r="AB6" s="32"/>
      <c r="AC6" s="43">
        <v>45657</v>
      </c>
    </row>
    <row r="7" spans="1:29" ht="15.6">
      <c r="B7" s="7" t="s">
        <v>623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6.2" thickBot="1">
      <c r="B8" s="21" t="s">
        <v>88</v>
      </c>
      <c r="C8" s="22"/>
      <c r="D8" s="22"/>
      <c r="E8" s="22"/>
      <c r="F8" s="38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38"/>
      <c r="S8" s="22"/>
      <c r="T8" s="22"/>
      <c r="U8" s="22"/>
      <c r="V8" s="22"/>
      <c r="W8" s="22"/>
      <c r="X8" s="22"/>
      <c r="Y8" s="22"/>
      <c r="Z8" s="22"/>
      <c r="AA8" s="22"/>
      <c r="AB8" s="10"/>
      <c r="AC8" s="22"/>
    </row>
    <row r="9" spans="1:29" ht="15.6">
      <c r="B9" s="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69" customFormat="1">
      <c r="A10" s="68"/>
      <c r="B10" s="19" t="s">
        <v>89</v>
      </c>
      <c r="C10" s="48"/>
      <c r="D10" s="48">
        <f t="shared" ref="D10:O10" si="0">SUM(D11:D29)</f>
        <v>0</v>
      </c>
      <c r="E10" s="48">
        <f t="shared" si="0"/>
        <v>0</v>
      </c>
      <c r="F10" s="48">
        <f t="shared" si="0"/>
        <v>0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0</v>
      </c>
      <c r="K10" s="48">
        <f t="shared" si="0"/>
        <v>0</v>
      </c>
      <c r="L10" s="48">
        <f t="shared" si="0"/>
        <v>0</v>
      </c>
      <c r="M10" s="48">
        <f t="shared" si="0"/>
        <v>0</v>
      </c>
      <c r="N10" s="48">
        <f t="shared" si="0"/>
        <v>3615947.25</v>
      </c>
      <c r="O10" s="48">
        <f t="shared" si="0"/>
        <v>3972174.14</v>
      </c>
      <c r="P10" s="48">
        <f t="shared" ref="P10:AA10" si="1">SUM(P11:P29)</f>
        <v>4665832.38</v>
      </c>
      <c r="Q10" s="48">
        <f t="shared" si="1"/>
        <v>7232496.4299999997</v>
      </c>
      <c r="R10" s="48">
        <f t="shared" si="1"/>
        <v>8332218.6699999999</v>
      </c>
      <c r="S10" s="48">
        <f t="shared" si="1"/>
        <v>1698141.53</v>
      </c>
      <c r="T10" s="48">
        <f t="shared" si="1"/>
        <v>157288.17000000001</v>
      </c>
      <c r="U10" s="48">
        <f t="shared" si="1"/>
        <v>71680.740000000005</v>
      </c>
      <c r="V10" s="48">
        <f t="shared" si="1"/>
        <v>374733.33</v>
      </c>
      <c r="W10" s="48">
        <f t="shared" si="1"/>
        <v>207571.61</v>
      </c>
      <c r="X10" s="48">
        <f t="shared" si="1"/>
        <v>387020.37</v>
      </c>
      <c r="Y10" s="48">
        <f t="shared" si="1"/>
        <v>825153.17</v>
      </c>
      <c r="Z10" s="48">
        <f t="shared" si="1"/>
        <v>1283941.1200000001</v>
      </c>
      <c r="AA10" s="48">
        <f t="shared" si="1"/>
        <v>1685710.64</v>
      </c>
      <c r="AB10" s="49"/>
      <c r="AC10" s="48">
        <f>SUM(AC11:AC29)</f>
        <v>2008252.44</v>
      </c>
    </row>
    <row r="11" spans="1:29" outlineLevel="1">
      <c r="B11" s="16" t="s">
        <v>191</v>
      </c>
      <c r="C11" s="45" t="str">
        <f>B11</f>
        <v xml:space="preserve"> ALINMA BILDNW FEE</v>
      </c>
      <c r="D11" s="45"/>
      <c r="E11" s="45"/>
      <c r="F11" s="45"/>
      <c r="G11" s="45"/>
      <c r="H11" s="45"/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/>
      <c r="Q11" s="45"/>
      <c r="R11" s="45"/>
      <c r="S11" s="45"/>
      <c r="T11" s="45"/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/>
      <c r="AC11" s="45"/>
    </row>
    <row r="12" spans="1:29" outlineLevel="1">
      <c r="B12" s="16" t="s">
        <v>192</v>
      </c>
      <c r="C12" s="45" t="str">
        <f t="shared" ref="C12:C30" si="2">B12</f>
        <v xml:space="preserve"> ALINMA BILDNW PROFIT</v>
      </c>
      <c r="D12" s="45"/>
      <c r="E12" s="45"/>
      <c r="F12" s="45"/>
      <c r="G12" s="45"/>
      <c r="H12" s="45"/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/>
      <c r="Q12" s="45"/>
      <c r="R12" s="45"/>
      <c r="S12" s="45"/>
      <c r="T12" s="45"/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/>
      <c r="AC12" s="45"/>
    </row>
    <row r="13" spans="1:29" outlineLevel="1">
      <c r="B13" s="16" t="s">
        <v>193</v>
      </c>
      <c r="C13" s="45" t="str">
        <f t="shared" si="2"/>
        <v xml:space="preserve"> ALINMA CLIENT PROFIT  </v>
      </c>
      <c r="D13" s="45"/>
      <c r="E13" s="45"/>
      <c r="F13" s="45"/>
      <c r="G13" s="45"/>
      <c r="H13" s="45"/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/>
      <c r="Q13" s="45"/>
      <c r="R13" s="45"/>
      <c r="S13" s="45"/>
      <c r="T13" s="45"/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/>
      <c r="AC13" s="45"/>
    </row>
    <row r="14" spans="1:29" outlineLevel="1">
      <c r="B14" s="16" t="s">
        <v>93</v>
      </c>
      <c r="C14" s="45" t="str">
        <f t="shared" si="2"/>
        <v>ALINMA DINAR DEALs PROFIT</v>
      </c>
      <c r="D14" s="45"/>
      <c r="E14" s="45"/>
      <c r="F14" s="45"/>
      <c r="G14" s="45"/>
      <c r="H14" s="45"/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/>
      <c r="Q14" s="45"/>
      <c r="R14" s="45"/>
      <c r="S14" s="45"/>
      <c r="T14" s="45"/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/>
      <c r="AC14" s="45"/>
    </row>
    <row r="15" spans="1:29" outlineLevel="1">
      <c r="B15" s="16" t="s">
        <v>94</v>
      </c>
      <c r="C15" s="45" t="str">
        <f t="shared" si="2"/>
        <v>ALINMA DINAR DEALs VAT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>
        <v>0</v>
      </c>
      <c r="P15" s="45"/>
      <c r="Q15" s="45"/>
      <c r="R15" s="45"/>
      <c r="S15" s="45"/>
      <c r="T15" s="45"/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/>
      <c r="AC15" s="45"/>
    </row>
    <row r="16" spans="1:29" outlineLevel="1">
      <c r="B16" s="16" t="s">
        <v>95</v>
      </c>
      <c r="C16" s="45" t="str">
        <f t="shared" si="2"/>
        <v>ALINMA EQUITY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>
        <v>0</v>
      </c>
      <c r="P16" s="45"/>
      <c r="Q16" s="45"/>
      <c r="R16" s="45"/>
      <c r="S16" s="45"/>
      <c r="T16" s="45"/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/>
      <c r="AC16" s="45"/>
    </row>
    <row r="17" spans="2:33" outlineLevel="1">
      <c r="B17" s="16" t="s">
        <v>96</v>
      </c>
      <c r="C17" s="45" t="str">
        <f t="shared" si="2"/>
        <v>ALINMA USD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>
        <v>0</v>
      </c>
      <c r="P17" s="45"/>
      <c r="Q17" s="45"/>
      <c r="R17" s="45"/>
      <c r="S17" s="45"/>
      <c r="T17" s="45"/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/>
      <c r="AC17" s="45"/>
    </row>
    <row r="18" spans="2:33" outlineLevel="1">
      <c r="B18" s="16" t="s">
        <v>97</v>
      </c>
      <c r="C18" s="45" t="str">
        <f t="shared" si="2"/>
        <v>ALINMA VAT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>
        <v>0</v>
      </c>
      <c r="P18" s="45"/>
      <c r="Q18" s="45"/>
      <c r="R18" s="45"/>
      <c r="S18" s="45"/>
      <c r="T18" s="45"/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/>
      <c r="AC18" s="45"/>
    </row>
    <row r="19" spans="2:33" outlineLevel="1">
      <c r="B19" s="16" t="s">
        <v>98</v>
      </c>
      <c r="C19" s="45" t="str">
        <f t="shared" si="2"/>
        <v>ALINMA-DEBT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>
        <v>0</v>
      </c>
      <c r="P19" s="45"/>
      <c r="Q19" s="45"/>
      <c r="R19" s="45"/>
      <c r="S19" s="45"/>
      <c r="T19" s="45"/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/>
      <c r="AC19" s="45"/>
      <c r="AF19" s="2"/>
    </row>
    <row r="20" spans="2:33" outlineLevel="1">
      <c r="B20" s="16" t="s">
        <v>99</v>
      </c>
      <c r="C20" s="45" t="str">
        <f t="shared" si="2"/>
        <v>ANB-BILDNW TRADINGCOMPANY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>
        <v>0</v>
      </c>
      <c r="P20" s="45"/>
      <c r="Q20" s="45"/>
      <c r="R20" s="45"/>
      <c r="S20" s="45"/>
      <c r="T20" s="45"/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/>
      <c r="AC20" s="45"/>
      <c r="AF20" s="2"/>
    </row>
    <row r="21" spans="2:33" outlineLevel="1">
      <c r="B21" s="16" t="s">
        <v>194</v>
      </c>
      <c r="C21" s="45" t="str">
        <f t="shared" si="2"/>
        <v>Riyad Bank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>
        <v>0</v>
      </c>
      <c r="P21" s="45"/>
      <c r="Q21" s="45"/>
      <c r="R21" s="45"/>
      <c r="S21" s="45"/>
      <c r="T21" s="45"/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/>
      <c r="AC21" s="45"/>
      <c r="AF21" s="2"/>
    </row>
    <row r="22" spans="2:33" outlineLevel="1">
      <c r="B22" s="16" t="s">
        <v>610</v>
      </c>
      <c r="C22" s="45" t="str">
        <f t="shared" si="2"/>
        <v>Saudi Awwal Bank (SAB)-5001</v>
      </c>
      <c r="D22" s="45"/>
      <c r="E22" s="45"/>
      <c r="F22" s="45"/>
      <c r="G22" s="45"/>
      <c r="H22" s="45"/>
      <c r="I22" s="45"/>
      <c r="J22" s="45"/>
      <c r="K22" s="45"/>
      <c r="L22" s="12"/>
      <c r="M22" s="45"/>
      <c r="N22" s="45"/>
      <c r="O22" s="45">
        <v>0</v>
      </c>
      <c r="P22" s="45"/>
      <c r="Q22" s="45"/>
      <c r="R22" s="45"/>
      <c r="S22" s="45"/>
      <c r="T22" s="45"/>
      <c r="U22" s="45"/>
      <c r="V22" s="45"/>
      <c r="W22" s="45"/>
      <c r="X22" s="12"/>
      <c r="Y22" s="45"/>
      <c r="Z22" s="45"/>
      <c r="AA22" s="107"/>
      <c r="AB22" s="45"/>
      <c r="AC22" s="45"/>
      <c r="AD22" s="45"/>
      <c r="AF22" s="54"/>
      <c r="AG22" s="2"/>
    </row>
    <row r="23" spans="2:33" outlineLevel="1">
      <c r="B23" s="16" t="s">
        <v>611</v>
      </c>
      <c r="C23" s="45" t="str">
        <f t="shared" si="2"/>
        <v>Saudi Awwal Bank (SAB)-5002</v>
      </c>
      <c r="D23" s="45"/>
      <c r="E23" s="45"/>
      <c r="F23" s="45"/>
      <c r="G23" s="45"/>
      <c r="H23" s="45"/>
      <c r="I23" s="45"/>
      <c r="J23" s="45"/>
      <c r="K23" s="45"/>
      <c r="L23" s="12"/>
      <c r="M23" s="45"/>
      <c r="N23" s="45"/>
      <c r="O23" s="45">
        <v>0</v>
      </c>
      <c r="P23" s="45"/>
      <c r="Q23" s="45"/>
      <c r="R23" s="45"/>
      <c r="S23" s="45"/>
      <c r="T23" s="45"/>
      <c r="U23" s="45"/>
      <c r="V23" s="45"/>
      <c r="W23" s="45"/>
      <c r="X23" s="12"/>
      <c r="Y23" s="45"/>
      <c r="Z23" s="45"/>
      <c r="AA23" s="107"/>
      <c r="AB23" s="45"/>
      <c r="AC23" s="45"/>
      <c r="AD23" s="45"/>
      <c r="AF23" s="54"/>
      <c r="AG23" s="2"/>
    </row>
    <row r="24" spans="2:33" outlineLevel="1">
      <c r="B24" s="16" t="s">
        <v>101</v>
      </c>
      <c r="C24" s="45" t="str">
        <f t="shared" si="2"/>
        <v>US Checking Account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>
        <v>3615947.25</v>
      </c>
      <c r="O24" s="45">
        <v>3972174.14</v>
      </c>
      <c r="P24" s="45">
        <v>4665832.38</v>
      </c>
      <c r="Q24" s="45">
        <v>7232496.4299999997</v>
      </c>
      <c r="R24" s="45">
        <v>8332218.6699999999</v>
      </c>
      <c r="S24" s="45">
        <v>1698141.53</v>
      </c>
      <c r="T24" s="45">
        <v>157288.17000000001</v>
      </c>
      <c r="U24" s="45">
        <v>71680.740000000005</v>
      </c>
      <c r="V24" s="45">
        <v>374733.33</v>
      </c>
      <c r="W24" s="45">
        <v>207571.61</v>
      </c>
      <c r="X24" s="45">
        <v>387020.37</v>
      </c>
      <c r="Y24" s="45">
        <v>825153.17</v>
      </c>
      <c r="Z24" s="45">
        <v>1283941.1200000001</v>
      </c>
      <c r="AA24" s="45">
        <v>1685710.64</v>
      </c>
      <c r="AB24" s="45"/>
      <c r="AC24" s="45">
        <v>2008252.44</v>
      </c>
      <c r="AF24" s="2"/>
    </row>
    <row r="25" spans="2:33" outlineLevel="1">
      <c r="B25" s="16" t="s">
        <v>195</v>
      </c>
      <c r="C25" s="45" t="str">
        <f t="shared" si="2"/>
        <v>ANB Tanmeya Debt A/C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>
        <v>0</v>
      </c>
      <c r="P25" s="45"/>
      <c r="Q25" s="45"/>
      <c r="R25" s="45"/>
      <c r="S25" s="45"/>
      <c r="T25" s="45"/>
      <c r="U25" s="45">
        <v>0</v>
      </c>
      <c r="V25" s="45"/>
      <c r="W25" s="45"/>
      <c r="X25" s="45"/>
      <c r="Y25" s="45"/>
      <c r="Z25" s="45">
        <v>0</v>
      </c>
      <c r="AA25" s="45">
        <v>0</v>
      </c>
      <c r="AB25" s="45"/>
      <c r="AC25" s="45"/>
      <c r="AF25" s="2"/>
    </row>
    <row r="26" spans="2:33" outlineLevel="1">
      <c r="B26" s="16" t="s">
        <v>103</v>
      </c>
      <c r="C26" s="45" t="str">
        <f t="shared" si="2"/>
        <v>Simplifi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>
        <v>0</v>
      </c>
      <c r="P26" s="45"/>
      <c r="Q26" s="45"/>
      <c r="R26" s="45"/>
      <c r="S26" s="45"/>
      <c r="T26" s="45"/>
      <c r="U26" s="45">
        <v>0</v>
      </c>
      <c r="V26" s="45"/>
      <c r="W26" s="45"/>
      <c r="X26" s="45"/>
      <c r="Y26" s="45"/>
      <c r="Z26" s="45">
        <v>0</v>
      </c>
      <c r="AA26" s="45">
        <v>0</v>
      </c>
      <c r="AB26" s="45"/>
      <c r="AC26" s="45"/>
      <c r="AF26" s="2"/>
    </row>
    <row r="27" spans="2:33" outlineLevel="1">
      <c r="B27" s="16" t="s">
        <v>104</v>
      </c>
      <c r="C27" s="45" t="str">
        <f t="shared" si="2"/>
        <v>SiFi Wallet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>
        <v>0</v>
      </c>
      <c r="P27" s="45"/>
      <c r="Q27" s="45"/>
      <c r="R27" s="45"/>
      <c r="S27" s="45"/>
      <c r="T27" s="45"/>
      <c r="U27" s="45">
        <v>0</v>
      </c>
      <c r="V27" s="45"/>
      <c r="W27" s="45"/>
      <c r="X27" s="45"/>
      <c r="Y27" s="45"/>
      <c r="Z27" s="45"/>
      <c r="AA27" s="45"/>
      <c r="AB27" s="45"/>
      <c r="AC27" s="45"/>
      <c r="AF27" s="2"/>
    </row>
    <row r="28" spans="2:33" outlineLevel="1">
      <c r="B28" s="16" t="s">
        <v>596</v>
      </c>
      <c r="C28" s="45" t="str">
        <f t="shared" si="2"/>
        <v>Sinking Fund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>
        <v>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F28" s="2"/>
    </row>
    <row r="29" spans="2:33" outlineLevel="1">
      <c r="B29" s="16" t="s">
        <v>105</v>
      </c>
      <c r="C29" s="45" t="str">
        <f t="shared" si="2"/>
        <v>Petty Cash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>
        <v>0</v>
      </c>
      <c r="P29" s="45"/>
      <c r="Q29" s="45"/>
      <c r="R29" s="45"/>
      <c r="S29" s="45"/>
      <c r="T29" s="45"/>
      <c r="U29" s="45">
        <v>0</v>
      </c>
      <c r="V29" s="45"/>
      <c r="W29" s="45"/>
      <c r="X29" s="45"/>
      <c r="Y29" s="45"/>
      <c r="Z29" s="45">
        <v>0</v>
      </c>
      <c r="AA29" s="45">
        <v>0</v>
      </c>
      <c r="AB29" s="45"/>
      <c r="AC29" s="45">
        <v>0</v>
      </c>
      <c r="AF29" s="2"/>
    </row>
    <row r="30" spans="2:33" outlineLevel="1">
      <c r="B30" s="16"/>
      <c r="C30" s="45">
        <f t="shared" si="2"/>
        <v>0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F30" s="2"/>
    </row>
    <row r="31" spans="2:33" ht="15">
      <c r="B31" s="25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</row>
    <row r="32" spans="2:33">
      <c r="B32" s="13" t="s">
        <v>107</v>
      </c>
      <c r="C32" s="47"/>
      <c r="D32" s="47">
        <f>SUM(D33:D34)</f>
        <v>0</v>
      </c>
      <c r="E32" s="47">
        <f>SUM(E33:E34)</f>
        <v>0</v>
      </c>
      <c r="F32" s="47">
        <f t="shared" ref="F32:G32" si="3">SUM(F33:F34)</f>
        <v>0</v>
      </c>
      <c r="G32" s="47">
        <f t="shared" si="3"/>
        <v>0</v>
      </c>
      <c r="H32" s="47"/>
      <c r="I32" s="47">
        <f t="shared" ref="I32:O32" si="4">SUM(I33:I34)</f>
        <v>0</v>
      </c>
      <c r="J32" s="47">
        <f t="shared" si="4"/>
        <v>0</v>
      </c>
      <c r="K32" s="47">
        <f t="shared" si="4"/>
        <v>0</v>
      </c>
      <c r="L32" s="47">
        <f t="shared" si="4"/>
        <v>0</v>
      </c>
      <c r="M32" s="47">
        <f t="shared" si="4"/>
        <v>0</v>
      </c>
      <c r="N32" s="47">
        <f t="shared" si="4"/>
        <v>0</v>
      </c>
      <c r="O32" s="47">
        <f t="shared" si="4"/>
        <v>0</v>
      </c>
      <c r="P32" s="47">
        <f>SUM(P33:P34)</f>
        <v>0</v>
      </c>
      <c r="Q32" s="47">
        <f>SUM(Q33:Q34)</f>
        <v>0</v>
      </c>
      <c r="R32" s="47">
        <f t="shared" ref="R32:AA32" si="5">SUM(R33:R34)</f>
        <v>0</v>
      </c>
      <c r="S32" s="47">
        <f t="shared" si="5"/>
        <v>0</v>
      </c>
      <c r="T32" s="47"/>
      <c r="U32" s="47">
        <f t="shared" si="5"/>
        <v>0</v>
      </c>
      <c r="V32" s="47">
        <f t="shared" si="5"/>
        <v>0</v>
      </c>
      <c r="W32" s="47">
        <f t="shared" si="5"/>
        <v>0</v>
      </c>
      <c r="X32" s="47">
        <f t="shared" si="5"/>
        <v>0</v>
      </c>
      <c r="Y32" s="47">
        <f t="shared" si="5"/>
        <v>0</v>
      </c>
      <c r="Z32" s="47">
        <f t="shared" si="5"/>
        <v>0</v>
      </c>
      <c r="AA32" s="47">
        <f t="shared" si="5"/>
        <v>0</v>
      </c>
      <c r="AB32" s="45"/>
      <c r="AC32" s="47">
        <f>SUM(AC33:AC34)</f>
        <v>0</v>
      </c>
    </row>
    <row r="33" spans="1:29" outlineLevel="1">
      <c r="B33" s="16" t="s">
        <v>108</v>
      </c>
      <c r="C33" s="45" t="s">
        <v>554</v>
      </c>
      <c r="D33" s="45"/>
      <c r="E33" s="45"/>
      <c r="F33" s="45"/>
      <c r="G33" s="45"/>
      <c r="H33" s="45"/>
      <c r="I33" s="45"/>
      <c r="J33" s="45"/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/>
      <c r="Q33" s="45"/>
      <c r="R33" s="45"/>
      <c r="S33" s="45"/>
      <c r="T33" s="45"/>
      <c r="U33" s="45"/>
      <c r="V33" s="45"/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/>
      <c r="AC33" s="45"/>
    </row>
    <row r="34" spans="1:29" outlineLevel="1">
      <c r="B34" s="16" t="s">
        <v>109</v>
      </c>
      <c r="C34" s="45" t="s">
        <v>618</v>
      </c>
      <c r="D34" s="45">
        <v>0</v>
      </c>
      <c r="E34" s="45">
        <v>0</v>
      </c>
      <c r="F34" s="45">
        <v>0</v>
      </c>
      <c r="G34" s="45">
        <v>0</v>
      </c>
      <c r="H34" s="45"/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/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/>
      <c r="AC34" s="45">
        <v>0</v>
      </c>
    </row>
    <row r="35" spans="1:29" ht="15">
      <c r="B35" s="25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</row>
    <row r="36" spans="1:29" s="69" customFormat="1">
      <c r="A36" s="68"/>
      <c r="B36" s="19" t="s">
        <v>110</v>
      </c>
      <c r="C36" s="48"/>
      <c r="D36" s="48">
        <f t="shared" ref="D36:H36" si="6">SUM(D37:D50)</f>
        <v>0</v>
      </c>
      <c r="E36" s="48">
        <f t="shared" si="6"/>
        <v>0</v>
      </c>
      <c r="F36" s="48">
        <f t="shared" si="6"/>
        <v>0</v>
      </c>
      <c r="G36" s="48">
        <f t="shared" si="6"/>
        <v>0</v>
      </c>
      <c r="H36" s="48">
        <f t="shared" si="6"/>
        <v>0</v>
      </c>
      <c r="I36" s="48">
        <f>SUM(I37:I50)</f>
        <v>0</v>
      </c>
      <c r="J36" s="48">
        <f>SUM(J37:J50)</f>
        <v>0</v>
      </c>
      <c r="K36" s="48">
        <f>SUM(K37:K50)</f>
        <v>0</v>
      </c>
      <c r="L36" s="48">
        <f>SUM(L37:L50)</f>
        <v>0</v>
      </c>
      <c r="M36" s="48">
        <f>SUM(M37:M53)</f>
        <v>0</v>
      </c>
      <c r="N36" s="48">
        <f t="shared" ref="N36:T36" si="7">SUM(N37:N50)</f>
        <v>190985.2</v>
      </c>
      <c r="O36" s="48">
        <f t="shared" si="7"/>
        <v>203100.53</v>
      </c>
      <c r="P36" s="48">
        <f t="shared" si="7"/>
        <v>180412.78000000003</v>
      </c>
      <c r="Q36" s="48">
        <f t="shared" si="7"/>
        <v>189850.03</v>
      </c>
      <c r="R36" s="48">
        <f t="shared" si="7"/>
        <v>212214.72999999998</v>
      </c>
      <c r="S36" s="48">
        <f t="shared" si="7"/>
        <v>180274.82</v>
      </c>
      <c r="T36" s="48">
        <f t="shared" si="7"/>
        <v>203896.86</v>
      </c>
      <c r="U36" s="48">
        <f>SUM(U37:U50)</f>
        <v>199268.9</v>
      </c>
      <c r="V36" s="48">
        <f>SUM(V37:V50)</f>
        <v>186358.92</v>
      </c>
      <c r="W36" s="48">
        <f>SUM(W37:W50)</f>
        <v>158046.65</v>
      </c>
      <c r="X36" s="48">
        <f>SUM(X37:X50)</f>
        <v>167543.76</v>
      </c>
      <c r="Y36" s="48">
        <f>SUM(Y37:Y53)</f>
        <v>164594.37</v>
      </c>
      <c r="Z36" s="48">
        <f>SUM(Z37:Z53)</f>
        <v>164694.03</v>
      </c>
      <c r="AA36" s="48">
        <f>SUM(AA37:AA52)</f>
        <v>161368.51</v>
      </c>
      <c r="AB36" s="49"/>
      <c r="AC36" s="48">
        <f>SUM(AC37:AC52)</f>
        <v>131186.62</v>
      </c>
    </row>
    <row r="37" spans="1:29" outlineLevel="1">
      <c r="A37" s="26"/>
      <c r="B37" s="16" t="s">
        <v>111</v>
      </c>
      <c r="C37" s="45" t="s">
        <v>558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>
        <v>0</v>
      </c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>
        <v>0</v>
      </c>
      <c r="AA37" s="45">
        <v>0</v>
      </c>
      <c r="AB37" s="45"/>
      <c r="AC37" s="45"/>
    </row>
    <row r="38" spans="1:29" outlineLevel="1">
      <c r="A38" s="26"/>
      <c r="B38" s="16" t="s">
        <v>112</v>
      </c>
      <c r="C38" s="45" t="str">
        <f t="shared" ref="C38:C45" si="8">B38</f>
        <v>Prepaid Accommodation Rent Expense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>
        <v>0</v>
      </c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>
        <v>0</v>
      </c>
      <c r="AA38" s="45">
        <v>0</v>
      </c>
      <c r="AB38" s="45"/>
      <c r="AC38" s="45"/>
    </row>
    <row r="39" spans="1:29" outlineLevel="1">
      <c r="A39" s="26"/>
      <c r="B39" s="16" t="s">
        <v>113</v>
      </c>
      <c r="C39" s="45" t="str">
        <f t="shared" si="8"/>
        <v>Prepaid Financing Expense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>
        <v>53894.21</v>
      </c>
      <c r="O39" s="45">
        <v>55144.2</v>
      </c>
      <c r="P39" s="45">
        <v>56394.19</v>
      </c>
      <c r="Q39" s="45">
        <v>57644.18</v>
      </c>
      <c r="R39" s="45">
        <v>58894.17</v>
      </c>
      <c r="S39" s="45">
        <v>60144.160000000003</v>
      </c>
      <c r="T39" s="45">
        <v>61394.15</v>
      </c>
      <c r="U39" s="45">
        <v>62644.14</v>
      </c>
      <c r="V39" s="45">
        <v>63894.13</v>
      </c>
      <c r="W39" s="45">
        <v>65144.12</v>
      </c>
      <c r="X39" s="45">
        <v>66394.11</v>
      </c>
      <c r="Y39" s="45">
        <v>67644.100000000006</v>
      </c>
      <c r="Z39" s="45">
        <v>68896.75</v>
      </c>
      <c r="AA39" s="45">
        <v>70149.399999999994</v>
      </c>
      <c r="AB39" s="45"/>
      <c r="AC39" s="45">
        <v>71402.05</v>
      </c>
    </row>
    <row r="40" spans="1:29" outlineLevel="1">
      <c r="A40" s="26"/>
      <c r="B40" s="16" t="s">
        <v>114</v>
      </c>
      <c r="C40" s="45" t="str">
        <f t="shared" si="8"/>
        <v>Prepaid Govt. Legal Expense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>
        <v>0</v>
      </c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>
        <v>0</v>
      </c>
      <c r="AA40" s="45">
        <v>0</v>
      </c>
      <c r="AB40" s="45"/>
      <c r="AC40" s="45"/>
    </row>
    <row r="41" spans="1:29" outlineLevel="1">
      <c r="A41" s="26"/>
      <c r="B41" s="16" t="s">
        <v>115</v>
      </c>
      <c r="C41" s="45" t="str">
        <f t="shared" si="8"/>
        <v>Prepaid IT Subscriptions Expense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>
        <v>20811.830000000002</v>
      </c>
      <c r="O41" s="45">
        <v>27410.41</v>
      </c>
      <c r="P41" s="45">
        <v>12330.91</v>
      </c>
      <c r="Q41" s="45">
        <v>13699.88</v>
      </c>
      <c r="R41" s="45">
        <v>496.31</v>
      </c>
      <c r="S41" s="45">
        <v>650.91999999999996</v>
      </c>
      <c r="T41" s="45">
        <v>4640.55</v>
      </c>
      <c r="U41" s="45">
        <v>8630.18</v>
      </c>
      <c r="V41" s="45">
        <v>3244.81</v>
      </c>
      <c r="W41" s="45">
        <v>7234.44</v>
      </c>
      <c r="X41" s="45">
        <v>11224.07</v>
      </c>
      <c r="Y41" s="45">
        <v>15213.7</v>
      </c>
      <c r="Z41" s="45">
        <v>9816.84</v>
      </c>
      <c r="AA41" s="45">
        <v>11955.6</v>
      </c>
      <c r="AB41" s="45"/>
      <c r="AC41" s="45">
        <v>15798.79</v>
      </c>
    </row>
    <row r="42" spans="1:29" outlineLevel="1">
      <c r="A42" s="26"/>
      <c r="B42" s="16" t="s">
        <v>116</v>
      </c>
      <c r="C42" s="45" t="str">
        <f t="shared" si="8"/>
        <v>Prepaid Office Rent Expense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>
        <v>0</v>
      </c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>
        <v>0</v>
      </c>
      <c r="AA42" s="45">
        <v>0</v>
      </c>
      <c r="AB42" s="45"/>
      <c r="AC42" s="45"/>
    </row>
    <row r="43" spans="1:29" outlineLevel="1">
      <c r="A43" s="26"/>
      <c r="B43" s="16" t="s">
        <v>117</v>
      </c>
      <c r="C43" s="45" t="str">
        <f t="shared" si="8"/>
        <v>Prepaid Other Expense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>
        <v>10869.72</v>
      </c>
      <c r="O43" s="45">
        <v>15136.48</v>
      </c>
      <c r="P43" s="45">
        <v>6278.24</v>
      </c>
      <c r="Q43" s="45">
        <v>13096.53</v>
      </c>
      <c r="R43" s="45">
        <v>19914.82</v>
      </c>
      <c r="S43" s="45">
        <v>14257.8</v>
      </c>
      <c r="T43" s="45">
        <v>21066.86</v>
      </c>
      <c r="U43" s="45">
        <v>27875.919999999998</v>
      </c>
      <c r="V43" s="45">
        <v>34684.980000000003</v>
      </c>
      <c r="W43" s="45">
        <v>10508.09</v>
      </c>
      <c r="X43" s="45">
        <v>14765.58</v>
      </c>
      <c r="Y43" s="45">
        <v>6576.57</v>
      </c>
      <c r="Z43" s="45">
        <v>10820.44</v>
      </c>
      <c r="AA43" s="45">
        <v>4103.51</v>
      </c>
      <c r="AB43" s="45"/>
      <c r="AC43" s="45">
        <v>6155.23</v>
      </c>
    </row>
    <row r="44" spans="1:29" outlineLevel="1">
      <c r="A44" s="26"/>
      <c r="B44" s="16" t="s">
        <v>599</v>
      </c>
      <c r="C44" s="45" t="str">
        <f t="shared" si="8"/>
        <v>Prepaid Employment Expense (Iqama)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>
        <v>0</v>
      </c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</row>
    <row r="45" spans="1:29" outlineLevel="1">
      <c r="A45" s="26"/>
      <c r="B45" s="16" t="s">
        <v>118</v>
      </c>
      <c r="C45" s="45" t="str">
        <f t="shared" si="8"/>
        <v>Fund Raising Expense receivable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>
        <v>75160</v>
      </c>
      <c r="O45" s="45">
        <v>75160</v>
      </c>
      <c r="P45" s="45">
        <v>75160</v>
      </c>
      <c r="Q45" s="45">
        <v>75160</v>
      </c>
      <c r="R45" s="45">
        <v>75160</v>
      </c>
      <c r="S45" s="45">
        <v>75160</v>
      </c>
      <c r="T45" s="45">
        <v>75160</v>
      </c>
      <c r="U45" s="45">
        <v>75160</v>
      </c>
      <c r="V45" s="45">
        <v>75160</v>
      </c>
      <c r="W45" s="45">
        <v>75160</v>
      </c>
      <c r="X45" s="45">
        <v>75160</v>
      </c>
      <c r="Y45" s="45">
        <v>75160</v>
      </c>
      <c r="Z45" s="45">
        <v>75160</v>
      </c>
      <c r="AA45" s="45">
        <v>75160</v>
      </c>
      <c r="AB45" s="45"/>
      <c r="AC45" s="45">
        <v>37580</v>
      </c>
    </row>
    <row r="46" spans="1:29" outlineLevel="1">
      <c r="A46" s="26"/>
      <c r="B46" s="16" t="s">
        <v>119</v>
      </c>
      <c r="C46" s="45" t="s">
        <v>557</v>
      </c>
      <c r="D46" s="45"/>
      <c r="E46" s="45"/>
      <c r="F46" s="45"/>
      <c r="G46" s="45"/>
      <c r="H46" s="45"/>
      <c r="I46" s="45"/>
      <c r="J46" s="45"/>
      <c r="K46" s="45"/>
      <c r="L46" s="45"/>
      <c r="M46" s="209"/>
      <c r="N46" s="45">
        <v>30249.439999999999</v>
      </c>
      <c r="O46" s="45">
        <v>30249.439999999999</v>
      </c>
      <c r="P46" s="45">
        <v>30249.439999999999</v>
      </c>
      <c r="Q46" s="45">
        <v>30249.439999999999</v>
      </c>
      <c r="R46" s="45">
        <v>57749.43</v>
      </c>
      <c r="S46" s="45">
        <v>30061.94</v>
      </c>
      <c r="T46" s="45">
        <v>41635.300000000003</v>
      </c>
      <c r="U46" s="45">
        <v>24208.66</v>
      </c>
      <c r="V46" s="45">
        <v>9375</v>
      </c>
      <c r="W46" s="45"/>
      <c r="X46" s="45"/>
      <c r="Y46" s="209">
        <v>0</v>
      </c>
      <c r="Z46" s="45">
        <v>0</v>
      </c>
      <c r="AA46" s="45">
        <v>0</v>
      </c>
      <c r="AB46" s="45"/>
      <c r="AC46" s="45">
        <v>250.55</v>
      </c>
    </row>
    <row r="47" spans="1:29" outlineLevel="1">
      <c r="A47" s="26"/>
      <c r="B47" s="16" t="s">
        <v>120</v>
      </c>
      <c r="C47" s="45" t="str">
        <f t="shared" ref="C47:C52" si="9">B47</f>
        <v>Security deposits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>
        <v>0</v>
      </c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>
        <v>0</v>
      </c>
      <c r="AA47" s="45">
        <v>0</v>
      </c>
      <c r="AB47" s="45"/>
      <c r="AC47" s="45"/>
    </row>
    <row r="48" spans="1:29" outlineLevel="1">
      <c r="A48" s="26"/>
      <c r="B48" s="16" t="s">
        <v>121</v>
      </c>
      <c r="C48" s="45" t="str">
        <f t="shared" si="9"/>
        <v>Advance to Other Vendors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>
        <v>0</v>
      </c>
      <c r="P48" s="45"/>
      <c r="Q48" s="45"/>
      <c r="R48" s="45"/>
      <c r="S48" s="45">
        <v>0</v>
      </c>
      <c r="T48" s="45">
        <v>0</v>
      </c>
      <c r="U48" s="45">
        <v>750</v>
      </c>
      <c r="V48" s="45"/>
      <c r="W48" s="45"/>
      <c r="X48" s="45"/>
      <c r="Y48" s="45"/>
      <c r="Z48" s="45">
        <v>0</v>
      </c>
      <c r="AA48" s="45"/>
      <c r="AB48" s="45"/>
      <c r="AC48" s="45"/>
    </row>
    <row r="49" spans="1:39" outlineLevel="1">
      <c r="A49" s="26"/>
      <c r="B49" s="16" t="s">
        <v>196</v>
      </c>
      <c r="C49" s="45" t="str">
        <f t="shared" si="9"/>
        <v>Other Receivable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>
        <v>0</v>
      </c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>
        <v>0</v>
      </c>
      <c r="AA49" s="45">
        <v>0</v>
      </c>
      <c r="AB49" s="45"/>
      <c r="AC49" s="45"/>
    </row>
    <row r="50" spans="1:39" outlineLevel="1">
      <c r="A50" s="26"/>
      <c r="B50" s="16" t="s">
        <v>123</v>
      </c>
      <c r="C50" s="45" t="str">
        <f t="shared" si="9"/>
        <v>Input VAT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>
        <v>0</v>
      </c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>
        <v>0</v>
      </c>
      <c r="AA50" s="45">
        <v>0</v>
      </c>
      <c r="AB50" s="45"/>
      <c r="AC50" s="45"/>
    </row>
    <row r="51" spans="1:39" outlineLevel="1">
      <c r="A51" s="26"/>
      <c r="B51" s="16" t="s">
        <v>197</v>
      </c>
      <c r="C51" s="45" t="str">
        <f t="shared" si="9"/>
        <v>Profit Reserve Account (Depsoit)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>
        <v>0</v>
      </c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>
        <v>0</v>
      </c>
      <c r="AA51" s="45">
        <v>0</v>
      </c>
      <c r="AB51" s="45"/>
      <c r="AC51" s="45"/>
    </row>
    <row r="52" spans="1:39" outlineLevel="1">
      <c r="A52" s="26"/>
      <c r="B52" s="16" t="s">
        <v>125</v>
      </c>
      <c r="C52" s="45" t="str">
        <f t="shared" si="9"/>
        <v>Short-term Investments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>
        <v>0</v>
      </c>
      <c r="O52" s="45">
        <v>0</v>
      </c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>
        <v>0</v>
      </c>
      <c r="AA52" s="45">
        <v>0</v>
      </c>
      <c r="AB52" s="45"/>
      <c r="AC52" s="45"/>
      <c r="AD52" s="45"/>
    </row>
    <row r="53" spans="1:39" ht="15">
      <c r="B53" s="25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</row>
    <row r="54" spans="1:39">
      <c r="B54" s="19" t="s">
        <v>126</v>
      </c>
      <c r="C54" s="48"/>
      <c r="D54" s="48">
        <f t="shared" ref="D54:N54" si="10">+D36+D10+D32</f>
        <v>0</v>
      </c>
      <c r="E54" s="48">
        <f t="shared" si="10"/>
        <v>0</v>
      </c>
      <c r="F54" s="48">
        <f t="shared" si="10"/>
        <v>0</v>
      </c>
      <c r="G54" s="48">
        <f t="shared" si="10"/>
        <v>0</v>
      </c>
      <c r="H54" s="48">
        <f t="shared" si="10"/>
        <v>0</v>
      </c>
      <c r="I54" s="48">
        <f t="shared" si="10"/>
        <v>0</v>
      </c>
      <c r="J54" s="48">
        <f t="shared" si="10"/>
        <v>0</v>
      </c>
      <c r="K54" s="48">
        <f t="shared" si="10"/>
        <v>0</v>
      </c>
      <c r="L54" s="48">
        <f t="shared" si="10"/>
        <v>0</v>
      </c>
      <c r="M54" s="48">
        <f t="shared" si="10"/>
        <v>0</v>
      </c>
      <c r="N54" s="48">
        <f t="shared" si="10"/>
        <v>3806932.45</v>
      </c>
      <c r="O54" s="48">
        <f t="shared" ref="O54:AA54" si="11">+O36+O10+O32</f>
        <v>4175274.67</v>
      </c>
      <c r="P54" s="48">
        <f t="shared" si="11"/>
        <v>4846245.16</v>
      </c>
      <c r="Q54" s="48">
        <f t="shared" si="11"/>
        <v>7422346.46</v>
      </c>
      <c r="R54" s="48">
        <f t="shared" si="11"/>
        <v>8544433.4000000004</v>
      </c>
      <c r="S54" s="48">
        <f t="shared" si="11"/>
        <v>1878416.35</v>
      </c>
      <c r="T54" s="48">
        <f t="shared" si="11"/>
        <v>361185.03</v>
      </c>
      <c r="U54" s="48">
        <f t="shared" si="11"/>
        <v>270949.64</v>
      </c>
      <c r="V54" s="48">
        <f t="shared" si="11"/>
        <v>561092.25</v>
      </c>
      <c r="W54" s="48">
        <f t="shared" si="11"/>
        <v>365618.26</v>
      </c>
      <c r="X54" s="48">
        <f t="shared" si="11"/>
        <v>554564.13</v>
      </c>
      <c r="Y54" s="48">
        <f t="shared" si="11"/>
        <v>989747.54</v>
      </c>
      <c r="Z54" s="48">
        <f t="shared" si="11"/>
        <v>1448635.1500000001</v>
      </c>
      <c r="AA54" s="48">
        <f t="shared" si="11"/>
        <v>1847079.15</v>
      </c>
      <c r="AB54" s="49"/>
      <c r="AC54" s="48">
        <f>+AC36+AC10+AC32</f>
        <v>2139439.06</v>
      </c>
    </row>
    <row r="55" spans="1:39" ht="15">
      <c r="B55" s="25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</row>
    <row r="56" spans="1:39" ht="15">
      <c r="B56" s="25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</row>
    <row r="57" spans="1:39" s="69" customFormat="1">
      <c r="A57" s="68"/>
      <c r="B57" s="19" t="s">
        <v>127</v>
      </c>
      <c r="C57" s="48"/>
      <c r="D57" s="48">
        <f t="shared" ref="D57:J57" si="12">SUM(D58:D70)</f>
        <v>0</v>
      </c>
      <c r="E57" s="48">
        <f t="shared" si="12"/>
        <v>0</v>
      </c>
      <c r="F57" s="48">
        <f t="shared" si="12"/>
        <v>0</v>
      </c>
      <c r="G57" s="48">
        <f t="shared" si="12"/>
        <v>0</v>
      </c>
      <c r="H57" s="48">
        <f t="shared" si="12"/>
        <v>0</v>
      </c>
      <c r="I57" s="48">
        <f t="shared" si="12"/>
        <v>0</v>
      </c>
      <c r="J57" s="48">
        <f t="shared" si="12"/>
        <v>0</v>
      </c>
      <c r="K57" s="48">
        <f t="shared" ref="K57:M57" si="13">SUM(K58:K70)</f>
        <v>0</v>
      </c>
      <c r="L57" s="48">
        <f t="shared" si="13"/>
        <v>0</v>
      </c>
      <c r="M57" s="48">
        <f t="shared" si="13"/>
        <v>0</v>
      </c>
      <c r="N57" s="48">
        <f t="shared" ref="N57:V57" si="14">SUM(N58:N70)</f>
        <v>112150.5</v>
      </c>
      <c r="O57" s="48">
        <f t="shared" si="14"/>
        <v>113078.55</v>
      </c>
      <c r="P57" s="48">
        <f t="shared" si="14"/>
        <v>114657.60000000001</v>
      </c>
      <c r="Q57" s="48">
        <f t="shared" si="14"/>
        <v>115455.45</v>
      </c>
      <c r="R57" s="48">
        <f t="shared" si="14"/>
        <v>116253.3</v>
      </c>
      <c r="S57" s="48">
        <f t="shared" si="14"/>
        <v>117051.15</v>
      </c>
      <c r="T57" s="48">
        <f t="shared" si="14"/>
        <v>117849</v>
      </c>
      <c r="U57" s="48">
        <f t="shared" si="14"/>
        <v>113959.35</v>
      </c>
      <c r="V57" s="48">
        <f t="shared" si="14"/>
        <v>114757.2</v>
      </c>
      <c r="W57" s="48">
        <f t="shared" ref="W57:AA57" si="15">SUM(W58:W70)</f>
        <v>115555.05</v>
      </c>
      <c r="X57" s="48">
        <f t="shared" si="15"/>
        <v>116352.9</v>
      </c>
      <c r="Y57" s="48">
        <f t="shared" si="15"/>
        <v>67222.23</v>
      </c>
      <c r="Z57" s="48">
        <f t="shared" si="15"/>
        <v>67820.429999999993</v>
      </c>
      <c r="AA57" s="48">
        <f t="shared" si="15"/>
        <v>10169.630000000001</v>
      </c>
      <c r="AB57" s="49"/>
      <c r="AC57" s="48">
        <f>SUM(AC58:AC70)</f>
        <v>10767.830000000002</v>
      </c>
    </row>
    <row r="58" spans="1:39" outlineLevel="1">
      <c r="B58" s="16" t="s">
        <v>128</v>
      </c>
      <c r="C58" s="45" t="str">
        <f t="shared" ref="C58:C70" si="16">B58</f>
        <v>Accumulated Depreciation -  Furniture &amp; Fixture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>
        <v>0</v>
      </c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>
        <v>0</v>
      </c>
      <c r="AA58" s="45">
        <v>0</v>
      </c>
      <c r="AB58" s="45"/>
      <c r="AC58" s="45"/>
      <c r="AI58" s="31"/>
      <c r="AJ58" s="31"/>
      <c r="AK58" s="31"/>
      <c r="AL58" s="31"/>
      <c r="AM58" s="31"/>
    </row>
    <row r="59" spans="1:39" outlineLevel="1">
      <c r="B59" s="16" t="s">
        <v>129</v>
      </c>
      <c r="C59" s="45" t="str">
        <f t="shared" si="16"/>
        <v>Accumulated Depreciation - Motor Vehicle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>
        <v>0</v>
      </c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>
        <v>0</v>
      </c>
      <c r="AA59" s="45">
        <v>0</v>
      </c>
      <c r="AB59" s="45"/>
      <c r="AC59" s="45"/>
      <c r="AI59" s="31"/>
      <c r="AJ59" s="31"/>
      <c r="AK59" s="31"/>
      <c r="AL59" s="31"/>
      <c r="AM59" s="31"/>
    </row>
    <row r="60" spans="1:39" outlineLevel="1">
      <c r="B60" s="16" t="s">
        <v>130</v>
      </c>
      <c r="C60" s="45" t="str">
        <f t="shared" si="16"/>
        <v>Accumulated Depreciation - Office Equipment's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>
        <v>-15071.55</v>
      </c>
      <c r="O60" s="45">
        <v>-14143.5</v>
      </c>
      <c r="P60" s="45">
        <v>-12564.45</v>
      </c>
      <c r="Q60" s="45">
        <v>-11766.6</v>
      </c>
      <c r="R60" s="45">
        <v>-10968.75</v>
      </c>
      <c r="S60" s="45">
        <v>-10170.9</v>
      </c>
      <c r="T60" s="45">
        <v>-9373.0499999999993</v>
      </c>
      <c r="U60" s="45">
        <v>-8575.2000000000007</v>
      </c>
      <c r="V60" s="45">
        <v>-7777.35</v>
      </c>
      <c r="W60" s="45">
        <v>-6979.5</v>
      </c>
      <c r="X60" s="45">
        <v>-6181.65</v>
      </c>
      <c r="Y60" s="45">
        <v>-5383.8</v>
      </c>
      <c r="Z60" s="45">
        <v>-4785.6000000000004</v>
      </c>
      <c r="AA60" s="45">
        <v>-4187.3999999999996</v>
      </c>
      <c r="AB60" s="45"/>
      <c r="AC60" s="45">
        <v>-3589.2</v>
      </c>
      <c r="AI60" s="31"/>
      <c r="AJ60" s="31"/>
      <c r="AK60" s="31"/>
      <c r="AL60" s="31"/>
      <c r="AM60" s="31"/>
    </row>
    <row r="61" spans="1:39" outlineLevel="1">
      <c r="B61" s="16" t="s">
        <v>588</v>
      </c>
      <c r="C61" s="45" t="str">
        <f t="shared" si="16"/>
        <v>Accumulated Depreciation-Building Improvement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>
        <v>0</v>
      </c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I61" s="31"/>
      <c r="AJ61" s="31"/>
      <c r="AK61" s="31"/>
      <c r="AL61" s="31"/>
      <c r="AM61" s="31"/>
    </row>
    <row r="62" spans="1:39" outlineLevel="1">
      <c r="B62" s="16" t="s">
        <v>198</v>
      </c>
      <c r="C62" s="45" t="str">
        <f t="shared" si="16"/>
        <v>Fixed Assets not in use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>
        <v>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>
        <v>0</v>
      </c>
      <c r="AA62" s="45">
        <v>0</v>
      </c>
      <c r="AB62" s="45"/>
      <c r="AC62" s="45"/>
      <c r="AI62" s="31"/>
      <c r="AJ62" s="31"/>
      <c r="AK62" s="31"/>
      <c r="AL62" s="31"/>
      <c r="AM62" s="31"/>
    </row>
    <row r="63" spans="1:39" outlineLevel="1">
      <c r="B63" s="16" t="s">
        <v>132</v>
      </c>
      <c r="C63" s="45" t="str">
        <f t="shared" si="16"/>
        <v>Furniture &amp; Fixture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>
        <v>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>
        <v>0</v>
      </c>
      <c r="AA63" s="45">
        <v>0</v>
      </c>
      <c r="AB63" s="45"/>
      <c r="AC63" s="45"/>
      <c r="AI63" s="31"/>
      <c r="AJ63" s="31"/>
      <c r="AK63" s="31"/>
      <c r="AL63" s="31"/>
      <c r="AM63" s="31"/>
    </row>
    <row r="64" spans="1:39" outlineLevel="1">
      <c r="B64" s="16" t="s">
        <v>133</v>
      </c>
      <c r="C64" s="45" t="str">
        <f t="shared" si="16"/>
        <v>Motor Vehicle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>
        <v>0</v>
      </c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>
        <v>0</v>
      </c>
      <c r="AA64" s="45">
        <v>0</v>
      </c>
      <c r="AB64" s="45"/>
      <c r="AC64" s="45"/>
      <c r="AI64" s="31"/>
      <c r="AJ64" s="31"/>
      <c r="AK64" s="31"/>
      <c r="AL64" s="31"/>
      <c r="AM64" s="31"/>
    </row>
    <row r="65" spans="1:40" outlineLevel="1">
      <c r="B65" s="16" t="s">
        <v>587</v>
      </c>
      <c r="C65" s="45" t="str">
        <f t="shared" si="16"/>
        <v>Building Improvement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>
        <v>0</v>
      </c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I65" s="31"/>
      <c r="AJ65" s="31"/>
      <c r="AK65" s="31"/>
      <c r="AL65" s="31"/>
      <c r="AM65" s="31"/>
    </row>
    <row r="66" spans="1:40" outlineLevel="1">
      <c r="B66" s="16" t="s">
        <v>134</v>
      </c>
      <c r="C66" s="45" t="str">
        <f t="shared" si="16"/>
        <v>Intangible Assets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>
        <v>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107"/>
      <c r="AB66" s="45"/>
      <c r="AC66" s="45"/>
      <c r="AD66" s="45"/>
      <c r="AF66" s="54"/>
      <c r="AJ66" s="31"/>
      <c r="AK66" s="31"/>
      <c r="AL66" s="31"/>
      <c r="AM66" s="31"/>
      <c r="AN66" s="31"/>
    </row>
    <row r="67" spans="1:40" ht="15">
      <c r="B67" s="16" t="s">
        <v>135</v>
      </c>
      <c r="C67" s="45" t="str">
        <f t="shared" si="16"/>
        <v>Office Equipment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>
        <v>23877.05</v>
      </c>
      <c r="O67" s="45">
        <v>23877.05</v>
      </c>
      <c r="P67" s="45">
        <v>23877.05</v>
      </c>
      <c r="Q67" s="45">
        <v>23877.05</v>
      </c>
      <c r="R67" s="45">
        <v>23877.05</v>
      </c>
      <c r="S67" s="45">
        <v>23877.05</v>
      </c>
      <c r="T67" s="45">
        <v>23877.05</v>
      </c>
      <c r="U67" s="45">
        <v>19189.55</v>
      </c>
      <c r="V67" s="45">
        <v>19189.55</v>
      </c>
      <c r="W67" s="45">
        <v>19189.55</v>
      </c>
      <c r="X67" s="45">
        <v>19189.55</v>
      </c>
      <c r="Y67" s="45">
        <v>14357.03</v>
      </c>
      <c r="Z67" s="45">
        <v>14357.03</v>
      </c>
      <c r="AA67" s="45">
        <v>14357.03</v>
      </c>
      <c r="AB67" s="46"/>
      <c r="AC67" s="45">
        <v>14357.03</v>
      </c>
      <c r="AI67" s="31"/>
      <c r="AJ67" s="31"/>
      <c r="AK67" s="31"/>
      <c r="AL67" s="31"/>
      <c r="AM67" s="31"/>
    </row>
    <row r="68" spans="1:40" ht="15">
      <c r="B68" s="16" t="s">
        <v>594</v>
      </c>
      <c r="C68" s="45" t="str">
        <f t="shared" si="16"/>
        <v>Product Development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>
        <v>103345</v>
      </c>
      <c r="O68" s="45">
        <v>103345</v>
      </c>
      <c r="P68" s="45">
        <v>103345</v>
      </c>
      <c r="Q68" s="45">
        <v>103345</v>
      </c>
      <c r="R68" s="45">
        <v>103345</v>
      </c>
      <c r="S68" s="45">
        <v>103345</v>
      </c>
      <c r="T68" s="45">
        <v>103345</v>
      </c>
      <c r="U68" s="45">
        <v>103345</v>
      </c>
      <c r="V68" s="45">
        <v>103345</v>
      </c>
      <c r="W68" s="45">
        <v>103345</v>
      </c>
      <c r="X68" s="45">
        <v>103345</v>
      </c>
      <c r="Y68" s="45">
        <v>58249</v>
      </c>
      <c r="Z68" s="45">
        <v>58249</v>
      </c>
      <c r="AA68" s="45">
        <v>0</v>
      </c>
      <c r="AB68" s="46"/>
      <c r="AC68" s="45"/>
      <c r="AI68" s="31"/>
      <c r="AJ68" s="31"/>
      <c r="AK68" s="31"/>
      <c r="AL68" s="31"/>
      <c r="AM68" s="31"/>
    </row>
    <row r="69" spans="1:40" ht="15">
      <c r="B69" s="16" t="s">
        <v>136</v>
      </c>
      <c r="C69" s="46" t="str">
        <f t="shared" si="16"/>
        <v>Capital Work in Progress (Tangible)</v>
      </c>
      <c r="D69" s="46"/>
      <c r="E69" s="46"/>
      <c r="F69" s="46"/>
      <c r="G69" s="46"/>
      <c r="H69" s="45"/>
      <c r="I69" s="46"/>
      <c r="J69" s="46"/>
      <c r="K69" s="46"/>
      <c r="L69" s="46"/>
      <c r="M69" s="46"/>
      <c r="N69" s="45"/>
      <c r="O69" s="45">
        <v>0</v>
      </c>
      <c r="P69" s="46"/>
      <c r="Q69" s="46"/>
      <c r="R69" s="46"/>
      <c r="S69" s="46"/>
      <c r="T69" s="45">
        <v>0</v>
      </c>
      <c r="U69" s="46"/>
      <c r="V69" s="46"/>
      <c r="W69" s="46"/>
      <c r="X69" s="46"/>
      <c r="Y69" s="46"/>
      <c r="Z69" s="45">
        <v>0</v>
      </c>
      <c r="AA69" s="45"/>
      <c r="AB69" s="46"/>
      <c r="AC69" s="46"/>
    </row>
    <row r="70" spans="1:40" ht="15">
      <c r="B70" s="16" t="s">
        <v>137</v>
      </c>
      <c r="C70" s="46" t="str">
        <f t="shared" si="16"/>
        <v>Capital Work in Progress (Intangible)</v>
      </c>
      <c r="D70" s="46"/>
      <c r="E70" s="46"/>
      <c r="F70" s="46"/>
      <c r="G70" s="46"/>
      <c r="H70" s="45"/>
      <c r="I70" s="45"/>
      <c r="J70" s="45"/>
      <c r="K70" s="45"/>
      <c r="L70" s="45"/>
      <c r="M70" s="45"/>
      <c r="N70" s="45"/>
      <c r="O70" s="45">
        <v>0</v>
      </c>
      <c r="P70" s="46"/>
      <c r="Q70" s="46"/>
      <c r="R70" s="46"/>
      <c r="S70" s="46"/>
      <c r="T70" s="45">
        <v>0</v>
      </c>
      <c r="U70" s="45">
        <v>0</v>
      </c>
      <c r="V70" s="45">
        <v>0</v>
      </c>
      <c r="W70" s="45"/>
      <c r="X70" s="45"/>
      <c r="Y70" s="45"/>
      <c r="Z70" s="45"/>
      <c r="AA70" s="46"/>
      <c r="AB70" s="46"/>
      <c r="AC70" s="46"/>
    </row>
    <row r="71" spans="1:40" s="69" customFormat="1">
      <c r="A71" s="68"/>
      <c r="B71" s="19" t="s">
        <v>199</v>
      </c>
      <c r="C71" s="48"/>
      <c r="D71" s="48">
        <f t="shared" ref="D71:L71" si="17">SUM(D72:D78)</f>
        <v>0</v>
      </c>
      <c r="E71" s="48">
        <f t="shared" si="17"/>
        <v>0</v>
      </c>
      <c r="F71" s="48">
        <f t="shared" si="17"/>
        <v>0</v>
      </c>
      <c r="G71" s="48">
        <f t="shared" si="17"/>
        <v>0</v>
      </c>
      <c r="H71" s="48">
        <f t="shared" si="17"/>
        <v>0</v>
      </c>
      <c r="I71" s="48">
        <f t="shared" si="17"/>
        <v>0</v>
      </c>
      <c r="J71" s="48">
        <f t="shared" si="17"/>
        <v>0</v>
      </c>
      <c r="K71" s="48">
        <f t="shared" si="17"/>
        <v>0</v>
      </c>
      <c r="L71" s="48">
        <f t="shared" si="17"/>
        <v>0</v>
      </c>
      <c r="M71" s="48">
        <f>SUM(M72:M79)</f>
        <v>0</v>
      </c>
      <c r="N71" s="48">
        <f t="shared" ref="N71:X71" si="18">SUM(N72:N78)</f>
        <v>36708723.989999995</v>
      </c>
      <c r="O71" s="48">
        <f t="shared" si="18"/>
        <v>36708723.989999995</v>
      </c>
      <c r="P71" s="48">
        <f t="shared" si="18"/>
        <v>36427473.989999995</v>
      </c>
      <c r="Q71" s="48">
        <f t="shared" si="18"/>
        <v>37545947.709999993</v>
      </c>
      <c r="R71" s="48">
        <f t="shared" si="18"/>
        <v>37545947.709999993</v>
      </c>
      <c r="S71" s="48">
        <f t="shared" si="18"/>
        <v>29858447.710000001</v>
      </c>
      <c r="T71" s="48">
        <f t="shared" si="18"/>
        <v>29854793.48</v>
      </c>
      <c r="U71" s="48">
        <f t="shared" si="18"/>
        <v>29854793.48</v>
      </c>
      <c r="V71" s="48">
        <f t="shared" si="18"/>
        <v>26854793.48</v>
      </c>
      <c r="W71" s="48">
        <f t="shared" si="18"/>
        <v>27418455.529999997</v>
      </c>
      <c r="X71" s="48">
        <f t="shared" si="18"/>
        <v>25916113.209999997</v>
      </c>
      <c r="Y71" s="48">
        <f>SUM(Y72:Y79)</f>
        <v>24466113.209999997</v>
      </c>
      <c r="Z71" s="48">
        <f t="shared" ref="Z71" si="19">SUM(Z72:Z75)</f>
        <v>24466079.459999997</v>
      </c>
      <c r="AA71" s="48">
        <f>SUM(AA72:AA75)</f>
        <v>24466079.459999997</v>
      </c>
      <c r="AB71" s="49"/>
      <c r="AC71" s="48">
        <f>SUM(AC72:AC75)</f>
        <v>24466079.459999997</v>
      </c>
    </row>
    <row r="72" spans="1:40">
      <c r="B72" s="16" t="s">
        <v>139</v>
      </c>
      <c r="C72" s="45" t="str">
        <f t="shared" ref="C72:C78" si="20">B72</f>
        <v>Buildnow Inc. (US)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>
        <v>0</v>
      </c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>
        <v>0</v>
      </c>
      <c r="AA72" s="45">
        <v>0</v>
      </c>
      <c r="AB72" s="45"/>
      <c r="AC72" s="45"/>
    </row>
    <row r="73" spans="1:40">
      <c r="B73" s="16" t="s">
        <v>140</v>
      </c>
      <c r="C73" s="45" t="str">
        <f t="shared" si="20"/>
        <v>Buildnow Tech BD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>
        <v>2686.97</v>
      </c>
      <c r="O73" s="45">
        <v>2686.97</v>
      </c>
      <c r="P73" s="45">
        <v>2686.97</v>
      </c>
      <c r="Q73" s="45">
        <v>2686.97</v>
      </c>
      <c r="R73" s="45">
        <v>2686.97</v>
      </c>
      <c r="S73" s="45">
        <v>2686.97</v>
      </c>
      <c r="T73" s="45">
        <v>2686.97</v>
      </c>
      <c r="U73" s="45">
        <v>2686.97</v>
      </c>
      <c r="V73" s="45">
        <v>2686.97</v>
      </c>
      <c r="W73" s="45">
        <v>2686.97</v>
      </c>
      <c r="X73" s="45">
        <v>2686.97</v>
      </c>
      <c r="Y73" s="45">
        <v>2686.97</v>
      </c>
      <c r="Z73" s="45">
        <v>2686.97</v>
      </c>
      <c r="AA73" s="45">
        <v>2686.97</v>
      </c>
      <c r="AB73" s="45"/>
      <c r="AC73" s="45">
        <v>2686.97</v>
      </c>
    </row>
    <row r="74" spans="1:40">
      <c r="B74" s="16" t="s">
        <v>141</v>
      </c>
      <c r="C74" s="45" t="str">
        <f t="shared" si="20"/>
        <v>Buildnow Trading Co (KSA)</v>
      </c>
      <c r="D74" s="45"/>
      <c r="E74" s="50"/>
      <c r="F74" s="45"/>
      <c r="G74" s="45"/>
      <c r="H74" s="45"/>
      <c r="I74" s="45"/>
      <c r="J74" s="45"/>
      <c r="K74" s="45"/>
      <c r="L74" s="45"/>
      <c r="M74" s="45"/>
      <c r="N74" s="45">
        <v>36227072.759999998</v>
      </c>
      <c r="O74" s="45">
        <v>36227072.759999998</v>
      </c>
      <c r="P74" s="45">
        <v>36227072.759999998</v>
      </c>
      <c r="Q74" s="50">
        <v>37352072.759999998</v>
      </c>
      <c r="R74" s="45">
        <v>37352072.759999998</v>
      </c>
      <c r="S74" s="45">
        <v>29852072.760000002</v>
      </c>
      <c r="T74" s="45">
        <v>29852072.760000002</v>
      </c>
      <c r="U74" s="45">
        <v>29852072.760000002</v>
      </c>
      <c r="V74" s="45">
        <v>26852072.760000002</v>
      </c>
      <c r="W74" s="45">
        <v>27415734.809999999</v>
      </c>
      <c r="X74" s="45">
        <v>25913392.489999998</v>
      </c>
      <c r="Y74" s="45">
        <v>24463392.489999998</v>
      </c>
      <c r="Z74" s="45">
        <v>24463392.489999998</v>
      </c>
      <c r="AA74" s="45">
        <v>24463392.489999998</v>
      </c>
      <c r="AB74" s="50"/>
      <c r="AC74" s="50">
        <v>24463392.489999998</v>
      </c>
    </row>
    <row r="75" spans="1:40" ht="15">
      <c r="B75" s="16" t="s">
        <v>142</v>
      </c>
      <c r="C75" s="46" t="str">
        <f t="shared" si="20"/>
        <v>MISA KSA</v>
      </c>
      <c r="D75" s="46"/>
      <c r="E75" s="46"/>
      <c r="F75" s="46"/>
      <c r="G75" s="46"/>
      <c r="H75" s="45"/>
      <c r="I75" s="46"/>
      <c r="J75" s="46"/>
      <c r="K75" s="46"/>
      <c r="L75" s="46"/>
      <c r="M75" s="46"/>
      <c r="N75" s="45"/>
      <c r="O75" s="45">
        <v>0</v>
      </c>
      <c r="P75" s="46"/>
      <c r="Q75" s="46"/>
      <c r="R75" s="46"/>
      <c r="S75" s="46"/>
      <c r="T75" s="45">
        <v>0</v>
      </c>
      <c r="U75" s="46"/>
      <c r="V75" s="46"/>
      <c r="W75" s="46"/>
      <c r="X75" s="46"/>
      <c r="Y75" s="46"/>
      <c r="Z75" s="45">
        <v>0</v>
      </c>
      <c r="AA75" s="45">
        <v>0</v>
      </c>
      <c r="AB75" s="46"/>
      <c r="AC75" s="46"/>
    </row>
    <row r="76" spans="1:40" ht="15">
      <c r="B76" s="16" t="s">
        <v>598</v>
      </c>
      <c r="C76" s="45" t="str">
        <f t="shared" si="20"/>
        <v>RHQ Company</v>
      </c>
      <c r="D76" s="45"/>
      <c r="E76" s="46"/>
      <c r="F76" s="45"/>
      <c r="G76" s="46"/>
      <c r="H76" s="45"/>
      <c r="I76" s="46"/>
      <c r="J76" s="46"/>
      <c r="K76" s="46"/>
      <c r="L76" s="46"/>
      <c r="M76" s="46"/>
      <c r="N76" s="45">
        <v>468750</v>
      </c>
      <c r="O76" s="45">
        <v>468750</v>
      </c>
      <c r="P76" s="45">
        <v>187500</v>
      </c>
      <c r="Q76" s="46">
        <v>187500</v>
      </c>
      <c r="R76" s="45">
        <v>187500</v>
      </c>
      <c r="S76" s="46"/>
      <c r="T76" s="45"/>
      <c r="U76" s="46"/>
      <c r="V76" s="46"/>
      <c r="W76" s="46"/>
      <c r="X76" s="46"/>
      <c r="Y76" s="46"/>
      <c r="Z76" s="45"/>
      <c r="AA76" s="45"/>
      <c r="AB76" s="46"/>
      <c r="AC76" s="46"/>
    </row>
    <row r="77" spans="1:40" ht="15">
      <c r="B77" s="16" t="s">
        <v>589</v>
      </c>
      <c r="C77" s="45" t="str">
        <f t="shared" si="20"/>
        <v>BNPL-CMA</v>
      </c>
      <c r="D77" s="45"/>
      <c r="E77" s="46"/>
      <c r="F77" s="45"/>
      <c r="G77" s="46"/>
      <c r="H77" s="45"/>
      <c r="I77" s="46"/>
      <c r="J77" s="46"/>
      <c r="K77" s="46"/>
      <c r="L77" s="46"/>
      <c r="M77" s="46"/>
      <c r="N77" s="45">
        <v>10180.51</v>
      </c>
      <c r="O77" s="45">
        <v>10180.51</v>
      </c>
      <c r="P77" s="45">
        <v>10180.51</v>
      </c>
      <c r="Q77" s="46">
        <v>3654.23</v>
      </c>
      <c r="R77" s="45">
        <v>3654.23</v>
      </c>
      <c r="S77" s="46">
        <v>3654.23</v>
      </c>
      <c r="T77" s="45">
        <v>0</v>
      </c>
      <c r="U77" s="46"/>
      <c r="V77" s="46"/>
      <c r="W77" s="46"/>
      <c r="X77" s="46"/>
      <c r="Y77" s="46"/>
      <c r="Z77" s="45"/>
      <c r="AA77" s="45"/>
      <c r="AB77" s="46"/>
      <c r="AC77" s="46"/>
    </row>
    <row r="78" spans="1:40" ht="15">
      <c r="B78" s="16" t="s">
        <v>143</v>
      </c>
      <c r="C78" s="45" t="str">
        <f t="shared" si="20"/>
        <v>Buildnow UK</v>
      </c>
      <c r="D78" s="45"/>
      <c r="E78" s="46"/>
      <c r="F78" s="45"/>
      <c r="G78" s="45"/>
      <c r="H78" s="45"/>
      <c r="I78" s="45"/>
      <c r="J78" s="45"/>
      <c r="K78" s="45"/>
      <c r="L78" s="45"/>
      <c r="M78" s="46"/>
      <c r="N78" s="45">
        <v>33.75</v>
      </c>
      <c r="O78" s="45">
        <v>33.75</v>
      </c>
      <c r="P78" s="45">
        <v>33.75</v>
      </c>
      <c r="Q78" s="46">
        <v>33.75</v>
      </c>
      <c r="R78" s="45">
        <v>33.75</v>
      </c>
      <c r="S78" s="45">
        <v>33.75</v>
      </c>
      <c r="T78" s="45">
        <v>33.75</v>
      </c>
      <c r="U78" s="45">
        <v>33.75</v>
      </c>
      <c r="V78" s="45">
        <v>33.75</v>
      </c>
      <c r="W78" s="45">
        <v>33.75</v>
      </c>
      <c r="X78" s="45">
        <v>33.75</v>
      </c>
      <c r="Y78" s="46">
        <v>33.75</v>
      </c>
      <c r="Z78" s="45"/>
      <c r="AA78" s="45"/>
      <c r="AB78" s="46"/>
      <c r="AC78" s="46"/>
    </row>
    <row r="79" spans="1:40" ht="15">
      <c r="B79" s="25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</row>
    <row r="80" spans="1:40" s="69" customFormat="1">
      <c r="A80" s="68"/>
      <c r="B80" s="19" t="s">
        <v>144</v>
      </c>
      <c r="C80" s="48"/>
      <c r="D80" s="48">
        <f>SUM(D81:D82)</f>
        <v>0</v>
      </c>
      <c r="E80" s="48">
        <f t="shared" ref="E80:H80" si="21">SUM(E81:E82)</f>
        <v>0</v>
      </c>
      <c r="F80" s="48">
        <f t="shared" si="21"/>
        <v>0</v>
      </c>
      <c r="G80" s="48">
        <f t="shared" si="21"/>
        <v>0</v>
      </c>
      <c r="H80" s="48">
        <f t="shared" si="21"/>
        <v>0</v>
      </c>
      <c r="I80" s="48">
        <f>SUM(I81:I82)</f>
        <v>0</v>
      </c>
      <c r="J80" s="48">
        <f>SUM(J81:J82)</f>
        <v>0</v>
      </c>
      <c r="K80" s="48">
        <f>SUM(K81:K82)</f>
        <v>0</v>
      </c>
      <c r="L80" s="48">
        <f t="shared" ref="L80:O80" si="22">SUM(L81:L82)</f>
        <v>0</v>
      </c>
      <c r="M80" s="48">
        <f t="shared" si="22"/>
        <v>0</v>
      </c>
      <c r="N80" s="48">
        <f t="shared" si="22"/>
        <v>3720.42</v>
      </c>
      <c r="O80" s="48">
        <f t="shared" si="22"/>
        <v>3720.42</v>
      </c>
      <c r="P80" s="48">
        <f>SUM(P81:P82)</f>
        <v>3720.42</v>
      </c>
      <c r="Q80" s="48">
        <f t="shared" ref="Q80:AA80" si="23">SUM(Q81:Q82)</f>
        <v>3720.42</v>
      </c>
      <c r="R80" s="48">
        <f t="shared" si="23"/>
        <v>3720.42</v>
      </c>
      <c r="S80" s="48">
        <f t="shared" si="23"/>
        <v>3720.42</v>
      </c>
      <c r="T80" s="48">
        <f t="shared" si="23"/>
        <v>3720.42</v>
      </c>
      <c r="U80" s="48">
        <f>SUM(U81:U82)</f>
        <v>3720.42</v>
      </c>
      <c r="V80" s="48">
        <f>SUM(V81:V82)</f>
        <v>3720.42</v>
      </c>
      <c r="W80" s="48">
        <f>SUM(W81:W82)</f>
        <v>3720.42</v>
      </c>
      <c r="X80" s="48">
        <f t="shared" si="23"/>
        <v>3720.42</v>
      </c>
      <c r="Y80" s="48">
        <f t="shared" si="23"/>
        <v>3720.42</v>
      </c>
      <c r="Z80" s="48">
        <f t="shared" si="23"/>
        <v>3720.42</v>
      </c>
      <c r="AA80" s="48">
        <f t="shared" si="23"/>
        <v>3720.42</v>
      </c>
      <c r="AB80" s="49"/>
      <c r="AC80" s="48">
        <f>SUM(AC81:AC82)</f>
        <v>3720.42</v>
      </c>
    </row>
    <row r="81" spans="1:35" ht="15">
      <c r="B81" s="16" t="s">
        <v>145</v>
      </c>
      <c r="C81" s="45" t="str">
        <f>B81</f>
        <v>Buildnow BD Technology Subsidiary</v>
      </c>
      <c r="D81" s="45"/>
      <c r="E81" s="46"/>
      <c r="F81" s="45"/>
      <c r="G81" s="45"/>
      <c r="H81" s="45"/>
      <c r="I81" s="45"/>
      <c r="J81" s="45"/>
      <c r="K81" s="45"/>
      <c r="L81" s="45"/>
      <c r="M81" s="45"/>
      <c r="N81" s="45">
        <v>3720.42</v>
      </c>
      <c r="O81" s="45">
        <v>3720.42</v>
      </c>
      <c r="P81" s="45">
        <v>3720.42</v>
      </c>
      <c r="Q81" s="46">
        <v>3720.42</v>
      </c>
      <c r="R81" s="45">
        <v>3720.42</v>
      </c>
      <c r="S81" s="45">
        <v>3720.42</v>
      </c>
      <c r="T81" s="45">
        <v>3720.42</v>
      </c>
      <c r="U81" s="45">
        <v>3720.42</v>
      </c>
      <c r="V81" s="45">
        <v>3720.42</v>
      </c>
      <c r="W81" s="45">
        <v>3720.42</v>
      </c>
      <c r="X81" s="45">
        <v>3720.42</v>
      </c>
      <c r="Y81" s="45">
        <v>3720.42</v>
      </c>
      <c r="Z81" s="45">
        <v>3720.42</v>
      </c>
      <c r="AA81" s="45">
        <v>3720.42</v>
      </c>
      <c r="AB81" s="46"/>
      <c r="AC81" s="46">
        <v>3720.42</v>
      </c>
    </row>
    <row r="82" spans="1:35" ht="15">
      <c r="B82" s="25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</row>
    <row r="83" spans="1:35" ht="15">
      <c r="B83" s="25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</row>
    <row r="84" spans="1:35">
      <c r="B84" s="19" t="s">
        <v>146</v>
      </c>
      <c r="C84" s="48"/>
      <c r="D84" s="48">
        <f t="shared" ref="D84:N84" si="24">+D71+D57+D80</f>
        <v>0</v>
      </c>
      <c r="E84" s="48">
        <f t="shared" si="24"/>
        <v>0</v>
      </c>
      <c r="F84" s="48">
        <f t="shared" si="24"/>
        <v>0</v>
      </c>
      <c r="G84" s="48">
        <f t="shared" si="24"/>
        <v>0</v>
      </c>
      <c r="H84" s="48">
        <f t="shared" si="24"/>
        <v>0</v>
      </c>
      <c r="I84" s="48">
        <f t="shared" si="24"/>
        <v>0</v>
      </c>
      <c r="J84" s="48">
        <f t="shared" si="24"/>
        <v>0</v>
      </c>
      <c r="K84" s="48">
        <f t="shared" si="24"/>
        <v>0</v>
      </c>
      <c r="L84" s="48">
        <f t="shared" si="24"/>
        <v>0</v>
      </c>
      <c r="M84" s="48">
        <f t="shared" si="24"/>
        <v>0</v>
      </c>
      <c r="N84" s="48">
        <f t="shared" si="24"/>
        <v>36824594.909999996</v>
      </c>
      <c r="O84" s="48">
        <f t="shared" ref="O84:AA84" si="25">+O71+O57+O80</f>
        <v>36825522.959999993</v>
      </c>
      <c r="P84" s="48">
        <f t="shared" si="25"/>
        <v>36545852.009999998</v>
      </c>
      <c r="Q84" s="48">
        <f t="shared" si="25"/>
        <v>37665123.579999998</v>
      </c>
      <c r="R84" s="48">
        <f t="shared" si="25"/>
        <v>37665921.429999992</v>
      </c>
      <c r="S84" s="48">
        <f t="shared" si="25"/>
        <v>29979219.280000001</v>
      </c>
      <c r="T84" s="48">
        <f t="shared" si="25"/>
        <v>29976362.900000002</v>
      </c>
      <c r="U84" s="48">
        <f t="shared" si="25"/>
        <v>29972473.250000004</v>
      </c>
      <c r="V84" s="48">
        <f t="shared" si="25"/>
        <v>26973271.100000001</v>
      </c>
      <c r="W84" s="48">
        <f t="shared" si="25"/>
        <v>27537731</v>
      </c>
      <c r="X84" s="48">
        <f t="shared" si="25"/>
        <v>26036186.529999997</v>
      </c>
      <c r="Y84" s="48">
        <f t="shared" si="25"/>
        <v>24537055.859999999</v>
      </c>
      <c r="Z84" s="48">
        <f t="shared" si="25"/>
        <v>24537620.309999999</v>
      </c>
      <c r="AA84" s="48">
        <f t="shared" si="25"/>
        <v>24479969.509999998</v>
      </c>
      <c r="AB84" s="49"/>
      <c r="AC84" s="48">
        <f>+AC71+AC57+AC80</f>
        <v>24480567.709999997</v>
      </c>
      <c r="AI84" s="54"/>
    </row>
    <row r="85" spans="1:35" ht="15">
      <c r="B85" s="25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</row>
    <row r="86" spans="1:35" ht="15">
      <c r="B86" s="25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</row>
    <row r="87" spans="1:35">
      <c r="B87" s="19" t="s">
        <v>147</v>
      </c>
      <c r="C87" s="48"/>
      <c r="D87" s="48">
        <f t="shared" ref="D87:O87" si="26">+D84+D54</f>
        <v>0</v>
      </c>
      <c r="E87" s="48">
        <f t="shared" si="26"/>
        <v>0</v>
      </c>
      <c r="F87" s="48">
        <f t="shared" si="26"/>
        <v>0</v>
      </c>
      <c r="G87" s="48">
        <f t="shared" si="26"/>
        <v>0</v>
      </c>
      <c r="H87" s="48">
        <f t="shared" si="26"/>
        <v>0</v>
      </c>
      <c r="I87" s="48">
        <f t="shared" si="26"/>
        <v>0</v>
      </c>
      <c r="J87" s="48">
        <f t="shared" si="26"/>
        <v>0</v>
      </c>
      <c r="K87" s="48">
        <f t="shared" si="26"/>
        <v>0</v>
      </c>
      <c r="L87" s="48">
        <f t="shared" si="26"/>
        <v>0</v>
      </c>
      <c r="M87" s="48">
        <f t="shared" si="26"/>
        <v>0</v>
      </c>
      <c r="N87" s="48">
        <f t="shared" si="26"/>
        <v>40631527.359999999</v>
      </c>
      <c r="O87" s="48">
        <f t="shared" si="26"/>
        <v>41000797.629999995</v>
      </c>
      <c r="P87" s="48">
        <f t="shared" ref="P87:AA87" si="27">+P84+P54</f>
        <v>41392097.170000002</v>
      </c>
      <c r="Q87" s="48">
        <f t="shared" si="27"/>
        <v>45087470.039999999</v>
      </c>
      <c r="R87" s="48">
        <f t="shared" si="27"/>
        <v>46210354.829999991</v>
      </c>
      <c r="S87" s="48">
        <f t="shared" si="27"/>
        <v>31857635.630000003</v>
      </c>
      <c r="T87" s="48">
        <f t="shared" si="27"/>
        <v>30337547.930000003</v>
      </c>
      <c r="U87" s="48">
        <f t="shared" si="27"/>
        <v>30243422.890000004</v>
      </c>
      <c r="V87" s="48">
        <f t="shared" si="27"/>
        <v>27534363.350000001</v>
      </c>
      <c r="W87" s="48">
        <f t="shared" si="27"/>
        <v>27903349.260000002</v>
      </c>
      <c r="X87" s="48">
        <f t="shared" si="27"/>
        <v>26590750.659999996</v>
      </c>
      <c r="Y87" s="48">
        <f t="shared" si="27"/>
        <v>25526803.399999999</v>
      </c>
      <c r="Z87" s="48">
        <f t="shared" si="27"/>
        <v>25986255.459999997</v>
      </c>
      <c r="AA87" s="48">
        <f t="shared" si="27"/>
        <v>26327048.659999996</v>
      </c>
      <c r="AB87" s="49"/>
      <c r="AC87" s="48">
        <f>+AC84+AC54</f>
        <v>26620006.769999996</v>
      </c>
    </row>
    <row r="88" spans="1:35" ht="15">
      <c r="B88" s="25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H88" s="31"/>
    </row>
    <row r="89" spans="1:35" ht="15">
      <c r="B89" s="25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H89" s="31"/>
    </row>
    <row r="90" spans="1:35" ht="16.2" thickBot="1">
      <c r="B90" s="28" t="s">
        <v>148</v>
      </c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46"/>
      <c r="AC90" s="51"/>
    </row>
    <row r="91" spans="1:35" ht="15.6">
      <c r="B91" s="29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</row>
    <row r="92" spans="1:35" s="69" customFormat="1">
      <c r="A92" s="68"/>
      <c r="B92" s="19" t="s">
        <v>149</v>
      </c>
      <c r="C92" s="48"/>
      <c r="D92" s="48">
        <f>SUM(D93:D113)</f>
        <v>0</v>
      </c>
      <c r="E92" s="48">
        <f>SUM(E93:E114)</f>
        <v>0</v>
      </c>
      <c r="F92" s="48">
        <f>SUM(F93:F114)</f>
        <v>0</v>
      </c>
      <c r="G92" s="48">
        <f t="shared" ref="G92:L92" si="28">SUM(G93:G110)</f>
        <v>0</v>
      </c>
      <c r="H92" s="48">
        <f t="shared" si="28"/>
        <v>0</v>
      </c>
      <c r="I92" s="48">
        <f t="shared" si="28"/>
        <v>0</v>
      </c>
      <c r="J92" s="48">
        <f t="shared" si="28"/>
        <v>0</v>
      </c>
      <c r="K92" s="48">
        <f t="shared" si="28"/>
        <v>0</v>
      </c>
      <c r="L92" s="48">
        <f t="shared" si="28"/>
        <v>0</v>
      </c>
      <c r="M92" s="48">
        <f>SUM(M93:M112)</f>
        <v>0</v>
      </c>
      <c r="N92" s="48">
        <f>SUM(N93:N113)</f>
        <v>477955.03</v>
      </c>
      <c r="O92" s="48">
        <f>SUM(O93:O113)</f>
        <v>287619.95999999996</v>
      </c>
      <c r="P92" s="48">
        <f>SUM(P93:P113)</f>
        <v>139881.30000000002</v>
      </c>
      <c r="Q92" s="48">
        <f>SUM(Q93:Q114)</f>
        <v>232020.66</v>
      </c>
      <c r="R92" s="48">
        <f>SUM(R93:R114)</f>
        <v>311357.76</v>
      </c>
      <c r="S92" s="48">
        <f t="shared" ref="S92:X92" si="29">SUM(S93:S110)</f>
        <v>235871.44</v>
      </c>
      <c r="T92" s="48">
        <f t="shared" si="29"/>
        <v>136196.28999999998</v>
      </c>
      <c r="U92" s="48">
        <f t="shared" si="29"/>
        <v>152745.67000000001</v>
      </c>
      <c r="V92" s="48">
        <f t="shared" si="29"/>
        <v>236270.73</v>
      </c>
      <c r="W92" s="48">
        <f t="shared" si="29"/>
        <v>131347.44</v>
      </c>
      <c r="X92" s="48">
        <f t="shared" si="29"/>
        <v>139694.68</v>
      </c>
      <c r="Y92" s="48">
        <f>SUM(Y93:Y112)</f>
        <v>87465.06</v>
      </c>
      <c r="Z92" s="48">
        <f>SUM(Z93:Z112)</f>
        <v>147182.89000000001</v>
      </c>
      <c r="AA92" s="48">
        <f>SUM(AA93:AA110)</f>
        <v>75735.22</v>
      </c>
      <c r="AB92" s="49"/>
      <c r="AC92" s="48">
        <f>SUM(AC93:AC113)</f>
        <v>17851.759999999998</v>
      </c>
      <c r="AE92" s="71"/>
    </row>
    <row r="93" spans="1:35" outlineLevel="1">
      <c r="B93" s="16" t="s">
        <v>150</v>
      </c>
      <c r="C93" s="45" t="s">
        <v>624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>
        <v>0</v>
      </c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>
        <v>0</v>
      </c>
      <c r="AA93" s="45">
        <v>0</v>
      </c>
      <c r="AB93" s="45"/>
      <c r="AC93" s="45"/>
      <c r="AE93" s="2"/>
    </row>
    <row r="94" spans="1:35" outlineLevel="1">
      <c r="B94" s="16" t="s">
        <v>151</v>
      </c>
      <c r="C94" s="45" t="str">
        <f t="shared" ref="C94:C101" si="30">B94</f>
        <v>Misc. Payables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>
        <v>0</v>
      </c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>
        <v>0</v>
      </c>
      <c r="AA94" s="45">
        <v>0</v>
      </c>
      <c r="AB94" s="45"/>
      <c r="AC94" s="45"/>
      <c r="AE94" s="2"/>
    </row>
    <row r="95" spans="1:35" outlineLevel="1">
      <c r="B95" s="16" t="s">
        <v>152</v>
      </c>
      <c r="C95" s="45" t="str">
        <f t="shared" si="30"/>
        <v>Consultancy Fee Payable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>
        <v>124965.1</v>
      </c>
      <c r="O95" s="45">
        <v>99228.03</v>
      </c>
      <c r="P95" s="45">
        <v>72389.990000000005</v>
      </c>
      <c r="Q95" s="45">
        <v>105974.99</v>
      </c>
      <c r="R95" s="45">
        <v>45674.99</v>
      </c>
      <c r="S95" s="45">
        <v>60021.38</v>
      </c>
      <c r="T95" s="45">
        <v>34696.129999999997</v>
      </c>
      <c r="U95" s="45">
        <v>48387.75</v>
      </c>
      <c r="V95" s="45">
        <v>65402.03</v>
      </c>
      <c r="W95" s="45">
        <v>40975.01</v>
      </c>
      <c r="X95" s="45"/>
      <c r="Y95" s="45"/>
      <c r="Z95" s="45"/>
      <c r="AA95" s="45"/>
      <c r="AB95" s="45"/>
      <c r="AC95" s="45"/>
      <c r="AE95" s="2"/>
    </row>
    <row r="96" spans="1:35" outlineLevel="1">
      <c r="B96" s="16" t="s">
        <v>153</v>
      </c>
      <c r="C96" s="45" t="str">
        <f t="shared" si="30"/>
        <v>Other Payables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>
        <v>2005.13</v>
      </c>
      <c r="O96" s="45">
        <v>20673.38</v>
      </c>
      <c r="P96" s="45">
        <v>22694.18</v>
      </c>
      <c r="Q96" s="45">
        <v>0</v>
      </c>
      <c r="R96" s="45">
        <v>49684.5</v>
      </c>
      <c r="S96" s="45">
        <v>20673.38</v>
      </c>
      <c r="T96" s="45">
        <v>0</v>
      </c>
      <c r="U96" s="45">
        <v>0</v>
      </c>
      <c r="V96" s="45">
        <v>17386.189999999999</v>
      </c>
      <c r="W96" s="45">
        <v>8498.69</v>
      </c>
      <c r="X96" s="45">
        <v>24172.94</v>
      </c>
      <c r="Y96" s="45">
        <v>-3351.31</v>
      </c>
      <c r="Z96" s="45">
        <v>0</v>
      </c>
      <c r="AA96" s="45">
        <v>0</v>
      </c>
      <c r="AB96" s="45"/>
      <c r="AC96" s="45"/>
      <c r="AE96" s="2"/>
    </row>
    <row r="97" spans="2:32" outlineLevel="1">
      <c r="B97" s="16" t="s">
        <v>154</v>
      </c>
      <c r="C97" s="45" t="str">
        <f t="shared" si="30"/>
        <v>Unearned Revenue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>
        <v>0</v>
      </c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>
        <v>0</v>
      </c>
      <c r="AA97" s="45">
        <v>0</v>
      </c>
      <c r="AB97" s="45"/>
      <c r="AC97" s="45"/>
      <c r="AE97" s="2"/>
    </row>
    <row r="98" spans="2:32" outlineLevel="1">
      <c r="B98" s="16" t="s">
        <v>155</v>
      </c>
      <c r="C98" s="45" t="str">
        <f t="shared" si="30"/>
        <v>Employee Payable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>
        <v>0</v>
      </c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>
        <v>0</v>
      </c>
      <c r="AA98" s="45">
        <v>0</v>
      </c>
      <c r="AB98" s="45"/>
      <c r="AC98" s="45"/>
    </row>
    <row r="99" spans="2:32" outlineLevel="1">
      <c r="B99" s="16" t="s">
        <v>156</v>
      </c>
      <c r="C99" s="45" t="str">
        <f t="shared" si="30"/>
        <v>Employee Allowance Payable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>
        <v>0</v>
      </c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>
        <v>0</v>
      </c>
      <c r="AA99" s="45"/>
      <c r="AB99" s="45"/>
      <c r="AC99" s="45"/>
    </row>
    <row r="100" spans="2:32" outlineLevel="1">
      <c r="B100" s="16" t="s">
        <v>157</v>
      </c>
      <c r="C100" s="45" t="str">
        <f t="shared" si="30"/>
        <v>Accounts Payable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>
        <v>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>
        <v>0</v>
      </c>
      <c r="AA100" s="45">
        <v>0</v>
      </c>
      <c r="AB100" s="45"/>
      <c r="AC100" s="45"/>
    </row>
    <row r="101" spans="2:32" outlineLevel="1">
      <c r="B101" s="16" t="s">
        <v>158</v>
      </c>
      <c r="C101" s="45" t="str">
        <f t="shared" si="30"/>
        <v>Accrued Expenses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>
        <v>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>
        <v>0</v>
      </c>
      <c r="AA101" s="45">
        <v>0</v>
      </c>
      <c r="AB101" s="45"/>
      <c r="AC101" s="45"/>
    </row>
    <row r="102" spans="2:32" outlineLevel="1">
      <c r="B102" s="16" t="s">
        <v>159</v>
      </c>
      <c r="C102" s="45" t="s">
        <v>562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>
        <v>0</v>
      </c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>
        <v>0</v>
      </c>
      <c r="AA102" s="45">
        <v>0</v>
      </c>
      <c r="AB102" s="45"/>
      <c r="AC102" s="45"/>
    </row>
    <row r="103" spans="2:32" outlineLevel="1">
      <c r="B103" s="16" t="s">
        <v>553</v>
      </c>
      <c r="C103" s="45" t="s">
        <v>565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>
        <v>117028.14</v>
      </c>
      <c r="O103" s="45">
        <v>78018.759999999995</v>
      </c>
      <c r="P103" s="45">
        <v>39009.379999999997</v>
      </c>
      <c r="Q103" s="45">
        <v>0</v>
      </c>
      <c r="R103" s="45">
        <v>139734.39999999999</v>
      </c>
      <c r="S103" s="45">
        <v>111787.52</v>
      </c>
      <c r="T103" s="45">
        <v>83840.639999999999</v>
      </c>
      <c r="U103" s="45">
        <v>55893.760000000002</v>
      </c>
      <c r="V103" s="45">
        <v>27946.880000000001</v>
      </c>
      <c r="W103" s="45">
        <v>0</v>
      </c>
      <c r="X103" s="45">
        <v>89214.5</v>
      </c>
      <c r="Y103" s="45">
        <v>71402</v>
      </c>
      <c r="Z103" s="45">
        <v>53551.5</v>
      </c>
      <c r="AA103" s="45">
        <v>35701</v>
      </c>
      <c r="AB103" s="45"/>
      <c r="AC103" s="45">
        <v>17850.5</v>
      </c>
    </row>
    <row r="104" spans="2:32" outlineLevel="1">
      <c r="B104" s="16" t="s">
        <v>161</v>
      </c>
      <c r="C104" s="45" t="str">
        <f t="shared" ref="C104:C105" si="31">B104</f>
        <v>Accrued Investor Profit (Unrealized)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>
        <v>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>
        <v>0</v>
      </c>
      <c r="AA104" s="45">
        <v>0</v>
      </c>
      <c r="AB104" s="45"/>
      <c r="AC104" s="45"/>
    </row>
    <row r="105" spans="2:32" outlineLevel="1">
      <c r="B105" s="16" t="s">
        <v>612</v>
      </c>
      <c r="C105" s="45" t="str">
        <f t="shared" si="31"/>
        <v>Leave Air Fare Payable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>
        <v>0</v>
      </c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107"/>
      <c r="AB105" s="45"/>
      <c r="AC105" s="45"/>
      <c r="AD105" s="45"/>
      <c r="AF105" s="54"/>
    </row>
    <row r="106" spans="2:32" outlineLevel="1">
      <c r="B106" s="16" t="s">
        <v>162</v>
      </c>
      <c r="C106" s="45" t="s">
        <v>572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>
        <v>0</v>
      </c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>
        <v>0</v>
      </c>
      <c r="AA106" s="45">
        <v>0</v>
      </c>
      <c r="AB106" s="45"/>
      <c r="AC106" s="45"/>
    </row>
    <row r="107" spans="2:32" outlineLevel="1">
      <c r="B107" s="16" t="s">
        <v>163</v>
      </c>
      <c r="C107" s="45" t="s">
        <v>278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>
        <v>233956.66</v>
      </c>
      <c r="O107" s="45">
        <v>89699.79</v>
      </c>
      <c r="P107" s="45">
        <v>5787.75</v>
      </c>
      <c r="Q107" s="45">
        <v>126045.67</v>
      </c>
      <c r="R107" s="45">
        <v>76263.87</v>
      </c>
      <c r="S107" s="45">
        <v>43389.16</v>
      </c>
      <c r="T107" s="45">
        <v>17659.52</v>
      </c>
      <c r="U107" s="45">
        <v>48464.160000000003</v>
      </c>
      <c r="V107" s="45">
        <v>125535.63</v>
      </c>
      <c r="W107" s="45">
        <v>81873.740000000005</v>
      </c>
      <c r="X107" s="45">
        <v>26307.24</v>
      </c>
      <c r="Y107" s="45">
        <v>19414.37</v>
      </c>
      <c r="Z107" s="45">
        <v>93631.39</v>
      </c>
      <c r="AA107" s="45">
        <v>40034.22</v>
      </c>
      <c r="AB107" s="45"/>
      <c r="AC107" s="45">
        <v>1.26</v>
      </c>
    </row>
    <row r="108" spans="2:32" outlineLevel="1">
      <c r="B108" s="16" t="s">
        <v>164</v>
      </c>
      <c r="C108" s="45" t="str">
        <f t="shared" ref="C108:C111" si="32">B108</f>
        <v>Accrued COGS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>
        <v>0</v>
      </c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</row>
    <row r="109" spans="2:32" outlineLevel="1">
      <c r="B109" s="16" t="s">
        <v>165</v>
      </c>
      <c r="C109" s="45" t="str">
        <f t="shared" si="32"/>
        <v>Output VAT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>
        <v>0</v>
      </c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>
        <v>0</v>
      </c>
      <c r="AA109" s="45">
        <v>0</v>
      </c>
      <c r="AB109" s="45"/>
      <c r="AC109" s="45"/>
    </row>
    <row r="110" spans="2:32" outlineLevel="1">
      <c r="B110" s="16" t="s">
        <v>166</v>
      </c>
      <c r="C110" s="45" t="str">
        <f t="shared" si="32"/>
        <v>GOSI Payable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>
        <v>0</v>
      </c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>
        <v>0</v>
      </c>
      <c r="AA110" s="45">
        <v>0</v>
      </c>
      <c r="AB110" s="45"/>
      <c r="AC110" s="45"/>
    </row>
    <row r="111" spans="2:32" outlineLevel="1">
      <c r="B111" s="16" t="s">
        <v>167</v>
      </c>
      <c r="C111" s="45" t="str">
        <f t="shared" si="32"/>
        <v>Deferred Revenue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>
        <v>0</v>
      </c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</row>
    <row r="112" spans="2:32" outlineLevel="1">
      <c r="B112" s="16" t="s">
        <v>168</v>
      </c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>
        <v>0</v>
      </c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>
        <v>0</v>
      </c>
      <c r="AA112" s="45">
        <v>0</v>
      </c>
      <c r="AB112" s="45"/>
      <c r="AC112" s="45"/>
    </row>
    <row r="113" spans="1:32">
      <c r="B113" s="16" t="s">
        <v>169</v>
      </c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>
        <v>0</v>
      </c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>
        <v>0</v>
      </c>
      <c r="AA113" s="45">
        <v>0</v>
      </c>
      <c r="AB113" s="45"/>
      <c r="AC113" s="45"/>
    </row>
    <row r="114" spans="1:32">
      <c r="B114" s="14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</row>
    <row r="115" spans="1:32" s="69" customFormat="1">
      <c r="A115" s="68"/>
      <c r="B115" s="19" t="s">
        <v>170</v>
      </c>
      <c r="C115" s="48"/>
      <c r="D115" s="48">
        <f>SUM(D116:D124)</f>
        <v>0</v>
      </c>
      <c r="E115" s="48">
        <f>SUM(E116:E125)</f>
        <v>0</v>
      </c>
      <c r="F115" s="48">
        <f>SUM(F116:F125)</f>
        <v>0</v>
      </c>
      <c r="G115" s="48">
        <f>SUM(G116:G125)</f>
        <v>0</v>
      </c>
      <c r="H115" s="48">
        <f>SUM(H116:H125)</f>
        <v>0</v>
      </c>
      <c r="I115" s="48">
        <f t="shared" ref="I115:N115" si="33">SUM(I116:I124)</f>
        <v>0</v>
      </c>
      <c r="J115" s="48">
        <f t="shared" si="33"/>
        <v>0</v>
      </c>
      <c r="K115" s="48">
        <f t="shared" si="33"/>
        <v>0</v>
      </c>
      <c r="L115" s="48">
        <f t="shared" si="33"/>
        <v>0</v>
      </c>
      <c r="M115" s="48">
        <f t="shared" si="33"/>
        <v>0</v>
      </c>
      <c r="N115" s="48">
        <f t="shared" si="33"/>
        <v>41854.17</v>
      </c>
      <c r="O115" s="48">
        <f>SUM(O116:O124)</f>
        <v>24166.639999999999</v>
      </c>
      <c r="P115" s="48">
        <f>SUM(P116:P124)</f>
        <v>200291.63999999998</v>
      </c>
      <c r="Q115" s="48">
        <f>SUM(Q116:Q125)</f>
        <v>143020.83000000002</v>
      </c>
      <c r="R115" s="48">
        <f>SUM(R116:R125)</f>
        <v>96666.68</v>
      </c>
      <c r="S115" s="48">
        <f>SUM(S116:S125)</f>
        <v>116875</v>
      </c>
      <c r="T115" s="48">
        <f>SUM(T116:T125)</f>
        <v>34270.83</v>
      </c>
      <c r="U115" s="48">
        <f t="shared" ref="U115:AA115" si="34">SUM(U116:U124)</f>
        <v>24166.66</v>
      </c>
      <c r="V115" s="48">
        <f t="shared" si="34"/>
        <v>66791.649999999994</v>
      </c>
      <c r="W115" s="48">
        <f t="shared" si="34"/>
        <v>21354.16</v>
      </c>
      <c r="X115" s="48">
        <f t="shared" si="34"/>
        <v>0</v>
      </c>
      <c r="Y115" s="48">
        <f t="shared" si="34"/>
        <v>0</v>
      </c>
      <c r="Z115" s="48">
        <f t="shared" si="34"/>
        <v>0</v>
      </c>
      <c r="AA115" s="48">
        <f t="shared" si="34"/>
        <v>0</v>
      </c>
      <c r="AB115" s="49"/>
      <c r="AC115" s="48">
        <f>SUM(AC116:AC124)</f>
        <v>0</v>
      </c>
    </row>
    <row r="116" spans="1:32" outlineLevel="1">
      <c r="B116" s="16" t="s">
        <v>171</v>
      </c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>
        <v>0</v>
      </c>
      <c r="P116" s="45"/>
      <c r="Q116" s="45"/>
      <c r="R116" s="45"/>
      <c r="S116" s="45"/>
      <c r="T116" s="45"/>
      <c r="U116" s="45"/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0</v>
      </c>
      <c r="AB116" s="45"/>
      <c r="AC116" s="45"/>
    </row>
    <row r="117" spans="1:32" outlineLevel="1">
      <c r="B117" s="16" t="s">
        <v>172</v>
      </c>
      <c r="C117" s="45" t="s">
        <v>625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>
        <v>0</v>
      </c>
      <c r="P117" s="45"/>
      <c r="Q117" s="45"/>
      <c r="R117" s="45"/>
      <c r="S117" s="45"/>
      <c r="T117" s="45"/>
      <c r="U117" s="45"/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0</v>
      </c>
      <c r="AB117" s="45"/>
      <c r="AC117" s="45"/>
    </row>
    <row r="118" spans="1:32" outlineLevel="1">
      <c r="B118" s="16" t="s">
        <v>173</v>
      </c>
      <c r="C118" s="45" t="str">
        <f t="shared" ref="C118:C119" si="35">B118</f>
        <v>Arbah Murabaha Facility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>
        <v>0</v>
      </c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</row>
    <row r="119" spans="1:32" outlineLevel="1">
      <c r="B119" s="16" t="s">
        <v>609</v>
      </c>
      <c r="C119" s="45" t="str">
        <f t="shared" si="35"/>
        <v>SIDF Loan Facility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>
        <v>0</v>
      </c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107"/>
      <c r="AB119" s="45"/>
      <c r="AC119" s="45"/>
      <c r="AD119" s="45"/>
      <c r="AF119" s="54"/>
    </row>
    <row r="120" spans="1:32" outlineLevel="1">
      <c r="B120" s="16" t="s">
        <v>597</v>
      </c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>
        <v>0</v>
      </c>
      <c r="P120" s="45">
        <v>0</v>
      </c>
      <c r="Q120" s="45">
        <v>108750</v>
      </c>
      <c r="R120" s="45">
        <v>72500</v>
      </c>
      <c r="S120" s="45">
        <v>36250</v>
      </c>
      <c r="T120" s="45"/>
      <c r="U120" s="45"/>
      <c r="V120" s="45"/>
      <c r="W120" s="45"/>
      <c r="X120" s="45"/>
      <c r="Y120" s="45"/>
      <c r="Z120" s="45"/>
      <c r="AA120" s="45"/>
      <c r="AB120" s="45"/>
      <c r="AC120" s="45"/>
    </row>
    <row r="121" spans="1:32" outlineLevel="1">
      <c r="B121" s="16" t="s">
        <v>552</v>
      </c>
      <c r="C121" s="45" t="s">
        <v>552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>
        <v>0</v>
      </c>
      <c r="O121" s="45">
        <v>24166.639999999999</v>
      </c>
      <c r="P121" s="45">
        <v>12083.32</v>
      </c>
      <c r="Q121" s="45"/>
      <c r="R121" s="45">
        <v>24166.68</v>
      </c>
      <c r="S121" s="45">
        <v>12083.34</v>
      </c>
      <c r="T121" s="45">
        <v>0</v>
      </c>
      <c r="U121" s="45">
        <v>24166.66</v>
      </c>
      <c r="V121" s="45">
        <v>12083.33</v>
      </c>
      <c r="W121" s="45"/>
      <c r="X121" s="45"/>
      <c r="Y121" s="45"/>
      <c r="Z121" s="45"/>
      <c r="AA121" s="107"/>
      <c r="AB121" s="45"/>
      <c r="AC121" s="45"/>
      <c r="AD121" s="45"/>
      <c r="AF121" s="54"/>
    </row>
    <row r="122" spans="1:32" outlineLevel="1">
      <c r="B122" s="16" t="s">
        <v>607</v>
      </c>
      <c r="C122" s="45" t="str">
        <f t="shared" ref="C122:C123" si="36">B122</f>
        <v>Profit Payable (SIDF)-Current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>
        <v>0</v>
      </c>
      <c r="O122" s="45">
        <v>0</v>
      </c>
      <c r="P122" s="45">
        <v>58333.33</v>
      </c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107"/>
      <c r="AB122" s="45"/>
      <c r="AC122" s="45"/>
      <c r="AD122" s="45"/>
      <c r="AF122" s="54"/>
    </row>
    <row r="123" spans="1:32" outlineLevel="1">
      <c r="B123" s="16" t="s">
        <v>608</v>
      </c>
      <c r="C123" s="45" t="str">
        <f t="shared" si="36"/>
        <v>Profit Payable (SIDF)-Non Current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>
        <v>0</v>
      </c>
      <c r="O123" s="45">
        <v>0</v>
      </c>
      <c r="P123" s="45">
        <v>61333.33</v>
      </c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107"/>
      <c r="AB123" s="45"/>
      <c r="AC123" s="45"/>
      <c r="AD123" s="45"/>
      <c r="AF123" s="54"/>
    </row>
    <row r="124" spans="1:32" outlineLevel="1">
      <c r="B124" s="16" t="s">
        <v>174</v>
      </c>
      <c r="C124" s="45" t="s">
        <v>174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>
        <v>41854.17</v>
      </c>
      <c r="O124" s="45">
        <v>0</v>
      </c>
      <c r="P124" s="45">
        <v>68541.66</v>
      </c>
      <c r="Q124" s="45">
        <v>34270.83</v>
      </c>
      <c r="R124" s="45">
        <v>0</v>
      </c>
      <c r="S124" s="45">
        <v>68541.66</v>
      </c>
      <c r="T124" s="45">
        <v>34270.83</v>
      </c>
      <c r="U124" s="45">
        <v>0</v>
      </c>
      <c r="V124" s="45">
        <v>54708.32</v>
      </c>
      <c r="W124" s="45">
        <v>21354.16</v>
      </c>
      <c r="X124" s="45"/>
      <c r="Y124" s="45"/>
      <c r="Z124" s="45"/>
      <c r="AA124" s="45"/>
      <c r="AB124" s="45"/>
      <c r="AC124" s="45"/>
    </row>
    <row r="125" spans="1:32" outlineLevel="1">
      <c r="B125" s="16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</row>
    <row r="126" spans="1:32">
      <c r="B126" s="14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</row>
    <row r="127" spans="1:32">
      <c r="B127" s="19" t="s">
        <v>175</v>
      </c>
      <c r="C127" s="48"/>
      <c r="D127" s="48">
        <f t="shared" ref="D127:AA127" si="37">+D115+D92</f>
        <v>0</v>
      </c>
      <c r="E127" s="48">
        <f t="shared" si="37"/>
        <v>0</v>
      </c>
      <c r="F127" s="48">
        <f t="shared" si="37"/>
        <v>0</v>
      </c>
      <c r="G127" s="48">
        <f t="shared" si="37"/>
        <v>0</v>
      </c>
      <c r="H127" s="48">
        <f t="shared" si="37"/>
        <v>0</v>
      </c>
      <c r="I127" s="48">
        <f t="shared" si="37"/>
        <v>0</v>
      </c>
      <c r="J127" s="48">
        <f t="shared" si="37"/>
        <v>0</v>
      </c>
      <c r="K127" s="48">
        <f t="shared" si="37"/>
        <v>0</v>
      </c>
      <c r="L127" s="48">
        <f t="shared" si="37"/>
        <v>0</v>
      </c>
      <c r="M127" s="48">
        <f t="shared" si="37"/>
        <v>0</v>
      </c>
      <c r="N127" s="48">
        <f t="shared" si="37"/>
        <v>519809.2</v>
      </c>
      <c r="O127" s="48">
        <f t="shared" si="37"/>
        <v>311786.59999999998</v>
      </c>
      <c r="P127" s="48">
        <f t="shared" si="37"/>
        <v>340172.94</v>
      </c>
      <c r="Q127" s="48">
        <f t="shared" si="37"/>
        <v>375041.49</v>
      </c>
      <c r="R127" s="48">
        <f t="shared" si="37"/>
        <v>408024.44</v>
      </c>
      <c r="S127" s="48">
        <f t="shared" si="37"/>
        <v>352746.44</v>
      </c>
      <c r="T127" s="48">
        <f t="shared" si="37"/>
        <v>170467.12</v>
      </c>
      <c r="U127" s="48">
        <f t="shared" si="37"/>
        <v>176912.33000000002</v>
      </c>
      <c r="V127" s="48">
        <f t="shared" si="37"/>
        <v>303062.38</v>
      </c>
      <c r="W127" s="48">
        <f t="shared" si="37"/>
        <v>152701.6</v>
      </c>
      <c r="X127" s="48">
        <f t="shared" si="37"/>
        <v>139694.68</v>
      </c>
      <c r="Y127" s="48">
        <f t="shared" si="37"/>
        <v>87465.06</v>
      </c>
      <c r="Z127" s="48">
        <f t="shared" si="37"/>
        <v>147182.89000000001</v>
      </c>
      <c r="AA127" s="48">
        <f t="shared" si="37"/>
        <v>75735.22</v>
      </c>
      <c r="AB127" s="49"/>
      <c r="AC127" s="48">
        <f>+AC115+AC92</f>
        <v>17851.759999999998</v>
      </c>
    </row>
    <row r="128" spans="1:32">
      <c r="B128" s="14" t="s">
        <v>176</v>
      </c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</row>
    <row r="129" spans="2:29">
      <c r="B129" s="14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</row>
    <row r="130" spans="2:29">
      <c r="B130" s="13" t="s">
        <v>200</v>
      </c>
      <c r="C130" s="47" t="s">
        <v>578</v>
      </c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>
        <v>1756700.73</v>
      </c>
      <c r="O130" s="47">
        <v>1720442.68</v>
      </c>
      <c r="P130" s="47">
        <v>1615122.13</v>
      </c>
      <c r="Q130" s="47">
        <v>1502512.08</v>
      </c>
      <c r="R130" s="47">
        <v>1459297.61</v>
      </c>
      <c r="S130" s="47">
        <v>1342934.58</v>
      </c>
      <c r="T130" s="47">
        <v>1332281.94</v>
      </c>
      <c r="U130" s="47">
        <v>646252.93999999994</v>
      </c>
      <c r="V130" s="47">
        <v>293647.89</v>
      </c>
      <c r="W130" s="47">
        <v>279850.36</v>
      </c>
      <c r="X130" s="47">
        <v>279850.36</v>
      </c>
      <c r="Y130" s="47">
        <v>269850.36</v>
      </c>
      <c r="Z130" s="47">
        <v>269850.36</v>
      </c>
      <c r="AA130" s="47">
        <v>269850.36</v>
      </c>
      <c r="AB130" s="45"/>
      <c r="AC130" s="47">
        <v>269850.36</v>
      </c>
    </row>
    <row r="131" spans="2:29">
      <c r="B131" s="11"/>
      <c r="C131" s="47"/>
      <c r="D131" s="47"/>
      <c r="E131" s="45"/>
      <c r="F131" s="45"/>
      <c r="G131" s="45"/>
      <c r="H131" s="45"/>
      <c r="I131" s="45"/>
      <c r="J131" s="45"/>
      <c r="K131" s="45"/>
      <c r="L131" s="45"/>
      <c r="M131" s="47"/>
      <c r="N131" s="47"/>
      <c r="O131" s="47"/>
      <c r="P131" s="47"/>
      <c r="Q131" s="45"/>
      <c r="R131" s="45"/>
      <c r="S131" s="45"/>
      <c r="T131" s="45"/>
      <c r="U131" s="45"/>
      <c r="V131" s="45"/>
      <c r="W131" s="45"/>
      <c r="X131" s="45"/>
      <c r="Y131" s="47"/>
      <c r="Z131" s="47"/>
      <c r="AA131" s="47"/>
      <c r="AB131" s="45"/>
      <c r="AC131" s="47"/>
    </row>
    <row r="132" spans="2:29">
      <c r="B132" s="13" t="s">
        <v>178</v>
      </c>
      <c r="C132" s="47" t="s">
        <v>605</v>
      </c>
      <c r="D132" s="47"/>
      <c r="E132" s="47"/>
      <c r="F132" s="85"/>
      <c r="G132" s="85"/>
      <c r="H132" s="85"/>
      <c r="I132" s="94"/>
      <c r="J132" s="94"/>
      <c r="K132" s="94"/>
      <c r="L132" s="94"/>
      <c r="M132" s="47"/>
      <c r="N132" s="47">
        <v>7781800.3399999999</v>
      </c>
      <c r="O132" s="47">
        <v>7781800.3399999999</v>
      </c>
      <c r="P132" s="47">
        <v>7781800.3399999999</v>
      </c>
      <c r="Q132" s="47">
        <v>10781800.34</v>
      </c>
      <c r="R132" s="85">
        <v>11344300.15</v>
      </c>
      <c r="S132" s="85">
        <v>11344300.15</v>
      </c>
      <c r="T132" s="85">
        <v>11344300.15</v>
      </c>
      <c r="U132" s="94">
        <v>11344300.15</v>
      </c>
      <c r="V132" s="94">
        <v>8344300.1500000004</v>
      </c>
      <c r="W132" s="94">
        <v>8344300.1500000004</v>
      </c>
      <c r="X132" s="94">
        <v>6506800</v>
      </c>
      <c r="Y132" s="47">
        <v>5056800</v>
      </c>
      <c r="Z132" s="47">
        <v>5056800</v>
      </c>
      <c r="AA132" s="47">
        <v>5056800</v>
      </c>
      <c r="AB132" s="45"/>
      <c r="AC132" s="47">
        <v>5056800</v>
      </c>
    </row>
    <row r="133" spans="2:29" ht="15">
      <c r="B133" s="25"/>
      <c r="C133" s="47"/>
      <c r="D133" s="47"/>
      <c r="E133" s="52"/>
      <c r="F133" s="52"/>
      <c r="G133" s="52"/>
      <c r="H133" s="52"/>
      <c r="I133" s="52"/>
      <c r="J133" s="52"/>
      <c r="K133" s="13"/>
      <c r="L133" s="13"/>
      <c r="M133" s="13"/>
      <c r="N133" s="47"/>
      <c r="O133" s="47"/>
      <c r="P133" s="47"/>
      <c r="Q133" s="52"/>
      <c r="R133" s="52"/>
      <c r="S133" s="52"/>
      <c r="T133" s="52"/>
      <c r="U133" s="52"/>
      <c r="V133" s="52"/>
      <c r="W133" s="13"/>
      <c r="X133" s="13"/>
      <c r="Y133" s="13"/>
      <c r="Z133" s="47"/>
      <c r="AA133" s="47"/>
      <c r="AB133" s="53"/>
      <c r="AC133" s="47"/>
    </row>
    <row r="134" spans="2:29">
      <c r="B134" s="13" t="s">
        <v>179</v>
      </c>
      <c r="C134" s="47" t="s">
        <v>561</v>
      </c>
      <c r="D134" s="47"/>
      <c r="E134" s="47">
        <v>0</v>
      </c>
      <c r="F134" s="47">
        <v>0</v>
      </c>
      <c r="G134" s="47">
        <v>0</v>
      </c>
      <c r="H134" s="47"/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5">
        <v>0</v>
      </c>
      <c r="O134" s="45">
        <v>0</v>
      </c>
      <c r="P134" s="47"/>
      <c r="Q134" s="47">
        <v>0</v>
      </c>
      <c r="R134" s="47">
        <v>0</v>
      </c>
      <c r="S134" s="47">
        <v>0</v>
      </c>
      <c r="T134" s="47"/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5"/>
      <c r="AC134" s="57"/>
    </row>
    <row r="135" spans="2:29" ht="15">
      <c r="B135" s="25"/>
      <c r="C135" s="47"/>
      <c r="D135" s="47"/>
      <c r="E135" s="52"/>
      <c r="F135" s="52"/>
      <c r="G135" s="52"/>
      <c r="H135" s="52"/>
      <c r="I135" s="52"/>
      <c r="J135" s="52"/>
      <c r="K135" s="52"/>
      <c r="L135" s="52"/>
      <c r="M135" s="52"/>
      <c r="N135" s="47"/>
      <c r="O135" s="47"/>
      <c r="P135" s="47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47"/>
      <c r="AB135" s="53"/>
      <c r="AC135" s="53"/>
    </row>
    <row r="136" spans="2:29">
      <c r="B136" s="19" t="s">
        <v>180</v>
      </c>
      <c r="C136" s="48"/>
      <c r="D136" s="48">
        <f t="shared" ref="D136:N136" si="38">+D134+D130+D132</f>
        <v>0</v>
      </c>
      <c r="E136" s="48">
        <f t="shared" si="38"/>
        <v>0</v>
      </c>
      <c r="F136" s="48">
        <f t="shared" si="38"/>
        <v>0</v>
      </c>
      <c r="G136" s="48">
        <f t="shared" si="38"/>
        <v>0</v>
      </c>
      <c r="H136" s="48">
        <f t="shared" si="38"/>
        <v>0</v>
      </c>
      <c r="I136" s="48">
        <f t="shared" si="38"/>
        <v>0</v>
      </c>
      <c r="J136" s="48">
        <f t="shared" si="38"/>
        <v>0</v>
      </c>
      <c r="K136" s="48">
        <f t="shared" si="38"/>
        <v>0</v>
      </c>
      <c r="L136" s="48">
        <f t="shared" si="38"/>
        <v>0</v>
      </c>
      <c r="M136" s="48">
        <f t="shared" si="38"/>
        <v>0</v>
      </c>
      <c r="N136" s="48">
        <f t="shared" si="38"/>
        <v>9538501.0700000003</v>
      </c>
      <c r="O136" s="48">
        <f t="shared" ref="O136:T136" si="39">+O134+O130+O132</f>
        <v>9502243.0199999996</v>
      </c>
      <c r="P136" s="48">
        <f t="shared" si="39"/>
        <v>9396922.4699999988</v>
      </c>
      <c r="Q136" s="48">
        <f t="shared" si="39"/>
        <v>12284312.42</v>
      </c>
      <c r="R136" s="48">
        <f t="shared" si="39"/>
        <v>12803597.76</v>
      </c>
      <c r="S136" s="48">
        <f t="shared" si="39"/>
        <v>12687234.73</v>
      </c>
      <c r="T136" s="48">
        <f t="shared" si="39"/>
        <v>12676582.09</v>
      </c>
      <c r="U136" s="48">
        <f t="shared" ref="U136:Z136" si="40">+U134+U130+U132</f>
        <v>11990553.09</v>
      </c>
      <c r="V136" s="48">
        <f t="shared" si="40"/>
        <v>8637948.040000001</v>
      </c>
      <c r="W136" s="48">
        <f t="shared" si="40"/>
        <v>8624150.5099999998</v>
      </c>
      <c r="X136" s="48">
        <f t="shared" si="40"/>
        <v>6786650.3600000003</v>
      </c>
      <c r="Y136" s="48">
        <f t="shared" si="40"/>
        <v>5326650.3600000003</v>
      </c>
      <c r="Z136" s="48">
        <f t="shared" si="40"/>
        <v>5326650.3600000003</v>
      </c>
      <c r="AA136" s="48">
        <f t="shared" ref="AA136:AC136" si="41">+AA134+AA130+AA132</f>
        <v>5326650.3600000003</v>
      </c>
      <c r="AB136" s="49"/>
      <c r="AC136" s="48">
        <f t="shared" si="41"/>
        <v>5326650.3600000003</v>
      </c>
    </row>
    <row r="137" spans="2:29">
      <c r="B137" s="14" t="s">
        <v>176</v>
      </c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</row>
    <row r="138" spans="2:29">
      <c r="B138" s="14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</row>
    <row r="139" spans="2:29">
      <c r="B139" s="13" t="s">
        <v>181</v>
      </c>
      <c r="C139" s="47" t="s">
        <v>627</v>
      </c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>
        <v>42124006.130000003</v>
      </c>
      <c r="O139" s="47">
        <v>42124006.130000003</v>
      </c>
      <c r="P139" s="47">
        <v>42124006.130000003</v>
      </c>
      <c r="Q139" s="47">
        <v>42124006.130000003</v>
      </c>
      <c r="R139" s="47">
        <v>42124006.130000003</v>
      </c>
      <c r="S139" s="47">
        <v>27132006.130000003</v>
      </c>
      <c r="T139" s="47">
        <v>25257006.130000003</v>
      </c>
      <c r="U139" s="47">
        <v>25257006.130000003</v>
      </c>
      <c r="V139" s="47">
        <v>25257006.130000003</v>
      </c>
      <c r="W139" s="47">
        <v>25257006.130000003</v>
      </c>
      <c r="X139" s="47">
        <v>25257006.130000003</v>
      </c>
      <c r="Y139" s="47">
        <v>25257006.130000003</v>
      </c>
      <c r="Z139" s="47">
        <v>25257006.130000003</v>
      </c>
      <c r="AA139" s="47">
        <v>25257006.130000003</v>
      </c>
      <c r="AB139" s="45"/>
      <c r="AC139" s="47">
        <v>25257006.130000003</v>
      </c>
    </row>
    <row r="140" spans="2:29" ht="15">
      <c r="B140" s="25"/>
      <c r="C140" s="53"/>
      <c r="D140" s="53"/>
      <c r="E140" s="52"/>
      <c r="F140" s="52"/>
      <c r="G140" s="52"/>
      <c r="H140" s="52"/>
      <c r="I140" s="52"/>
      <c r="J140" s="52"/>
      <c r="K140" s="52"/>
      <c r="L140" s="52"/>
      <c r="M140" s="47"/>
      <c r="N140" s="47"/>
      <c r="O140" s="47"/>
      <c r="P140" s="53"/>
      <c r="Q140" s="52"/>
      <c r="R140" s="52"/>
      <c r="S140" s="52"/>
      <c r="T140" s="52"/>
      <c r="U140" s="52"/>
      <c r="V140" s="52"/>
      <c r="W140" s="52"/>
      <c r="X140" s="52"/>
      <c r="Y140" s="47"/>
      <c r="Z140" s="47"/>
      <c r="AA140" s="47"/>
      <c r="AB140" s="53"/>
      <c r="AC140" s="53"/>
    </row>
    <row r="141" spans="2:29">
      <c r="B141" s="13" t="s">
        <v>182</v>
      </c>
      <c r="C141" s="47" t="s">
        <v>626</v>
      </c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5">
        <v>0</v>
      </c>
      <c r="O141" s="45">
        <v>0</v>
      </c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>
        <v>0</v>
      </c>
      <c r="AB141" s="45"/>
      <c r="AC141" s="47">
        <v>0</v>
      </c>
    </row>
    <row r="142" spans="2:29" ht="15">
      <c r="B142" s="25"/>
      <c r="C142" s="53"/>
      <c r="D142" s="53"/>
      <c r="E142" s="52"/>
      <c r="F142" s="52"/>
      <c r="G142" s="52"/>
      <c r="H142" s="52"/>
      <c r="I142" s="52"/>
      <c r="J142" s="52"/>
      <c r="K142" s="52"/>
      <c r="L142" s="52"/>
      <c r="M142" s="47"/>
      <c r="N142" s="47"/>
      <c r="O142" s="47"/>
      <c r="P142" s="53"/>
      <c r="Q142" s="52"/>
      <c r="R142" s="52"/>
      <c r="S142" s="52"/>
      <c r="T142" s="52"/>
      <c r="U142" s="52"/>
      <c r="V142" s="52"/>
      <c r="W142" s="52"/>
      <c r="X142" s="52"/>
      <c r="Y142" s="47"/>
      <c r="Z142" s="47"/>
      <c r="AA142" s="47"/>
      <c r="AB142" s="53"/>
      <c r="AC142" s="53"/>
    </row>
    <row r="143" spans="2:29">
      <c r="B143" s="13" t="s">
        <v>183</v>
      </c>
      <c r="C143" s="47">
        <f>B142</f>
        <v>0</v>
      </c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5"/>
      <c r="O143" s="45">
        <v>0</v>
      </c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>
        <v>0</v>
      </c>
      <c r="AB143" s="45"/>
      <c r="AC143" s="47">
        <v>0</v>
      </c>
    </row>
    <row r="144" spans="2:29" ht="15">
      <c r="B144" s="25"/>
      <c r="C144" s="53"/>
      <c r="D144" s="53"/>
      <c r="E144" s="52"/>
      <c r="F144" s="52"/>
      <c r="G144" s="52"/>
      <c r="H144" s="52"/>
      <c r="I144" s="52"/>
      <c r="J144" s="52"/>
      <c r="K144" s="52"/>
      <c r="L144" s="52"/>
      <c r="M144" s="47"/>
      <c r="N144" s="47"/>
      <c r="O144" s="47"/>
      <c r="P144" s="53"/>
      <c r="Q144" s="52"/>
      <c r="R144" s="52"/>
      <c r="S144" s="52"/>
      <c r="T144" s="52"/>
      <c r="U144" s="52"/>
      <c r="V144" s="52"/>
      <c r="W144" s="52"/>
      <c r="X144" s="52"/>
      <c r="Y144" s="47"/>
      <c r="Z144" s="47"/>
      <c r="AA144" s="47"/>
      <c r="AB144" s="53"/>
      <c r="AC144" s="53"/>
    </row>
    <row r="145" spans="2:34">
      <c r="B145" s="13" t="s">
        <v>184</v>
      </c>
      <c r="C145" s="57" t="s">
        <v>628</v>
      </c>
      <c r="D145" s="57"/>
      <c r="E145" s="47"/>
      <c r="F145" s="47"/>
      <c r="G145" s="47"/>
      <c r="H145" s="47"/>
      <c r="I145" s="47"/>
      <c r="J145" s="47"/>
      <c r="K145" s="47"/>
      <c r="L145" s="47"/>
      <c r="M145" s="47"/>
      <c r="N145" s="45">
        <v>-1199514.33</v>
      </c>
      <c r="O145" s="45">
        <v>-585961.9099999998</v>
      </c>
      <c r="P145" s="57">
        <v>-6487503.04</v>
      </c>
      <c r="Q145" s="47">
        <v>-5714388.6699999999</v>
      </c>
      <c r="R145" s="47">
        <v>-5143772.17</v>
      </c>
      <c r="S145" s="47">
        <v>-4332850.34</v>
      </c>
      <c r="T145" s="47">
        <v>-3785006.08</v>
      </c>
      <c r="U145" s="47">
        <v>-3199547.33</v>
      </c>
      <c r="V145" s="47">
        <v>-2682151.87</v>
      </c>
      <c r="W145" s="47">
        <v>-2149007.65</v>
      </c>
      <c r="X145" s="47">
        <v>-1611099.18</v>
      </c>
      <c r="Y145" s="47">
        <v>-1162816.82</v>
      </c>
      <c r="Z145" s="47">
        <v>-763082.59</v>
      </c>
      <c r="AA145" s="47">
        <v>-350841.72</v>
      </c>
      <c r="AB145" s="45"/>
      <c r="AC145" s="57">
        <v>-2941803.51</v>
      </c>
      <c r="AH145" s="54"/>
    </row>
    <row r="146" spans="2:34" ht="15">
      <c r="B146" s="25"/>
      <c r="C146" s="53"/>
      <c r="D146" s="53"/>
      <c r="E146" s="52"/>
      <c r="F146" s="47"/>
      <c r="G146" s="47"/>
      <c r="H146" s="52"/>
      <c r="I146" s="52"/>
      <c r="J146" s="52"/>
      <c r="K146" s="52"/>
      <c r="L146" s="52"/>
      <c r="M146" s="47"/>
      <c r="N146" s="47"/>
      <c r="O146" s="47"/>
      <c r="P146" s="53"/>
      <c r="Q146" s="52"/>
      <c r="R146" s="47"/>
      <c r="S146" s="47"/>
      <c r="T146" s="52"/>
      <c r="U146" s="52"/>
      <c r="V146" s="52"/>
      <c r="W146" s="52"/>
      <c r="X146" s="52"/>
      <c r="Y146" s="47"/>
      <c r="Z146" s="47"/>
      <c r="AA146" s="47"/>
      <c r="AB146" s="53"/>
      <c r="AC146" s="53"/>
    </row>
    <row r="147" spans="2:34">
      <c r="B147" s="13" t="s">
        <v>185</v>
      </c>
      <c r="C147" s="47" t="s">
        <v>629</v>
      </c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5">
        <v>-10351274.710000001</v>
      </c>
      <c r="O147" s="45">
        <v>-10351276.210000001</v>
      </c>
      <c r="P147" s="47">
        <v>-3981501.33</v>
      </c>
      <c r="Q147" s="47">
        <v>-3981501.33</v>
      </c>
      <c r="R147" s="47">
        <v>-3981501.33</v>
      </c>
      <c r="S147" s="47">
        <v>-3981501.33</v>
      </c>
      <c r="T147" s="47">
        <v>-3981501.33</v>
      </c>
      <c r="U147" s="47">
        <v>-3981501.33</v>
      </c>
      <c r="V147" s="47">
        <v>-3981501.33</v>
      </c>
      <c r="W147" s="47">
        <v>-3981501.33</v>
      </c>
      <c r="X147" s="47">
        <v>-3981501.33</v>
      </c>
      <c r="Y147" s="47">
        <v>-3981501.33</v>
      </c>
      <c r="Z147" s="47">
        <v>-3981501.33</v>
      </c>
      <c r="AA147" s="47">
        <v>-3981501.33</v>
      </c>
      <c r="AB147" s="45"/>
      <c r="AC147" s="47">
        <v>-1039697.97</v>
      </c>
    </row>
    <row r="148" spans="2:34" ht="15">
      <c r="B148" s="25"/>
      <c r="C148" s="53"/>
      <c r="D148" s="53"/>
      <c r="E148" s="52"/>
      <c r="F148" s="52"/>
      <c r="G148" s="52"/>
      <c r="H148" s="52"/>
      <c r="I148" s="52"/>
      <c r="J148" s="52"/>
      <c r="K148" s="52"/>
      <c r="L148" s="52"/>
      <c r="M148" s="52"/>
      <c r="N148" s="47"/>
      <c r="O148" s="47"/>
      <c r="P148" s="53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47"/>
      <c r="AB148" s="53"/>
      <c r="AC148" s="53"/>
    </row>
    <row r="149" spans="2:34">
      <c r="B149" s="19" t="s">
        <v>186</v>
      </c>
      <c r="C149" s="48"/>
      <c r="D149" s="48">
        <f>+D139+D143+D145+D147</f>
        <v>0</v>
      </c>
      <c r="E149" s="48">
        <f t="shared" ref="E149:I149" si="42">+E139+E143+E145+E147</f>
        <v>0</v>
      </c>
      <c r="F149" s="48">
        <f t="shared" si="42"/>
        <v>0</v>
      </c>
      <c r="G149" s="48">
        <f t="shared" si="42"/>
        <v>0</v>
      </c>
      <c r="H149" s="48">
        <f t="shared" si="42"/>
        <v>0</v>
      </c>
      <c r="I149" s="48">
        <f t="shared" si="42"/>
        <v>0</v>
      </c>
      <c r="J149" s="48">
        <f>+J139+J143+J145+J147</f>
        <v>0</v>
      </c>
      <c r="K149" s="48">
        <f>+K139+K143+K145+K147</f>
        <v>0</v>
      </c>
      <c r="L149" s="48">
        <f t="shared" ref="L149:N149" si="43">+L139+L143+L145+L147</f>
        <v>0</v>
      </c>
      <c r="M149" s="48">
        <f t="shared" si="43"/>
        <v>0</v>
      </c>
      <c r="N149" s="48">
        <f t="shared" si="43"/>
        <v>30573217.090000004</v>
      </c>
      <c r="O149" s="48">
        <f>+O139+O143+O145+O147</f>
        <v>31186768.010000005</v>
      </c>
      <c r="P149" s="48">
        <f>+P139+P143+P145+P147</f>
        <v>31655001.760000005</v>
      </c>
      <c r="Q149" s="48">
        <f t="shared" ref="Q149:AA149" si="44">+Q139+Q143+Q145+Q147</f>
        <v>32428116.130000003</v>
      </c>
      <c r="R149" s="48">
        <f t="shared" si="44"/>
        <v>32998732.630000003</v>
      </c>
      <c r="S149" s="48">
        <f t="shared" si="44"/>
        <v>18817654.460000001</v>
      </c>
      <c r="T149" s="48">
        <f t="shared" si="44"/>
        <v>17490498.720000006</v>
      </c>
      <c r="U149" s="48">
        <f t="shared" si="44"/>
        <v>18075957.470000006</v>
      </c>
      <c r="V149" s="48">
        <f>+V139+V143+V145+V147</f>
        <v>18593352.93</v>
      </c>
      <c r="W149" s="48">
        <f>+W139+W143+W145+W147</f>
        <v>19126497.150000006</v>
      </c>
      <c r="X149" s="48">
        <f t="shared" si="44"/>
        <v>19664405.620000005</v>
      </c>
      <c r="Y149" s="48">
        <f t="shared" si="44"/>
        <v>20112687.980000004</v>
      </c>
      <c r="Z149" s="48">
        <f t="shared" si="44"/>
        <v>20512422.210000001</v>
      </c>
      <c r="AA149" s="48">
        <f t="shared" si="44"/>
        <v>20924663.080000006</v>
      </c>
      <c r="AB149" s="49"/>
      <c r="AC149" s="48">
        <f>+AC139+AC143+AC145+AC147</f>
        <v>21275504.650000006</v>
      </c>
    </row>
    <row r="150" spans="2:34" ht="15">
      <c r="B150" s="25"/>
      <c r="C150" s="53"/>
      <c r="D150" s="53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3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3"/>
      <c r="AC150" s="53"/>
    </row>
    <row r="151" spans="2:34" ht="15">
      <c r="B151" s="25"/>
      <c r="C151" s="53"/>
      <c r="D151" s="53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3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3"/>
      <c r="AC151" s="53"/>
    </row>
    <row r="152" spans="2:34">
      <c r="B152" s="19" t="s">
        <v>187</v>
      </c>
      <c r="C152" s="48"/>
      <c r="D152" s="48">
        <f>+D149+D127+D136</f>
        <v>0</v>
      </c>
      <c r="E152" s="48">
        <f t="shared" ref="E152:N152" si="45">+E149+E127+E136</f>
        <v>0</v>
      </c>
      <c r="F152" s="48">
        <f t="shared" si="45"/>
        <v>0</v>
      </c>
      <c r="G152" s="48">
        <f t="shared" si="45"/>
        <v>0</v>
      </c>
      <c r="H152" s="48">
        <f t="shared" si="45"/>
        <v>0</v>
      </c>
      <c r="I152" s="48">
        <f t="shared" si="45"/>
        <v>0</v>
      </c>
      <c r="J152" s="48">
        <f t="shared" si="45"/>
        <v>0</v>
      </c>
      <c r="K152" s="48">
        <f t="shared" si="45"/>
        <v>0</v>
      </c>
      <c r="L152" s="48">
        <f t="shared" si="45"/>
        <v>0</v>
      </c>
      <c r="M152" s="48">
        <f t="shared" si="45"/>
        <v>0</v>
      </c>
      <c r="N152" s="48">
        <f t="shared" si="45"/>
        <v>40631527.359999999</v>
      </c>
      <c r="O152" s="48">
        <f>+O149+O127+O136</f>
        <v>41000797.63000001</v>
      </c>
      <c r="P152" s="48">
        <f>+P149+P127+P136</f>
        <v>41392097.170000002</v>
      </c>
      <c r="Q152" s="48">
        <f t="shared" ref="Q152:AA152" si="46">+Q149+Q127+Q136</f>
        <v>45087470.039999999</v>
      </c>
      <c r="R152" s="48">
        <f t="shared" si="46"/>
        <v>46210354.830000006</v>
      </c>
      <c r="S152" s="48">
        <f t="shared" si="46"/>
        <v>31857635.630000003</v>
      </c>
      <c r="T152" s="48">
        <f t="shared" si="46"/>
        <v>30337547.930000007</v>
      </c>
      <c r="U152" s="48">
        <f t="shared" si="46"/>
        <v>30243422.890000004</v>
      </c>
      <c r="V152" s="48">
        <f t="shared" si="46"/>
        <v>27534363.350000001</v>
      </c>
      <c r="W152" s="48">
        <f t="shared" si="46"/>
        <v>27903349.260000005</v>
      </c>
      <c r="X152" s="48">
        <f t="shared" si="46"/>
        <v>26590750.660000004</v>
      </c>
      <c r="Y152" s="48">
        <f t="shared" si="46"/>
        <v>25526803.400000002</v>
      </c>
      <c r="Z152" s="48">
        <f t="shared" si="46"/>
        <v>25986255.460000001</v>
      </c>
      <c r="AA152" s="48">
        <f t="shared" si="46"/>
        <v>26327048.660000004</v>
      </c>
      <c r="AB152" s="49"/>
      <c r="AC152" s="48">
        <f>+AC149+AC127+AC136</f>
        <v>26620006.770000007</v>
      </c>
    </row>
    <row r="153" spans="2:34" ht="15">
      <c r="B153" s="284"/>
      <c r="C153" s="271"/>
      <c r="D153" s="271">
        <f t="shared" ref="D153:AA153" si="47">+D152-D87</f>
        <v>0</v>
      </c>
      <c r="E153" s="271">
        <f t="shared" si="47"/>
        <v>0</v>
      </c>
      <c r="F153" s="271">
        <f t="shared" si="47"/>
        <v>0</v>
      </c>
      <c r="G153" s="271">
        <f t="shared" si="47"/>
        <v>0</v>
      </c>
      <c r="H153" s="271">
        <f t="shared" si="47"/>
        <v>0</v>
      </c>
      <c r="I153" s="271">
        <f t="shared" si="47"/>
        <v>0</v>
      </c>
      <c r="J153" s="271">
        <f t="shared" si="47"/>
        <v>0</v>
      </c>
      <c r="K153" s="270">
        <f t="shared" si="47"/>
        <v>0</v>
      </c>
      <c r="L153" s="270">
        <f t="shared" si="47"/>
        <v>0</v>
      </c>
      <c r="M153" s="270">
        <f t="shared" si="47"/>
        <v>0</v>
      </c>
      <c r="N153" s="270">
        <f t="shared" si="47"/>
        <v>0</v>
      </c>
      <c r="O153" s="270">
        <f t="shared" si="47"/>
        <v>0</v>
      </c>
      <c r="P153" s="271">
        <f t="shared" si="47"/>
        <v>0</v>
      </c>
      <c r="Q153" s="271">
        <f t="shared" si="47"/>
        <v>0</v>
      </c>
      <c r="R153" s="271">
        <f t="shared" si="47"/>
        <v>0</v>
      </c>
      <c r="S153" s="271">
        <f t="shared" si="47"/>
        <v>0</v>
      </c>
      <c r="T153" s="271">
        <f t="shared" si="47"/>
        <v>0</v>
      </c>
      <c r="U153" s="271">
        <f t="shared" si="47"/>
        <v>0</v>
      </c>
      <c r="V153" s="271">
        <f t="shared" si="47"/>
        <v>0</v>
      </c>
      <c r="W153" s="270">
        <f t="shared" si="47"/>
        <v>0</v>
      </c>
      <c r="X153" s="270">
        <f t="shared" si="47"/>
        <v>0</v>
      </c>
      <c r="Y153" s="270">
        <f t="shared" si="47"/>
        <v>0</v>
      </c>
      <c r="Z153" s="270">
        <f t="shared" si="47"/>
        <v>0</v>
      </c>
      <c r="AA153" s="270">
        <f t="shared" si="47"/>
        <v>0</v>
      </c>
      <c r="AB153" s="269"/>
      <c r="AC153" s="271">
        <f>+AC152-AC87</f>
        <v>0</v>
      </c>
    </row>
    <row r="154" spans="2:34" ht="15">
      <c r="B154" s="266"/>
      <c r="C154" s="267"/>
      <c r="D154" s="267"/>
      <c r="E154" s="270"/>
      <c r="F154" s="270"/>
      <c r="G154" s="270"/>
      <c r="H154" s="270"/>
      <c r="I154" s="270"/>
      <c r="J154" s="270"/>
      <c r="K154" s="270"/>
      <c r="L154" s="270"/>
      <c r="M154" s="270"/>
      <c r="N154" s="270"/>
      <c r="O154" s="270"/>
      <c r="P154" s="267"/>
      <c r="Q154" s="270"/>
      <c r="R154" s="270"/>
      <c r="S154" s="270"/>
      <c r="T154" s="270"/>
      <c r="U154" s="270"/>
      <c r="V154" s="270"/>
      <c r="W154" s="270"/>
      <c r="X154" s="270"/>
      <c r="Y154" s="270"/>
      <c r="Z154" s="270"/>
      <c r="AA154" s="270"/>
      <c r="AB154" s="269"/>
      <c r="AC154" s="267"/>
    </row>
    <row r="155" spans="2:34">
      <c r="C155" s="36"/>
      <c r="D155" s="36"/>
      <c r="E155" s="36"/>
      <c r="G155" s="34"/>
      <c r="H155" s="34"/>
      <c r="I155" s="34"/>
      <c r="P155" s="36"/>
      <c r="Q155" s="36"/>
      <c r="S155" s="34"/>
      <c r="T155" s="34"/>
      <c r="U155" s="34"/>
      <c r="AC155" s="36"/>
    </row>
    <row r="156" spans="2:34">
      <c r="C156" s="36"/>
      <c r="D156" s="36"/>
      <c r="E156" s="36"/>
      <c r="P156" s="36"/>
      <c r="Q156" s="36"/>
      <c r="AC156" s="36"/>
    </row>
  </sheetData>
  <autoFilter ref="A5:AM156" xr:uid="{C3EF4C86-21D2-4D18-83F3-5D7E98E0A486}"/>
  <pageMargins left="0.7" right="0.7" top="0.75" bottom="0.75" header="0.3" footer="0.3"/>
  <pageSetup orientation="portrait" r:id="rId1"/>
  <ignoredErrors>
    <ignoredError sqref="W126:AA126 W12:Y21 W53:AA53 W148:AA148 W31:AA32 W85:AA91 W135:AA135 W114:AA114 W79:AA79 W55:AA56 W54:Z54 W10:Z10 W11 W35:AA35 W33:Y34 W75:Y75 W134:Y134 W137:AA138 W152:X152 Z152:AA152 W149:X151 Z149:AA149 AA92 W128:AA129 Z127:AA127 W116:AA117 X124:AA124 Z150:AA151 Y150:Y151 Y149 Y152 W36:AA36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8580-E5F1-4DD1-8580-B9D507D288C5}">
  <sheetPr codeName="Sheet5"/>
  <dimension ref="A1:AR177"/>
  <sheetViews>
    <sheetView showGridLines="0" zoomScaleNormal="100" workbookViewId="0">
      <pane xSplit="2" ySplit="9" topLeftCell="C76" activePane="bottomRight" state="frozen"/>
      <selection pane="topRight" activeCell="C1" sqref="C1"/>
      <selection pane="bottomLeft" activeCell="A10" sqref="A10"/>
      <selection pane="bottomRight" activeCell="AS114" sqref="AS114"/>
    </sheetView>
  </sheetViews>
  <sheetFormatPr defaultColWidth="8.5546875" defaultRowHeight="14.4" outlineLevelRow="1" outlineLevelCol="1"/>
  <cols>
    <col min="1" max="1" width="3.44140625" style="120" customWidth="1"/>
    <col min="2" max="2" width="38.5546875" style="121" bestFit="1" customWidth="1"/>
    <col min="3" max="3" width="18" style="121" bestFit="1" customWidth="1"/>
    <col min="4" max="4" width="14.44140625" style="121" hidden="1" customWidth="1"/>
    <col min="5" max="5" width="13.44140625" style="121" hidden="1" customWidth="1" outlineLevel="1"/>
    <col min="6" max="6" width="15.21875" style="121" hidden="1" customWidth="1" outlineLevel="1"/>
    <col min="7" max="7" width="14.109375" style="121" hidden="1" customWidth="1" outlineLevel="1"/>
    <col min="8" max="8" width="14.88671875" style="121" hidden="1" customWidth="1" outlineLevel="1"/>
    <col min="9" max="9" width="12.6640625" style="121" hidden="1" customWidth="1" outlineLevel="1"/>
    <col min="10" max="10" width="16.33203125" style="121" hidden="1" customWidth="1" outlineLevel="1"/>
    <col min="11" max="11" width="14.109375" style="121" hidden="1" customWidth="1" outlineLevel="1"/>
    <col min="12" max="12" width="16.88671875" style="121" hidden="1" customWidth="1" outlineLevel="1"/>
    <col min="13" max="13" width="13.88671875" style="121" hidden="1" customWidth="1" collapsed="1"/>
    <col min="14" max="14" width="17.6640625" style="121" hidden="1" customWidth="1" outlineLevel="1"/>
    <col min="15" max="15" width="14.88671875" style="121" hidden="1" customWidth="1" outlineLevel="1"/>
    <col min="16" max="16" width="12.44140625" style="121" bestFit="1" customWidth="1" outlineLevel="1"/>
    <col min="17" max="17" width="13.88671875" style="121" hidden="1" customWidth="1"/>
    <col min="18" max="18" width="14.109375" style="121" bestFit="1" customWidth="1" outlineLevel="1"/>
    <col min="19" max="19" width="14" style="121" customWidth="1" outlineLevel="1"/>
    <col min="20" max="20" width="20.33203125" style="121" hidden="1" customWidth="1"/>
    <col min="21" max="21" width="17.88671875" style="198" hidden="1" customWidth="1"/>
    <col min="22" max="22" width="18" style="121" hidden="1" customWidth="1"/>
    <col min="23" max="23" width="16.5546875" style="121" hidden="1" customWidth="1"/>
    <col min="24" max="24" width="17.77734375" style="121" hidden="1" customWidth="1"/>
    <col min="25" max="25" width="14.44140625" style="121" hidden="1" customWidth="1"/>
    <col min="26" max="26" width="13.44140625" style="121" hidden="1" customWidth="1" outlineLevel="1"/>
    <col min="27" max="27" width="15.21875" style="121" hidden="1" customWidth="1" outlineLevel="1"/>
    <col min="28" max="28" width="14.109375" style="121" hidden="1" customWidth="1" outlineLevel="1"/>
    <col min="29" max="29" width="14.88671875" style="121" hidden="1" customWidth="1" outlineLevel="1"/>
    <col min="30" max="30" width="12.6640625" style="121" hidden="1" customWidth="1" outlineLevel="1"/>
    <col min="31" max="31" width="16.33203125" style="121" hidden="1" customWidth="1" outlineLevel="1"/>
    <col min="32" max="32" width="14.109375" style="121" hidden="1" customWidth="1" outlineLevel="1"/>
    <col min="33" max="33" width="16.88671875" style="121" hidden="1" customWidth="1" outlineLevel="1"/>
    <col min="34" max="34" width="13.88671875" style="121" hidden="1" customWidth="1" collapsed="1"/>
    <col min="35" max="35" width="17.6640625" style="121" hidden="1" customWidth="1" outlineLevel="1"/>
    <col min="36" max="36" width="14.88671875" style="121" hidden="1" customWidth="1" outlineLevel="1"/>
    <col min="37" max="37" width="12.44140625" style="121" hidden="1" customWidth="1" outlineLevel="1"/>
    <col min="38" max="38" width="13.88671875" style="121" hidden="1" customWidth="1" collapsed="1"/>
    <col min="39" max="39" width="15.5546875" style="121" hidden="1" customWidth="1" outlineLevel="1"/>
    <col min="40" max="40" width="14" style="121" hidden="1" customWidth="1" outlineLevel="1"/>
    <col min="41" max="41" width="5" style="121" bestFit="1" customWidth="1" outlineLevel="1"/>
    <col min="42" max="42" width="17.5546875" style="121" hidden="1" customWidth="1" outlineLevel="1"/>
    <col min="43" max="43" width="16.44140625" style="121" hidden="1" customWidth="1"/>
    <col min="44" max="44" width="14" style="121" bestFit="1" customWidth="1"/>
    <col min="45" max="16384" width="8.5546875" style="121"/>
  </cols>
  <sheetData>
    <row r="1" spans="1:44">
      <c r="E1" s="326"/>
      <c r="F1" s="326"/>
      <c r="G1" s="326"/>
      <c r="H1" s="326"/>
      <c r="I1" s="326"/>
      <c r="Z1" s="326"/>
      <c r="AA1" s="326"/>
      <c r="AB1" s="326"/>
      <c r="AC1" s="326"/>
      <c r="AD1" s="326"/>
    </row>
    <row r="2" spans="1:44">
      <c r="E2" s="191"/>
      <c r="F2" s="191"/>
      <c r="G2" s="191"/>
      <c r="H2" s="191"/>
      <c r="I2" s="191"/>
      <c r="Z2" s="191"/>
      <c r="AA2" s="191"/>
      <c r="AB2" s="191"/>
      <c r="AC2" s="191"/>
      <c r="AD2" s="191"/>
      <c r="AP2" s="191"/>
    </row>
    <row r="3" spans="1:44">
      <c r="D3" s="167"/>
      <c r="E3" s="167"/>
      <c r="F3" s="190"/>
      <c r="G3" s="190"/>
      <c r="H3" s="190"/>
      <c r="I3" s="190"/>
      <c r="S3" s="123"/>
      <c r="Y3" s="167"/>
      <c r="Z3" s="167"/>
      <c r="AA3" s="190"/>
      <c r="AB3" s="190"/>
      <c r="AC3" s="190"/>
      <c r="AD3" s="190"/>
      <c r="AN3" s="123"/>
      <c r="AP3" s="167"/>
    </row>
    <row r="4" spans="1:44">
      <c r="D4" s="126"/>
      <c r="E4" s="167"/>
      <c r="F4" s="190"/>
      <c r="G4" s="190"/>
      <c r="H4" s="190"/>
      <c r="I4" s="190"/>
      <c r="S4" s="125"/>
      <c r="Y4" s="126"/>
      <c r="Z4" s="167"/>
      <c r="AA4" s="190"/>
      <c r="AB4" s="190"/>
      <c r="AC4" s="190"/>
      <c r="AD4" s="190"/>
      <c r="AN4" s="125"/>
      <c r="AP4" s="167"/>
    </row>
    <row r="5" spans="1:44">
      <c r="C5" s="126"/>
      <c r="D5" s="126"/>
      <c r="E5" s="167"/>
      <c r="F5" s="190"/>
      <c r="G5" s="190"/>
      <c r="H5" s="190"/>
      <c r="I5" s="190"/>
      <c r="J5" s="167"/>
      <c r="Q5" s="167"/>
      <c r="R5" s="167"/>
      <c r="S5" s="167"/>
      <c r="V5" s="126"/>
      <c r="Y5" s="126"/>
      <c r="Z5" s="167"/>
      <c r="AA5" s="190"/>
      <c r="AB5" s="190"/>
      <c r="AC5" s="190"/>
      <c r="AD5" s="190"/>
      <c r="AE5" s="167"/>
      <c r="AL5" s="167"/>
      <c r="AM5" s="167"/>
      <c r="AN5" s="167"/>
      <c r="AP5" s="167"/>
      <c r="AQ5" s="126"/>
      <c r="AR5" s="127"/>
    </row>
    <row r="6" spans="1:44" s="132" customFormat="1" ht="16.2" thickBot="1">
      <c r="A6" s="128"/>
      <c r="B6" s="129"/>
      <c r="C6" s="130"/>
      <c r="D6" s="131"/>
      <c r="E6" s="189"/>
      <c r="F6" s="189"/>
      <c r="G6" s="192"/>
      <c r="H6" s="192"/>
      <c r="I6" s="192"/>
      <c r="S6" s="133"/>
      <c r="T6" s="196"/>
      <c r="U6" s="199"/>
      <c r="V6" s="130"/>
      <c r="Y6" s="131"/>
      <c r="Z6" s="189"/>
      <c r="AA6" s="189"/>
      <c r="AB6" s="192"/>
      <c r="AC6" s="192"/>
      <c r="AD6" s="192"/>
      <c r="AN6" s="133"/>
      <c r="AP6" s="189"/>
      <c r="AQ6" s="130"/>
    </row>
    <row r="7" spans="1:44" ht="15" thickBot="1">
      <c r="B7" s="134" t="s">
        <v>188</v>
      </c>
      <c r="C7" s="135" t="s">
        <v>203</v>
      </c>
      <c r="D7" s="136" t="s">
        <v>206</v>
      </c>
      <c r="E7" s="193" t="s">
        <v>3</v>
      </c>
      <c r="F7" s="193" t="s">
        <v>3</v>
      </c>
      <c r="G7" s="193" t="s">
        <v>3</v>
      </c>
      <c r="H7" s="193" t="s">
        <v>207</v>
      </c>
      <c r="I7" s="193" t="s">
        <v>3</v>
      </c>
      <c r="J7" s="193" t="s">
        <v>3</v>
      </c>
      <c r="K7" s="193" t="s">
        <v>3</v>
      </c>
      <c r="L7" s="136" t="s">
        <v>208</v>
      </c>
      <c r="M7" s="193" t="s">
        <v>3</v>
      </c>
      <c r="N7" s="193" t="s">
        <v>3</v>
      </c>
      <c r="O7" s="193" t="s">
        <v>3</v>
      </c>
      <c r="P7" s="136" t="s">
        <v>210</v>
      </c>
      <c r="Q7" s="193" t="s">
        <v>3</v>
      </c>
      <c r="R7" s="193" t="s">
        <v>3</v>
      </c>
      <c r="S7" s="193" t="s">
        <v>3</v>
      </c>
      <c r="T7" s="135" t="s">
        <v>201</v>
      </c>
      <c r="U7" s="200" t="s">
        <v>202</v>
      </c>
      <c r="V7" s="135" t="s">
        <v>203</v>
      </c>
      <c r="W7" s="193" t="s">
        <v>204</v>
      </c>
      <c r="X7" s="193" t="s">
        <v>205</v>
      </c>
      <c r="Y7" s="136" t="s">
        <v>206</v>
      </c>
      <c r="Z7" s="193" t="s">
        <v>3</v>
      </c>
      <c r="AA7" s="193" t="s">
        <v>3</v>
      </c>
      <c r="AB7" s="193" t="s">
        <v>3</v>
      </c>
      <c r="AC7" s="193" t="s">
        <v>207</v>
      </c>
      <c r="AD7" s="193" t="s">
        <v>3</v>
      </c>
      <c r="AE7" s="193" t="s">
        <v>3</v>
      </c>
      <c r="AF7" s="193" t="s">
        <v>3</v>
      </c>
      <c r="AG7" s="136" t="s">
        <v>208</v>
      </c>
      <c r="AH7" s="193" t="s">
        <v>3</v>
      </c>
      <c r="AI7" s="193" t="s">
        <v>3</v>
      </c>
      <c r="AJ7" s="193" t="s">
        <v>3</v>
      </c>
      <c r="AK7" s="136" t="s">
        <v>210</v>
      </c>
      <c r="AL7" s="193" t="s">
        <v>3</v>
      </c>
      <c r="AM7" s="193" t="s">
        <v>3</v>
      </c>
      <c r="AN7" s="193" t="s">
        <v>3</v>
      </c>
      <c r="AO7" s="137"/>
      <c r="AP7" s="193" t="s">
        <v>3</v>
      </c>
      <c r="AQ7" s="135" t="s">
        <v>1</v>
      </c>
    </row>
    <row r="8" spans="1:44">
      <c r="B8" s="121" t="s">
        <v>621</v>
      </c>
      <c r="C8" s="195">
        <v>2026</v>
      </c>
      <c r="D8" s="138" t="s">
        <v>7</v>
      </c>
      <c r="E8" s="139">
        <v>46022</v>
      </c>
      <c r="F8" s="139">
        <v>45991</v>
      </c>
      <c r="G8" s="139">
        <v>45961</v>
      </c>
      <c r="H8" s="138" t="s">
        <v>7</v>
      </c>
      <c r="I8" s="139">
        <v>45930</v>
      </c>
      <c r="J8" s="139">
        <v>45900</v>
      </c>
      <c r="K8" s="139">
        <v>45869</v>
      </c>
      <c r="L8" s="138" t="s">
        <v>7</v>
      </c>
      <c r="M8" s="139">
        <v>45838</v>
      </c>
      <c r="N8" s="139">
        <v>45808</v>
      </c>
      <c r="O8" s="139">
        <v>45777</v>
      </c>
      <c r="P8" s="289">
        <v>2026</v>
      </c>
      <c r="Q8" s="139">
        <v>45747</v>
      </c>
      <c r="R8" s="139">
        <v>46081</v>
      </c>
      <c r="S8" s="139">
        <v>46053</v>
      </c>
      <c r="T8" s="187" t="s">
        <v>7</v>
      </c>
      <c r="U8" s="187" t="s">
        <v>7</v>
      </c>
      <c r="V8" s="187" t="s">
        <v>7</v>
      </c>
      <c r="W8" s="139"/>
      <c r="X8" s="139"/>
      <c r="Y8" s="138" t="s">
        <v>7</v>
      </c>
      <c r="Z8" s="139">
        <v>46022</v>
      </c>
      <c r="AA8" s="139">
        <v>45991</v>
      </c>
      <c r="AB8" s="139">
        <v>45961</v>
      </c>
      <c r="AC8" s="138" t="s">
        <v>7</v>
      </c>
      <c r="AD8" s="139">
        <v>45930</v>
      </c>
      <c r="AE8" s="139">
        <v>45900</v>
      </c>
      <c r="AF8" s="139">
        <v>45869</v>
      </c>
      <c r="AG8" s="138" t="s">
        <v>7</v>
      </c>
      <c r="AH8" s="139">
        <v>45838</v>
      </c>
      <c r="AI8" s="139">
        <v>45808</v>
      </c>
      <c r="AJ8" s="139">
        <v>45777</v>
      </c>
      <c r="AK8" s="138" t="s">
        <v>7</v>
      </c>
      <c r="AL8" s="139">
        <v>45747</v>
      </c>
      <c r="AM8" s="139">
        <v>45716</v>
      </c>
      <c r="AN8" s="139">
        <v>45688</v>
      </c>
      <c r="AO8" s="139"/>
      <c r="AP8" s="139">
        <v>45657</v>
      </c>
      <c r="AQ8" s="195">
        <v>2024</v>
      </c>
    </row>
    <row r="9" spans="1:44" ht="15.6">
      <c r="B9" s="140"/>
      <c r="C9" s="141"/>
      <c r="D9" s="142"/>
      <c r="E9" s="131"/>
      <c r="F9" s="131"/>
      <c r="G9" s="131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0"/>
      <c r="U9" s="201"/>
      <c r="V9" s="141"/>
      <c r="W9" s="142"/>
      <c r="X9" s="142"/>
      <c r="Y9" s="142"/>
      <c r="Z9" s="131"/>
      <c r="AA9" s="131"/>
      <c r="AB9" s="131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31"/>
      <c r="AQ9" s="141"/>
    </row>
    <row r="10" spans="1:44">
      <c r="B10" s="143" t="s">
        <v>8</v>
      </c>
      <c r="C10" s="144">
        <f>H10+L10+D10+P10</f>
        <v>32825790.09</v>
      </c>
      <c r="D10" s="144">
        <f t="shared" ref="D10" si="0">SUM(E10:G10)</f>
        <v>0</v>
      </c>
      <c r="E10" s="144">
        <f>'IS Feb KSA'!E10+'IS Feb USA'!E10</f>
        <v>0</v>
      </c>
      <c r="F10" s="144">
        <f>'IS Feb KSA'!F10+'IS Feb USA'!F10</f>
        <v>0</v>
      </c>
      <c r="G10" s="144">
        <f>'IS Feb KSA'!G10+'IS Feb USA'!G10</f>
        <v>0</v>
      </c>
      <c r="H10" s="144">
        <f>I10+J10+K10</f>
        <v>0</v>
      </c>
      <c r="I10" s="144">
        <f>'IS Feb KSA'!I10+'IS Feb USA'!I10</f>
        <v>0</v>
      </c>
      <c r="J10" s="144">
        <f>'IS Feb KSA'!J10+'IS Feb USA'!J10</f>
        <v>0</v>
      </c>
      <c r="K10" s="144">
        <f>'IS Feb KSA'!K10+'IS Feb USA'!K10</f>
        <v>0</v>
      </c>
      <c r="L10" s="144">
        <f>SUM(M10:O10)</f>
        <v>0</v>
      </c>
      <c r="M10" s="144">
        <f>'IS Feb KSA'!M10+'IS Feb USA'!M10</f>
        <v>0</v>
      </c>
      <c r="N10" s="144">
        <f>'IS Feb KSA'!N10+'IS Feb USA'!N10</f>
        <v>0</v>
      </c>
      <c r="O10" s="144">
        <f>'IS Feb KSA'!O10+'IS Feb USA'!O10</f>
        <v>0</v>
      </c>
      <c r="P10" s="144">
        <f>SUM(Q10:S10)</f>
        <v>32825790.09</v>
      </c>
      <c r="Q10" s="144">
        <f>'IS Feb KSA'!Q10+'IS Feb USA'!Q10</f>
        <v>0</v>
      </c>
      <c r="R10" s="144">
        <f>'IS Feb KSA'!R10+'IS Feb USA'!R10</f>
        <v>16439012.65</v>
      </c>
      <c r="S10" s="144">
        <f>'IS Feb KSA'!S10+'IS Feb USA'!S10</f>
        <v>16386777.439999999</v>
      </c>
      <c r="T10" s="197">
        <f>U10-V10</f>
        <v>19703031.259369463</v>
      </c>
      <c r="U10" s="197">
        <v>177528735.87936947</v>
      </c>
      <c r="V10" s="144">
        <f t="shared" ref="V10:V16" si="1">AC10+AG10+Y10+AK10</f>
        <v>157825704.62</v>
      </c>
      <c r="W10" s="197">
        <f>X10-AB10</f>
        <v>13138256.978981625</v>
      </c>
      <c r="X10" s="144">
        <v>28367445.658981625</v>
      </c>
      <c r="Y10" s="144">
        <f t="shared" ref="Y10:Y16" si="2">SUM(Z10:AB10)</f>
        <v>54905863.700000003</v>
      </c>
      <c r="Z10" s="172">
        <f>'IS Feb KSA'!V10+'IS Feb USA'!V10</f>
        <v>20791022.670000002</v>
      </c>
      <c r="AA10" s="172">
        <f>'IS Feb KSA'!W10+'IS Feb USA'!W10</f>
        <v>18885652.350000001</v>
      </c>
      <c r="AB10" s="144">
        <f>'IS Feb KSA'!X10+'IS Feb USA'!X10</f>
        <v>15229188.68</v>
      </c>
      <c r="AC10" s="144">
        <f>AD10+AE10+AF10</f>
        <v>37535436.420000002</v>
      </c>
      <c r="AD10" s="144">
        <f>'IS Feb KSA'!Z10+'IS Feb USA'!Z10</f>
        <v>9966234.8399999999</v>
      </c>
      <c r="AE10" s="144">
        <f>'IS Feb KSA'!AA10+'IS Feb USA'!AA10</f>
        <v>7379008.2599999998</v>
      </c>
      <c r="AF10" s="144">
        <f>'IS Feb KSA'!AB10+'IS Feb USA'!AB10</f>
        <v>20190193.32</v>
      </c>
      <c r="AG10" s="144">
        <f>SUM(AH10:AJ10)</f>
        <v>32972334.800000001</v>
      </c>
      <c r="AH10" s="144">
        <f>'IS Feb KSA'!AD10+'IS Feb USA'!AD10</f>
        <v>11726375.869999999</v>
      </c>
      <c r="AI10" s="144">
        <f>'IS Feb KSA'!AE10+'IS Feb USA'!AE10</f>
        <v>11371330.73</v>
      </c>
      <c r="AJ10" s="144">
        <f>'IS Feb KSA'!AF10+'IS Feb USA'!AF10</f>
        <v>9874628.1999999993</v>
      </c>
      <c r="AK10" s="144">
        <f>SUM(AL10:AN10)</f>
        <v>32412069.700000003</v>
      </c>
      <c r="AL10" s="144">
        <f>'IS Feb KSA'!AH10+'IS Feb USA'!AH10</f>
        <v>13667110.41</v>
      </c>
      <c r="AM10" s="144">
        <f>'IS Feb KSA'!AI10+'IS Feb USA'!AI10</f>
        <v>10659012.9</v>
      </c>
      <c r="AN10" s="144">
        <f>'IS Feb KSA'!AJ10+'IS Feb USA'!AJ10</f>
        <v>8085946.3899999997</v>
      </c>
      <c r="AO10" s="145"/>
      <c r="AP10" s="172">
        <v>10080211.189999999</v>
      </c>
      <c r="AQ10" s="144">
        <v>76420879.799999997</v>
      </c>
    </row>
    <row r="11" spans="1:44">
      <c r="B11" s="143" t="s">
        <v>9</v>
      </c>
      <c r="C11" s="144">
        <f t="shared" ref="C11:C16" si="3">H11+L11+D11+P11</f>
        <v>14516.1</v>
      </c>
      <c r="D11" s="144"/>
      <c r="E11" s="144">
        <f>'IS Feb KSA'!E11+'IS Feb USA'!E11</f>
        <v>0</v>
      </c>
      <c r="F11" s="144">
        <f>'IS Feb KSA'!F11+'IS Feb USA'!F11</f>
        <v>0</v>
      </c>
      <c r="G11" s="144">
        <f>'IS Feb KSA'!G11+'IS Feb USA'!G11</f>
        <v>0</v>
      </c>
      <c r="H11" s="144"/>
      <c r="I11" s="144">
        <f>'IS Feb KSA'!I11+'IS Feb USA'!I11</f>
        <v>0</v>
      </c>
      <c r="J11" s="144"/>
      <c r="K11" s="144">
        <f>'IS Feb KSA'!G11+'IS Feb USA'!G11</f>
        <v>0</v>
      </c>
      <c r="L11" s="144">
        <f t="shared" ref="L11:L13" si="4">SUM(M11:O11)</f>
        <v>0</v>
      </c>
      <c r="M11" s="144">
        <f>'IS Feb KSA'!M11+'IS Feb USA'!M11</f>
        <v>0</v>
      </c>
      <c r="N11" s="144">
        <f>'IS Feb KSA'!N11+'IS Feb USA'!N11</f>
        <v>0</v>
      </c>
      <c r="O11" s="144">
        <f>'IS Feb KSA'!O11+'IS Feb USA'!O11</f>
        <v>0</v>
      </c>
      <c r="P11" s="144">
        <f t="shared" ref="P11" si="5">SUM(Q11:S11)</f>
        <v>14516.1</v>
      </c>
      <c r="Q11" s="144">
        <f>'IS Feb KSA'!Q11+'IS Feb USA'!Q11</f>
        <v>0</v>
      </c>
      <c r="R11" s="144">
        <f>'IS Feb KSA'!R11+'IS Feb USA'!R11</f>
        <v>14516.1</v>
      </c>
      <c r="S11" s="144">
        <f>'IS Feb KSA'!S11+'IS Feb USA'!S11</f>
        <v>0</v>
      </c>
      <c r="T11" s="197">
        <f>U11-V11</f>
        <v>-82363.38</v>
      </c>
      <c r="U11" s="197">
        <v>0</v>
      </c>
      <c r="V11" s="144">
        <f t="shared" si="1"/>
        <v>82363.38</v>
      </c>
      <c r="W11" s="197">
        <f t="shared" ref="W11:W75" si="6">X11-AB11</f>
        <v>0</v>
      </c>
      <c r="X11" s="144"/>
      <c r="Y11" s="144"/>
      <c r="Z11" s="172"/>
      <c r="AA11" s="172"/>
      <c r="AB11" s="144"/>
      <c r="AC11" s="144"/>
      <c r="AD11" s="144"/>
      <c r="AE11" s="144"/>
      <c r="AF11" s="144">
        <f>'IS Feb KSA'!AB11+'IS Feb USA'!AB11</f>
        <v>0</v>
      </c>
      <c r="AG11" s="144">
        <f>SUM(AH11:AJ11)</f>
        <v>82363.38</v>
      </c>
      <c r="AH11" s="144">
        <f>'IS Feb KSA'!AD11+'IS Feb USA'!AD11</f>
        <v>-7558.83</v>
      </c>
      <c r="AI11" s="144">
        <f>'IS Feb KSA'!AE11+'IS Feb USA'!AE11</f>
        <v>78283.38</v>
      </c>
      <c r="AJ11" s="144">
        <f>'IS Feb KSA'!AF11+'IS Feb USA'!AF11</f>
        <v>11638.83</v>
      </c>
      <c r="AK11" s="144"/>
      <c r="AL11" s="144"/>
      <c r="AM11" s="144"/>
      <c r="AN11" s="144"/>
      <c r="AO11" s="145"/>
      <c r="AP11" s="172"/>
      <c r="AQ11" s="144"/>
    </row>
    <row r="12" spans="1:44">
      <c r="B12" s="143" t="s">
        <v>10</v>
      </c>
      <c r="C12" s="144">
        <f t="shared" si="3"/>
        <v>29328845.52</v>
      </c>
      <c r="D12" s="144">
        <f t="shared" ref="D12:D16" si="7">SUM(E12:G12)</f>
        <v>0</v>
      </c>
      <c r="E12" s="144">
        <f>'IS Feb KSA'!E12+'IS Feb USA'!E12</f>
        <v>0</v>
      </c>
      <c r="F12" s="144">
        <f>'IS Feb KSA'!F12+'IS Feb USA'!F12</f>
        <v>0</v>
      </c>
      <c r="G12" s="144">
        <f>'IS Feb KSA'!G12+'IS Feb USA'!G12</f>
        <v>0</v>
      </c>
      <c r="H12" s="144">
        <f t="shared" ref="H12:H16" si="8">I12+J12+K12</f>
        <v>0</v>
      </c>
      <c r="I12" s="144">
        <f>'IS Feb KSA'!I12+'IS Feb USA'!I12</f>
        <v>0</v>
      </c>
      <c r="J12" s="144">
        <f>'IS Feb KSA'!F12+'IS Feb USA'!F12</f>
        <v>0</v>
      </c>
      <c r="K12" s="144">
        <f>'IS Feb KSA'!G12+'IS Feb USA'!G12</f>
        <v>0</v>
      </c>
      <c r="L12" s="144">
        <f t="shared" si="4"/>
        <v>0</v>
      </c>
      <c r="M12" s="144">
        <f>'IS Feb KSA'!M12+'IS Feb USA'!M12</f>
        <v>0</v>
      </c>
      <c r="N12" s="144">
        <f>'IS Feb KSA'!N12+'IS Feb USA'!N12</f>
        <v>0</v>
      </c>
      <c r="O12" s="144">
        <f>'IS Feb KSA'!O12+'IS Feb USA'!O12</f>
        <v>0</v>
      </c>
      <c r="P12" s="144">
        <f t="shared" ref="P12:P13" si="9">SUM(Q12:S12)</f>
        <v>29328845.52</v>
      </c>
      <c r="Q12" s="144">
        <f>'IS Feb KSA'!Q12+'IS Feb USA'!Q12</f>
        <v>0</v>
      </c>
      <c r="R12" s="144">
        <f>'IS Feb KSA'!R12+'IS Feb USA'!R12</f>
        <v>14552432.84</v>
      </c>
      <c r="S12" s="144">
        <f>'IS Feb KSA'!S12+'IS Feb USA'!S12</f>
        <v>14776412.68</v>
      </c>
      <c r="T12" s="197">
        <f t="shared" ref="T12:T87" si="10">U12-V12</f>
        <v>20071850.291824996</v>
      </c>
      <c r="U12" s="197">
        <v>160984371.971825</v>
      </c>
      <c r="V12" s="144">
        <f t="shared" si="1"/>
        <v>140912521.68000001</v>
      </c>
      <c r="W12" s="197">
        <f t="shared" si="6"/>
        <v>12210182.212747201</v>
      </c>
      <c r="X12" s="144">
        <v>25723809.732747201</v>
      </c>
      <c r="Y12" s="144">
        <f t="shared" si="2"/>
        <v>48616544.590000004</v>
      </c>
      <c r="Z12" s="144">
        <f>'IS Feb KSA'!V12+'IS Feb USA'!V12</f>
        <v>18140835</v>
      </c>
      <c r="AA12" s="144">
        <f>'IS Feb KSA'!W12+'IS Feb USA'!W12</f>
        <v>16962082.07</v>
      </c>
      <c r="AB12" s="144">
        <f>'IS Feb KSA'!X12+'IS Feb USA'!X12</f>
        <v>13513627.52</v>
      </c>
      <c r="AC12" s="144">
        <f t="shared" ref="AC12:AC16" si="11">AD12+AE12+AF12</f>
        <v>33436501.600000001</v>
      </c>
      <c r="AD12" s="144">
        <f>'IS Feb KSA'!Z12+'IS Feb USA'!Z12</f>
        <v>8979707.7100000009</v>
      </c>
      <c r="AE12" s="144">
        <f>'IS Feb KSA'!AA12+'IS Feb USA'!AA12</f>
        <v>6625405.4800000004</v>
      </c>
      <c r="AF12" s="144">
        <f>'IS Feb KSA'!AB12+'IS Feb USA'!AB12</f>
        <v>17831388.41</v>
      </c>
      <c r="AG12" s="144">
        <f t="shared" ref="AG12:AG16" si="12">SUM(AH12:AJ12)</f>
        <v>29582790.009999998</v>
      </c>
      <c r="AH12" s="144">
        <f>'IS Feb KSA'!AD12+'IS Feb USA'!AD12</f>
        <v>10608445.439999999</v>
      </c>
      <c r="AI12" s="144">
        <f>'IS Feb KSA'!AE12+'IS Feb USA'!AE12</f>
        <v>10128323.25</v>
      </c>
      <c r="AJ12" s="144">
        <f>'IS Feb KSA'!AF12+'IS Feb USA'!AF12</f>
        <v>8846021.3200000003</v>
      </c>
      <c r="AK12" s="144">
        <f t="shared" ref="AK12:AK16" si="13">SUM(AL12:AN12)</f>
        <v>29276685.480000004</v>
      </c>
      <c r="AL12" s="144">
        <f>'IS Feb KSA'!AH12+'IS Feb USA'!AH12</f>
        <v>12403281.220000001</v>
      </c>
      <c r="AM12" s="144">
        <f>'IS Feb KSA'!AI12+'IS Feb USA'!AI12</f>
        <v>9631833.0199999996</v>
      </c>
      <c r="AN12" s="144">
        <f>'IS Feb KSA'!AJ12+'IS Feb USA'!AJ12</f>
        <v>7241571.2400000002</v>
      </c>
      <c r="AO12" s="145"/>
      <c r="AP12" s="144">
        <v>9065157.9299999997</v>
      </c>
      <c r="AQ12" s="144">
        <v>69127801.870000005</v>
      </c>
    </row>
    <row r="13" spans="1:44" outlineLevel="1">
      <c r="B13" s="143" t="s">
        <v>11</v>
      </c>
      <c r="C13" s="144">
        <f t="shared" si="3"/>
        <v>-88806.57</v>
      </c>
      <c r="D13" s="144">
        <f t="shared" si="7"/>
        <v>0</v>
      </c>
      <c r="E13" s="144">
        <f>'IS Feb KSA'!E13+'IS Feb USA'!E13</f>
        <v>0</v>
      </c>
      <c r="F13" s="144">
        <f>'IS Feb KSA'!F13+'IS Feb USA'!F13</f>
        <v>0</v>
      </c>
      <c r="G13" s="144">
        <f>'IS Feb KSA'!G13+'IS Feb USA'!G13</f>
        <v>0</v>
      </c>
      <c r="H13" s="144">
        <f t="shared" si="8"/>
        <v>0</v>
      </c>
      <c r="I13" s="144">
        <f>'IS Feb KSA'!I13+'IS Feb USA'!I13</f>
        <v>0</v>
      </c>
      <c r="J13" s="144">
        <f>'IS Feb KSA'!F13+'IS Feb USA'!F13</f>
        <v>0</v>
      </c>
      <c r="K13" s="144">
        <f>'IS Feb KSA'!G13+'IS Feb USA'!G13</f>
        <v>0</v>
      </c>
      <c r="L13" s="144">
        <f t="shared" si="4"/>
        <v>0</v>
      </c>
      <c r="M13" s="144">
        <f>'IS Feb KSA'!M13+'IS Feb USA'!M13</f>
        <v>0</v>
      </c>
      <c r="N13" s="144">
        <f>'IS Feb KSA'!N13+'IS Feb USA'!N13</f>
        <v>0</v>
      </c>
      <c r="O13" s="144">
        <f>'IS Feb KSA'!O13+'IS Feb USA'!O13</f>
        <v>0</v>
      </c>
      <c r="P13" s="144">
        <f t="shared" si="9"/>
        <v>-88806.57</v>
      </c>
      <c r="Q13" s="144">
        <f>'IS Feb KSA'!Q13+'IS Feb USA'!Q13</f>
        <v>0</v>
      </c>
      <c r="R13" s="144">
        <f>'IS Feb KSA'!R13+'IS Feb USA'!R13</f>
        <v>-12857.77</v>
      </c>
      <c r="S13" s="144">
        <f>'IS Feb KSA'!S13+'IS Feb USA'!S13</f>
        <v>-75948.800000000003</v>
      </c>
      <c r="T13" s="197">
        <f t="shared" si="10"/>
        <v>222027.18999999997</v>
      </c>
      <c r="U13" s="197">
        <v>0</v>
      </c>
      <c r="V13" s="144">
        <f t="shared" si="1"/>
        <v>-222027.18999999997</v>
      </c>
      <c r="W13" s="197">
        <f t="shared" si="6"/>
        <v>1550.94</v>
      </c>
      <c r="X13" s="144">
        <v>0</v>
      </c>
      <c r="Y13" s="144">
        <f t="shared" si="2"/>
        <v>-148153.35999999999</v>
      </c>
      <c r="Z13" s="144">
        <f>'IS Feb KSA'!V13+'IS Feb USA'!V13</f>
        <v>-131612.06</v>
      </c>
      <c r="AA13" s="144">
        <f>'IS Feb KSA'!W13+'IS Feb USA'!W13</f>
        <v>-14990.36</v>
      </c>
      <c r="AB13" s="144">
        <f>'IS Feb KSA'!X13+'IS Feb USA'!X13</f>
        <v>-1550.94</v>
      </c>
      <c r="AC13" s="144">
        <f t="shared" si="11"/>
        <v>0</v>
      </c>
      <c r="AD13" s="144">
        <f>'IS Feb KSA'!Z13+'IS Feb USA'!Z13</f>
        <v>0</v>
      </c>
      <c r="AE13" s="144">
        <f>'IS Feb KSA'!AA13+'IS Feb USA'!AA13</f>
        <v>0</v>
      </c>
      <c r="AF13" s="144">
        <f>'IS Feb KSA'!AB13+'IS Feb USA'!AB13</f>
        <v>0</v>
      </c>
      <c r="AG13" s="144">
        <f t="shared" si="12"/>
        <v>-62005.67</v>
      </c>
      <c r="AH13" s="144">
        <f>'IS Feb KSA'!AD13+'IS Feb USA'!AD13</f>
        <v>0</v>
      </c>
      <c r="AI13" s="144">
        <f>'IS Feb KSA'!AE13+'IS Feb USA'!AE13</f>
        <v>-62005.67</v>
      </c>
      <c r="AJ13" s="144">
        <f>'IS Feb KSA'!AF13+'IS Feb USA'!AF13</f>
        <v>0</v>
      </c>
      <c r="AK13" s="144">
        <f t="shared" si="13"/>
        <v>-11868.16</v>
      </c>
      <c r="AL13" s="144">
        <f>'IS Feb KSA'!AH13+'IS Feb USA'!AH13</f>
        <v>-7728.16</v>
      </c>
      <c r="AM13" s="144">
        <f>'IS Feb KSA'!AI13+'IS Feb USA'!AI13</f>
        <v>-4140</v>
      </c>
      <c r="AN13" s="144">
        <f>'IS Feb KSA'!AJ13+'IS Feb USA'!AJ13</f>
        <v>0</v>
      </c>
      <c r="AO13" s="146"/>
      <c r="AP13" s="144">
        <v>0</v>
      </c>
      <c r="AQ13" s="144">
        <v>-93226.45</v>
      </c>
    </row>
    <row r="14" spans="1:44">
      <c r="B14" s="143" t="s">
        <v>12</v>
      </c>
      <c r="C14" s="144">
        <f t="shared" ref="C14:R14" si="14">+C10-C11-(C12+C13)</f>
        <v>3571235.0399999991</v>
      </c>
      <c r="D14" s="144">
        <f t="shared" si="14"/>
        <v>0</v>
      </c>
      <c r="E14" s="144">
        <f t="shared" si="14"/>
        <v>0</v>
      </c>
      <c r="F14" s="144">
        <f t="shared" si="14"/>
        <v>0</v>
      </c>
      <c r="G14" s="144">
        <f t="shared" si="14"/>
        <v>0</v>
      </c>
      <c r="H14" s="144">
        <f t="shared" si="14"/>
        <v>0</v>
      </c>
      <c r="I14" s="144">
        <f t="shared" si="14"/>
        <v>0</v>
      </c>
      <c r="J14" s="144">
        <f t="shared" si="14"/>
        <v>0</v>
      </c>
      <c r="K14" s="144">
        <f t="shared" si="14"/>
        <v>0</v>
      </c>
      <c r="L14" s="144">
        <f t="shared" si="14"/>
        <v>0</v>
      </c>
      <c r="M14" s="144">
        <f t="shared" si="14"/>
        <v>0</v>
      </c>
      <c r="N14" s="144">
        <f t="shared" si="14"/>
        <v>0</v>
      </c>
      <c r="O14" s="144">
        <f t="shared" si="14"/>
        <v>0</v>
      </c>
      <c r="P14" s="144">
        <f t="shared" si="14"/>
        <v>3571235.0399999991</v>
      </c>
      <c r="Q14" s="144">
        <f t="shared" si="14"/>
        <v>0</v>
      </c>
      <c r="R14" s="144">
        <f t="shared" si="14"/>
        <v>1884921.4800000004</v>
      </c>
      <c r="S14" s="144">
        <f>+S10-S11-(S12+S13)</f>
        <v>1686313.5600000005</v>
      </c>
      <c r="T14" s="197">
        <f>U14-V14</f>
        <v>-508482.84245553985</v>
      </c>
      <c r="U14" s="144">
        <f>U10-U12+U13</f>
        <v>16544363.907544464</v>
      </c>
      <c r="V14" s="144">
        <f t="shared" si="1"/>
        <v>17052846.750000004</v>
      </c>
      <c r="W14" s="197">
        <f t="shared" si="6"/>
        <v>926523.82623442449</v>
      </c>
      <c r="X14" s="144">
        <f>+X10-(X12+X13)-X11</f>
        <v>2643635.9262344241</v>
      </c>
      <c r="Y14" s="144">
        <f t="shared" si="2"/>
        <v>6437472.4700000007</v>
      </c>
      <c r="Z14" s="144">
        <f>'IS Feb KSA'!V14+'IS Feb USA'!V14</f>
        <v>2781799.7300000004</v>
      </c>
      <c r="AA14" s="144">
        <f>'IS Feb KSA'!W14+'IS Feb USA'!W14</f>
        <v>1938560.6400000006</v>
      </c>
      <c r="AB14" s="144">
        <f>'IS Feb KSA'!X14+'IS Feb USA'!X14</f>
        <v>1717112.0999999996</v>
      </c>
      <c r="AC14" s="144">
        <f t="shared" si="11"/>
        <v>4098934.8199999984</v>
      </c>
      <c r="AD14" s="144">
        <f>'IS Feb KSA'!Z14+'IS Feb USA'!Z14</f>
        <v>986527.12999999896</v>
      </c>
      <c r="AE14" s="144">
        <f>'IS Feb KSA'!AA14+'IS Feb USA'!AA14</f>
        <v>753602.77999999933</v>
      </c>
      <c r="AF14" s="144">
        <f>+AF10-(AF12+AF13)-AF11</f>
        <v>2358804.91</v>
      </c>
      <c r="AG14" s="144">
        <f>+AG10-(AG12+AG13)-AG11</f>
        <v>3369187.0800000047</v>
      </c>
      <c r="AH14" s="144">
        <f>+AH10-(AH12+AH13)-AH11</f>
        <v>1125489.2599999998</v>
      </c>
      <c r="AI14" s="144">
        <f>+AI10-(AI12+AI13)-AI11</f>
        <v>1226729.7700000005</v>
      </c>
      <c r="AJ14" s="144">
        <f>+AJ10-(AJ12+AJ13)-AJ11</f>
        <v>1016968.049999999</v>
      </c>
      <c r="AK14" s="144">
        <f>+AK10-(AK12+AK13)</f>
        <v>3147252.379999999</v>
      </c>
      <c r="AL14" s="144">
        <f>+AL10-(AL12+AL13)</f>
        <v>1271557.3499999996</v>
      </c>
      <c r="AM14" s="144">
        <f>+AM10-(AM12+AM13)</f>
        <v>1031319.8800000008</v>
      </c>
      <c r="AN14" s="144">
        <f>+AN10-(AN12+AN13)</f>
        <v>844375.14999999944</v>
      </c>
      <c r="AO14" s="145"/>
      <c r="AP14" s="144">
        <v>1015053.2599999998</v>
      </c>
      <c r="AQ14" s="144">
        <v>7386304.379999998</v>
      </c>
    </row>
    <row r="15" spans="1:44">
      <c r="B15" s="143" t="s">
        <v>13</v>
      </c>
      <c r="C15" s="144">
        <f t="shared" si="3"/>
        <v>0</v>
      </c>
      <c r="D15" s="144">
        <f t="shared" si="7"/>
        <v>0</v>
      </c>
      <c r="E15" s="144">
        <f>'IS Feb KSA'!E15+'IS Feb USA'!E15</f>
        <v>0</v>
      </c>
      <c r="F15" s="144">
        <f>'IS Feb KSA'!F15+'IS Feb USA'!F15</f>
        <v>0</v>
      </c>
      <c r="G15" s="144">
        <f>'IS Feb KSA'!G15+'IS Feb USA'!G15</f>
        <v>0</v>
      </c>
      <c r="H15" s="144">
        <f t="shared" si="8"/>
        <v>0</v>
      </c>
      <c r="I15" s="144">
        <f>'IS Feb KSA'!I15+'IS Feb USA'!I15</f>
        <v>0</v>
      </c>
      <c r="J15" s="144">
        <f>'IS Feb KSA'!F15+'IS Feb USA'!F15</f>
        <v>0</v>
      </c>
      <c r="K15" s="144">
        <f>'IS Feb KSA'!G15+'IS Feb USA'!G15</f>
        <v>0</v>
      </c>
      <c r="L15" s="144">
        <f t="shared" ref="L15:L16" si="15">SUM(M15:O15)</f>
        <v>0</v>
      </c>
      <c r="M15" s="144">
        <f>'IS Feb KSA'!M15+'IS Feb USA'!M15</f>
        <v>0</v>
      </c>
      <c r="N15" s="144">
        <f>'IS Feb KSA'!N15+'IS Feb USA'!N15</f>
        <v>0</v>
      </c>
      <c r="O15" s="144">
        <f>'IS Feb KSA'!O15+'IS Feb USA'!O15</f>
        <v>0</v>
      </c>
      <c r="P15" s="144">
        <f t="shared" ref="P15:P16" si="16">SUM(Q15:S15)</f>
        <v>0</v>
      </c>
      <c r="Q15" s="144">
        <f>'IS Feb KSA'!Q15+'IS Feb USA'!Q15</f>
        <v>0</v>
      </c>
      <c r="R15" s="144">
        <f>'IS Feb KSA'!R15+'IS Feb USA'!R15</f>
        <v>0</v>
      </c>
      <c r="S15" s="144">
        <f>'IS Feb KSA'!S15+'IS Feb USA'!S15</f>
        <v>0</v>
      </c>
      <c r="T15" s="197">
        <f t="shared" si="10"/>
        <v>-18230.96</v>
      </c>
      <c r="U15" s="197">
        <v>0</v>
      </c>
      <c r="V15" s="144">
        <f t="shared" si="1"/>
        <v>18230.96</v>
      </c>
      <c r="W15" s="197">
        <f t="shared" si="6"/>
        <v>0</v>
      </c>
      <c r="X15" s="144"/>
      <c r="Y15" s="144">
        <f t="shared" si="2"/>
        <v>0</v>
      </c>
      <c r="Z15" s="144">
        <f>'IS Feb KSA'!V15+'IS Feb USA'!V15</f>
        <v>0</v>
      </c>
      <c r="AA15" s="144">
        <f>'IS Feb KSA'!W15+'IS Feb USA'!W15</f>
        <v>0</v>
      </c>
      <c r="AB15" s="144">
        <f>'IS Feb KSA'!X15+'IS Feb USA'!X15</f>
        <v>0</v>
      </c>
      <c r="AC15" s="144">
        <f t="shared" si="11"/>
        <v>124.13</v>
      </c>
      <c r="AD15" s="144">
        <f>'IS Feb KSA'!Z15+'IS Feb USA'!Z15</f>
        <v>37.5</v>
      </c>
      <c r="AE15" s="144">
        <f>'IS Feb KSA'!AA15+'IS Feb USA'!AA15</f>
        <v>0</v>
      </c>
      <c r="AF15" s="144">
        <f>'IS Feb KSA'!AB15+'IS Feb USA'!AB15</f>
        <v>86.63</v>
      </c>
      <c r="AG15" s="144">
        <f t="shared" si="12"/>
        <v>98.26</v>
      </c>
      <c r="AH15" s="144">
        <f>'IS Feb KSA'!AD15+'IS Feb USA'!AD15</f>
        <v>49.13</v>
      </c>
      <c r="AI15" s="144">
        <f>'IS Feb KSA'!AE15+'IS Feb USA'!AE15</f>
        <v>49.13</v>
      </c>
      <c r="AJ15" s="144">
        <f>'IS Feb KSA'!AF15+'IS Feb USA'!AF15</f>
        <v>0</v>
      </c>
      <c r="AK15" s="144">
        <f t="shared" si="13"/>
        <v>18008.57</v>
      </c>
      <c r="AL15" s="144">
        <f>'IS Feb KSA'!AH15+'IS Feb USA'!AH15</f>
        <v>12000</v>
      </c>
      <c r="AM15" s="144">
        <f>'IS Feb KSA'!AI15+'IS Feb USA'!AI15</f>
        <v>6008.57</v>
      </c>
      <c r="AN15" s="144">
        <f>'IS Feb KSA'!AJ15+'IS Feb USA'!AJ15</f>
        <v>0</v>
      </c>
      <c r="AO15" s="145"/>
      <c r="AP15" s="144"/>
      <c r="AQ15" s="144"/>
    </row>
    <row r="16" spans="1:44">
      <c r="B16" s="143" t="s">
        <v>14</v>
      </c>
      <c r="C16" s="144">
        <f t="shared" si="3"/>
        <v>0</v>
      </c>
      <c r="D16" s="144">
        <f t="shared" si="7"/>
        <v>0</v>
      </c>
      <c r="E16" s="144">
        <f>'IS Feb KSA'!E16+'IS Feb USA'!E16</f>
        <v>0</v>
      </c>
      <c r="F16" s="144">
        <f>'IS Feb KSA'!F16+'IS Feb USA'!F16</f>
        <v>0</v>
      </c>
      <c r="G16" s="144">
        <f>'IS Feb KSA'!G16+'IS Feb USA'!G16</f>
        <v>0</v>
      </c>
      <c r="H16" s="144">
        <f t="shared" si="8"/>
        <v>0</v>
      </c>
      <c r="I16" s="144">
        <f>'IS Feb KSA'!I16+'IS Feb USA'!I16</f>
        <v>0</v>
      </c>
      <c r="J16" s="144">
        <f>'IS Feb KSA'!F16+'IS Feb USA'!F16</f>
        <v>0</v>
      </c>
      <c r="K16" s="144">
        <f>'IS Feb KSA'!G16+'IS Feb USA'!G16</f>
        <v>0</v>
      </c>
      <c r="L16" s="144">
        <f t="shared" si="15"/>
        <v>0</v>
      </c>
      <c r="M16" s="144">
        <f>'IS Feb KSA'!M16+'IS Feb USA'!M16</f>
        <v>0</v>
      </c>
      <c r="N16" s="144">
        <f>'IS Feb KSA'!N16+'IS Feb USA'!N16</f>
        <v>0</v>
      </c>
      <c r="O16" s="144">
        <f>'IS Feb KSA'!O16+'IS Feb USA'!O16</f>
        <v>0</v>
      </c>
      <c r="P16" s="144">
        <f t="shared" si="16"/>
        <v>0</v>
      </c>
      <c r="Q16" s="144">
        <f>'IS Feb KSA'!Q16+'IS Feb USA'!Q16</f>
        <v>0</v>
      </c>
      <c r="R16" s="144">
        <f>'IS Feb KSA'!R16+'IS Feb USA'!R16</f>
        <v>0</v>
      </c>
      <c r="S16" s="144">
        <f>'IS Feb KSA'!S16+'IS Feb USA'!S16</f>
        <v>0</v>
      </c>
      <c r="T16" s="197">
        <f t="shared" si="10"/>
        <v>482608.69695652172</v>
      </c>
      <c r="U16" s="197">
        <v>547826.08695652173</v>
      </c>
      <c r="V16" s="144">
        <f t="shared" si="1"/>
        <v>65217.39</v>
      </c>
      <c r="W16" s="197">
        <f t="shared" si="6"/>
        <v>65217.391304347824</v>
      </c>
      <c r="X16" s="144">
        <v>65217.391304347824</v>
      </c>
      <c r="Y16" s="144">
        <f t="shared" si="2"/>
        <v>0</v>
      </c>
      <c r="Z16" s="144">
        <f>'IS Feb KSA'!V16+'IS Feb USA'!V16</f>
        <v>0</v>
      </c>
      <c r="AA16" s="144">
        <f>'IS Feb KSA'!W16+'IS Feb USA'!W16</f>
        <v>0</v>
      </c>
      <c r="AB16" s="144">
        <f>'IS Feb KSA'!X16+'IS Feb USA'!X16</f>
        <v>0</v>
      </c>
      <c r="AC16" s="144">
        <f t="shared" si="11"/>
        <v>0</v>
      </c>
      <c r="AD16" s="144">
        <f>'IS Feb KSA'!Z16+'IS Feb USA'!Z16</f>
        <v>0</v>
      </c>
      <c r="AE16" s="144">
        <f>'IS Feb KSA'!AA16+'IS Feb USA'!AA16</f>
        <v>0</v>
      </c>
      <c r="AF16" s="144">
        <f>'IS Feb KSA'!AB16+'IS Feb USA'!AB16</f>
        <v>0</v>
      </c>
      <c r="AG16" s="144">
        <f t="shared" si="12"/>
        <v>0</v>
      </c>
      <c r="AH16" s="144">
        <f>'IS Feb KSA'!AD16+'IS Feb USA'!AD16</f>
        <v>0</v>
      </c>
      <c r="AI16" s="144">
        <f>'IS Feb KSA'!AE16+'IS Feb USA'!AE16</f>
        <v>0</v>
      </c>
      <c r="AJ16" s="144">
        <f>'IS Feb KSA'!AF16+'IS Feb USA'!AF16</f>
        <v>0</v>
      </c>
      <c r="AK16" s="144">
        <f t="shared" si="13"/>
        <v>65217.39</v>
      </c>
      <c r="AL16" s="144">
        <f>'IS Feb KSA'!AH16+'IS Feb USA'!AH16</f>
        <v>0</v>
      </c>
      <c r="AM16" s="144">
        <f>'IS Feb KSA'!AI16+'IS Feb USA'!AI16</f>
        <v>0</v>
      </c>
      <c r="AN16" s="144">
        <f>'IS Feb KSA'!AJ16+'IS Feb USA'!AJ16</f>
        <v>65217.39</v>
      </c>
      <c r="AO16" s="145"/>
      <c r="AP16" s="144">
        <v>26086.959999999999</v>
      </c>
      <c r="AQ16" s="144">
        <v>293478.27</v>
      </c>
    </row>
    <row r="17" spans="1:43" s="151" customFormat="1">
      <c r="A17" s="147"/>
      <c r="B17" s="148" t="s">
        <v>15</v>
      </c>
      <c r="C17" s="149">
        <f>+C16+C14+C15</f>
        <v>3571235.0399999991</v>
      </c>
      <c r="D17" s="149">
        <f t="shared" ref="D17:K17" si="17">+D16+D14+D15</f>
        <v>0</v>
      </c>
      <c r="E17" s="149">
        <f t="shared" si="17"/>
        <v>0</v>
      </c>
      <c r="F17" s="149">
        <f t="shared" si="17"/>
        <v>0</v>
      </c>
      <c r="G17" s="149">
        <f t="shared" si="17"/>
        <v>0</v>
      </c>
      <c r="H17" s="149">
        <f t="shared" si="17"/>
        <v>0</v>
      </c>
      <c r="I17" s="149">
        <f t="shared" si="17"/>
        <v>0</v>
      </c>
      <c r="J17" s="149">
        <f t="shared" si="17"/>
        <v>0</v>
      </c>
      <c r="K17" s="149">
        <f t="shared" si="17"/>
        <v>0</v>
      </c>
      <c r="L17" s="149">
        <f>+L16+L14+L15</f>
        <v>0</v>
      </c>
      <c r="M17" s="149">
        <f>+M16+M14+M15</f>
        <v>0</v>
      </c>
      <c r="N17" s="149">
        <f>+N16+N14+N15</f>
        <v>0</v>
      </c>
      <c r="O17" s="149">
        <f t="shared" ref="O17" si="18">+O16+O14+O15</f>
        <v>0</v>
      </c>
      <c r="P17" s="149">
        <f>+P16+P14+P15</f>
        <v>3571235.0399999991</v>
      </c>
      <c r="Q17" s="149">
        <f>+Q16+Q14+Q15</f>
        <v>0</v>
      </c>
      <c r="R17" s="149">
        <f>+R16+R14+R15</f>
        <v>1884921.4800000004</v>
      </c>
      <c r="S17" s="149">
        <f>+S16+S14+S15</f>
        <v>1686313.5600000005</v>
      </c>
      <c r="T17" s="197">
        <f t="shared" si="10"/>
        <v>-44105.105499017984</v>
      </c>
      <c r="U17" s="149">
        <f>+U16+U14+U15</f>
        <v>17092189.994500987</v>
      </c>
      <c r="V17" s="149">
        <f>+V16+V14+V15</f>
        <v>17136295.100000005</v>
      </c>
      <c r="W17" s="197">
        <f t="shared" si="6"/>
        <v>991741.21753877215</v>
      </c>
      <c r="X17" s="149">
        <f>+X16+X14+X15</f>
        <v>2708853.3175387718</v>
      </c>
      <c r="Y17" s="149">
        <f t="shared" ref="Y17:AF17" si="19">+Y16+Y14+Y15</f>
        <v>6437472.4700000007</v>
      </c>
      <c r="Z17" s="149">
        <f t="shared" si="19"/>
        <v>2781799.7300000004</v>
      </c>
      <c r="AA17" s="149">
        <f t="shared" si="19"/>
        <v>1938560.6400000006</v>
      </c>
      <c r="AB17" s="149">
        <f t="shared" si="19"/>
        <v>1717112.0999999996</v>
      </c>
      <c r="AC17" s="149">
        <f t="shared" si="19"/>
        <v>4099058.9499999983</v>
      </c>
      <c r="AD17" s="149">
        <f t="shared" si="19"/>
        <v>986564.62999999896</v>
      </c>
      <c r="AE17" s="149">
        <f t="shared" si="19"/>
        <v>753602.77999999933</v>
      </c>
      <c r="AF17" s="149">
        <f t="shared" si="19"/>
        <v>2358891.54</v>
      </c>
      <c r="AG17" s="149">
        <f>+AG16+AG14+AG15</f>
        <v>3369285.3400000045</v>
      </c>
      <c r="AH17" s="149">
        <f>+AH16+AH14+AH15</f>
        <v>1125538.3899999997</v>
      </c>
      <c r="AI17" s="149">
        <f>+AI16+AI14+AI15</f>
        <v>1226778.9000000004</v>
      </c>
      <c r="AJ17" s="149">
        <f t="shared" ref="AJ17" si="20">+AJ16+AJ14+AJ15</f>
        <v>1016968.049999999</v>
      </c>
      <c r="AK17" s="149">
        <f>+AK16+AK14+AK15</f>
        <v>3230478.3399999989</v>
      </c>
      <c r="AL17" s="149">
        <f>+AL16+AL14+AL15</f>
        <v>1283557.3499999996</v>
      </c>
      <c r="AM17" s="149">
        <f>+AM16+AM14+AM15</f>
        <v>1037328.4500000008</v>
      </c>
      <c r="AN17" s="149">
        <f>+AN16+AN14+AN15</f>
        <v>909592.53999999946</v>
      </c>
      <c r="AO17" s="150"/>
      <c r="AP17" s="149">
        <f>+AP16+AP14</f>
        <v>1041140.2199999997</v>
      </c>
      <c r="AQ17" s="149">
        <f>+AQ16+AQ14</f>
        <v>7679782.6499999985</v>
      </c>
    </row>
    <row r="18" spans="1:43">
      <c r="B18" s="153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5"/>
      <c r="Q18" s="154"/>
      <c r="R18" s="154"/>
      <c r="S18" s="154"/>
      <c r="T18" s="197">
        <f t="shared" si="10"/>
        <v>0</v>
      </c>
      <c r="U18" s="202"/>
      <c r="V18" s="154"/>
      <c r="W18" s="197">
        <f t="shared" si="6"/>
        <v>0</v>
      </c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5"/>
      <c r="AL18" s="154"/>
      <c r="AM18" s="154"/>
      <c r="AN18" s="154"/>
      <c r="AO18" s="146"/>
      <c r="AP18" s="154"/>
      <c r="AQ18" s="154"/>
    </row>
    <row r="19" spans="1:43" s="151" customFormat="1">
      <c r="A19" s="147"/>
      <c r="B19" s="148" t="s">
        <v>16</v>
      </c>
      <c r="C19" s="149">
        <f>SUM(C20:C38)</f>
        <v>441641.97</v>
      </c>
      <c r="D19" s="149">
        <f t="shared" ref="D19:J19" si="21">SUM(D20:D38)</f>
        <v>0</v>
      </c>
      <c r="E19" s="149">
        <f t="shared" si="21"/>
        <v>0</v>
      </c>
      <c r="F19" s="149">
        <f t="shared" si="21"/>
        <v>0</v>
      </c>
      <c r="G19" s="149">
        <f t="shared" si="21"/>
        <v>0</v>
      </c>
      <c r="H19" s="149">
        <f t="shared" si="21"/>
        <v>0</v>
      </c>
      <c r="I19" s="149">
        <f t="shared" si="21"/>
        <v>0</v>
      </c>
      <c r="J19" s="149">
        <f t="shared" si="21"/>
        <v>0</v>
      </c>
      <c r="K19" s="149">
        <f>SUM(K20:K38)</f>
        <v>0</v>
      </c>
      <c r="L19" s="149">
        <f t="shared" ref="L19:S19" si="22">SUM(L20:L38)</f>
        <v>0</v>
      </c>
      <c r="M19" s="149">
        <f t="shared" si="22"/>
        <v>0</v>
      </c>
      <c r="N19" s="149">
        <f t="shared" si="22"/>
        <v>0</v>
      </c>
      <c r="O19" s="149">
        <f t="shared" si="22"/>
        <v>0</v>
      </c>
      <c r="P19" s="149">
        <f t="shared" si="22"/>
        <v>441641.97</v>
      </c>
      <c r="Q19" s="149">
        <f t="shared" si="22"/>
        <v>0</v>
      </c>
      <c r="R19" s="149">
        <f t="shared" si="22"/>
        <v>148421.04</v>
      </c>
      <c r="S19" s="149">
        <f t="shared" si="22"/>
        <v>293220.93</v>
      </c>
      <c r="T19" s="197">
        <f t="shared" si="10"/>
        <v>-2852813.3293687175</v>
      </c>
      <c r="U19" s="149">
        <f>SUM(U20:U38)</f>
        <v>1044980.7806312836</v>
      </c>
      <c r="V19" s="149">
        <f>SUM(V20:V38)</f>
        <v>3897794.1100000013</v>
      </c>
      <c r="W19" s="197">
        <f t="shared" si="6"/>
        <v>-546185.93445343012</v>
      </c>
      <c r="X19" s="149">
        <f>SUM(X20:X38)</f>
        <v>150156.30554656996</v>
      </c>
      <c r="Y19" s="149">
        <f t="shared" ref="Y19:AN19" si="23">SUM(Y20:Y38)</f>
        <v>2475478.3400000003</v>
      </c>
      <c r="Z19" s="149">
        <f t="shared" si="23"/>
        <v>778680.62</v>
      </c>
      <c r="AA19" s="149">
        <f t="shared" si="23"/>
        <v>1000455.4799999999</v>
      </c>
      <c r="AB19" s="149">
        <f t="shared" si="23"/>
        <v>696342.24000000011</v>
      </c>
      <c r="AC19" s="149">
        <f t="shared" si="23"/>
        <v>553018.77</v>
      </c>
      <c r="AD19" s="149">
        <f t="shared" si="23"/>
        <v>212030.82</v>
      </c>
      <c r="AE19" s="149">
        <f t="shared" si="23"/>
        <v>148023.46999999997</v>
      </c>
      <c r="AF19" s="149">
        <f>SUM(AF20:AF38)</f>
        <v>192964.47999999998</v>
      </c>
      <c r="AG19" s="149">
        <f t="shared" si="23"/>
        <v>442321.89999999997</v>
      </c>
      <c r="AH19" s="149">
        <f t="shared" si="23"/>
        <v>156566.79999999999</v>
      </c>
      <c r="AI19" s="149">
        <f t="shared" si="23"/>
        <v>147893.27000000002</v>
      </c>
      <c r="AJ19" s="149">
        <f t="shared" si="23"/>
        <v>137861.82999999999</v>
      </c>
      <c r="AK19" s="149">
        <f t="shared" si="23"/>
        <v>426975.10000000003</v>
      </c>
      <c r="AL19" s="149">
        <f t="shared" si="23"/>
        <v>146727.00999999998</v>
      </c>
      <c r="AM19" s="149">
        <f t="shared" si="23"/>
        <v>154366.93000000005</v>
      </c>
      <c r="AN19" s="149">
        <f t="shared" si="23"/>
        <v>125881.15999999999</v>
      </c>
      <c r="AO19" s="150"/>
      <c r="AP19" s="149">
        <f>SUM(AP20:AP38)</f>
        <v>326464.27999999997</v>
      </c>
      <c r="AQ19" s="149">
        <f>SUM(AQ20:AQ38)</f>
        <v>1182570.32</v>
      </c>
    </row>
    <row r="20" spans="1:43" outlineLevel="1">
      <c r="B20" s="157" t="s">
        <v>17</v>
      </c>
      <c r="C20" s="144">
        <f t="shared" ref="C20:C29" si="24">H20+L20+D20+P20</f>
        <v>114105.01</v>
      </c>
      <c r="D20" s="144">
        <f t="shared" ref="D20:D38" si="25">SUM(E20:G20)</f>
        <v>0</v>
      </c>
      <c r="E20" s="144">
        <f>'IS Feb KSA'!E20+'IS Feb USA'!E20</f>
        <v>0</v>
      </c>
      <c r="F20" s="144">
        <f>'IS Feb KSA'!F20+'IS Feb USA'!F20</f>
        <v>0</v>
      </c>
      <c r="G20" s="144">
        <f>'IS Feb KSA'!G20+'IS Feb USA'!G20</f>
        <v>0</v>
      </c>
      <c r="H20" s="144">
        <f t="shared" ref="H20:H24" si="26">I20+J20+K20</f>
        <v>0</v>
      </c>
      <c r="I20" s="144">
        <f>'IS Feb KSA'!I20+'IS Feb USA'!I20</f>
        <v>0</v>
      </c>
      <c r="J20" s="144">
        <f>'IS Feb KSA'!F20+'IS Feb USA'!F20</f>
        <v>0</v>
      </c>
      <c r="K20" s="144">
        <f>'IS Feb KSA'!G20+'IS Feb USA'!G20</f>
        <v>0</v>
      </c>
      <c r="L20" s="144">
        <f t="shared" ref="L20:L38" si="27">SUM(M20:O20)</f>
        <v>0</v>
      </c>
      <c r="M20" s="144">
        <f>'IS Feb KSA'!M20+'IS Feb USA'!M20</f>
        <v>0</v>
      </c>
      <c r="N20" s="144">
        <f>'IS Feb KSA'!N20+'IS Feb USA'!N20</f>
        <v>0</v>
      </c>
      <c r="O20" s="144">
        <f>'IS Feb KSA'!O20+'IS Feb USA'!O20</f>
        <v>0</v>
      </c>
      <c r="P20" s="144">
        <f t="shared" ref="P20:P25" si="28">SUM(Q20:S20)</f>
        <v>114105.01</v>
      </c>
      <c r="Q20" s="144">
        <f>'IS Feb KSA'!Q20+'IS Feb USA'!Q20</f>
        <v>0</v>
      </c>
      <c r="R20" s="144">
        <f>'IS Feb KSA'!R20+'IS Feb USA'!R20</f>
        <v>0</v>
      </c>
      <c r="S20" s="144">
        <f>'IS Feb KSA'!S20+'IS Feb USA'!S20</f>
        <v>114105.01</v>
      </c>
      <c r="T20" s="197">
        <f t="shared" si="10"/>
        <v>-2044438.51</v>
      </c>
      <c r="U20" s="197">
        <v>0</v>
      </c>
      <c r="V20" s="144">
        <f t="shared" ref="V20:V38" si="29">AC20+AG20+Y20+AK20</f>
        <v>2044438.51</v>
      </c>
      <c r="W20" s="197">
        <f t="shared" si="6"/>
        <v>-437283.39</v>
      </c>
      <c r="X20" s="144"/>
      <c r="Y20" s="144">
        <f t="shared" ref="Y20:Y59" si="30">SUM(Z20:AB20)</f>
        <v>1820446.25</v>
      </c>
      <c r="Z20" s="144">
        <f>'IS Feb KSA'!V20+'IS Feb USA'!V20</f>
        <v>526062.9</v>
      </c>
      <c r="AA20" s="144">
        <f>'IS Feb KSA'!W20+'IS Feb USA'!W20</f>
        <v>857099.96</v>
      </c>
      <c r="AB20" s="144">
        <f>'IS Feb KSA'!X20+'IS Feb USA'!X20</f>
        <v>437283.39</v>
      </c>
      <c r="AC20" s="144">
        <f t="shared" ref="AC20:AC36" si="31">AD20+AE20+AF20</f>
        <v>75000</v>
      </c>
      <c r="AD20" s="144">
        <f>'IS Feb KSA'!Z20+'IS Feb USA'!Z20</f>
        <v>25000</v>
      </c>
      <c r="AE20" s="144">
        <f>'IS Feb KSA'!AA20+'IS Feb USA'!AA20</f>
        <v>25000</v>
      </c>
      <c r="AF20" s="144">
        <f>'IS Feb KSA'!AB20+'IS Feb USA'!AB20</f>
        <v>25000</v>
      </c>
      <c r="AG20" s="144">
        <f t="shared" ref="AG20:AG36" si="32">SUM(AH20:AJ20)</f>
        <v>73991.16</v>
      </c>
      <c r="AH20" s="144">
        <f>'IS Feb KSA'!AD20+'IS Feb USA'!AD20</f>
        <v>25000</v>
      </c>
      <c r="AI20" s="144">
        <f>'IS Feb KSA'!AE20+'IS Feb USA'!AE20</f>
        <v>23991.16</v>
      </c>
      <c r="AJ20" s="144">
        <f>'IS Feb KSA'!AF20+'IS Feb USA'!AF20</f>
        <v>25000</v>
      </c>
      <c r="AK20" s="144">
        <f t="shared" ref="AK20:AK37" si="33">SUM(AL20:AN20)</f>
        <v>75001.100000000006</v>
      </c>
      <c r="AL20" s="144">
        <f>'IS Feb KSA'!AH20+'IS Feb USA'!AH20</f>
        <v>25000.799999999999</v>
      </c>
      <c r="AM20" s="144">
        <f>'IS Feb KSA'!AI20+'IS Feb USA'!AI20</f>
        <v>25000.3</v>
      </c>
      <c r="AN20" s="144">
        <f>'IS Feb KSA'!AJ20+'IS Feb USA'!AJ20</f>
        <v>25000</v>
      </c>
      <c r="AO20" s="146"/>
      <c r="AP20" s="144">
        <v>203009.5</v>
      </c>
      <c r="AQ20" s="144">
        <v>203016.64</v>
      </c>
    </row>
    <row r="21" spans="1:43" outlineLevel="1">
      <c r="B21" s="157" t="s">
        <v>18</v>
      </c>
      <c r="C21" s="144">
        <f t="shared" si="24"/>
        <v>4977.7700000000004</v>
      </c>
      <c r="D21" s="144">
        <f t="shared" si="25"/>
        <v>0</v>
      </c>
      <c r="E21" s="144">
        <f>'IS Feb KSA'!E21+'IS Feb USA'!E21</f>
        <v>0</v>
      </c>
      <c r="F21" s="144">
        <f>'IS Feb KSA'!F21+'IS Feb USA'!F21</f>
        <v>0</v>
      </c>
      <c r="G21" s="144">
        <f>'IS Feb KSA'!G21+'IS Feb USA'!G21</f>
        <v>0</v>
      </c>
      <c r="H21" s="144">
        <f t="shared" si="26"/>
        <v>0</v>
      </c>
      <c r="I21" s="144">
        <f>'IS Feb KSA'!I21+'IS Feb USA'!I21</f>
        <v>0</v>
      </c>
      <c r="J21" s="144">
        <f>'IS Feb KSA'!F21+'IS Feb USA'!F21</f>
        <v>0</v>
      </c>
      <c r="K21" s="144">
        <f>'IS Feb KSA'!G21+'IS Feb USA'!G21</f>
        <v>0</v>
      </c>
      <c r="L21" s="144">
        <f t="shared" si="27"/>
        <v>0</v>
      </c>
      <c r="M21" s="144">
        <f>'IS Feb KSA'!M21+'IS Feb USA'!M21</f>
        <v>0</v>
      </c>
      <c r="N21" s="144">
        <f>'IS Feb KSA'!N21+'IS Feb USA'!N21</f>
        <v>0</v>
      </c>
      <c r="O21" s="144">
        <f>'IS Feb KSA'!O21+'IS Feb USA'!O21</f>
        <v>0</v>
      </c>
      <c r="P21" s="144">
        <f t="shared" si="28"/>
        <v>4977.7700000000004</v>
      </c>
      <c r="Q21" s="144">
        <f>'IS Feb KSA'!Q21+'IS Feb USA'!Q21</f>
        <v>0</v>
      </c>
      <c r="R21" s="144">
        <f>'IS Feb KSA'!R21+'IS Feb USA'!R21</f>
        <v>1793.1</v>
      </c>
      <c r="S21" s="144">
        <f>'IS Feb KSA'!S21+'IS Feb USA'!S21</f>
        <v>3184.67</v>
      </c>
      <c r="T21" s="197">
        <f t="shared" si="10"/>
        <v>7148.6791864102997</v>
      </c>
      <c r="U21" s="197">
        <v>41123.759186410301</v>
      </c>
      <c r="V21" s="144">
        <f t="shared" si="29"/>
        <v>33975.08</v>
      </c>
      <c r="W21" s="197">
        <f t="shared" si="6"/>
        <v>3202.95316720754</v>
      </c>
      <c r="X21" s="144">
        <v>6517.49316720754</v>
      </c>
      <c r="Y21" s="144">
        <f t="shared" si="30"/>
        <v>8840.93</v>
      </c>
      <c r="Z21" s="144">
        <f>'IS Feb KSA'!V21+'IS Feb USA'!V21</f>
        <v>3684.69</v>
      </c>
      <c r="AA21" s="144">
        <f>'IS Feb KSA'!W21+'IS Feb USA'!W21</f>
        <v>1841.6999999999998</v>
      </c>
      <c r="AB21" s="144">
        <f>'IS Feb KSA'!X21+'IS Feb USA'!X21</f>
        <v>3314.54</v>
      </c>
      <c r="AC21" s="144">
        <f t="shared" si="31"/>
        <v>7403.7300000000005</v>
      </c>
      <c r="AD21" s="144">
        <f>'IS Feb KSA'!Z21+'IS Feb USA'!Z21</f>
        <v>1946.7600000000002</v>
      </c>
      <c r="AE21" s="144">
        <f>'IS Feb KSA'!AA21+'IS Feb USA'!AA21</f>
        <v>2143.75</v>
      </c>
      <c r="AF21" s="144">
        <f>'IS Feb KSA'!AB21+'IS Feb USA'!AB21</f>
        <v>3313.2200000000003</v>
      </c>
      <c r="AG21" s="144">
        <f t="shared" si="32"/>
        <v>9150.7000000000007</v>
      </c>
      <c r="AH21" s="144">
        <f>'IS Feb KSA'!AD21+'IS Feb USA'!AD21</f>
        <v>2292.29</v>
      </c>
      <c r="AI21" s="144">
        <f>'IS Feb KSA'!AE21+'IS Feb USA'!AE21</f>
        <v>2672.61</v>
      </c>
      <c r="AJ21" s="144">
        <f>'IS Feb KSA'!AF21+'IS Feb USA'!AF21</f>
        <v>4185.8</v>
      </c>
      <c r="AK21" s="144">
        <f t="shared" si="33"/>
        <v>8579.7200000000012</v>
      </c>
      <c r="AL21" s="144">
        <f>'IS Feb KSA'!AH21+'IS Feb USA'!AH21</f>
        <v>3473.91</v>
      </c>
      <c r="AM21" s="144">
        <f>'IS Feb KSA'!AI21+'IS Feb USA'!AI21</f>
        <v>2762.55</v>
      </c>
      <c r="AN21" s="144">
        <f>'IS Feb KSA'!AJ21+'IS Feb USA'!AJ21</f>
        <v>2343.2600000000002</v>
      </c>
      <c r="AO21" s="146"/>
      <c r="AP21" s="144">
        <v>2381.41</v>
      </c>
      <c r="AQ21" s="144">
        <v>24338.49</v>
      </c>
    </row>
    <row r="22" spans="1:43" outlineLevel="1">
      <c r="B22" s="157" t="s">
        <v>19</v>
      </c>
      <c r="C22" s="144">
        <f t="shared" si="24"/>
        <v>11778.03</v>
      </c>
      <c r="D22" s="144">
        <f t="shared" si="25"/>
        <v>0</v>
      </c>
      <c r="E22" s="144">
        <f>'IS Feb KSA'!E22+'IS Feb USA'!E22</f>
        <v>0</v>
      </c>
      <c r="F22" s="144">
        <f>'IS Feb KSA'!F22+'IS Feb USA'!F22</f>
        <v>0</v>
      </c>
      <c r="G22" s="144">
        <f>'IS Feb KSA'!G22+'IS Feb USA'!G22</f>
        <v>0</v>
      </c>
      <c r="H22" s="144">
        <f t="shared" si="26"/>
        <v>0</v>
      </c>
      <c r="I22" s="144">
        <f>'IS Feb KSA'!I22+'IS Feb USA'!I22</f>
        <v>0</v>
      </c>
      <c r="J22" s="144">
        <f>'IS Feb KSA'!F22+'IS Feb USA'!F22</f>
        <v>0</v>
      </c>
      <c r="K22" s="144">
        <f>'IS Feb KSA'!G22+'IS Feb USA'!G22</f>
        <v>0</v>
      </c>
      <c r="L22" s="144">
        <f t="shared" si="27"/>
        <v>0</v>
      </c>
      <c r="M22" s="144">
        <f>'IS Feb KSA'!M22+'IS Feb USA'!M22</f>
        <v>0</v>
      </c>
      <c r="N22" s="144">
        <f>'IS Feb KSA'!N22+'IS Feb USA'!N22</f>
        <v>0</v>
      </c>
      <c r="O22" s="144">
        <f>'IS Feb KSA'!O22+'IS Feb USA'!O22</f>
        <v>0</v>
      </c>
      <c r="P22" s="144">
        <f t="shared" si="28"/>
        <v>11778.03</v>
      </c>
      <c r="Q22" s="144">
        <f>'IS Feb KSA'!Q22+'IS Feb USA'!Q22</f>
        <v>0</v>
      </c>
      <c r="R22" s="144">
        <f>'IS Feb KSA'!R22+'IS Feb USA'!R22</f>
        <v>5544.51</v>
      </c>
      <c r="S22" s="144">
        <f>'IS Feb KSA'!S22+'IS Feb USA'!S22</f>
        <v>6233.52</v>
      </c>
      <c r="T22" s="197">
        <f t="shared" si="10"/>
        <v>-27107.02591054501</v>
      </c>
      <c r="U22" s="197">
        <v>49394.204089455001</v>
      </c>
      <c r="V22" s="144">
        <f t="shared" si="29"/>
        <v>76501.23000000001</v>
      </c>
      <c r="W22" s="197">
        <f t="shared" si="6"/>
        <v>245.05345972372015</v>
      </c>
      <c r="X22" s="144">
        <v>7828.2334597237204</v>
      </c>
      <c r="Y22" s="144">
        <f t="shared" si="30"/>
        <v>18831.59</v>
      </c>
      <c r="Z22" s="144">
        <f>'IS Feb KSA'!V22+'IS Feb USA'!V22</f>
        <v>4745.2700000000004</v>
      </c>
      <c r="AA22" s="144">
        <f>'IS Feb KSA'!W22+'IS Feb USA'!W22</f>
        <v>6503.14</v>
      </c>
      <c r="AB22" s="144">
        <f>'IS Feb KSA'!X22+'IS Feb USA'!X22</f>
        <v>7583.18</v>
      </c>
      <c r="AC22" s="144">
        <f t="shared" si="31"/>
        <v>26652.270000000004</v>
      </c>
      <c r="AD22" s="144">
        <f>'IS Feb KSA'!Z22+'IS Feb USA'!Z22</f>
        <v>9026.58</v>
      </c>
      <c r="AE22" s="144">
        <f>'IS Feb KSA'!AA22+'IS Feb USA'!AA22</f>
        <v>10858.29</v>
      </c>
      <c r="AF22" s="144">
        <f>'IS Feb KSA'!AB22+'IS Feb USA'!AB22</f>
        <v>6767.4</v>
      </c>
      <c r="AG22" s="144">
        <f t="shared" si="32"/>
        <v>17661.989999999998</v>
      </c>
      <c r="AH22" s="144">
        <f>'IS Feb KSA'!AD22+'IS Feb USA'!AD22</f>
        <v>5457.01</v>
      </c>
      <c r="AI22" s="144">
        <f>'IS Feb KSA'!AE22+'IS Feb USA'!AE22</f>
        <v>9625.3799999999992</v>
      </c>
      <c r="AJ22" s="144">
        <f>'IS Feb KSA'!AF22+'IS Feb USA'!AF22</f>
        <v>2579.6</v>
      </c>
      <c r="AK22" s="144">
        <f t="shared" si="33"/>
        <v>13355.380000000001</v>
      </c>
      <c r="AL22" s="144">
        <f>'IS Feb KSA'!AH22+'IS Feb USA'!AH22</f>
        <v>2845.92</v>
      </c>
      <c r="AM22" s="144">
        <f>'IS Feb KSA'!AI22+'IS Feb USA'!AI22</f>
        <v>6669.62</v>
      </c>
      <c r="AN22" s="144">
        <f>'IS Feb KSA'!AJ22+'IS Feb USA'!AJ22</f>
        <v>3839.84</v>
      </c>
      <c r="AO22" s="146"/>
      <c r="AP22" s="144">
        <v>819.32</v>
      </c>
      <c r="AQ22" s="144">
        <v>54128.030000000006</v>
      </c>
    </row>
    <row r="23" spans="1:43" outlineLevel="1">
      <c r="B23" s="157" t="s">
        <v>20</v>
      </c>
      <c r="C23" s="144">
        <f t="shared" si="24"/>
        <v>0</v>
      </c>
      <c r="D23" s="144">
        <f t="shared" si="25"/>
        <v>0</v>
      </c>
      <c r="E23" s="144">
        <f>'IS Feb KSA'!E23+'IS Feb USA'!E23</f>
        <v>0</v>
      </c>
      <c r="F23" s="144">
        <f>'IS Feb KSA'!F23+'IS Feb USA'!F23</f>
        <v>0</v>
      </c>
      <c r="G23" s="144">
        <f>'IS Feb KSA'!G23+'IS Feb USA'!G23</f>
        <v>0</v>
      </c>
      <c r="H23" s="144">
        <f t="shared" si="26"/>
        <v>0</v>
      </c>
      <c r="I23" s="144">
        <f>'IS Feb KSA'!I23+'IS Feb USA'!I23</f>
        <v>0</v>
      </c>
      <c r="J23" s="144">
        <f>'IS Feb KSA'!F23+'IS Feb USA'!F23</f>
        <v>0</v>
      </c>
      <c r="K23" s="144">
        <f>'IS Feb KSA'!G23+'IS Feb USA'!G23</f>
        <v>0</v>
      </c>
      <c r="L23" s="144">
        <f t="shared" si="27"/>
        <v>0</v>
      </c>
      <c r="M23" s="144">
        <f>'IS Feb KSA'!M23+'IS Feb USA'!M23</f>
        <v>0</v>
      </c>
      <c r="N23" s="144">
        <f>'IS Feb KSA'!N23+'IS Feb USA'!N23</f>
        <v>0</v>
      </c>
      <c r="O23" s="144">
        <f>'IS Feb KSA'!O23+'IS Feb USA'!O23</f>
        <v>0</v>
      </c>
      <c r="P23" s="144">
        <f t="shared" si="28"/>
        <v>0</v>
      </c>
      <c r="Q23" s="144">
        <f>'IS Feb KSA'!Q23+'IS Feb USA'!Q23</f>
        <v>0</v>
      </c>
      <c r="R23" s="144">
        <f>'IS Feb KSA'!R23+'IS Feb USA'!R23</f>
        <v>0</v>
      </c>
      <c r="S23" s="144">
        <f>'IS Feb KSA'!S23+'IS Feb USA'!S23</f>
        <v>0</v>
      </c>
      <c r="T23" s="197">
        <f t="shared" si="10"/>
        <v>23874.6494576068</v>
      </c>
      <c r="U23" s="197">
        <v>27415.839457606799</v>
      </c>
      <c r="V23" s="144">
        <f t="shared" si="29"/>
        <v>3541.1900000000005</v>
      </c>
      <c r="W23" s="197">
        <f t="shared" si="6"/>
        <v>4344.9954448050303</v>
      </c>
      <c r="X23" s="144">
        <v>4344.9954448050303</v>
      </c>
      <c r="Y23" s="144">
        <f t="shared" si="30"/>
        <v>0</v>
      </c>
      <c r="Z23" s="144">
        <f>'IS Feb KSA'!V23+'IS Feb USA'!V23</f>
        <v>0</v>
      </c>
      <c r="AA23" s="144">
        <f>'IS Feb KSA'!W23+'IS Feb USA'!W23</f>
        <v>0</v>
      </c>
      <c r="AB23" s="144">
        <f>'IS Feb KSA'!X23+'IS Feb USA'!X23</f>
        <v>0</v>
      </c>
      <c r="AC23" s="144">
        <f t="shared" si="31"/>
        <v>1649.27</v>
      </c>
      <c r="AD23" s="144">
        <f>'IS Feb KSA'!Z23+'IS Feb USA'!Z23</f>
        <v>165.22</v>
      </c>
      <c r="AE23" s="144">
        <f>'IS Feb KSA'!AA23+'IS Feb USA'!AA23</f>
        <v>949.15</v>
      </c>
      <c r="AF23" s="144">
        <f>'IS Feb KSA'!AB23+'IS Feb USA'!AB23</f>
        <v>534.9</v>
      </c>
      <c r="AG23" s="144">
        <f t="shared" si="32"/>
        <v>1459.95</v>
      </c>
      <c r="AH23" s="144">
        <f>'IS Feb KSA'!AD23+'IS Feb USA'!AD23</f>
        <v>985.5</v>
      </c>
      <c r="AI23" s="144">
        <f>'IS Feb KSA'!AE23+'IS Feb USA'!AE23</f>
        <v>474.45</v>
      </c>
      <c r="AJ23" s="144">
        <f>'IS Feb KSA'!AF23+'IS Feb USA'!AF23</f>
        <v>0</v>
      </c>
      <c r="AK23" s="144">
        <f t="shared" si="33"/>
        <v>431.97</v>
      </c>
      <c r="AL23" s="144">
        <f>'IS Feb KSA'!AH23+'IS Feb USA'!AH23</f>
        <v>0</v>
      </c>
      <c r="AM23" s="144">
        <f>'IS Feb KSA'!AI23+'IS Feb USA'!AI23</f>
        <v>99.3</v>
      </c>
      <c r="AN23" s="144">
        <f>'IS Feb KSA'!AJ23+'IS Feb USA'!AJ23</f>
        <v>332.67</v>
      </c>
      <c r="AO23" s="146"/>
      <c r="AP23" s="144">
        <v>4705.55</v>
      </c>
      <c r="AQ23" s="144">
        <v>24609.21</v>
      </c>
    </row>
    <row r="24" spans="1:43" outlineLevel="1">
      <c r="B24" s="157" t="s">
        <v>21</v>
      </c>
      <c r="C24" s="144">
        <f t="shared" si="24"/>
        <v>24907.84</v>
      </c>
      <c r="D24" s="144">
        <f t="shared" si="25"/>
        <v>0</v>
      </c>
      <c r="E24" s="144">
        <f>'IS Feb KSA'!E24+'IS Feb USA'!E24</f>
        <v>0</v>
      </c>
      <c r="F24" s="144">
        <f>'IS Feb KSA'!F24+'IS Feb USA'!F24</f>
        <v>0</v>
      </c>
      <c r="G24" s="144">
        <f>'IS Feb KSA'!G24+'IS Feb USA'!G24</f>
        <v>0</v>
      </c>
      <c r="H24" s="144">
        <f t="shared" si="26"/>
        <v>0</v>
      </c>
      <c r="I24" s="144">
        <f>'IS Feb KSA'!I24+'IS Feb USA'!I24</f>
        <v>0</v>
      </c>
      <c r="J24" s="144">
        <f>'IS Feb KSA'!F24+'IS Feb USA'!F24</f>
        <v>0</v>
      </c>
      <c r="K24" s="144">
        <f>'IS Feb KSA'!G24+'IS Feb USA'!G24</f>
        <v>0</v>
      </c>
      <c r="L24" s="144">
        <f t="shared" si="27"/>
        <v>0</v>
      </c>
      <c r="M24" s="144">
        <f>'IS Feb KSA'!M24+'IS Feb USA'!M24</f>
        <v>0</v>
      </c>
      <c r="N24" s="144">
        <f>'IS Feb KSA'!N24+'IS Feb USA'!N24</f>
        <v>0</v>
      </c>
      <c r="O24" s="144">
        <f>'IS Feb KSA'!O24+'IS Feb USA'!O24</f>
        <v>0</v>
      </c>
      <c r="P24" s="144">
        <f t="shared" si="28"/>
        <v>24907.84</v>
      </c>
      <c r="Q24" s="144">
        <f>'IS Feb KSA'!Q24+'IS Feb USA'!Q24</f>
        <v>0</v>
      </c>
      <c r="R24" s="144">
        <f>'IS Feb KSA'!R24+'IS Feb USA'!R24</f>
        <v>7342.16</v>
      </c>
      <c r="S24" s="144">
        <f>'IS Feb KSA'!S24+'IS Feb USA'!S24</f>
        <v>17565.68</v>
      </c>
      <c r="T24" s="197">
        <f t="shared" si="10"/>
        <v>-33951.01027119661</v>
      </c>
      <c r="U24" s="197">
        <v>13707.919728803399</v>
      </c>
      <c r="V24" s="144">
        <f t="shared" si="29"/>
        <v>47658.930000000008</v>
      </c>
      <c r="W24" s="197">
        <f t="shared" si="6"/>
        <v>-7890.202277597491</v>
      </c>
      <c r="X24" s="144">
        <v>2172.4977224025101</v>
      </c>
      <c r="Y24" s="144">
        <f t="shared" si="30"/>
        <v>23520.550000000003</v>
      </c>
      <c r="Z24" s="144">
        <f>'IS Feb KSA'!V24+'IS Feb USA'!V24</f>
        <v>3827.91</v>
      </c>
      <c r="AA24" s="144">
        <f>'IS Feb KSA'!W24+'IS Feb USA'!W24</f>
        <v>9629.94</v>
      </c>
      <c r="AB24" s="144">
        <f>'IS Feb KSA'!X24+'IS Feb USA'!X24</f>
        <v>10062.700000000001</v>
      </c>
      <c r="AC24" s="144">
        <f t="shared" si="31"/>
        <v>12223.31</v>
      </c>
      <c r="AD24" s="144">
        <f>'IS Feb KSA'!Z24+'IS Feb USA'!Z24</f>
        <v>641.74</v>
      </c>
      <c r="AE24" s="144">
        <f>'IS Feb KSA'!AA24+'IS Feb USA'!AA24</f>
        <v>2711.91</v>
      </c>
      <c r="AF24" s="144">
        <f>'IS Feb KSA'!AB24+'IS Feb USA'!AB24</f>
        <v>8869.66</v>
      </c>
      <c r="AG24" s="144">
        <f t="shared" si="32"/>
        <v>11781.16</v>
      </c>
      <c r="AH24" s="144">
        <f>'IS Feb KSA'!AD24+'IS Feb USA'!AD24</f>
        <v>3687.1</v>
      </c>
      <c r="AI24" s="144">
        <f>'IS Feb KSA'!AE24+'IS Feb USA'!AE24</f>
        <v>3555.84</v>
      </c>
      <c r="AJ24" s="144">
        <f>'IS Feb KSA'!AF24+'IS Feb USA'!AF24</f>
        <v>4538.2199999999993</v>
      </c>
      <c r="AK24" s="144">
        <f t="shared" si="33"/>
        <v>133.91</v>
      </c>
      <c r="AL24" s="144">
        <f>'IS Feb KSA'!AH24+'IS Feb USA'!AH24</f>
        <v>0</v>
      </c>
      <c r="AM24" s="144">
        <f>'IS Feb KSA'!AI24+'IS Feb USA'!AI24</f>
        <v>133.91</v>
      </c>
      <c r="AN24" s="144">
        <f>'IS Feb KSA'!AJ24+'IS Feb USA'!AJ24</f>
        <v>0</v>
      </c>
      <c r="AO24" s="146"/>
      <c r="AP24" s="144">
        <v>0</v>
      </c>
      <c r="AQ24" s="144">
        <v>3444.41</v>
      </c>
    </row>
    <row r="25" spans="1:43" outlineLevel="1">
      <c r="B25" s="157" t="s">
        <v>592</v>
      </c>
      <c r="C25" s="144">
        <f t="shared" si="24"/>
        <v>2985</v>
      </c>
      <c r="D25" s="144">
        <f t="shared" si="25"/>
        <v>0</v>
      </c>
      <c r="E25" s="144">
        <f>'IS Feb KSA'!E25+'IS Feb USA'!E25</f>
        <v>0</v>
      </c>
      <c r="F25" s="144">
        <f>'IS Feb KSA'!F25+'IS Feb USA'!F25</f>
        <v>0</v>
      </c>
      <c r="G25" s="144">
        <f>'IS Feb KSA'!G25+'IS Feb USA'!G25</f>
        <v>0</v>
      </c>
      <c r="H25" s="144">
        <f>I25+J25+K25</f>
        <v>0</v>
      </c>
      <c r="I25" s="144">
        <f>'IS Feb KSA'!I25+'IS Feb USA'!I25</f>
        <v>0</v>
      </c>
      <c r="J25" s="144">
        <f>'IS Feb KSA'!F25+'IS Feb USA'!F25</f>
        <v>0</v>
      </c>
      <c r="K25" s="144">
        <f>'IS Feb KSA'!G25+'IS Feb USA'!G25</f>
        <v>0</v>
      </c>
      <c r="L25" s="144">
        <f t="shared" si="27"/>
        <v>0</v>
      </c>
      <c r="M25" s="144">
        <f>'IS Feb KSA'!M25+'IS Feb USA'!M25</f>
        <v>0</v>
      </c>
      <c r="N25" s="144">
        <f>'IS Feb KSA'!N25+'IS Feb USA'!N25</f>
        <v>0</v>
      </c>
      <c r="O25" s="144">
        <f>'IS Feb KSA'!O25+'IS Feb USA'!O25</f>
        <v>0</v>
      </c>
      <c r="P25" s="144">
        <f t="shared" si="28"/>
        <v>2985</v>
      </c>
      <c r="Q25" s="144">
        <f>'IS Feb KSA'!Q25+'IS Feb USA'!Q25</f>
        <v>0</v>
      </c>
      <c r="R25" s="144">
        <f>'IS Feb KSA'!R25+'IS Feb USA'!R25</f>
        <v>1560</v>
      </c>
      <c r="S25" s="144">
        <f>'IS Feb KSA'!S25+'IS Feb USA'!S25</f>
        <v>1425</v>
      </c>
      <c r="T25" s="197">
        <f t="shared" si="10"/>
        <v>-16428.239999999998</v>
      </c>
      <c r="U25" s="197">
        <v>0</v>
      </c>
      <c r="V25" s="144">
        <f t="shared" ref="V25" si="34">AC25+AG25+Y25+AK25</f>
        <v>16428.239999999998</v>
      </c>
      <c r="W25" s="197">
        <f t="shared" si="6"/>
        <v>-3806.67</v>
      </c>
      <c r="X25" s="144"/>
      <c r="Y25" s="144">
        <f t="shared" ref="Y25" si="35">SUM(Z25:AB25)</f>
        <v>8126.67</v>
      </c>
      <c r="Z25" s="144">
        <f>'IS Feb KSA'!V25+'IS Feb USA'!V25</f>
        <v>3560</v>
      </c>
      <c r="AA25" s="144">
        <f>'IS Feb KSA'!W25+'IS Feb USA'!W25</f>
        <v>760</v>
      </c>
      <c r="AB25" s="144">
        <f>'IS Feb KSA'!X25+'IS Feb USA'!X25</f>
        <v>3806.67</v>
      </c>
      <c r="AC25" s="144">
        <f>AD25+AE25+AF25</f>
        <v>8301.57</v>
      </c>
      <c r="AD25" s="144">
        <f>'IS Feb KSA'!Z25+'IS Feb USA'!Z25</f>
        <v>4237.6099999999997</v>
      </c>
      <c r="AE25" s="144">
        <f>'IS Feb KSA'!AA25+'IS Feb USA'!AA25</f>
        <v>4063.96</v>
      </c>
      <c r="AF25" s="144">
        <f>'IS Feb KSA'!AB25+'IS Feb USA'!AB25</f>
        <v>0</v>
      </c>
      <c r="AG25" s="144">
        <f t="shared" si="32"/>
        <v>0</v>
      </c>
      <c r="AH25" s="144"/>
      <c r="AI25" s="144"/>
      <c r="AJ25" s="144"/>
      <c r="AK25" s="144"/>
      <c r="AL25" s="144"/>
      <c r="AM25" s="144"/>
      <c r="AN25" s="144"/>
      <c r="AO25" s="146"/>
      <c r="AP25" s="144"/>
      <c r="AQ25" s="144"/>
    </row>
    <row r="26" spans="1:43" outlineLevel="1">
      <c r="B26" s="157" t="s">
        <v>22</v>
      </c>
      <c r="C26" s="144">
        <f t="shared" si="24"/>
        <v>6444.86</v>
      </c>
      <c r="D26" s="144">
        <f t="shared" si="25"/>
        <v>0</v>
      </c>
      <c r="E26" s="144">
        <f>'IS Feb KSA'!E26+'IS Feb USA'!E26</f>
        <v>0</v>
      </c>
      <c r="F26" s="144">
        <f>'IS Feb KSA'!F26+'IS Feb USA'!F26</f>
        <v>0</v>
      </c>
      <c r="G26" s="144">
        <f>'IS Feb KSA'!G26+'IS Feb USA'!G26</f>
        <v>0</v>
      </c>
      <c r="H26" s="144">
        <f t="shared" ref="H26:H32" si="36">I26+J26+K26</f>
        <v>0</v>
      </c>
      <c r="I26" s="144">
        <f>'IS Feb KSA'!I26+'IS Feb USA'!I26</f>
        <v>0</v>
      </c>
      <c r="J26" s="144">
        <f>'IS Feb KSA'!F26+'IS Feb USA'!F26</f>
        <v>0</v>
      </c>
      <c r="K26" s="144">
        <f>'IS Feb KSA'!G26+'IS Feb USA'!G26</f>
        <v>0</v>
      </c>
      <c r="L26" s="144">
        <f t="shared" si="27"/>
        <v>0</v>
      </c>
      <c r="M26" s="144">
        <f>'IS Feb KSA'!M26+'IS Feb USA'!M26</f>
        <v>0</v>
      </c>
      <c r="N26" s="144">
        <f>'IS Feb KSA'!N26+'IS Feb USA'!N26</f>
        <v>0</v>
      </c>
      <c r="O26" s="144">
        <f>'IS Feb KSA'!O26+'IS Feb USA'!O26</f>
        <v>0</v>
      </c>
      <c r="P26" s="144">
        <f t="shared" ref="P26:P34" si="37">SUM(Q26:S26)</f>
        <v>6444.86</v>
      </c>
      <c r="Q26" s="144">
        <f>'IS Feb KSA'!Q26+'IS Feb USA'!Q26</f>
        <v>0</v>
      </c>
      <c r="R26" s="144">
        <f>'IS Feb KSA'!R26+'IS Feb USA'!R26</f>
        <v>1695.53</v>
      </c>
      <c r="S26" s="144">
        <f>'IS Feb KSA'!S26+'IS Feb USA'!S26</f>
        <v>4749.33</v>
      </c>
      <c r="T26" s="197">
        <f t="shared" si="10"/>
        <v>19161.371242901198</v>
      </c>
      <c r="U26" s="197">
        <v>49500.821242901198</v>
      </c>
      <c r="V26" s="144">
        <f t="shared" si="29"/>
        <v>30339.45</v>
      </c>
      <c r="W26" s="197">
        <f t="shared" si="6"/>
        <v>4517.5706642312998</v>
      </c>
      <c r="X26" s="144">
        <v>7845.1306642313002</v>
      </c>
      <c r="Y26" s="144">
        <f t="shared" si="30"/>
        <v>14720.21</v>
      </c>
      <c r="Z26" s="144">
        <f>'IS Feb KSA'!V26+'IS Feb USA'!V26</f>
        <v>8415.66</v>
      </c>
      <c r="AA26" s="144">
        <f>'IS Feb KSA'!W26+'IS Feb USA'!W26</f>
        <v>2976.99</v>
      </c>
      <c r="AB26" s="144">
        <f>'IS Feb KSA'!X26+'IS Feb USA'!X26</f>
        <v>3327.56</v>
      </c>
      <c r="AC26" s="144">
        <f t="shared" si="31"/>
        <v>3873.02</v>
      </c>
      <c r="AD26" s="144">
        <f>'IS Feb KSA'!Z26+'IS Feb USA'!Z26</f>
        <v>990.8</v>
      </c>
      <c r="AE26" s="144">
        <f>'IS Feb KSA'!AA26+'IS Feb USA'!AA26</f>
        <v>2836.99</v>
      </c>
      <c r="AF26" s="144">
        <f>'IS Feb KSA'!AB26+'IS Feb USA'!AB26</f>
        <v>45.23</v>
      </c>
      <c r="AG26" s="144">
        <f t="shared" si="32"/>
        <v>3180.5599999999995</v>
      </c>
      <c r="AH26" s="144">
        <f>'IS Feb KSA'!AD26+'IS Feb USA'!AD26</f>
        <v>343.75</v>
      </c>
      <c r="AI26" s="144">
        <f>'IS Feb KSA'!AE26+'IS Feb USA'!AE26</f>
        <v>457.09</v>
      </c>
      <c r="AJ26" s="144">
        <f>'IS Feb KSA'!AF26+'IS Feb USA'!AF26</f>
        <v>2379.7199999999998</v>
      </c>
      <c r="AK26" s="144">
        <f t="shared" si="33"/>
        <v>8565.66</v>
      </c>
      <c r="AL26" s="144">
        <f>'IS Feb KSA'!AH26+'IS Feb USA'!AH26</f>
        <v>5067</v>
      </c>
      <c r="AM26" s="144">
        <f>'IS Feb KSA'!AI26+'IS Feb USA'!AI26</f>
        <v>3498.66</v>
      </c>
      <c r="AN26" s="144">
        <f>'IS Feb KSA'!AJ26+'IS Feb USA'!AJ26</f>
        <v>0</v>
      </c>
      <c r="AO26" s="146"/>
      <c r="AP26" s="144">
        <v>3750</v>
      </c>
      <c r="AQ26" s="144">
        <v>38163.24</v>
      </c>
    </row>
    <row r="27" spans="1:43" outlineLevel="1">
      <c r="B27" s="157" t="s">
        <v>23</v>
      </c>
      <c r="C27" s="144">
        <f t="shared" si="24"/>
        <v>702.7</v>
      </c>
      <c r="D27" s="144">
        <f t="shared" si="25"/>
        <v>0</v>
      </c>
      <c r="E27" s="144">
        <f>'IS Feb KSA'!E27+'IS Feb USA'!E27</f>
        <v>0</v>
      </c>
      <c r="F27" s="144">
        <f>'IS Feb KSA'!F27+'IS Feb USA'!F27</f>
        <v>0</v>
      </c>
      <c r="G27" s="144">
        <f>'IS Feb KSA'!G27+'IS Feb USA'!G27</f>
        <v>0</v>
      </c>
      <c r="H27" s="144">
        <f t="shared" si="36"/>
        <v>0</v>
      </c>
      <c r="I27" s="144">
        <f>'IS Feb KSA'!I27+'IS Feb USA'!I27</f>
        <v>0</v>
      </c>
      <c r="J27" s="144">
        <f>'IS Feb KSA'!F27+'IS Feb USA'!F27</f>
        <v>0</v>
      </c>
      <c r="K27" s="144">
        <f>'IS Feb KSA'!G27+'IS Feb USA'!G27</f>
        <v>0</v>
      </c>
      <c r="L27" s="144">
        <f t="shared" si="27"/>
        <v>0</v>
      </c>
      <c r="M27" s="144">
        <f>'IS Feb KSA'!M27+'IS Feb USA'!M27</f>
        <v>0</v>
      </c>
      <c r="N27" s="144">
        <f>'IS Feb KSA'!N27+'IS Feb USA'!N27</f>
        <v>0</v>
      </c>
      <c r="O27" s="144">
        <f>'IS Feb KSA'!O27+'IS Feb USA'!O27</f>
        <v>0</v>
      </c>
      <c r="P27" s="144">
        <f t="shared" si="37"/>
        <v>702.7</v>
      </c>
      <c r="Q27" s="144">
        <f>'IS Feb KSA'!Q27+'IS Feb USA'!Q27</f>
        <v>0</v>
      </c>
      <c r="R27" s="144">
        <f>'IS Feb KSA'!R27+'IS Feb USA'!R27</f>
        <v>359.54</v>
      </c>
      <c r="S27" s="144">
        <f>'IS Feb KSA'!S27+'IS Feb USA'!S27</f>
        <v>343.16</v>
      </c>
      <c r="T27" s="197">
        <f t="shared" si="10"/>
        <v>721.5331525356105</v>
      </c>
      <c r="U27" s="197">
        <v>9138.6131525356104</v>
      </c>
      <c r="V27" s="144">
        <f t="shared" si="29"/>
        <v>8417.08</v>
      </c>
      <c r="W27" s="197">
        <f t="shared" si="6"/>
        <v>68.331814935010016</v>
      </c>
      <c r="X27" s="144">
        <v>1448.33181493501</v>
      </c>
      <c r="Y27" s="144">
        <f t="shared" si="30"/>
        <v>2051</v>
      </c>
      <c r="Z27" s="144">
        <f>'IS Feb KSA'!V27+'IS Feb USA'!V27</f>
        <v>0</v>
      </c>
      <c r="AA27" s="144">
        <f>'IS Feb KSA'!W27+'IS Feb USA'!W27</f>
        <v>671</v>
      </c>
      <c r="AB27" s="144">
        <f>'IS Feb KSA'!X27+'IS Feb USA'!X27</f>
        <v>1380</v>
      </c>
      <c r="AC27" s="144">
        <f t="shared" si="31"/>
        <v>4360.6099999999997</v>
      </c>
      <c r="AD27" s="144">
        <f>'IS Feb KSA'!Z27+'IS Feb USA'!Z27</f>
        <v>46</v>
      </c>
      <c r="AE27" s="144">
        <f>'IS Feb KSA'!AA27+'IS Feb USA'!AA27</f>
        <v>3717.22</v>
      </c>
      <c r="AF27" s="144">
        <f>'IS Feb KSA'!AB27+'IS Feb USA'!AB27</f>
        <v>597.39</v>
      </c>
      <c r="AG27" s="144">
        <f t="shared" si="32"/>
        <v>1671.99</v>
      </c>
      <c r="AH27" s="144">
        <f>'IS Feb KSA'!AD27+'IS Feb USA'!AD27</f>
        <v>1219.99</v>
      </c>
      <c r="AI27" s="144">
        <f>'IS Feb KSA'!AE27+'IS Feb USA'!AE27</f>
        <v>452</v>
      </c>
      <c r="AJ27" s="144">
        <f>'IS Feb KSA'!AF27+'IS Feb USA'!AF27</f>
        <v>0</v>
      </c>
      <c r="AK27" s="144">
        <f t="shared" si="33"/>
        <v>333.48</v>
      </c>
      <c r="AL27" s="144">
        <f>'IS Feb KSA'!AH27+'IS Feb USA'!AH27</f>
        <v>0</v>
      </c>
      <c r="AM27" s="144">
        <f>'IS Feb KSA'!AI27+'IS Feb USA'!AI27</f>
        <v>0</v>
      </c>
      <c r="AN27" s="144">
        <f>'IS Feb KSA'!AJ27+'IS Feb USA'!AJ27</f>
        <v>333.48</v>
      </c>
      <c r="AO27" s="146"/>
      <c r="AP27" s="144">
        <v>241</v>
      </c>
      <c r="AQ27" s="144">
        <v>4591.3600000000006</v>
      </c>
    </row>
    <row r="28" spans="1:43" outlineLevel="1">
      <c r="B28" s="157" t="s">
        <v>24</v>
      </c>
      <c r="C28" s="144">
        <f t="shared" si="24"/>
        <v>33396.49</v>
      </c>
      <c r="D28" s="144">
        <f t="shared" si="25"/>
        <v>0</v>
      </c>
      <c r="E28" s="144">
        <f>'IS Feb KSA'!E28+'IS Feb USA'!E28</f>
        <v>0</v>
      </c>
      <c r="F28" s="144">
        <f>'IS Feb KSA'!F28+'IS Feb USA'!F28</f>
        <v>0</v>
      </c>
      <c r="G28" s="144">
        <f>'IS Feb KSA'!G28+'IS Feb USA'!G28</f>
        <v>0</v>
      </c>
      <c r="H28" s="144">
        <f t="shared" si="36"/>
        <v>0</v>
      </c>
      <c r="I28" s="144">
        <f>'IS Feb KSA'!I28+'IS Feb USA'!I28</f>
        <v>0</v>
      </c>
      <c r="J28" s="144">
        <f>'IS Feb KSA'!F28+'IS Feb USA'!F28</f>
        <v>0</v>
      </c>
      <c r="K28" s="144">
        <f>'IS Feb KSA'!G28+'IS Feb USA'!G28</f>
        <v>0</v>
      </c>
      <c r="L28" s="144">
        <f t="shared" si="27"/>
        <v>0</v>
      </c>
      <c r="M28" s="144">
        <f>'IS Feb KSA'!M28+'IS Feb USA'!M28</f>
        <v>0</v>
      </c>
      <c r="N28" s="144">
        <f>'IS Feb KSA'!N28+'IS Feb USA'!N28</f>
        <v>0</v>
      </c>
      <c r="O28" s="144">
        <f>'IS Feb KSA'!O28+'IS Feb USA'!O28</f>
        <v>0</v>
      </c>
      <c r="P28" s="144">
        <f t="shared" si="37"/>
        <v>33396.49</v>
      </c>
      <c r="Q28" s="144">
        <f>'IS Feb KSA'!Q28+'IS Feb USA'!Q28</f>
        <v>0</v>
      </c>
      <c r="R28" s="144">
        <f>'IS Feb KSA'!R28+'IS Feb USA'!R28</f>
        <v>10311.48</v>
      </c>
      <c r="S28" s="144">
        <f>'IS Feb KSA'!S28+'IS Feb USA'!S28</f>
        <v>23085.01</v>
      </c>
      <c r="T28" s="197">
        <f t="shared" si="10"/>
        <v>-77405.91333333301</v>
      </c>
      <c r="U28" s="197">
        <v>226166.66666666701</v>
      </c>
      <c r="V28" s="144">
        <f t="shared" si="29"/>
        <v>303572.58</v>
      </c>
      <c r="W28" s="197">
        <f t="shared" si="6"/>
        <v>-1480.8333333332994</v>
      </c>
      <c r="X28" s="144">
        <v>22616.666666666701</v>
      </c>
      <c r="Y28" s="144">
        <f t="shared" si="30"/>
        <v>71280.01999999999</v>
      </c>
      <c r="Z28" s="144">
        <f>'IS Feb KSA'!V28+'IS Feb USA'!V28</f>
        <v>23085.01</v>
      </c>
      <c r="AA28" s="144">
        <f>'IS Feb KSA'!W28+'IS Feb USA'!W28</f>
        <v>24097.51</v>
      </c>
      <c r="AB28" s="144">
        <f>'IS Feb KSA'!X28+'IS Feb USA'!X28</f>
        <v>24097.5</v>
      </c>
      <c r="AC28" s="144">
        <f t="shared" si="31"/>
        <v>74907.58</v>
      </c>
      <c r="AD28" s="144">
        <f>'IS Feb KSA'!Z28+'IS Feb USA'!Z28</f>
        <v>24097.5</v>
      </c>
      <c r="AE28" s="144">
        <f>'IS Feb KSA'!AA28+'IS Feb USA'!AA28</f>
        <v>24579.25</v>
      </c>
      <c r="AF28" s="144">
        <f>'IS Feb KSA'!AB28+'IS Feb USA'!AB28</f>
        <v>26230.83</v>
      </c>
      <c r="AG28" s="144">
        <f t="shared" si="32"/>
        <v>78692.490000000005</v>
      </c>
      <c r="AH28" s="144">
        <f>'IS Feb KSA'!AD28+'IS Feb USA'!AD28</f>
        <v>26230.83</v>
      </c>
      <c r="AI28" s="144">
        <f>'IS Feb KSA'!AE28+'IS Feb USA'!AE28</f>
        <v>26230.83</v>
      </c>
      <c r="AJ28" s="144">
        <f>'IS Feb KSA'!AF28+'IS Feb USA'!AF28</f>
        <v>26230.83</v>
      </c>
      <c r="AK28" s="144">
        <f t="shared" si="33"/>
        <v>78692.490000000005</v>
      </c>
      <c r="AL28" s="144">
        <f>'IS Feb KSA'!AH28+'IS Feb USA'!AH28</f>
        <v>26230.83</v>
      </c>
      <c r="AM28" s="144">
        <f>'IS Feb KSA'!AI28+'IS Feb USA'!AI28</f>
        <v>26230.83</v>
      </c>
      <c r="AN28" s="144">
        <f>'IS Feb KSA'!AJ28+'IS Feb USA'!AJ28</f>
        <v>26230.83</v>
      </c>
      <c r="AO28" s="146"/>
      <c r="AP28" s="144">
        <v>32096.09</v>
      </c>
      <c r="AQ28" s="144">
        <v>127377.93999999999</v>
      </c>
    </row>
    <row r="29" spans="1:43" outlineLevel="1">
      <c r="B29" s="157" t="s">
        <v>25</v>
      </c>
      <c r="C29" s="144">
        <f t="shared" si="24"/>
        <v>9034.7899999999991</v>
      </c>
      <c r="D29" s="144">
        <f t="shared" si="25"/>
        <v>0</v>
      </c>
      <c r="E29" s="144">
        <f>'IS Feb KSA'!E29+'IS Feb USA'!E29</f>
        <v>0</v>
      </c>
      <c r="F29" s="144">
        <f>'IS Feb KSA'!F29+'IS Feb USA'!F29</f>
        <v>0</v>
      </c>
      <c r="G29" s="144">
        <f>'IS Feb KSA'!G29+'IS Feb USA'!G29</f>
        <v>0</v>
      </c>
      <c r="H29" s="144">
        <f t="shared" si="36"/>
        <v>0</v>
      </c>
      <c r="I29" s="144">
        <f>'IS Feb KSA'!I29+'IS Feb USA'!I29</f>
        <v>0</v>
      </c>
      <c r="J29" s="144">
        <f>'IS Feb KSA'!F29+'IS Feb USA'!F29</f>
        <v>0</v>
      </c>
      <c r="K29" s="144">
        <f>'IS Feb KSA'!G29+'IS Feb USA'!G29</f>
        <v>0</v>
      </c>
      <c r="L29" s="144">
        <f t="shared" si="27"/>
        <v>0</v>
      </c>
      <c r="M29" s="144">
        <f>'IS Feb KSA'!M29+'IS Feb USA'!M29</f>
        <v>0</v>
      </c>
      <c r="N29" s="144">
        <f>'IS Feb KSA'!N29+'IS Feb USA'!N29</f>
        <v>0</v>
      </c>
      <c r="O29" s="144">
        <f>'IS Feb KSA'!O29+'IS Feb USA'!O29</f>
        <v>0</v>
      </c>
      <c r="P29" s="144">
        <f t="shared" si="37"/>
        <v>9034.7899999999991</v>
      </c>
      <c r="Q29" s="144">
        <f>'IS Feb KSA'!Q29+'IS Feb USA'!Q29</f>
        <v>0</v>
      </c>
      <c r="R29" s="144">
        <f>'IS Feb KSA'!R29+'IS Feb USA'!R29</f>
        <v>5141.9699999999993</v>
      </c>
      <c r="S29" s="144">
        <f>'IS Feb KSA'!S29+'IS Feb USA'!S29</f>
        <v>3892.82</v>
      </c>
      <c r="T29" s="197">
        <f t="shared" si="10"/>
        <v>-42545.784237321903</v>
      </c>
      <c r="U29" s="197">
        <v>48693.065762678103</v>
      </c>
      <c r="V29" s="144">
        <f t="shared" si="29"/>
        <v>91238.85</v>
      </c>
      <c r="W29" s="197">
        <f t="shared" si="6"/>
        <v>1171.1190746750499</v>
      </c>
      <c r="X29" s="144">
        <v>7241.6590746750499</v>
      </c>
      <c r="Y29" s="144">
        <f t="shared" si="30"/>
        <v>17450.39</v>
      </c>
      <c r="Z29" s="144">
        <f>'IS Feb KSA'!V29+'IS Feb USA'!V29</f>
        <v>6851.9699999999993</v>
      </c>
      <c r="AA29" s="144">
        <f>'IS Feb KSA'!W29+'IS Feb USA'!W29</f>
        <v>4527.88</v>
      </c>
      <c r="AB29" s="144">
        <f>'IS Feb KSA'!X29+'IS Feb USA'!X29</f>
        <v>6070.54</v>
      </c>
      <c r="AC29" s="144">
        <f t="shared" si="31"/>
        <v>22097.15</v>
      </c>
      <c r="AD29" s="144">
        <f>'IS Feb KSA'!Z29+'IS Feb USA'!Z29</f>
        <v>10439.41</v>
      </c>
      <c r="AE29" s="144">
        <f>'IS Feb KSA'!AA29+'IS Feb USA'!AA29</f>
        <v>6622.29</v>
      </c>
      <c r="AF29" s="144">
        <f>'IS Feb KSA'!AB29+'IS Feb USA'!AB29</f>
        <v>5035.45</v>
      </c>
      <c r="AG29" s="144">
        <f t="shared" si="32"/>
        <v>20454</v>
      </c>
      <c r="AH29" s="144">
        <f>'IS Feb KSA'!AD29+'IS Feb USA'!AD29</f>
        <v>5737.6</v>
      </c>
      <c r="AI29" s="144">
        <f>'IS Feb KSA'!AE29+'IS Feb USA'!AE29</f>
        <v>7458.74</v>
      </c>
      <c r="AJ29" s="144">
        <f>'IS Feb KSA'!AF29+'IS Feb USA'!AF29</f>
        <v>7257.66</v>
      </c>
      <c r="AK29" s="144">
        <f t="shared" si="33"/>
        <v>31237.31</v>
      </c>
      <c r="AL29" s="144">
        <f>'IS Feb KSA'!AH29+'IS Feb USA'!AH29</f>
        <v>14668.43</v>
      </c>
      <c r="AM29" s="144">
        <f>'IS Feb KSA'!AI29+'IS Feb USA'!AI29</f>
        <v>6580.38</v>
      </c>
      <c r="AN29" s="144">
        <f>'IS Feb KSA'!AJ29+'IS Feb USA'!AJ29</f>
        <v>9988.5</v>
      </c>
      <c r="AO29" s="146"/>
      <c r="AP29" s="144">
        <v>3897.75</v>
      </c>
      <c r="AQ29" s="144">
        <v>91973.440000000002</v>
      </c>
    </row>
    <row r="30" spans="1:43" outlineLevel="1">
      <c r="B30" s="157" t="s">
        <v>26</v>
      </c>
      <c r="C30" s="144">
        <f>H30+L30+D30+P30</f>
        <v>0</v>
      </c>
      <c r="D30" s="144">
        <f t="shared" si="25"/>
        <v>0</v>
      </c>
      <c r="E30" s="144">
        <f>'IS Feb KSA'!E30+'IS Feb USA'!E30</f>
        <v>0</v>
      </c>
      <c r="F30" s="144">
        <f>'IS Feb KSA'!F30+'IS Feb USA'!F30</f>
        <v>0</v>
      </c>
      <c r="G30" s="144">
        <f>'IS Feb KSA'!G30+'IS Feb USA'!G30</f>
        <v>0</v>
      </c>
      <c r="H30" s="144">
        <f t="shared" si="36"/>
        <v>0</v>
      </c>
      <c r="I30" s="144">
        <f>'IS Feb KSA'!I30+'IS Feb USA'!I30</f>
        <v>0</v>
      </c>
      <c r="J30" s="144">
        <f>'IS Feb KSA'!F30+'IS Feb USA'!F30</f>
        <v>0</v>
      </c>
      <c r="K30" s="144">
        <f>'IS Feb KSA'!G30+'IS Feb USA'!G30</f>
        <v>0</v>
      </c>
      <c r="L30" s="144">
        <f t="shared" si="27"/>
        <v>0</v>
      </c>
      <c r="M30" s="144">
        <f>'IS Feb KSA'!M30+'IS Feb USA'!M30</f>
        <v>0</v>
      </c>
      <c r="N30" s="144">
        <f>'IS Feb KSA'!N30+'IS Feb USA'!N30</f>
        <v>0</v>
      </c>
      <c r="O30" s="144">
        <f>'IS Feb KSA'!O30+'IS Feb USA'!O30</f>
        <v>0</v>
      </c>
      <c r="P30" s="144">
        <f t="shared" si="37"/>
        <v>0</v>
      </c>
      <c r="Q30" s="144">
        <f>'IS Feb KSA'!Q30+'IS Feb USA'!Q30</f>
        <v>0</v>
      </c>
      <c r="R30" s="144">
        <f>'IS Feb KSA'!R30+'IS Feb USA'!R30</f>
        <v>0</v>
      </c>
      <c r="S30" s="144">
        <f>'IS Feb KSA'!S30+'IS Feb USA'!S30</f>
        <v>0</v>
      </c>
      <c r="T30" s="197">
        <f t="shared" si="10"/>
        <v>3077.5548022317016</v>
      </c>
      <c r="U30" s="197">
        <v>38077.554802231702</v>
      </c>
      <c r="V30" s="144">
        <f>AC30+AG30+Y30+AK30</f>
        <v>35000</v>
      </c>
      <c r="W30" s="197">
        <f t="shared" si="6"/>
        <v>6034.71589556254</v>
      </c>
      <c r="X30" s="144">
        <v>6034.71589556254</v>
      </c>
      <c r="Y30" s="144">
        <f t="shared" si="30"/>
        <v>35000</v>
      </c>
      <c r="Z30" s="144">
        <f>'IS Feb KSA'!V30+'IS Feb USA'!V30</f>
        <v>35000</v>
      </c>
      <c r="AA30" s="144">
        <f>'IS Feb KSA'!W30+'IS Feb USA'!W30</f>
        <v>0</v>
      </c>
      <c r="AB30" s="144">
        <f>'IS Feb KSA'!X30+'IS Feb USA'!X30</f>
        <v>0</v>
      </c>
      <c r="AC30" s="144">
        <f t="shared" si="31"/>
        <v>0</v>
      </c>
      <c r="AD30" s="144">
        <f>'IS Feb KSA'!Z30+'IS Feb USA'!Z30</f>
        <v>0</v>
      </c>
      <c r="AE30" s="144">
        <f>'IS Feb KSA'!AA30+'IS Feb USA'!AA30</f>
        <v>0</v>
      </c>
      <c r="AF30" s="144">
        <f>'IS Feb KSA'!AB30+'IS Feb USA'!AB30</f>
        <v>0</v>
      </c>
      <c r="AG30" s="144">
        <f t="shared" si="32"/>
        <v>0</v>
      </c>
      <c r="AH30" s="144">
        <f>'IS Feb KSA'!AD30+'IS Feb USA'!AD30</f>
        <v>0</v>
      </c>
      <c r="AI30" s="144">
        <f>'IS Feb KSA'!AE30+'IS Feb USA'!AE30</f>
        <v>0</v>
      </c>
      <c r="AJ30" s="144">
        <f>'IS Feb KSA'!AF30+'IS Feb USA'!AF30</f>
        <v>0</v>
      </c>
      <c r="AK30" s="144">
        <f t="shared" si="33"/>
        <v>0</v>
      </c>
      <c r="AL30" s="144">
        <f>'IS Feb KSA'!AH30+'IS Feb USA'!AH30</f>
        <v>0</v>
      </c>
      <c r="AM30" s="144">
        <f>'IS Feb KSA'!AI30+'IS Feb USA'!AI30</f>
        <v>0</v>
      </c>
      <c r="AN30" s="144">
        <f>'IS Feb KSA'!AJ30+'IS Feb USA'!AJ30</f>
        <v>0</v>
      </c>
      <c r="AO30" s="146"/>
      <c r="AP30" s="144">
        <v>17500</v>
      </c>
      <c r="AQ30" s="144">
        <v>42500</v>
      </c>
    </row>
    <row r="31" spans="1:43" outlineLevel="1">
      <c r="B31" s="157" t="s">
        <v>27</v>
      </c>
      <c r="C31" s="144">
        <f t="shared" ref="C31:C34" si="38">H31+L31+D31+P31</f>
        <v>18883.310000000001</v>
      </c>
      <c r="D31" s="144">
        <f t="shared" si="25"/>
        <v>0</v>
      </c>
      <c r="E31" s="144">
        <f>'IS Feb KSA'!E31+'IS Feb USA'!E31</f>
        <v>0</v>
      </c>
      <c r="F31" s="144">
        <f>'IS Feb KSA'!F31+'IS Feb USA'!F31</f>
        <v>0</v>
      </c>
      <c r="G31" s="144">
        <f>'IS Feb KSA'!G31+'IS Feb USA'!G31</f>
        <v>0</v>
      </c>
      <c r="H31" s="144">
        <f t="shared" si="36"/>
        <v>0</v>
      </c>
      <c r="I31" s="144">
        <f>'IS Feb KSA'!I31+'IS Feb USA'!I31</f>
        <v>0</v>
      </c>
      <c r="J31" s="144">
        <f>'IS Feb KSA'!F31+'IS Feb USA'!F31</f>
        <v>0</v>
      </c>
      <c r="K31" s="144">
        <f>'IS Feb KSA'!G31+'IS Feb USA'!G31</f>
        <v>0</v>
      </c>
      <c r="L31" s="144">
        <f t="shared" si="27"/>
        <v>0</v>
      </c>
      <c r="M31" s="144">
        <f>'IS Feb KSA'!M31+'IS Feb USA'!M31</f>
        <v>0</v>
      </c>
      <c r="N31" s="144">
        <f>'IS Feb KSA'!N31+'IS Feb USA'!N31</f>
        <v>0</v>
      </c>
      <c r="O31" s="144">
        <f>'IS Feb KSA'!O31+'IS Feb USA'!O31</f>
        <v>0</v>
      </c>
      <c r="P31" s="144">
        <f t="shared" si="37"/>
        <v>18883.310000000001</v>
      </c>
      <c r="Q31" s="144">
        <f>'IS Feb KSA'!Q31+'IS Feb USA'!Q31</f>
        <v>0</v>
      </c>
      <c r="R31" s="144">
        <f>'IS Feb KSA'!R31+'IS Feb USA'!R31</f>
        <v>6771.94</v>
      </c>
      <c r="S31" s="144">
        <f>'IS Feb KSA'!S31+'IS Feb USA'!S31</f>
        <v>12111.37</v>
      </c>
      <c r="T31" s="197">
        <f t="shared" si="10"/>
        <v>-38311.160542393205</v>
      </c>
      <c r="U31" s="197">
        <v>27415.839457606799</v>
      </c>
      <c r="V31" s="144">
        <f t="shared" si="29"/>
        <v>65727</v>
      </c>
      <c r="W31" s="197">
        <f t="shared" si="6"/>
        <v>-8997.9045551949694</v>
      </c>
      <c r="X31" s="144">
        <v>4344.9954448050303</v>
      </c>
      <c r="Y31" s="144">
        <f t="shared" si="30"/>
        <v>29094.339999999997</v>
      </c>
      <c r="Z31" s="144">
        <f>'IS Feb KSA'!V31+'IS Feb USA'!V31</f>
        <v>8861</v>
      </c>
      <c r="AA31" s="144">
        <f>'IS Feb KSA'!W31+'IS Feb USA'!W31</f>
        <v>6890.44</v>
      </c>
      <c r="AB31" s="144">
        <f>'IS Feb KSA'!X31+'IS Feb USA'!X31</f>
        <v>13342.9</v>
      </c>
      <c r="AC31" s="144">
        <f t="shared" si="31"/>
        <v>19057.91</v>
      </c>
      <c r="AD31" s="144">
        <f>'IS Feb KSA'!Z31+'IS Feb USA'!Z31</f>
        <v>9880.7199999999993</v>
      </c>
      <c r="AE31" s="144">
        <f>'IS Feb KSA'!AA31+'IS Feb USA'!AA31</f>
        <v>4099.12</v>
      </c>
      <c r="AF31" s="144">
        <f>'IS Feb KSA'!AB31+'IS Feb USA'!AB31</f>
        <v>5078.07</v>
      </c>
      <c r="AG31" s="144">
        <f t="shared" si="32"/>
        <v>9207.75</v>
      </c>
      <c r="AH31" s="144">
        <f>'IS Feb KSA'!AD31+'IS Feb USA'!AD31</f>
        <v>3298.5</v>
      </c>
      <c r="AI31" s="144">
        <f>'IS Feb KSA'!AE31+'IS Feb USA'!AE31</f>
        <v>2802.08</v>
      </c>
      <c r="AJ31" s="144">
        <f>'IS Feb KSA'!AF31+'IS Feb USA'!AF31</f>
        <v>3107.17</v>
      </c>
      <c r="AK31" s="144">
        <f t="shared" si="33"/>
        <v>8367</v>
      </c>
      <c r="AL31" s="144">
        <f>'IS Feb KSA'!AH31+'IS Feb USA'!AH31</f>
        <v>5361.89</v>
      </c>
      <c r="AM31" s="144">
        <f>'IS Feb KSA'!AI31+'IS Feb USA'!AI31</f>
        <v>173.24</v>
      </c>
      <c r="AN31" s="144">
        <f>'IS Feb KSA'!AJ31+'IS Feb USA'!AJ31</f>
        <v>2831.87</v>
      </c>
      <c r="AO31" s="146"/>
      <c r="AP31" s="144">
        <v>2142.64</v>
      </c>
      <c r="AQ31" s="144">
        <v>25607.52</v>
      </c>
    </row>
    <row r="32" spans="1:43" outlineLevel="1">
      <c r="B32" s="157" t="s">
        <v>28</v>
      </c>
      <c r="C32" s="144">
        <f t="shared" si="38"/>
        <v>196004.01</v>
      </c>
      <c r="D32" s="144">
        <f t="shared" si="25"/>
        <v>0</v>
      </c>
      <c r="E32" s="144">
        <f>'IS Feb KSA'!E32+'IS Feb USA'!E32</f>
        <v>0</v>
      </c>
      <c r="F32" s="144">
        <f>'IS Feb KSA'!F32+'IS Feb USA'!F32</f>
        <v>0</v>
      </c>
      <c r="G32" s="144">
        <f>'IS Feb KSA'!G32+'IS Feb USA'!G32</f>
        <v>0</v>
      </c>
      <c r="H32" s="144">
        <f t="shared" si="36"/>
        <v>0</v>
      </c>
      <c r="I32" s="144">
        <f>'IS Feb KSA'!I32+'IS Feb USA'!I32</f>
        <v>0</v>
      </c>
      <c r="J32" s="144">
        <f>'IS Feb KSA'!F32+'IS Feb USA'!F32</f>
        <v>0</v>
      </c>
      <c r="K32" s="144">
        <f>'IS Feb KSA'!G32+'IS Feb USA'!G32</f>
        <v>0</v>
      </c>
      <c r="L32" s="144">
        <f t="shared" si="27"/>
        <v>0</v>
      </c>
      <c r="M32" s="144">
        <f>'IS Feb KSA'!M32+'IS Feb USA'!M32</f>
        <v>0</v>
      </c>
      <c r="N32" s="144">
        <f>'IS Feb KSA'!N32+'IS Feb USA'!N32</f>
        <v>0</v>
      </c>
      <c r="O32" s="144">
        <f>'IS Feb KSA'!O32+'IS Feb USA'!O32</f>
        <v>0</v>
      </c>
      <c r="P32" s="144">
        <f t="shared" si="37"/>
        <v>196004.01</v>
      </c>
      <c r="Q32" s="144">
        <f>'IS Feb KSA'!Q32+'IS Feb USA'!Q32</f>
        <v>0</v>
      </c>
      <c r="R32" s="144">
        <f>'IS Feb KSA'!R32+'IS Feb USA'!R32</f>
        <v>101893.31</v>
      </c>
      <c r="S32" s="144">
        <f>'IS Feb KSA'!S32+'IS Feb USA'!S32</f>
        <v>94110.7</v>
      </c>
      <c r="T32" s="197">
        <f t="shared" si="10"/>
        <v>-548044.73237321898</v>
      </c>
      <c r="U32" s="197">
        <v>456930.65762678097</v>
      </c>
      <c r="V32" s="144">
        <f t="shared" si="29"/>
        <v>1004975.3899999999</v>
      </c>
      <c r="W32" s="197">
        <f t="shared" si="6"/>
        <v>-65856.969253249496</v>
      </c>
      <c r="X32" s="144">
        <v>72416.590746750502</v>
      </c>
      <c r="Y32" s="144">
        <f t="shared" si="30"/>
        <v>345831.09</v>
      </c>
      <c r="Z32" s="144">
        <f>'IS Feb KSA'!V32+'IS Feb USA'!V32</f>
        <v>128688.36000000002</v>
      </c>
      <c r="AA32" s="144">
        <f>'IS Feb KSA'!W32+'IS Feb USA'!W32</f>
        <v>78869.17</v>
      </c>
      <c r="AB32" s="144">
        <f>'IS Feb KSA'!X32+'IS Feb USA'!X32</f>
        <v>138273.56</v>
      </c>
      <c r="AC32" s="144">
        <f t="shared" si="31"/>
        <v>277793.59999999998</v>
      </c>
      <c r="AD32" s="144">
        <f>'IS Feb KSA'!Z32+'IS Feb USA'!Z32</f>
        <v>115331.18</v>
      </c>
      <c r="AE32" s="144">
        <f>'IS Feb KSA'!AA32+'IS Feb USA'!AA32</f>
        <v>56876.149999999994</v>
      </c>
      <c r="AF32" s="144">
        <f>'IS Feb KSA'!AB32+'IS Feb USA'!AB32</f>
        <v>105586.26999999999</v>
      </c>
      <c r="AG32" s="144">
        <f t="shared" si="32"/>
        <v>203714.73</v>
      </c>
      <c r="AH32" s="144">
        <f>'IS Feb KSA'!AD32+'IS Feb USA'!AD32</f>
        <v>75539.11</v>
      </c>
      <c r="AI32" s="144">
        <f>'IS Feb KSA'!AE32+'IS Feb USA'!AE32</f>
        <v>68015.58</v>
      </c>
      <c r="AJ32" s="144">
        <f>'IS Feb KSA'!AF32+'IS Feb USA'!AF32</f>
        <v>60160.040000000008</v>
      </c>
      <c r="AK32" s="144">
        <f t="shared" si="33"/>
        <v>177635.97000000003</v>
      </c>
      <c r="AL32" s="144">
        <f>'IS Feb KSA'!AH32+'IS Feb USA'!AH32</f>
        <v>61103.45</v>
      </c>
      <c r="AM32" s="144">
        <f>'IS Feb KSA'!AI32+'IS Feb USA'!AI32</f>
        <v>72800.700000000012</v>
      </c>
      <c r="AN32" s="144">
        <f>'IS Feb KSA'!AJ32+'IS Feb USA'!AJ32</f>
        <v>43731.82</v>
      </c>
      <c r="AO32" s="146"/>
      <c r="AP32" s="144">
        <v>51500.229999999996</v>
      </c>
      <c r="AQ32" s="144">
        <v>472140.14</v>
      </c>
    </row>
    <row r="33" spans="1:43" outlineLevel="1">
      <c r="B33" s="157" t="s">
        <v>600</v>
      </c>
      <c r="C33" s="144">
        <f t="shared" si="38"/>
        <v>13566.86</v>
      </c>
      <c r="D33" s="144">
        <f t="shared" si="25"/>
        <v>0</v>
      </c>
      <c r="E33" s="144">
        <f>'IS Feb KSA'!E33+'IS Feb USA'!E33</f>
        <v>0</v>
      </c>
      <c r="F33" s="144">
        <f>'IS Feb KSA'!F33+'IS Feb USA'!F33</f>
        <v>0</v>
      </c>
      <c r="G33" s="144">
        <f>'IS Feb KSA'!G33+'IS Feb USA'!G33</f>
        <v>0</v>
      </c>
      <c r="H33" s="144"/>
      <c r="I33" s="144">
        <f>'IS Feb KSA'!I33+'IS Feb USA'!I33</f>
        <v>0</v>
      </c>
      <c r="J33" s="144">
        <f>'IS Feb KSA'!F33+'IS Feb USA'!F33</f>
        <v>0</v>
      </c>
      <c r="K33" s="144">
        <f>'IS Feb KSA'!G33+'IS Feb USA'!G33</f>
        <v>0</v>
      </c>
      <c r="L33" s="144">
        <f t="shared" si="27"/>
        <v>0</v>
      </c>
      <c r="M33" s="144">
        <f>'IS Feb KSA'!M33+'IS Feb USA'!M33</f>
        <v>0</v>
      </c>
      <c r="N33" s="144">
        <f>'IS Feb KSA'!N33+'IS Feb USA'!N33</f>
        <v>0</v>
      </c>
      <c r="O33" s="144">
        <f>'IS Feb KSA'!O33+'IS Feb USA'!O33</f>
        <v>0</v>
      </c>
      <c r="P33" s="144">
        <f t="shared" si="37"/>
        <v>13566.86</v>
      </c>
      <c r="Q33" s="144">
        <f>'IS Feb KSA'!Q33+'IS Feb USA'!Q33</f>
        <v>0</v>
      </c>
      <c r="R33" s="144">
        <f>'IS Feb KSA'!R33+'IS Feb USA'!R33</f>
        <v>4007.5</v>
      </c>
      <c r="S33" s="144">
        <f>'IS Feb KSA'!S33+'IS Feb USA'!S33</f>
        <v>9559.36</v>
      </c>
      <c r="T33" s="197"/>
      <c r="U33" s="197">
        <v>0</v>
      </c>
      <c r="V33" s="144">
        <f t="shared" si="29"/>
        <v>43313.02</v>
      </c>
      <c r="W33" s="197">
        <f>X33-AB33</f>
        <v>-18842.919999999998</v>
      </c>
      <c r="X33" s="144"/>
      <c r="Y33" s="144">
        <f t="shared" si="30"/>
        <v>43313.02</v>
      </c>
      <c r="Z33" s="144">
        <f>'IS Feb KSA'!V33+'IS Feb USA'!V33</f>
        <v>22232.75</v>
      </c>
      <c r="AA33" s="144">
        <f>'IS Feb KSA'!W33+'IS Feb USA'!W33</f>
        <v>2237.35</v>
      </c>
      <c r="AB33" s="144">
        <f>'IS Feb KSA'!X33+'IS Feb USA'!X33</f>
        <v>18842.919999999998</v>
      </c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6"/>
      <c r="AP33" s="144"/>
      <c r="AQ33" s="144"/>
    </row>
    <row r="34" spans="1:43" outlineLevel="1">
      <c r="B34" s="157" t="s">
        <v>601</v>
      </c>
      <c r="C34" s="144">
        <f t="shared" si="38"/>
        <v>0</v>
      </c>
      <c r="D34" s="144">
        <f t="shared" si="25"/>
        <v>0</v>
      </c>
      <c r="E34" s="144">
        <f>'IS Feb KSA'!E34+'IS Feb USA'!E34</f>
        <v>0</v>
      </c>
      <c r="F34" s="144">
        <f>'IS Feb KSA'!F34+'IS Feb USA'!F34</f>
        <v>0</v>
      </c>
      <c r="G34" s="144">
        <f>'IS Feb KSA'!G34+'IS Feb USA'!G34</f>
        <v>0</v>
      </c>
      <c r="H34" s="144"/>
      <c r="I34" s="144">
        <f>'IS Feb KSA'!I34+'IS Feb USA'!I34</f>
        <v>0</v>
      </c>
      <c r="J34" s="144">
        <f>'IS Feb KSA'!F34+'IS Feb USA'!F34</f>
        <v>0</v>
      </c>
      <c r="K34" s="144">
        <f>'IS Feb KSA'!G34+'IS Feb USA'!G34</f>
        <v>0</v>
      </c>
      <c r="L34" s="144">
        <f t="shared" si="27"/>
        <v>0</v>
      </c>
      <c r="M34" s="144">
        <f>'IS Feb KSA'!M34+'IS Feb USA'!M34</f>
        <v>0</v>
      </c>
      <c r="N34" s="144">
        <f>'IS Feb KSA'!N34+'IS Feb USA'!N34</f>
        <v>0</v>
      </c>
      <c r="O34" s="144">
        <f>'IS Feb KSA'!O34+'IS Feb USA'!O34</f>
        <v>0</v>
      </c>
      <c r="P34" s="144">
        <f t="shared" si="37"/>
        <v>0</v>
      </c>
      <c r="Q34" s="144">
        <f>'IS Feb KSA'!Q34+'IS Feb USA'!Q34</f>
        <v>0</v>
      </c>
      <c r="R34" s="144">
        <f>'IS Feb KSA'!R34+'IS Feb USA'!R34</f>
        <v>0</v>
      </c>
      <c r="S34" s="144">
        <f>'IS Feb KSA'!S34+'IS Feb USA'!S34</f>
        <v>0</v>
      </c>
      <c r="T34" s="197"/>
      <c r="U34" s="197">
        <v>0</v>
      </c>
      <c r="V34" s="144">
        <f t="shared" ref="V34" si="39">AC34+AG34+Y34+AK34</f>
        <v>1200</v>
      </c>
      <c r="W34" s="197">
        <f t="shared" si="6"/>
        <v>-1200</v>
      </c>
      <c r="X34" s="144"/>
      <c r="Y34" s="144">
        <f t="shared" ref="Y34" si="40">SUM(Z34:AB34)</f>
        <v>1200</v>
      </c>
      <c r="Z34" s="144">
        <f>'IS Feb KSA'!V34+'IS Feb USA'!V34</f>
        <v>0</v>
      </c>
      <c r="AA34" s="144">
        <f>'IS Feb KSA'!W34+'IS Feb USA'!W34</f>
        <v>0</v>
      </c>
      <c r="AB34" s="144">
        <f>'IS Feb KSA'!X34+'IS Feb USA'!X34</f>
        <v>1200</v>
      </c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6"/>
      <c r="AP34" s="144"/>
      <c r="AQ34" s="144"/>
    </row>
    <row r="35" spans="1:43" outlineLevel="1">
      <c r="B35" s="157" t="s">
        <v>29</v>
      </c>
      <c r="C35" s="144">
        <f>H35+L35+D35+P35</f>
        <v>6.3</v>
      </c>
      <c r="D35" s="144">
        <f t="shared" si="25"/>
        <v>0</v>
      </c>
      <c r="E35" s="144">
        <f>'IS Feb KSA'!E35+'IS Feb USA'!E35</f>
        <v>0</v>
      </c>
      <c r="F35" s="144">
        <f>'IS Feb KSA'!F35+'IS Feb USA'!F35</f>
        <v>0</v>
      </c>
      <c r="G35" s="144">
        <f>'IS Feb KSA'!G35+'IS Feb USA'!G35</f>
        <v>0</v>
      </c>
      <c r="H35" s="144">
        <f t="shared" ref="H35:H37" si="41">I35+J35+K35</f>
        <v>0</v>
      </c>
      <c r="I35" s="144">
        <f>'IS Feb KSA'!I35+'IS Feb USA'!I35</f>
        <v>0</v>
      </c>
      <c r="J35" s="144">
        <f>'IS Feb KSA'!F35+'IS Feb USA'!F35</f>
        <v>0</v>
      </c>
      <c r="K35" s="144">
        <f>'IS Feb KSA'!G35+'IS Feb USA'!G35</f>
        <v>0</v>
      </c>
      <c r="L35" s="144">
        <f t="shared" si="27"/>
        <v>0</v>
      </c>
      <c r="M35" s="144">
        <f>'IS Feb KSA'!M35+'IS Feb USA'!M35</f>
        <v>0</v>
      </c>
      <c r="N35" s="144">
        <f>'IS Feb KSA'!N35+'IS Feb USA'!N35</f>
        <v>0</v>
      </c>
      <c r="O35" s="144">
        <f>'IS Feb KSA'!O35+'IS Feb USA'!O35</f>
        <v>0</v>
      </c>
      <c r="P35" s="144">
        <f t="shared" ref="P35:P37" si="42">SUM(Q35:S35)</f>
        <v>6.3</v>
      </c>
      <c r="Q35" s="144">
        <f>'IS Feb KSA'!Q35+'IS Feb USA'!Q35</f>
        <v>0</v>
      </c>
      <c r="R35" s="144">
        <f>'IS Feb KSA'!R35+'IS Feb USA'!R35</f>
        <v>0</v>
      </c>
      <c r="S35" s="144">
        <f>'IS Feb KSA'!S35+'IS Feb USA'!S35</f>
        <v>6.3</v>
      </c>
      <c r="T35" s="197">
        <f t="shared" si="10"/>
        <v>9130.4431525356104</v>
      </c>
      <c r="U35" s="197">
        <v>9138.6131525356104</v>
      </c>
      <c r="V35" s="144">
        <f>AC35+AG35+Y35+AK35</f>
        <v>8.17</v>
      </c>
      <c r="W35" s="197">
        <f t="shared" si="6"/>
        <v>1447.6818149350099</v>
      </c>
      <c r="X35" s="144">
        <v>1448.33181493501</v>
      </c>
      <c r="Y35" s="144">
        <f t="shared" si="30"/>
        <v>0.66</v>
      </c>
      <c r="Z35" s="144">
        <f>'IS Feb KSA'!V35+'IS Feb USA'!V35</f>
        <v>0.01</v>
      </c>
      <c r="AA35" s="144">
        <f>'IS Feb KSA'!W35+'IS Feb USA'!W35</f>
        <v>0</v>
      </c>
      <c r="AB35" s="144">
        <f>'IS Feb KSA'!X35+'IS Feb USA'!X35</f>
        <v>0.65</v>
      </c>
      <c r="AC35" s="144">
        <f t="shared" si="31"/>
        <v>3.5100000000000002</v>
      </c>
      <c r="AD35" s="144">
        <f>'IS Feb KSA'!Z35+'IS Feb USA'!Z35</f>
        <v>0.77</v>
      </c>
      <c r="AE35" s="144">
        <f>'IS Feb KSA'!AA35+'IS Feb USA'!AA35</f>
        <v>2.77</v>
      </c>
      <c r="AF35" s="144">
        <f>'IS Feb KSA'!AB35+'IS Feb USA'!AB35</f>
        <v>-0.03</v>
      </c>
      <c r="AG35" s="144">
        <f t="shared" si="32"/>
        <v>4</v>
      </c>
      <c r="AH35" s="144">
        <f>'IS Feb KSA'!AD35+'IS Feb USA'!AD35</f>
        <v>2.94</v>
      </c>
      <c r="AI35" s="144">
        <f>'IS Feb KSA'!AE35+'IS Feb USA'!AE35</f>
        <v>0.01</v>
      </c>
      <c r="AJ35" s="144">
        <f>'IS Feb KSA'!AF35+'IS Feb USA'!AF35</f>
        <v>1.05</v>
      </c>
      <c r="AK35" s="144">
        <f t="shared" si="33"/>
        <v>0</v>
      </c>
      <c r="AL35" s="144">
        <f>'IS Feb KSA'!AH35+'IS Feb USA'!AH35</f>
        <v>0</v>
      </c>
      <c r="AM35" s="144">
        <f>'IS Feb KSA'!AI35+'IS Feb USA'!AI35</f>
        <v>0</v>
      </c>
      <c r="AN35" s="144">
        <f>'IS Feb KSA'!AJ35+'IS Feb USA'!AJ35</f>
        <v>0</v>
      </c>
      <c r="AO35" s="146"/>
      <c r="AP35" s="144">
        <v>0.24</v>
      </c>
      <c r="AQ35" s="144">
        <v>-103.77</v>
      </c>
    </row>
    <row r="36" spans="1:43" outlineLevel="1">
      <c r="B36" s="157" t="s">
        <v>30</v>
      </c>
      <c r="C36" s="144">
        <f t="shared" ref="C36:C38" si="43">H36+L36+D36+P36</f>
        <v>849</v>
      </c>
      <c r="D36" s="144">
        <f t="shared" si="25"/>
        <v>0</v>
      </c>
      <c r="E36" s="144">
        <f>'IS Feb KSA'!E36+'IS Feb USA'!E36</f>
        <v>0</v>
      </c>
      <c r="F36" s="144">
        <f>'IS Feb KSA'!F36+'IS Feb USA'!F36</f>
        <v>0</v>
      </c>
      <c r="G36" s="144">
        <f>'IS Feb KSA'!G36+'IS Feb USA'!G36</f>
        <v>0</v>
      </c>
      <c r="H36" s="144">
        <f t="shared" si="41"/>
        <v>0</v>
      </c>
      <c r="I36" s="144">
        <f>'IS Feb KSA'!I36+'IS Feb USA'!I36</f>
        <v>0</v>
      </c>
      <c r="J36" s="144">
        <f>'IS Feb KSA'!F36+'IS Feb USA'!F36</f>
        <v>0</v>
      </c>
      <c r="K36" s="144">
        <f>'IS Feb KSA'!G36+'IS Feb USA'!G36</f>
        <v>0</v>
      </c>
      <c r="L36" s="144">
        <f t="shared" si="27"/>
        <v>0</v>
      </c>
      <c r="M36" s="144">
        <f>'IS Feb KSA'!M36+'IS Feb USA'!M36</f>
        <v>0</v>
      </c>
      <c r="N36" s="144">
        <f>'IS Feb KSA'!N36+'IS Feb USA'!N36</f>
        <v>0</v>
      </c>
      <c r="O36" s="144">
        <f>'IS Feb KSA'!O36+'IS Feb USA'!O36</f>
        <v>0</v>
      </c>
      <c r="P36" s="144">
        <f t="shared" si="42"/>
        <v>849</v>
      </c>
      <c r="Q36" s="144">
        <f>'IS Feb KSA'!Q36+'IS Feb USA'!Q36</f>
        <v>0</v>
      </c>
      <c r="R36" s="144">
        <f>'IS Feb KSA'!R36+'IS Feb USA'!R36</f>
        <v>0</v>
      </c>
      <c r="S36" s="144">
        <f>'IS Feb KSA'!S36+'IS Feb USA'!S36</f>
        <v>849</v>
      </c>
      <c r="T36" s="197">
        <f t="shared" si="10"/>
        <v>-42182.163694928808</v>
      </c>
      <c r="U36" s="197">
        <v>18277.226305071199</v>
      </c>
      <c r="V36" s="144">
        <f t="shared" si="29"/>
        <v>60459.390000000007</v>
      </c>
      <c r="W36" s="197">
        <f t="shared" si="6"/>
        <v>-15859.466370129981</v>
      </c>
      <c r="X36" s="144">
        <v>2896.66362987002</v>
      </c>
      <c r="Y36" s="144">
        <f t="shared" si="30"/>
        <v>22771.620000000003</v>
      </c>
      <c r="Z36" s="144">
        <f>'IS Feb KSA'!V36+'IS Feb USA'!V36</f>
        <v>1665.09</v>
      </c>
      <c r="AA36" s="144">
        <f>'IS Feb KSA'!W36+'IS Feb USA'!W36</f>
        <v>2350.4</v>
      </c>
      <c r="AB36" s="144">
        <f>'IS Feb KSA'!X36+'IS Feb USA'!X36</f>
        <v>18756.13</v>
      </c>
      <c r="AC36" s="144">
        <f t="shared" si="31"/>
        <v>13695.240000000002</v>
      </c>
      <c r="AD36" s="144">
        <f>'IS Feb KSA'!Z36+'IS Feb USA'!Z36</f>
        <v>8226.5300000000007</v>
      </c>
      <c r="AE36" s="144">
        <f>'IS Feb KSA'!AA36+'IS Feb USA'!AA36</f>
        <v>1562.62</v>
      </c>
      <c r="AF36" s="144">
        <f>'IS Feb KSA'!AB36+'IS Feb USA'!AB36</f>
        <v>3906.09</v>
      </c>
      <c r="AG36" s="144">
        <f t="shared" si="32"/>
        <v>5351.42</v>
      </c>
      <c r="AH36" s="144">
        <f>'IS Feb KSA'!AD36+'IS Feb USA'!AD36</f>
        <v>4772.18</v>
      </c>
      <c r="AI36" s="144">
        <f>'IS Feb KSA'!AE36+'IS Feb USA'!AE36</f>
        <v>157.5</v>
      </c>
      <c r="AJ36" s="144">
        <f>'IS Feb KSA'!AF36+'IS Feb USA'!AF36</f>
        <v>421.74</v>
      </c>
      <c r="AK36" s="144">
        <f t="shared" si="33"/>
        <v>18641.11</v>
      </c>
      <c r="AL36" s="144">
        <f>'IS Feb KSA'!AH36+'IS Feb USA'!AH36</f>
        <v>974.78</v>
      </c>
      <c r="AM36" s="144">
        <f>'IS Feb KSA'!AI36+'IS Feb USA'!AI36</f>
        <v>8417.44</v>
      </c>
      <c r="AN36" s="144">
        <f>'IS Feb KSA'!AJ36+'IS Feb USA'!AJ36</f>
        <v>9248.89</v>
      </c>
      <c r="AO36" s="146"/>
      <c r="AP36" s="144">
        <v>2420.5500000000002</v>
      </c>
      <c r="AQ36" s="144">
        <v>13174.86</v>
      </c>
    </row>
    <row r="37" spans="1:43" outlineLevel="1">
      <c r="B37" s="157" t="s">
        <v>31</v>
      </c>
      <c r="C37" s="144">
        <f t="shared" si="43"/>
        <v>4000</v>
      </c>
      <c r="D37" s="144">
        <f t="shared" si="25"/>
        <v>0</v>
      </c>
      <c r="E37" s="144">
        <f>'IS Feb KSA'!E37+'IS Feb USA'!E37</f>
        <v>0</v>
      </c>
      <c r="F37" s="144">
        <f>'IS Feb KSA'!F37+'IS Feb USA'!F37</f>
        <v>0</v>
      </c>
      <c r="G37" s="144">
        <f>'IS Feb KSA'!G37+'IS Feb USA'!G37</f>
        <v>0</v>
      </c>
      <c r="H37" s="144">
        <f t="shared" si="41"/>
        <v>0</v>
      </c>
      <c r="I37" s="144">
        <f>'IS Feb KSA'!I37+'IS Feb USA'!I37</f>
        <v>0</v>
      </c>
      <c r="J37" s="144">
        <f>'IS Feb KSA'!F37+'IS Feb USA'!F37</f>
        <v>0</v>
      </c>
      <c r="K37" s="144">
        <f>'IS Feb KSA'!G37+'IS Feb USA'!G37</f>
        <v>0</v>
      </c>
      <c r="L37" s="144">
        <f t="shared" si="27"/>
        <v>0</v>
      </c>
      <c r="M37" s="144">
        <f>'IS Feb KSA'!M37+'IS Feb USA'!M37</f>
        <v>0</v>
      </c>
      <c r="N37" s="144">
        <f>'IS Feb KSA'!N37+'IS Feb USA'!N37</f>
        <v>0</v>
      </c>
      <c r="O37" s="144">
        <f>'IS Feb KSA'!O37+'IS Feb USA'!O37</f>
        <v>0</v>
      </c>
      <c r="P37" s="144">
        <f t="shared" si="42"/>
        <v>4000</v>
      </c>
      <c r="Q37" s="144">
        <f>'IS Feb KSA'!Q37+'IS Feb USA'!Q37</f>
        <v>0</v>
      </c>
      <c r="R37" s="144">
        <f>'IS Feb KSA'!R37+'IS Feb USA'!R37</f>
        <v>2000</v>
      </c>
      <c r="S37" s="144">
        <f>'IS Feb KSA'!S37+'IS Feb USA'!S37</f>
        <v>2000</v>
      </c>
      <c r="T37" s="197">
        <f t="shared" si="10"/>
        <v>-1000</v>
      </c>
      <c r="U37" s="197">
        <v>30000</v>
      </c>
      <c r="V37" s="144">
        <f t="shared" si="29"/>
        <v>31000</v>
      </c>
      <c r="W37" s="197">
        <f t="shared" si="6"/>
        <v>-6000</v>
      </c>
      <c r="X37" s="144">
        <v>3000</v>
      </c>
      <c r="Y37" s="144">
        <f t="shared" si="30"/>
        <v>13000</v>
      </c>
      <c r="Z37" s="144">
        <f>'IS Feb KSA'!V37+'IS Feb USA'!V37</f>
        <v>2000</v>
      </c>
      <c r="AA37" s="144">
        <f>'IS Feb KSA'!W37+'IS Feb USA'!W37</f>
        <v>2000</v>
      </c>
      <c r="AB37" s="144">
        <f>'IS Feb KSA'!X37+'IS Feb USA'!X37</f>
        <v>9000</v>
      </c>
      <c r="AC37" s="144">
        <f t="shared" ref="AC37" si="44">AD37+AE37+AF37</f>
        <v>6000</v>
      </c>
      <c r="AD37" s="144">
        <f>'IS Feb KSA'!Z37+'IS Feb USA'!Z37</f>
        <v>2000</v>
      </c>
      <c r="AE37" s="144">
        <f>'IS Feb KSA'!AA37+'IS Feb USA'!AA37</f>
        <v>2000</v>
      </c>
      <c r="AF37" s="144">
        <f>'IS Feb KSA'!AB37+'IS Feb USA'!AB37</f>
        <v>2000</v>
      </c>
      <c r="AG37" s="144">
        <f t="shared" ref="AG37" si="45">SUM(AH37:AJ37)</f>
        <v>6000</v>
      </c>
      <c r="AH37" s="144">
        <f>'IS Feb KSA'!AD37+'IS Feb USA'!AD37</f>
        <v>2000</v>
      </c>
      <c r="AI37" s="144">
        <f>'IS Feb KSA'!AE37+'IS Feb USA'!AE37</f>
        <v>2000</v>
      </c>
      <c r="AJ37" s="144">
        <f>'IS Feb KSA'!AF37+'IS Feb USA'!AF37</f>
        <v>2000</v>
      </c>
      <c r="AK37" s="144">
        <f t="shared" si="33"/>
        <v>6000</v>
      </c>
      <c r="AL37" s="144">
        <f>'IS Feb KSA'!AH37+'IS Feb USA'!AH37</f>
        <v>2000</v>
      </c>
      <c r="AM37" s="144">
        <f>'IS Feb KSA'!AI37+'IS Feb USA'!AI37</f>
        <v>2000</v>
      </c>
      <c r="AN37" s="144">
        <f>'IS Feb KSA'!AJ37+'IS Feb USA'!AJ37</f>
        <v>2000</v>
      </c>
      <c r="AO37" s="146"/>
      <c r="AP37" s="144">
        <v>2000</v>
      </c>
      <c r="AQ37" s="144">
        <v>10000</v>
      </c>
    </row>
    <row r="38" spans="1:43" outlineLevel="1">
      <c r="B38" s="157" t="s">
        <v>32</v>
      </c>
      <c r="C38" s="144">
        <f t="shared" si="43"/>
        <v>0</v>
      </c>
      <c r="D38" s="144">
        <f t="shared" si="25"/>
        <v>0</v>
      </c>
      <c r="E38" s="144">
        <f>'IS Feb KSA'!E38+'IS Feb USA'!E38</f>
        <v>0</v>
      </c>
      <c r="F38" s="144">
        <f>'IS Feb KSA'!F38+'IS Feb USA'!F38</f>
        <v>0</v>
      </c>
      <c r="G38" s="144">
        <f>'IS Feb KSA'!G38+'IS Feb USA'!G38</f>
        <v>0</v>
      </c>
      <c r="H38" s="144"/>
      <c r="I38" s="144">
        <f>'IS Feb KSA'!I38+'IS Feb USA'!I38</f>
        <v>0</v>
      </c>
      <c r="J38" s="144">
        <f>'IS Feb KSA'!F38+'IS Feb USA'!F38</f>
        <v>0</v>
      </c>
      <c r="K38" s="144">
        <f>'IS Feb KSA'!G38+'IS Feb USA'!G38</f>
        <v>0</v>
      </c>
      <c r="L38" s="144">
        <f t="shared" si="27"/>
        <v>0</v>
      </c>
      <c r="M38" s="144">
        <f>'IS Feb KSA'!M38+'IS Feb USA'!M38</f>
        <v>0</v>
      </c>
      <c r="N38" s="144">
        <f>'IS Feb KSA'!N38+'IS Feb USA'!N38</f>
        <v>0</v>
      </c>
      <c r="O38" s="144">
        <f>'IS Feb KSA'!O38+'IS Feb USA'!O38</f>
        <v>0</v>
      </c>
      <c r="P38" s="144"/>
      <c r="Q38" s="144">
        <f>'IS Feb KSA'!Q38+'IS Feb USA'!Q38</f>
        <v>0</v>
      </c>
      <c r="R38" s="144">
        <f>'IS Feb KSA'!R38+'IS Feb USA'!R38</f>
        <v>0</v>
      </c>
      <c r="S38" s="144">
        <f>'IS Feb KSA'!S38+'IS Feb USA'!S38</f>
        <v>0</v>
      </c>
      <c r="T38" s="197">
        <f t="shared" si="10"/>
        <v>0</v>
      </c>
      <c r="U38" s="197">
        <v>0</v>
      </c>
      <c r="V38" s="144">
        <f t="shared" si="29"/>
        <v>0</v>
      </c>
      <c r="W38" s="197">
        <f t="shared" si="6"/>
        <v>0</v>
      </c>
      <c r="X38" s="144">
        <v>0</v>
      </c>
      <c r="Y38" s="144">
        <f t="shared" si="30"/>
        <v>0</v>
      </c>
      <c r="Z38" s="144">
        <f>'IS Feb KSA'!V38+'IS Feb USA'!V38</f>
        <v>0</v>
      </c>
      <c r="AA38" s="144">
        <f>'IS Feb KSA'!W38+'IS Feb USA'!W38</f>
        <v>0</v>
      </c>
      <c r="AB38" s="144">
        <f>'IS Feb KSA'!X38+'IS Feb USA'!X38</f>
        <v>0</v>
      </c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>
        <f>'IS Feb KSA'!AI38+'IS Feb USA'!AI38</f>
        <v>0</v>
      </c>
      <c r="AN38" s="144">
        <f>'IS Feb KSA'!AJ38+'IS Feb USA'!AJ38</f>
        <v>0</v>
      </c>
      <c r="AO38" s="146"/>
      <c r="AP38" s="144">
        <v>0</v>
      </c>
      <c r="AQ38" s="144">
        <v>47608.81</v>
      </c>
    </row>
    <row r="39" spans="1:43" s="151" customFormat="1">
      <c r="A39" s="147"/>
      <c r="B39" s="148" t="s">
        <v>33</v>
      </c>
      <c r="C39" s="149">
        <f>SUM(C40:C55)</f>
        <v>243251.08</v>
      </c>
      <c r="D39" s="149">
        <f>SUM(D40:D55)</f>
        <v>0</v>
      </c>
      <c r="E39" s="149">
        <f>SUM(E40:E55)</f>
        <v>0</v>
      </c>
      <c r="F39" s="149">
        <f>SUM(F40:F55)</f>
        <v>0</v>
      </c>
      <c r="G39" s="149">
        <f>SUM(G40:G55)</f>
        <v>0</v>
      </c>
      <c r="H39" s="149">
        <f t="shared" ref="H39:R39" si="46">SUM(H40:H55)</f>
        <v>0</v>
      </c>
      <c r="I39" s="149">
        <f t="shared" si="46"/>
        <v>0</v>
      </c>
      <c r="J39" s="149">
        <f t="shared" si="46"/>
        <v>0</v>
      </c>
      <c r="K39" s="149">
        <f t="shared" si="46"/>
        <v>0</v>
      </c>
      <c r="L39" s="149">
        <f t="shared" si="46"/>
        <v>0</v>
      </c>
      <c r="M39" s="149">
        <f t="shared" si="46"/>
        <v>0</v>
      </c>
      <c r="N39" s="149">
        <f t="shared" si="46"/>
        <v>0</v>
      </c>
      <c r="O39" s="149">
        <f t="shared" si="46"/>
        <v>0</v>
      </c>
      <c r="P39" s="149">
        <f t="shared" si="46"/>
        <v>243251.08</v>
      </c>
      <c r="Q39" s="149">
        <f t="shared" si="46"/>
        <v>0</v>
      </c>
      <c r="R39" s="149">
        <f t="shared" si="46"/>
        <v>118293.98000000001</v>
      </c>
      <c r="S39" s="149">
        <f>SUM(S40:S55)</f>
        <v>124957.1</v>
      </c>
      <c r="T39" s="197">
        <f t="shared" si="10"/>
        <v>546074.46281914879</v>
      </c>
      <c r="U39" s="149">
        <f>SUM(U40:U55)</f>
        <v>2131463.932819149</v>
      </c>
      <c r="V39" s="149">
        <f>SUM(V40:V55)</f>
        <v>1585389.4700000002</v>
      </c>
      <c r="W39" s="197">
        <f t="shared" si="6"/>
        <v>118554.61404211345</v>
      </c>
      <c r="X39" s="149">
        <f>SUM(X40:X55)</f>
        <v>266289.97404211346</v>
      </c>
      <c r="Y39" s="149">
        <f>SUM(Y40:Y55)</f>
        <v>450046.4</v>
      </c>
      <c r="Z39" s="149">
        <f>SUM(Z40:Z55)</f>
        <v>155233.75</v>
      </c>
      <c r="AA39" s="149">
        <f>SUM(AA40:AA55)</f>
        <v>147077.29</v>
      </c>
      <c r="AB39" s="149">
        <f>SUM(AB40:AB55)</f>
        <v>147735.36000000002</v>
      </c>
      <c r="AC39" s="149">
        <f t="shared" ref="AC39:AM39" si="47">SUM(AC40:AC55)</f>
        <v>469247.74</v>
      </c>
      <c r="AD39" s="149">
        <f t="shared" si="47"/>
        <v>170596.63999999998</v>
      </c>
      <c r="AE39" s="149">
        <f t="shared" si="47"/>
        <v>99390.5</v>
      </c>
      <c r="AF39" s="149">
        <f t="shared" si="47"/>
        <v>199260.6</v>
      </c>
      <c r="AG39" s="149">
        <f t="shared" si="47"/>
        <v>345910.81000000006</v>
      </c>
      <c r="AH39" s="149">
        <f t="shared" si="47"/>
        <v>147728.59</v>
      </c>
      <c r="AI39" s="149">
        <f t="shared" si="47"/>
        <v>116546.4</v>
      </c>
      <c r="AJ39" s="149">
        <f t="shared" si="47"/>
        <v>81635.820000000007</v>
      </c>
      <c r="AK39" s="149">
        <f t="shared" si="47"/>
        <v>320184.52</v>
      </c>
      <c r="AL39" s="149">
        <f t="shared" si="47"/>
        <v>80583.56</v>
      </c>
      <c r="AM39" s="149">
        <f t="shared" si="47"/>
        <v>146872.35</v>
      </c>
      <c r="AN39" s="149">
        <f>SUM(AN40:AN55)</f>
        <v>92728.610000000015</v>
      </c>
      <c r="AO39" s="158"/>
      <c r="AP39" s="149">
        <f>SUM(AP40:AP55)</f>
        <v>88341.5</v>
      </c>
      <c r="AQ39" s="149">
        <f>SUM(AQ40:AQ55)</f>
        <v>771628.3600000001</v>
      </c>
    </row>
    <row r="40" spans="1:43" outlineLevel="1">
      <c r="B40" s="157" t="s">
        <v>34</v>
      </c>
      <c r="C40" s="144">
        <f t="shared" ref="C40:C55" si="48">H40+L40+D40+P40</f>
        <v>17256.72</v>
      </c>
      <c r="D40" s="144">
        <f t="shared" ref="D40:D55" si="49">SUM(E40:G40)</f>
        <v>0</v>
      </c>
      <c r="E40" s="144">
        <f>'IS Feb KSA'!E40+'IS Feb USA'!E40</f>
        <v>0</v>
      </c>
      <c r="F40" s="144">
        <f>'IS Feb KSA'!F40+'IS Feb USA'!F40</f>
        <v>0</v>
      </c>
      <c r="G40" s="144">
        <f>'IS Feb KSA'!G40+'IS Feb USA'!G40</f>
        <v>0</v>
      </c>
      <c r="H40" s="144">
        <f t="shared" ref="H40:H55" si="50">I40+J40+K40</f>
        <v>0</v>
      </c>
      <c r="I40" s="144">
        <f>'IS Feb KSA'!I40+'IS Feb USA'!I40</f>
        <v>0</v>
      </c>
      <c r="J40" s="144">
        <f>'IS Feb KSA'!F40+'IS Feb USA'!F40</f>
        <v>0</v>
      </c>
      <c r="K40" s="144">
        <f>'IS Feb KSA'!G40+'IS Feb USA'!G40</f>
        <v>0</v>
      </c>
      <c r="L40" s="144">
        <f t="shared" ref="L40:L55" si="51">SUM(M40:O40)</f>
        <v>0</v>
      </c>
      <c r="M40" s="144">
        <f>'IS Feb KSA'!M40+'IS Feb USA'!M40</f>
        <v>0</v>
      </c>
      <c r="N40" s="144">
        <f>'IS Feb KSA'!N40+'IS Feb USA'!N40</f>
        <v>0</v>
      </c>
      <c r="O40" s="144">
        <f>'IS Feb KSA'!O40+'IS Feb USA'!O40</f>
        <v>0</v>
      </c>
      <c r="P40" s="144">
        <f t="shared" ref="P40:P55" si="52">SUM(Q40:S40)</f>
        <v>17256.72</v>
      </c>
      <c r="Q40" s="144">
        <f>'IS Feb KSA'!Q40+'IS Feb USA'!Q40</f>
        <v>0</v>
      </c>
      <c r="R40" s="144">
        <f>'IS Feb KSA'!R40+'IS Feb USA'!R40</f>
        <v>6068.14</v>
      </c>
      <c r="S40" s="144">
        <f>'IS Feb KSA'!S40+'IS Feb USA'!S40</f>
        <v>11188.58</v>
      </c>
      <c r="T40" s="197">
        <f t="shared" si="10"/>
        <v>-66011.470395536613</v>
      </c>
      <c r="U40" s="197">
        <v>76155.109604463403</v>
      </c>
      <c r="V40" s="144">
        <f t="shared" ref="V40:V55" si="53">AC40+AG40+Y40+AK40</f>
        <v>142166.58000000002</v>
      </c>
      <c r="W40" s="197">
        <f t="shared" si="6"/>
        <v>-2670.2082088748994</v>
      </c>
      <c r="X40" s="144">
        <v>12069.4317911251</v>
      </c>
      <c r="Y40" s="144">
        <f t="shared" si="30"/>
        <v>24716.93</v>
      </c>
      <c r="Z40" s="144">
        <f>'IS Feb KSA'!V40+'IS Feb USA'!V40</f>
        <v>18432.23</v>
      </c>
      <c r="AA40" s="144">
        <f>'IS Feb KSA'!W40+'IS Feb USA'!W40</f>
        <v>-8454.94</v>
      </c>
      <c r="AB40" s="144">
        <f>'IS Feb KSA'!X40+'IS Feb USA'!X40</f>
        <v>14739.64</v>
      </c>
      <c r="AC40" s="144">
        <f t="shared" ref="AC40:AC55" si="54">AD40+AE40+AF40</f>
        <v>24785.52</v>
      </c>
      <c r="AD40" s="144">
        <f>'IS Feb KSA'!Z40+'IS Feb USA'!Z40</f>
        <v>6977.04</v>
      </c>
      <c r="AE40" s="144">
        <f>'IS Feb KSA'!AA40+'IS Feb USA'!AA40</f>
        <v>2887</v>
      </c>
      <c r="AF40" s="144">
        <f>'IS Feb KSA'!AB40+'IS Feb USA'!AB40</f>
        <v>14921.48</v>
      </c>
      <c r="AG40" s="144">
        <f t="shared" ref="AG40:AG55" si="55">SUM(AH40:AJ40)</f>
        <v>28350.47</v>
      </c>
      <c r="AH40" s="144">
        <f>'IS Feb KSA'!AD40+'IS Feb USA'!AD40</f>
        <v>12154.14</v>
      </c>
      <c r="AI40" s="144">
        <f>'IS Feb KSA'!AE40+'IS Feb USA'!AE40</f>
        <v>11192.95</v>
      </c>
      <c r="AJ40" s="144">
        <f>'IS Feb KSA'!AF40+'IS Feb USA'!AF40</f>
        <v>5003.38</v>
      </c>
      <c r="AK40" s="144">
        <f t="shared" ref="AK40:AK55" si="56">SUM(AL40:AN40)</f>
        <v>64313.66</v>
      </c>
      <c r="AL40" s="144">
        <f>'IS Feb KSA'!AH40+'IS Feb USA'!AH40</f>
        <v>8038.76</v>
      </c>
      <c r="AM40" s="144">
        <f>'IS Feb KSA'!AI40+'IS Feb USA'!AI40</f>
        <v>41252.68</v>
      </c>
      <c r="AN40" s="144">
        <f>'IS Feb KSA'!AJ40+'IS Feb USA'!AJ40</f>
        <v>15022.22</v>
      </c>
      <c r="AO40" s="146"/>
      <c r="AP40" s="144">
        <v>18308.590000000004</v>
      </c>
      <c r="AQ40" s="144">
        <v>110575.44</v>
      </c>
    </row>
    <row r="41" spans="1:43" outlineLevel="1">
      <c r="B41" s="157" t="s">
        <v>591</v>
      </c>
      <c r="C41" s="144">
        <f t="shared" si="48"/>
        <v>17753.03</v>
      </c>
      <c r="D41" s="144">
        <f t="shared" si="49"/>
        <v>0</v>
      </c>
      <c r="E41" s="144">
        <f>'IS Feb KSA'!E41+'IS Feb USA'!E41</f>
        <v>0</v>
      </c>
      <c r="F41" s="144">
        <f>'IS Feb KSA'!F41+'IS Feb USA'!F41</f>
        <v>0</v>
      </c>
      <c r="G41" s="144">
        <f>'IS Feb KSA'!G41+'IS Feb USA'!G41</f>
        <v>0</v>
      </c>
      <c r="H41" s="144">
        <f t="shared" si="50"/>
        <v>0</v>
      </c>
      <c r="I41" s="144">
        <f>'IS Feb KSA'!I41+'IS Feb USA'!I41</f>
        <v>0</v>
      </c>
      <c r="J41" s="144">
        <f>'IS Feb KSA'!F41+'IS Feb USA'!F41</f>
        <v>0</v>
      </c>
      <c r="K41" s="144">
        <f>'IS Feb KSA'!G41+'IS Feb USA'!G41</f>
        <v>0</v>
      </c>
      <c r="L41" s="144">
        <f t="shared" si="51"/>
        <v>0</v>
      </c>
      <c r="M41" s="144">
        <f>'IS Feb KSA'!M41+'IS Feb USA'!M41</f>
        <v>0</v>
      </c>
      <c r="N41" s="144">
        <f>'IS Feb KSA'!N41+'IS Feb USA'!N41</f>
        <v>0</v>
      </c>
      <c r="O41" s="144">
        <f>'IS Feb KSA'!O41+'IS Feb USA'!O41</f>
        <v>0</v>
      </c>
      <c r="P41" s="144">
        <f t="shared" si="52"/>
        <v>17753.03</v>
      </c>
      <c r="Q41" s="144">
        <f>'IS Feb KSA'!Q41+'IS Feb USA'!Q41</f>
        <v>0</v>
      </c>
      <c r="R41" s="144">
        <f>'IS Feb KSA'!R41+'IS Feb USA'!R41</f>
        <v>16460.27</v>
      </c>
      <c r="S41" s="144">
        <f>'IS Feb KSA'!S41+'IS Feb USA'!S41</f>
        <v>1292.76</v>
      </c>
      <c r="T41" s="197">
        <f t="shared" si="10"/>
        <v>-133961.26999999999</v>
      </c>
      <c r="U41" s="197">
        <v>0</v>
      </c>
      <c r="V41" s="144">
        <f t="shared" si="53"/>
        <v>133961.26999999999</v>
      </c>
      <c r="W41" s="197">
        <f t="shared" si="6"/>
        <v>-10016.700000000001</v>
      </c>
      <c r="X41" s="144">
        <v>0</v>
      </c>
      <c r="Y41" s="144">
        <f t="shared" si="30"/>
        <v>44101.17</v>
      </c>
      <c r="Z41" s="144">
        <f>'IS Feb KSA'!V41+'IS Feb USA'!V41</f>
        <v>36312.33</v>
      </c>
      <c r="AA41" s="144">
        <f>'IS Feb KSA'!W41+'IS Feb USA'!W41</f>
        <v>-2227.86</v>
      </c>
      <c r="AB41" s="144">
        <f>'IS Feb KSA'!X41+'IS Feb USA'!X41</f>
        <v>10016.700000000001</v>
      </c>
      <c r="AC41" s="144">
        <f t="shared" si="54"/>
        <v>49747.17</v>
      </c>
      <c r="AD41" s="144">
        <f>'IS Feb KSA'!Z41+'IS Feb USA'!Z41</f>
        <v>28716.5</v>
      </c>
      <c r="AE41" s="144">
        <f>'IS Feb KSA'!AA41+'IS Feb USA'!AA41</f>
        <v>11602.53</v>
      </c>
      <c r="AF41" s="144">
        <f>'IS Feb KSA'!AB41+'IS Feb USA'!AB41</f>
        <v>9428.14</v>
      </c>
      <c r="AG41" s="144">
        <f t="shared" si="55"/>
        <v>24529.09</v>
      </c>
      <c r="AH41" s="144">
        <f>'IS Feb KSA'!AD41+'IS Feb USA'!AD41</f>
        <v>13811.06</v>
      </c>
      <c r="AI41" s="144">
        <f>'IS Feb KSA'!AE41+'IS Feb USA'!AE41</f>
        <v>8712.51</v>
      </c>
      <c r="AJ41" s="144">
        <f>'IS Feb KSA'!AF41+'IS Feb USA'!AF41</f>
        <v>2005.52</v>
      </c>
      <c r="AK41" s="144">
        <f t="shared" si="56"/>
        <v>15583.84</v>
      </c>
      <c r="AL41" s="144">
        <f>'IS Feb KSA'!AH41+'IS Feb USA'!AH41</f>
        <v>1423.78</v>
      </c>
      <c r="AM41" s="144">
        <f>'IS Feb KSA'!AI41+'IS Feb USA'!AI41</f>
        <v>5592.49</v>
      </c>
      <c r="AN41" s="144">
        <f>'IS Feb KSA'!AJ41+'IS Feb USA'!AJ41</f>
        <v>8567.57</v>
      </c>
      <c r="AO41" s="144">
        <f>'IS Feb KSA'!AK41+'IS Feb USA'!AK41</f>
        <v>0</v>
      </c>
      <c r="AP41" s="144">
        <f>'IS Feb KSA'!AL41+'IS Feb USA'!AL41</f>
        <v>0</v>
      </c>
      <c r="AQ41" s="144"/>
    </row>
    <row r="42" spans="1:43" outlineLevel="1">
      <c r="B42" s="157" t="s">
        <v>35</v>
      </c>
      <c r="C42" s="144">
        <f t="shared" si="48"/>
        <v>0</v>
      </c>
      <c r="D42" s="144">
        <f t="shared" si="49"/>
        <v>0</v>
      </c>
      <c r="E42" s="144">
        <f>'IS Feb KSA'!E42+'IS Feb USA'!E42</f>
        <v>0</v>
      </c>
      <c r="F42" s="144">
        <f>'IS Feb KSA'!F42+'IS Feb USA'!F42</f>
        <v>0</v>
      </c>
      <c r="G42" s="144">
        <f>'IS Feb KSA'!G42+'IS Feb USA'!G42</f>
        <v>0</v>
      </c>
      <c r="H42" s="144">
        <f t="shared" si="50"/>
        <v>0</v>
      </c>
      <c r="I42" s="144">
        <f>'IS Feb KSA'!I42+'IS Feb USA'!I42</f>
        <v>0</v>
      </c>
      <c r="J42" s="144">
        <f>'IS Feb KSA'!F42+'IS Feb USA'!F42</f>
        <v>0</v>
      </c>
      <c r="K42" s="144">
        <f>'IS Feb KSA'!G42+'IS Feb USA'!G42</f>
        <v>0</v>
      </c>
      <c r="L42" s="144">
        <f t="shared" si="51"/>
        <v>0</v>
      </c>
      <c r="M42" s="144">
        <f>'IS Feb KSA'!M42+'IS Feb USA'!M42</f>
        <v>0</v>
      </c>
      <c r="N42" s="144">
        <f>'IS Feb KSA'!N42+'IS Feb USA'!N42</f>
        <v>0</v>
      </c>
      <c r="O42" s="144">
        <f>'IS Feb KSA'!O42+'IS Feb USA'!O42</f>
        <v>0</v>
      </c>
      <c r="P42" s="144">
        <f t="shared" si="52"/>
        <v>0</v>
      </c>
      <c r="Q42" s="144">
        <f>'IS Feb KSA'!Q42+'IS Feb USA'!Q42</f>
        <v>0</v>
      </c>
      <c r="R42" s="144">
        <f>'IS Feb KSA'!R42+'IS Feb USA'!R42</f>
        <v>0</v>
      </c>
      <c r="S42" s="144">
        <f>'IS Feb KSA'!S42+'IS Feb USA'!S42</f>
        <v>0</v>
      </c>
      <c r="T42" s="197">
        <f t="shared" si="10"/>
        <v>91386.131525356104</v>
      </c>
      <c r="U42" s="197">
        <v>91386.131525356104</v>
      </c>
      <c r="V42" s="144">
        <f t="shared" si="53"/>
        <v>0</v>
      </c>
      <c r="W42" s="197">
        <f t="shared" si="6"/>
        <v>14483.3181493501</v>
      </c>
      <c r="X42" s="144">
        <v>14483.3181493501</v>
      </c>
      <c r="Y42" s="144">
        <f t="shared" si="30"/>
        <v>0</v>
      </c>
      <c r="Z42" s="144">
        <f>'IS Feb KSA'!V42+'IS Feb USA'!V42</f>
        <v>0</v>
      </c>
      <c r="AA42" s="144">
        <f>'IS Feb KSA'!W42+'IS Feb USA'!W42</f>
        <v>0</v>
      </c>
      <c r="AB42" s="144">
        <f>'IS Feb KSA'!X42+'IS Feb USA'!X42</f>
        <v>0</v>
      </c>
      <c r="AC42" s="144">
        <f t="shared" si="54"/>
        <v>0</v>
      </c>
      <c r="AD42" s="144">
        <f>'IS Feb KSA'!Z42+'IS Feb USA'!Z42</f>
        <v>0</v>
      </c>
      <c r="AE42" s="144">
        <f>'IS Feb KSA'!AA42+'IS Feb USA'!AA42</f>
        <v>0</v>
      </c>
      <c r="AF42" s="144">
        <f>'IS Feb KSA'!AB42+'IS Feb USA'!AB42</f>
        <v>0</v>
      </c>
      <c r="AG42" s="144">
        <f t="shared" si="55"/>
        <v>0</v>
      </c>
      <c r="AH42" s="144">
        <f>'IS Feb KSA'!AD42+'IS Feb USA'!AD42</f>
        <v>0</v>
      </c>
      <c r="AI42" s="144">
        <f>'IS Feb KSA'!AE42+'IS Feb USA'!AE42</f>
        <v>0</v>
      </c>
      <c r="AJ42" s="144">
        <f>'IS Feb KSA'!AF42+'IS Feb USA'!AF42</f>
        <v>0</v>
      </c>
      <c r="AK42" s="144">
        <f t="shared" si="56"/>
        <v>0</v>
      </c>
      <c r="AL42" s="144">
        <f>'IS Feb KSA'!AH42+'IS Feb USA'!AH42</f>
        <v>0</v>
      </c>
      <c r="AM42" s="144">
        <f>'IS Feb KSA'!AI42+'IS Feb USA'!AI42</f>
        <v>0</v>
      </c>
      <c r="AN42" s="144">
        <f>'IS Feb KSA'!AJ42+'IS Feb USA'!AJ42</f>
        <v>0</v>
      </c>
      <c r="AO42" s="146"/>
      <c r="AP42" s="144">
        <v>4797.13</v>
      </c>
      <c r="AQ42" s="144">
        <v>61150.529999999992</v>
      </c>
    </row>
    <row r="43" spans="1:43" outlineLevel="1">
      <c r="B43" s="157" t="s">
        <v>36</v>
      </c>
      <c r="C43" s="144">
        <f t="shared" si="48"/>
        <v>0</v>
      </c>
      <c r="D43" s="144">
        <f t="shared" si="49"/>
        <v>0</v>
      </c>
      <c r="E43" s="144">
        <f>'IS Feb KSA'!E43+'IS Feb USA'!E43</f>
        <v>0</v>
      </c>
      <c r="F43" s="144">
        <f>'IS Feb KSA'!F43+'IS Feb USA'!F43</f>
        <v>0</v>
      </c>
      <c r="G43" s="144">
        <f>'IS Feb KSA'!G43+'IS Feb USA'!G43</f>
        <v>0</v>
      </c>
      <c r="H43" s="144">
        <f t="shared" si="50"/>
        <v>0</v>
      </c>
      <c r="I43" s="144">
        <f>'IS Feb KSA'!I43+'IS Feb USA'!I43</f>
        <v>0</v>
      </c>
      <c r="J43" s="144">
        <f>'IS Feb KSA'!F43+'IS Feb USA'!F43</f>
        <v>0</v>
      </c>
      <c r="K43" s="144">
        <f>'IS Feb KSA'!G43+'IS Feb USA'!G43</f>
        <v>0</v>
      </c>
      <c r="L43" s="144">
        <f t="shared" si="51"/>
        <v>0</v>
      </c>
      <c r="M43" s="144">
        <f>'IS Feb KSA'!M43+'IS Feb USA'!M43</f>
        <v>0</v>
      </c>
      <c r="N43" s="144">
        <f>'IS Feb KSA'!N43+'IS Feb USA'!N43</f>
        <v>0</v>
      </c>
      <c r="O43" s="144">
        <f>'IS Feb KSA'!O43+'IS Feb USA'!O43</f>
        <v>0</v>
      </c>
      <c r="P43" s="144">
        <f t="shared" si="52"/>
        <v>0</v>
      </c>
      <c r="Q43" s="144">
        <f>'IS Feb KSA'!Q43+'IS Feb USA'!Q43</f>
        <v>0</v>
      </c>
      <c r="R43" s="144">
        <f>'IS Feb KSA'!R43+'IS Feb USA'!R43</f>
        <v>0</v>
      </c>
      <c r="S43" s="144">
        <f>'IS Feb KSA'!S43+'IS Feb USA'!S43</f>
        <v>0</v>
      </c>
      <c r="T43" s="197">
        <f t="shared" si="10"/>
        <v>8378.2617391303993</v>
      </c>
      <c r="U43" s="197">
        <v>10956.5217391304</v>
      </c>
      <c r="V43" s="144">
        <f t="shared" si="53"/>
        <v>2578.2600000000002</v>
      </c>
      <c r="W43" s="197">
        <f t="shared" si="6"/>
        <v>1304.3478260869599</v>
      </c>
      <c r="X43" s="144">
        <v>1304.3478260869599</v>
      </c>
      <c r="Y43" s="144">
        <f t="shared" si="30"/>
        <v>0</v>
      </c>
      <c r="Z43" s="144">
        <f>'IS Feb KSA'!V43+'IS Feb USA'!V43</f>
        <v>0</v>
      </c>
      <c r="AA43" s="144">
        <f>'IS Feb KSA'!W43+'IS Feb USA'!W43</f>
        <v>0</v>
      </c>
      <c r="AB43" s="144">
        <f>'IS Feb KSA'!X43+'IS Feb USA'!X43</f>
        <v>0</v>
      </c>
      <c r="AC43" s="144">
        <f t="shared" si="54"/>
        <v>0</v>
      </c>
      <c r="AD43" s="144">
        <f>'IS Feb KSA'!Z43+'IS Feb USA'!Z43</f>
        <v>0</v>
      </c>
      <c r="AE43" s="144">
        <f>'IS Feb KSA'!AA43+'IS Feb USA'!AA43</f>
        <v>0</v>
      </c>
      <c r="AF43" s="144">
        <f>'IS Feb KSA'!AB43+'IS Feb USA'!AB43</f>
        <v>0</v>
      </c>
      <c r="AG43" s="144">
        <f t="shared" si="55"/>
        <v>1600</v>
      </c>
      <c r="AH43" s="144">
        <f>'IS Feb KSA'!AD43+'IS Feb USA'!AD43</f>
        <v>0</v>
      </c>
      <c r="AI43" s="144">
        <f>'IS Feb KSA'!AE43+'IS Feb USA'!AE43</f>
        <v>0</v>
      </c>
      <c r="AJ43" s="144">
        <f>'IS Feb KSA'!AF43+'IS Feb USA'!AF43</f>
        <v>1600</v>
      </c>
      <c r="AK43" s="144">
        <f t="shared" si="56"/>
        <v>978.26</v>
      </c>
      <c r="AL43" s="144">
        <f>'IS Feb KSA'!AH43+'IS Feb USA'!AH43</f>
        <v>0</v>
      </c>
      <c r="AM43" s="144">
        <f>'IS Feb KSA'!AI43+'IS Feb USA'!AI43</f>
        <v>978.26</v>
      </c>
      <c r="AN43" s="144">
        <f>'IS Feb KSA'!AJ43+'IS Feb USA'!AJ43</f>
        <v>0</v>
      </c>
      <c r="AO43" s="146"/>
      <c r="AP43" s="144">
        <v>0</v>
      </c>
      <c r="AQ43" s="144">
        <v>8543.48</v>
      </c>
    </row>
    <row r="44" spans="1:43" outlineLevel="1">
      <c r="B44" s="157" t="s">
        <v>37</v>
      </c>
      <c r="C44" s="144">
        <f t="shared" si="48"/>
        <v>13000</v>
      </c>
      <c r="D44" s="144">
        <f t="shared" si="49"/>
        <v>0</v>
      </c>
      <c r="E44" s="144">
        <f>'IS Feb KSA'!E44+'IS Feb USA'!E44</f>
        <v>0</v>
      </c>
      <c r="F44" s="144">
        <f>'IS Feb KSA'!F44+'IS Feb USA'!F44</f>
        <v>0</v>
      </c>
      <c r="G44" s="144">
        <f>'IS Feb KSA'!G44+'IS Feb USA'!G44</f>
        <v>0</v>
      </c>
      <c r="H44" s="144">
        <f t="shared" si="50"/>
        <v>0</v>
      </c>
      <c r="I44" s="144">
        <f>'IS Feb KSA'!I44+'IS Feb USA'!I44</f>
        <v>0</v>
      </c>
      <c r="J44" s="144">
        <f>'IS Feb KSA'!F44+'IS Feb USA'!F44</f>
        <v>0</v>
      </c>
      <c r="K44" s="144">
        <f>'IS Feb KSA'!G44+'IS Feb USA'!G44</f>
        <v>0</v>
      </c>
      <c r="L44" s="144">
        <f t="shared" si="51"/>
        <v>0</v>
      </c>
      <c r="M44" s="144">
        <f>'IS Feb KSA'!M44+'IS Feb USA'!M44</f>
        <v>0</v>
      </c>
      <c r="N44" s="144">
        <f>'IS Feb KSA'!N44+'IS Feb USA'!N44</f>
        <v>0</v>
      </c>
      <c r="O44" s="144">
        <f>'IS Feb KSA'!O44+'IS Feb USA'!O44</f>
        <v>0</v>
      </c>
      <c r="P44" s="144">
        <f t="shared" si="52"/>
        <v>13000</v>
      </c>
      <c r="Q44" s="144">
        <f>'IS Feb KSA'!Q44+'IS Feb USA'!Q44</f>
        <v>0</v>
      </c>
      <c r="R44" s="144">
        <f>'IS Feb KSA'!R44+'IS Feb USA'!R44</f>
        <v>5000</v>
      </c>
      <c r="S44" s="144">
        <f>'IS Feb KSA'!S44+'IS Feb USA'!S44</f>
        <v>8000</v>
      </c>
      <c r="T44" s="197">
        <f t="shared" si="10"/>
        <v>-12767.335593305004</v>
      </c>
      <c r="U44" s="197">
        <v>114232.664406695</v>
      </c>
      <c r="V44" s="144">
        <f t="shared" si="53"/>
        <v>127000</v>
      </c>
      <c r="W44" s="197">
        <f t="shared" si="6"/>
        <v>8104.1476866876001</v>
      </c>
      <c r="X44" s="144">
        <v>18104.1476866876</v>
      </c>
      <c r="Y44" s="144">
        <f t="shared" si="30"/>
        <v>39000</v>
      </c>
      <c r="Z44" s="144">
        <f>'IS Feb KSA'!V44+'IS Feb USA'!V44</f>
        <v>7500</v>
      </c>
      <c r="AA44" s="144">
        <f>'IS Feb KSA'!W44+'IS Feb USA'!W44</f>
        <v>21500</v>
      </c>
      <c r="AB44" s="144">
        <f>'IS Feb KSA'!X44+'IS Feb USA'!X44</f>
        <v>10000</v>
      </c>
      <c r="AC44" s="144">
        <f t="shared" si="54"/>
        <v>35000</v>
      </c>
      <c r="AD44" s="144">
        <f>'IS Feb KSA'!Z44+'IS Feb USA'!Z44</f>
        <v>6000</v>
      </c>
      <c r="AE44" s="144">
        <f>'IS Feb KSA'!AA44+'IS Feb USA'!AA44</f>
        <v>7000</v>
      </c>
      <c r="AF44" s="144">
        <f>'IS Feb KSA'!AB44+'IS Feb USA'!AB44</f>
        <v>22000</v>
      </c>
      <c r="AG44" s="144">
        <f t="shared" si="55"/>
        <v>34000</v>
      </c>
      <c r="AH44" s="144">
        <f>'IS Feb KSA'!AD44+'IS Feb USA'!AD44</f>
        <v>13000</v>
      </c>
      <c r="AI44" s="144">
        <f>'IS Feb KSA'!AE44+'IS Feb USA'!AE44</f>
        <v>6000</v>
      </c>
      <c r="AJ44" s="144">
        <f>'IS Feb KSA'!AF44+'IS Feb USA'!AF44</f>
        <v>15000</v>
      </c>
      <c r="AK44" s="144">
        <f t="shared" si="56"/>
        <v>19000</v>
      </c>
      <c r="AL44" s="144">
        <f>'IS Feb KSA'!AH44+'IS Feb USA'!AH44</f>
        <v>7000</v>
      </c>
      <c r="AM44" s="144">
        <f>'IS Feb KSA'!AI44+'IS Feb USA'!AI44</f>
        <v>7000</v>
      </c>
      <c r="AN44" s="144">
        <f>'IS Feb KSA'!AJ44+'IS Feb USA'!AJ44</f>
        <v>5000</v>
      </c>
      <c r="AO44" s="146"/>
      <c r="AP44" s="144">
        <v>5000</v>
      </c>
      <c r="AQ44" s="144">
        <v>44606.18</v>
      </c>
    </row>
    <row r="45" spans="1:43" outlineLevel="1">
      <c r="B45" s="157" t="s">
        <v>38</v>
      </c>
      <c r="C45" s="144">
        <f t="shared" si="48"/>
        <v>5500</v>
      </c>
      <c r="D45" s="144">
        <f t="shared" si="49"/>
        <v>0</v>
      </c>
      <c r="E45" s="144">
        <f>'IS Feb KSA'!E45+'IS Feb USA'!E45</f>
        <v>0</v>
      </c>
      <c r="F45" s="144">
        <f>'IS Feb KSA'!F45+'IS Feb USA'!F45</f>
        <v>0</v>
      </c>
      <c r="G45" s="144">
        <f>'IS Feb KSA'!G45+'IS Feb USA'!G45</f>
        <v>0</v>
      </c>
      <c r="H45" s="144">
        <f t="shared" si="50"/>
        <v>0</v>
      </c>
      <c r="I45" s="144">
        <f>'IS Feb KSA'!I45+'IS Feb USA'!I45</f>
        <v>0</v>
      </c>
      <c r="J45" s="144">
        <f>'IS Feb KSA'!F45+'IS Feb USA'!F45</f>
        <v>0</v>
      </c>
      <c r="K45" s="144">
        <f>'IS Feb KSA'!G45+'IS Feb USA'!G45</f>
        <v>0</v>
      </c>
      <c r="L45" s="144">
        <f t="shared" si="51"/>
        <v>0</v>
      </c>
      <c r="M45" s="144">
        <f>'IS Feb KSA'!M45+'IS Feb USA'!M45</f>
        <v>0</v>
      </c>
      <c r="N45" s="144">
        <f>'IS Feb KSA'!N45+'IS Feb USA'!N45</f>
        <v>0</v>
      </c>
      <c r="O45" s="144">
        <f>'IS Feb KSA'!O45+'IS Feb USA'!O45</f>
        <v>0</v>
      </c>
      <c r="P45" s="144">
        <f t="shared" si="52"/>
        <v>5500</v>
      </c>
      <c r="Q45" s="144">
        <f>'IS Feb KSA'!Q45+'IS Feb USA'!Q45</f>
        <v>0</v>
      </c>
      <c r="R45" s="144">
        <f>'IS Feb KSA'!R45+'IS Feb USA'!R45</f>
        <v>2500</v>
      </c>
      <c r="S45" s="144">
        <f>'IS Feb KSA'!S45+'IS Feb USA'!S45</f>
        <v>3000</v>
      </c>
      <c r="T45" s="197">
        <f t="shared" si="10"/>
        <v>-55000</v>
      </c>
      <c r="U45" s="197">
        <v>0</v>
      </c>
      <c r="V45" s="144">
        <f t="shared" si="53"/>
        <v>55000</v>
      </c>
      <c r="W45" s="197">
        <f t="shared" si="6"/>
        <v>-7500</v>
      </c>
      <c r="X45" s="144">
        <v>0</v>
      </c>
      <c r="Y45" s="144">
        <f t="shared" si="30"/>
        <v>17200</v>
      </c>
      <c r="Z45" s="144">
        <f>'IS Feb KSA'!V45+'IS Feb USA'!V45</f>
        <v>3400</v>
      </c>
      <c r="AA45" s="144">
        <f>'IS Feb KSA'!W45+'IS Feb USA'!W45</f>
        <v>6300</v>
      </c>
      <c r="AB45" s="144">
        <f>'IS Feb KSA'!X45+'IS Feb USA'!X45</f>
        <v>7500</v>
      </c>
      <c r="AC45" s="144">
        <f t="shared" ref="AC45:AC46" si="57">AD45+AE45+AF45</f>
        <v>14200</v>
      </c>
      <c r="AD45" s="144">
        <f>'IS Feb KSA'!Z45+'IS Feb USA'!Z45</f>
        <v>4900</v>
      </c>
      <c r="AE45" s="144">
        <f>'IS Feb KSA'!AA45+'IS Feb USA'!AA45</f>
        <v>3700</v>
      </c>
      <c r="AF45" s="144">
        <f>'IS Feb KSA'!AB45+'IS Feb USA'!AB45</f>
        <v>5600</v>
      </c>
      <c r="AG45" s="144">
        <f t="shared" ref="AG45:AG46" si="58">SUM(AH45:AJ45)</f>
        <v>10100</v>
      </c>
      <c r="AH45" s="144">
        <f>'IS Feb KSA'!AD45+'IS Feb USA'!AD45</f>
        <v>5400</v>
      </c>
      <c r="AI45" s="144">
        <f>'IS Feb KSA'!AE45+'IS Feb USA'!AE45</f>
        <v>1700</v>
      </c>
      <c r="AJ45" s="144">
        <f>'IS Feb KSA'!AF45+'IS Feb USA'!AF45</f>
        <v>3000</v>
      </c>
      <c r="AK45" s="144">
        <f t="shared" si="56"/>
        <v>13500</v>
      </c>
      <c r="AL45" s="144">
        <f>'IS Feb KSA'!AH45+'IS Feb USA'!AH45</f>
        <v>7000</v>
      </c>
      <c r="AM45" s="144">
        <f>'IS Feb KSA'!AI45+'IS Feb USA'!AI45</f>
        <v>5000</v>
      </c>
      <c r="AN45" s="144">
        <f>'IS Feb KSA'!AJ45+'IS Feb USA'!AJ45</f>
        <v>1500</v>
      </c>
      <c r="AO45" s="146"/>
      <c r="AP45" s="144"/>
      <c r="AQ45" s="144"/>
    </row>
    <row r="46" spans="1:43" outlineLevel="1">
      <c r="B46" s="157" t="s">
        <v>39</v>
      </c>
      <c r="C46" s="144">
        <f t="shared" si="48"/>
        <v>54400.79</v>
      </c>
      <c r="D46" s="144">
        <f t="shared" si="49"/>
        <v>0</v>
      </c>
      <c r="E46" s="144">
        <f>'IS Feb KSA'!E46+'IS Feb USA'!E46</f>
        <v>0</v>
      </c>
      <c r="F46" s="144">
        <f>'IS Feb KSA'!F46+'IS Feb USA'!F46</f>
        <v>0</v>
      </c>
      <c r="G46" s="144">
        <f>'IS Feb KSA'!G46+'IS Feb USA'!G46</f>
        <v>0</v>
      </c>
      <c r="H46" s="144">
        <f t="shared" si="50"/>
        <v>0</v>
      </c>
      <c r="I46" s="144">
        <f>'IS Feb KSA'!I46+'IS Feb USA'!I46</f>
        <v>0</v>
      </c>
      <c r="J46" s="144">
        <f>'IS Feb KSA'!F46+'IS Feb USA'!F46</f>
        <v>0</v>
      </c>
      <c r="K46" s="144">
        <f>'IS Feb KSA'!G46+'IS Feb USA'!G46</f>
        <v>0</v>
      </c>
      <c r="L46" s="144">
        <f t="shared" si="51"/>
        <v>0</v>
      </c>
      <c r="M46" s="144">
        <f>'IS Feb KSA'!M46+'IS Feb USA'!M46</f>
        <v>0</v>
      </c>
      <c r="N46" s="144">
        <f>'IS Feb KSA'!N46+'IS Feb USA'!N46</f>
        <v>0</v>
      </c>
      <c r="O46" s="144">
        <f>'IS Feb KSA'!O46+'IS Feb USA'!O46</f>
        <v>0</v>
      </c>
      <c r="P46" s="144">
        <f t="shared" si="52"/>
        <v>54400.79</v>
      </c>
      <c r="Q46" s="144">
        <f>'IS Feb KSA'!Q46+'IS Feb USA'!Q46</f>
        <v>0</v>
      </c>
      <c r="R46" s="144">
        <f>'IS Feb KSA'!R46+'IS Feb USA'!R46</f>
        <v>30932.16</v>
      </c>
      <c r="S46" s="144">
        <f>'IS Feb KSA'!S46+'IS Feb USA'!S46</f>
        <v>23468.63</v>
      </c>
      <c r="T46" s="197">
        <f t="shared" si="10"/>
        <v>-323555.43000000005</v>
      </c>
      <c r="U46" s="197">
        <v>0</v>
      </c>
      <c r="V46" s="144">
        <f t="shared" si="53"/>
        <v>323555.43000000005</v>
      </c>
      <c r="W46" s="197">
        <f t="shared" si="6"/>
        <v>-27457.41</v>
      </c>
      <c r="X46" s="144">
        <v>0</v>
      </c>
      <c r="Y46" s="144">
        <f t="shared" si="30"/>
        <v>93218.170000000013</v>
      </c>
      <c r="Z46" s="144">
        <f>'IS Feb KSA'!V46+'IS Feb USA'!V46</f>
        <v>29491.08</v>
      </c>
      <c r="AA46" s="144">
        <f>'IS Feb KSA'!W46+'IS Feb USA'!W46</f>
        <v>36269.68</v>
      </c>
      <c r="AB46" s="144">
        <f>'IS Feb KSA'!X46+'IS Feb USA'!X46</f>
        <v>27457.41</v>
      </c>
      <c r="AC46" s="144">
        <f t="shared" si="57"/>
        <v>102093.22</v>
      </c>
      <c r="AD46" s="144">
        <f>'IS Feb KSA'!Z46+'IS Feb USA'!Z46</f>
        <v>19446.8</v>
      </c>
      <c r="AE46" s="144">
        <f>'IS Feb KSA'!AA46+'IS Feb USA'!AA46</f>
        <v>14722.76</v>
      </c>
      <c r="AF46" s="144">
        <f>'IS Feb KSA'!AB46+'IS Feb USA'!AB46</f>
        <v>67923.66</v>
      </c>
      <c r="AG46" s="144">
        <f t="shared" si="58"/>
        <v>71738.540000000008</v>
      </c>
      <c r="AH46" s="144">
        <f>'IS Feb KSA'!AD46+'IS Feb USA'!AD46</f>
        <v>26518.85</v>
      </c>
      <c r="AI46" s="144">
        <f>'IS Feb KSA'!AE46+'IS Feb USA'!AE46</f>
        <v>19610.97</v>
      </c>
      <c r="AJ46" s="144">
        <f>'IS Feb KSA'!AF46+'IS Feb USA'!AF46</f>
        <v>25608.720000000001</v>
      </c>
      <c r="AK46" s="144">
        <f t="shared" si="56"/>
        <v>56505.5</v>
      </c>
      <c r="AL46" s="144">
        <f>'IS Feb KSA'!AH46+'IS Feb USA'!AH46</f>
        <v>20701.099999999999</v>
      </c>
      <c r="AM46" s="144">
        <f>'IS Feb KSA'!AI46+'IS Feb USA'!AI46</f>
        <v>19876.400000000001</v>
      </c>
      <c r="AN46" s="144">
        <f>'IS Feb KSA'!AJ46+'IS Feb USA'!AJ46</f>
        <v>15928</v>
      </c>
      <c r="AO46" s="146"/>
      <c r="AP46" s="144">
        <v>107.5</v>
      </c>
      <c r="AQ46" s="144">
        <v>4457.7700000000004</v>
      </c>
    </row>
    <row r="47" spans="1:43" outlineLevel="1">
      <c r="B47" s="157" t="s">
        <v>211</v>
      </c>
      <c r="C47" s="144">
        <f t="shared" si="48"/>
        <v>0</v>
      </c>
      <c r="D47" s="144">
        <f t="shared" si="49"/>
        <v>0</v>
      </c>
      <c r="E47" s="144">
        <f>'IS Feb KSA'!E47+'IS Feb USA'!E47</f>
        <v>0</v>
      </c>
      <c r="F47" s="144">
        <f>'IS Feb KSA'!F47+'IS Feb USA'!F47</f>
        <v>0</v>
      </c>
      <c r="G47" s="144">
        <f>'IS Feb KSA'!G47+'IS Feb USA'!G47</f>
        <v>0</v>
      </c>
      <c r="H47" s="144">
        <f t="shared" si="50"/>
        <v>0</v>
      </c>
      <c r="I47" s="144">
        <f>'IS Feb KSA'!I47+'IS Feb USA'!I47</f>
        <v>0</v>
      </c>
      <c r="J47" s="144">
        <f>'IS Feb KSA'!F47+'IS Feb USA'!F47</f>
        <v>0</v>
      </c>
      <c r="K47" s="144">
        <f>'IS Feb KSA'!G47+'IS Feb USA'!G47</f>
        <v>0</v>
      </c>
      <c r="L47" s="144">
        <f t="shared" si="51"/>
        <v>0</v>
      </c>
      <c r="M47" s="144">
        <f>'IS Feb KSA'!M47+'IS Feb USA'!M47</f>
        <v>0</v>
      </c>
      <c r="N47" s="144">
        <f>'IS Feb KSA'!N47+'IS Feb USA'!N47</f>
        <v>0</v>
      </c>
      <c r="O47" s="144">
        <f>'IS Feb KSA'!O47+'IS Feb USA'!O47</f>
        <v>0</v>
      </c>
      <c r="P47" s="144">
        <f t="shared" si="52"/>
        <v>0</v>
      </c>
      <c r="Q47" s="144">
        <f>'IS Feb KSA'!Q47+'IS Feb USA'!Q47</f>
        <v>0</v>
      </c>
      <c r="R47" s="144">
        <f>'IS Feb KSA'!R47+'IS Feb USA'!R47</f>
        <v>0</v>
      </c>
      <c r="S47" s="144">
        <f>'IS Feb KSA'!S47+'IS Feb USA'!S47</f>
        <v>0</v>
      </c>
      <c r="T47" s="197">
        <f t="shared" si="10"/>
        <v>1160953.03006378</v>
      </c>
      <c r="U47" s="197">
        <v>1160953.03006378</v>
      </c>
      <c r="V47" s="144">
        <f t="shared" si="53"/>
        <v>0</v>
      </c>
      <c r="W47" s="197">
        <f t="shared" si="6"/>
        <v>40494.194901100098</v>
      </c>
      <c r="X47" s="144">
        <v>40494.194901100098</v>
      </c>
      <c r="Y47" s="144">
        <f t="shared" si="30"/>
        <v>0</v>
      </c>
      <c r="Z47" s="144">
        <f>'IS Feb KSA'!V47+'IS Feb USA'!V47</f>
        <v>0</v>
      </c>
      <c r="AA47" s="144">
        <f>'IS Feb KSA'!W47+'IS Feb USA'!W47</f>
        <v>0</v>
      </c>
      <c r="AB47" s="144">
        <f>'IS Feb KSA'!X47+'IS Feb USA'!X47</f>
        <v>0</v>
      </c>
      <c r="AC47" s="144">
        <f t="shared" si="54"/>
        <v>0</v>
      </c>
      <c r="AD47" s="144">
        <f>'IS Feb KSA'!Z47+'IS Feb USA'!Z47</f>
        <v>0</v>
      </c>
      <c r="AE47" s="144">
        <f>'IS Feb KSA'!AA47+'IS Feb USA'!AA47</f>
        <v>0</v>
      </c>
      <c r="AF47" s="144">
        <f>'IS Feb KSA'!AB47+'IS Feb USA'!AB47</f>
        <v>0</v>
      </c>
      <c r="AG47" s="144">
        <f t="shared" si="55"/>
        <v>0</v>
      </c>
      <c r="AH47" s="144">
        <f>'IS Feb KSA'!AD47+'IS Feb USA'!AD47</f>
        <v>0</v>
      </c>
      <c r="AI47" s="144">
        <f>'IS Feb KSA'!AE47+'IS Feb USA'!AE47</f>
        <v>0</v>
      </c>
      <c r="AJ47" s="144">
        <f>'IS Feb KSA'!AF47+'IS Feb USA'!AF47</f>
        <v>0</v>
      </c>
      <c r="AK47" s="144">
        <f t="shared" si="56"/>
        <v>0</v>
      </c>
      <c r="AL47" s="144">
        <f>'IS Feb KSA'!AH47+'IS Feb USA'!AH47</f>
        <v>0</v>
      </c>
      <c r="AM47" s="144">
        <f>'IS Feb KSA'!AI47+'IS Feb USA'!AI47</f>
        <v>0</v>
      </c>
      <c r="AN47" s="144">
        <f>'IS Feb KSA'!AJ47+'IS Feb USA'!AJ47</f>
        <v>0</v>
      </c>
      <c r="AO47" s="146"/>
      <c r="AP47" s="144"/>
      <c r="AQ47" s="144"/>
    </row>
    <row r="48" spans="1:43" outlineLevel="1">
      <c r="B48" s="157" t="s">
        <v>41</v>
      </c>
      <c r="C48" s="144">
        <f t="shared" si="48"/>
        <v>0</v>
      </c>
      <c r="D48" s="144">
        <f t="shared" si="49"/>
        <v>0</v>
      </c>
      <c r="E48" s="144">
        <f>'IS Feb KSA'!E48+'IS Feb USA'!E48</f>
        <v>0</v>
      </c>
      <c r="F48" s="144">
        <f>'IS Feb KSA'!F48+'IS Feb USA'!F48</f>
        <v>0</v>
      </c>
      <c r="G48" s="144">
        <f>'IS Feb KSA'!G48+'IS Feb USA'!G48</f>
        <v>0</v>
      </c>
      <c r="H48" s="144">
        <f t="shared" si="50"/>
        <v>0</v>
      </c>
      <c r="I48" s="144">
        <f>'IS Feb KSA'!I48+'IS Feb USA'!I48</f>
        <v>0</v>
      </c>
      <c r="J48" s="144">
        <f>'IS Feb KSA'!F48+'IS Feb USA'!F48</f>
        <v>0</v>
      </c>
      <c r="K48" s="144">
        <f>'IS Feb KSA'!G48+'IS Feb USA'!G48</f>
        <v>0</v>
      </c>
      <c r="L48" s="144">
        <f t="shared" si="51"/>
        <v>0</v>
      </c>
      <c r="M48" s="144">
        <f>'IS Feb KSA'!M48+'IS Feb USA'!M48</f>
        <v>0</v>
      </c>
      <c r="N48" s="144">
        <f>'IS Feb KSA'!N48+'IS Feb USA'!N48</f>
        <v>0</v>
      </c>
      <c r="O48" s="144">
        <f>'IS Feb KSA'!O48+'IS Feb USA'!O48</f>
        <v>0</v>
      </c>
      <c r="P48" s="144">
        <f t="shared" si="52"/>
        <v>0</v>
      </c>
      <c r="Q48" s="144">
        <f>'IS Feb KSA'!Q48+'IS Feb USA'!Q48</f>
        <v>0</v>
      </c>
      <c r="R48" s="144">
        <f>'IS Feb KSA'!R48+'IS Feb USA'!R48</f>
        <v>0</v>
      </c>
      <c r="S48" s="144">
        <f>'IS Feb KSA'!S48+'IS Feb USA'!S48</f>
        <v>0</v>
      </c>
      <c r="T48" s="197">
        <f t="shared" si="10"/>
        <v>0</v>
      </c>
      <c r="U48" s="197">
        <v>0</v>
      </c>
      <c r="V48" s="144">
        <f t="shared" si="53"/>
        <v>0</v>
      </c>
      <c r="W48" s="197">
        <f t="shared" si="6"/>
        <v>0</v>
      </c>
      <c r="X48" s="144">
        <v>0</v>
      </c>
      <c r="Y48" s="144">
        <f t="shared" si="30"/>
        <v>0</v>
      </c>
      <c r="Z48" s="144">
        <f>'IS Feb KSA'!V48+'IS Feb USA'!V48</f>
        <v>0</v>
      </c>
      <c r="AA48" s="144">
        <f>'IS Feb KSA'!W48+'IS Feb USA'!W48</f>
        <v>0</v>
      </c>
      <c r="AB48" s="144">
        <f>'IS Feb KSA'!X48+'IS Feb USA'!X48</f>
        <v>0</v>
      </c>
      <c r="AC48" s="144">
        <f t="shared" si="54"/>
        <v>0</v>
      </c>
      <c r="AD48" s="144">
        <f>'IS Feb KSA'!Z48+'IS Feb USA'!Z48</f>
        <v>0</v>
      </c>
      <c r="AE48" s="144">
        <f>'IS Feb KSA'!AA48+'IS Feb USA'!AA48</f>
        <v>0</v>
      </c>
      <c r="AF48" s="144">
        <f>'IS Feb KSA'!AB48+'IS Feb USA'!AB48</f>
        <v>0</v>
      </c>
      <c r="AG48" s="144">
        <f t="shared" si="55"/>
        <v>0</v>
      </c>
      <c r="AH48" s="144">
        <f>'IS Feb KSA'!AD48+'IS Feb USA'!AD48</f>
        <v>0</v>
      </c>
      <c r="AI48" s="144">
        <f>'IS Feb KSA'!AE48+'IS Feb USA'!AE48</f>
        <v>0</v>
      </c>
      <c r="AJ48" s="144">
        <f>'IS Feb KSA'!AF48+'IS Feb USA'!AF48</f>
        <v>0</v>
      </c>
      <c r="AK48" s="144">
        <f t="shared" si="56"/>
        <v>0</v>
      </c>
      <c r="AL48" s="144">
        <f>'IS Feb KSA'!AH48+'IS Feb USA'!AH48</f>
        <v>0</v>
      </c>
      <c r="AM48" s="144">
        <f>'IS Feb KSA'!AI48+'IS Feb USA'!AI48</f>
        <v>0</v>
      </c>
      <c r="AN48" s="144">
        <f>'IS Feb KSA'!AJ48+'IS Feb USA'!AJ48</f>
        <v>0</v>
      </c>
      <c r="AO48" s="146"/>
      <c r="AP48" s="144">
        <v>0</v>
      </c>
      <c r="AQ48" s="144">
        <v>21797.18</v>
      </c>
    </row>
    <row r="49" spans="1:43" outlineLevel="1">
      <c r="B49" s="157" t="s">
        <v>586</v>
      </c>
      <c r="C49" s="144">
        <f t="shared" si="48"/>
        <v>1500</v>
      </c>
      <c r="D49" s="144">
        <f t="shared" si="49"/>
        <v>0</v>
      </c>
      <c r="E49" s="144">
        <f>'IS Feb KSA'!E49+'IS Feb USA'!E49</f>
        <v>0</v>
      </c>
      <c r="F49" s="144">
        <f>'IS Feb KSA'!F49+'IS Feb USA'!F49</f>
        <v>0</v>
      </c>
      <c r="G49" s="144">
        <f>'IS Feb KSA'!G49+'IS Feb USA'!G49</f>
        <v>0</v>
      </c>
      <c r="H49" s="144">
        <f t="shared" si="50"/>
        <v>0</v>
      </c>
      <c r="I49" s="144">
        <f>'IS Feb KSA'!I49+'IS Feb USA'!I49</f>
        <v>0</v>
      </c>
      <c r="J49" s="144">
        <f>'IS Feb KSA'!F49+'IS Feb USA'!F49</f>
        <v>0</v>
      </c>
      <c r="K49" s="144">
        <f>'IS Feb KSA'!G49+'IS Feb USA'!G49</f>
        <v>0</v>
      </c>
      <c r="L49" s="144">
        <f t="shared" si="51"/>
        <v>0</v>
      </c>
      <c r="M49" s="144">
        <f>'IS Feb KSA'!M49+'IS Feb USA'!M49</f>
        <v>0</v>
      </c>
      <c r="N49" s="144">
        <f>'IS Feb KSA'!N49+'IS Feb USA'!N49</f>
        <v>0</v>
      </c>
      <c r="O49" s="144">
        <f>'IS Feb KSA'!O49+'IS Feb USA'!O49</f>
        <v>0</v>
      </c>
      <c r="P49" s="144">
        <f t="shared" si="52"/>
        <v>1500</v>
      </c>
      <c r="Q49" s="144">
        <f>'IS Feb KSA'!Q49+'IS Feb USA'!Q49</f>
        <v>0</v>
      </c>
      <c r="R49" s="144">
        <f>'IS Feb KSA'!R49+'IS Feb USA'!R49</f>
        <v>0</v>
      </c>
      <c r="S49" s="144">
        <f>'IS Feb KSA'!S49+'IS Feb USA'!S49</f>
        <v>1500</v>
      </c>
      <c r="T49" s="197">
        <f t="shared" si="10"/>
        <v>-97386.05</v>
      </c>
      <c r="U49" s="197">
        <v>0</v>
      </c>
      <c r="V49" s="144">
        <f t="shared" ref="V49:V52" si="59">AC49+AG49+Y49+AK49</f>
        <v>97386.05</v>
      </c>
      <c r="W49" s="197">
        <f t="shared" ref="W49:W52" si="60">X49-AB49</f>
        <v>10803.037686687599</v>
      </c>
      <c r="X49" s="144">
        <v>18104.1476866876</v>
      </c>
      <c r="Y49" s="144">
        <f t="shared" ref="Y49:Y52" si="61">SUM(Z49:AB49)</f>
        <v>20834.439999999999</v>
      </c>
      <c r="Z49" s="144">
        <f>'IS Feb KSA'!V49+'IS Feb USA'!V49</f>
        <v>3633.33</v>
      </c>
      <c r="AA49" s="144">
        <f>'IS Feb KSA'!W49+'IS Feb USA'!W49</f>
        <v>9900</v>
      </c>
      <c r="AB49" s="144">
        <f>'IS Feb KSA'!X49+'IS Feb USA'!X49</f>
        <v>7301.11</v>
      </c>
      <c r="AC49" s="144">
        <f t="shared" ref="AC49:AC52" si="62">AD49+AE49+AF49</f>
        <v>65550</v>
      </c>
      <c r="AD49" s="144">
        <f>'IS Feb KSA'!Z49+'IS Feb USA'!Z49</f>
        <v>46050</v>
      </c>
      <c r="AE49" s="144">
        <f>'IS Feb KSA'!AA49+'IS Feb USA'!AA49</f>
        <v>0</v>
      </c>
      <c r="AF49" s="144">
        <f>'IS Feb KSA'!AB49+'IS Feb USA'!AB49</f>
        <v>19500</v>
      </c>
      <c r="AG49" s="144">
        <f t="shared" ref="AG49:AG52" si="63">SUM(AH49:AJ49)</f>
        <v>11001.61</v>
      </c>
      <c r="AH49" s="144">
        <f>'IS Feb KSA'!AD49+'IS Feb USA'!AD49</f>
        <v>11001.61</v>
      </c>
      <c r="AI49" s="144">
        <f>'IS Feb KSA'!AE49+'IS Feb USA'!AE49</f>
        <v>0</v>
      </c>
      <c r="AJ49" s="144">
        <f>'IS Feb KSA'!AF49+'IS Feb USA'!AF49</f>
        <v>0</v>
      </c>
      <c r="AK49" s="144">
        <f t="shared" ref="AK49:AK52" si="64">SUM(AL49:AN49)</f>
        <v>0</v>
      </c>
      <c r="AL49" s="144">
        <f>'IS Feb KSA'!AH49+'IS Feb USA'!AH49</f>
        <v>0</v>
      </c>
      <c r="AM49" s="144">
        <f>'IS Feb KSA'!AI49+'IS Feb USA'!AI49</f>
        <v>0</v>
      </c>
      <c r="AN49" s="144">
        <f>'IS Feb KSA'!AJ49+'IS Feb USA'!AJ49</f>
        <v>0</v>
      </c>
      <c r="AO49" s="146"/>
      <c r="AP49" s="144"/>
      <c r="AQ49" s="144"/>
    </row>
    <row r="50" spans="1:43" outlineLevel="1">
      <c r="B50" s="157" t="s">
        <v>584</v>
      </c>
      <c r="C50" s="144">
        <f t="shared" si="48"/>
        <v>26991.3</v>
      </c>
      <c r="D50" s="144">
        <f t="shared" si="49"/>
        <v>0</v>
      </c>
      <c r="E50" s="144">
        <f>'IS Feb KSA'!E50+'IS Feb USA'!E50</f>
        <v>0</v>
      </c>
      <c r="F50" s="144">
        <f>'IS Feb KSA'!F50+'IS Feb USA'!F50</f>
        <v>0</v>
      </c>
      <c r="G50" s="144">
        <f>'IS Feb KSA'!G50+'IS Feb USA'!G50</f>
        <v>0</v>
      </c>
      <c r="H50" s="144">
        <f t="shared" si="50"/>
        <v>0</v>
      </c>
      <c r="I50" s="144">
        <f>'IS Feb KSA'!I50+'IS Feb USA'!I50</f>
        <v>0</v>
      </c>
      <c r="J50" s="144">
        <f>'IS Feb KSA'!F50+'IS Feb USA'!F50</f>
        <v>0</v>
      </c>
      <c r="K50" s="144">
        <f>'IS Feb KSA'!G50+'IS Feb USA'!G50</f>
        <v>0</v>
      </c>
      <c r="L50" s="144">
        <f t="shared" si="51"/>
        <v>0</v>
      </c>
      <c r="M50" s="144">
        <f>'IS Feb KSA'!M50+'IS Feb USA'!M50</f>
        <v>0</v>
      </c>
      <c r="N50" s="144">
        <f>'IS Feb KSA'!N50+'IS Feb USA'!N50</f>
        <v>0</v>
      </c>
      <c r="O50" s="144">
        <f>'IS Feb KSA'!O50+'IS Feb USA'!O50</f>
        <v>0</v>
      </c>
      <c r="P50" s="144">
        <f t="shared" si="52"/>
        <v>26991.3</v>
      </c>
      <c r="Q50" s="144">
        <f>'IS Feb KSA'!Q50+'IS Feb USA'!Q50</f>
        <v>0</v>
      </c>
      <c r="R50" s="144">
        <f>'IS Feb KSA'!R50+'IS Feb USA'!R50</f>
        <v>0</v>
      </c>
      <c r="S50" s="144">
        <f>'IS Feb KSA'!S50+'IS Feb USA'!S50</f>
        <v>26991.3</v>
      </c>
      <c r="T50" s="197">
        <f t="shared" ref="T50" si="65">U50-V50</f>
        <v>-21047.539999999997</v>
      </c>
      <c r="U50" s="197">
        <v>0</v>
      </c>
      <c r="V50" s="144">
        <f t="shared" si="59"/>
        <v>21047.539999999997</v>
      </c>
      <c r="W50" s="197">
        <f t="shared" si="60"/>
        <v>14649.7976866876</v>
      </c>
      <c r="X50" s="144">
        <v>18104.1476866876</v>
      </c>
      <c r="Y50" s="144">
        <f t="shared" si="61"/>
        <v>17454.349999999999</v>
      </c>
      <c r="Z50" s="144">
        <f>'IS Feb KSA'!V50+'IS Feb USA'!V50</f>
        <v>0</v>
      </c>
      <c r="AA50" s="144">
        <f>'IS Feb KSA'!W50+'IS Feb USA'!W50</f>
        <v>14000</v>
      </c>
      <c r="AB50" s="144">
        <f>'IS Feb KSA'!X50+'IS Feb USA'!X50</f>
        <v>3454.35</v>
      </c>
      <c r="AC50" s="144">
        <f t="shared" si="62"/>
        <v>3593.19</v>
      </c>
      <c r="AD50" s="144">
        <f>'IS Feb KSA'!Z50+'IS Feb USA'!Z50</f>
        <v>0</v>
      </c>
      <c r="AE50" s="144">
        <f>'IS Feb KSA'!AA50+'IS Feb USA'!AA50</f>
        <v>0</v>
      </c>
      <c r="AF50" s="144">
        <f>'IS Feb KSA'!AB50+'IS Feb USA'!AB50</f>
        <v>3593.19</v>
      </c>
      <c r="AG50" s="144">
        <f t="shared" si="63"/>
        <v>0</v>
      </c>
      <c r="AH50" s="144">
        <f>'IS Feb KSA'!AD50+'IS Feb USA'!AD50</f>
        <v>0</v>
      </c>
      <c r="AI50" s="144">
        <f>'IS Feb KSA'!AE50+'IS Feb USA'!AE50</f>
        <v>0</v>
      </c>
      <c r="AJ50" s="144">
        <f>'IS Feb KSA'!AF50+'IS Feb USA'!AF50</f>
        <v>0</v>
      </c>
      <c r="AK50" s="144">
        <f t="shared" si="64"/>
        <v>0</v>
      </c>
      <c r="AL50" s="144">
        <f>'IS Feb KSA'!AH50+'IS Feb USA'!AH50</f>
        <v>0</v>
      </c>
      <c r="AM50" s="144">
        <f>'IS Feb KSA'!AI50+'IS Feb USA'!AI50</f>
        <v>0</v>
      </c>
      <c r="AN50" s="144">
        <f>'IS Feb KSA'!AJ50+'IS Feb USA'!AJ50</f>
        <v>0</v>
      </c>
      <c r="AO50" s="146"/>
      <c r="AP50" s="144"/>
      <c r="AQ50" s="144"/>
    </row>
    <row r="51" spans="1:43" outlineLevel="1">
      <c r="B51" s="157" t="s">
        <v>602</v>
      </c>
      <c r="C51" s="144">
        <f t="shared" si="48"/>
        <v>0</v>
      </c>
      <c r="D51" s="144">
        <f t="shared" si="49"/>
        <v>0</v>
      </c>
      <c r="E51" s="144">
        <f>'IS Feb KSA'!E51+'IS Feb USA'!E51</f>
        <v>0</v>
      </c>
      <c r="F51" s="144">
        <f>'IS Feb KSA'!F51+'IS Feb USA'!F51</f>
        <v>0</v>
      </c>
      <c r="G51" s="144">
        <f>'IS Feb KSA'!G51+'IS Feb USA'!G51</f>
        <v>0</v>
      </c>
      <c r="H51" s="144">
        <f t="shared" si="50"/>
        <v>0</v>
      </c>
      <c r="I51" s="144">
        <f>'IS Feb KSA'!I51+'IS Feb USA'!I51</f>
        <v>0</v>
      </c>
      <c r="J51" s="144">
        <f>'IS Feb KSA'!F51+'IS Feb USA'!F51</f>
        <v>0</v>
      </c>
      <c r="K51" s="144">
        <f>'IS Feb KSA'!G51+'IS Feb USA'!G51</f>
        <v>0</v>
      </c>
      <c r="L51" s="144">
        <f t="shared" si="51"/>
        <v>0</v>
      </c>
      <c r="M51" s="144">
        <f>'IS Feb KSA'!M51+'IS Feb USA'!M51</f>
        <v>0</v>
      </c>
      <c r="N51" s="144">
        <f>'IS Feb KSA'!N51+'IS Feb USA'!N51</f>
        <v>0</v>
      </c>
      <c r="O51" s="144">
        <f>'IS Feb KSA'!O51+'IS Feb USA'!O51</f>
        <v>0</v>
      </c>
      <c r="P51" s="144">
        <f t="shared" si="52"/>
        <v>0</v>
      </c>
      <c r="Q51" s="144">
        <f>'IS Feb KSA'!Q51+'IS Feb USA'!Q51</f>
        <v>0</v>
      </c>
      <c r="R51" s="144">
        <f>'IS Feb KSA'!R51+'IS Feb USA'!R51</f>
        <v>0</v>
      </c>
      <c r="S51" s="144">
        <f>'IS Feb KSA'!S51+'IS Feb USA'!S51</f>
        <v>0</v>
      </c>
      <c r="T51" s="197"/>
      <c r="U51" s="197">
        <v>0</v>
      </c>
      <c r="V51" s="144">
        <f t="shared" si="59"/>
        <v>1638.75</v>
      </c>
      <c r="W51" s="197">
        <f t="shared" si="60"/>
        <v>17000.1476866876</v>
      </c>
      <c r="X51" s="144">
        <v>18104.1476866876</v>
      </c>
      <c r="Y51" s="144">
        <f t="shared" si="61"/>
        <v>1638.75</v>
      </c>
      <c r="Z51" s="144">
        <f>'IS Feb KSA'!V51+'IS Feb USA'!V51</f>
        <v>235.75</v>
      </c>
      <c r="AA51" s="144">
        <f>'IS Feb KSA'!W51+'IS Feb USA'!W51</f>
        <v>299</v>
      </c>
      <c r="AB51" s="144">
        <f>'IS Feb KSA'!X51+'IS Feb USA'!X51</f>
        <v>1104</v>
      </c>
      <c r="AC51" s="144">
        <f t="shared" si="62"/>
        <v>0</v>
      </c>
      <c r="AD51" s="144">
        <f>'IS Feb KSA'!Z51+'IS Feb USA'!Z51</f>
        <v>0</v>
      </c>
      <c r="AE51" s="144">
        <f>'IS Feb KSA'!AA51+'IS Feb USA'!AA51</f>
        <v>0</v>
      </c>
      <c r="AF51" s="144">
        <f>'IS Feb KSA'!AB51+'IS Feb USA'!AB51</f>
        <v>0</v>
      </c>
      <c r="AG51" s="144">
        <f t="shared" si="63"/>
        <v>0</v>
      </c>
      <c r="AH51" s="144">
        <f>'IS Feb KSA'!AD51+'IS Feb USA'!AD51</f>
        <v>0</v>
      </c>
      <c r="AI51" s="144">
        <f>'IS Feb KSA'!AE51+'IS Feb USA'!AE51</f>
        <v>0</v>
      </c>
      <c r="AJ51" s="144">
        <f>'IS Feb KSA'!AF51+'IS Feb USA'!AF51</f>
        <v>0</v>
      </c>
      <c r="AK51" s="144">
        <f t="shared" si="64"/>
        <v>0</v>
      </c>
      <c r="AL51" s="144">
        <f>'IS Feb KSA'!AH51+'IS Feb USA'!AH51</f>
        <v>0</v>
      </c>
      <c r="AM51" s="144">
        <f>'IS Feb KSA'!AI51+'IS Feb USA'!AI51</f>
        <v>0</v>
      </c>
      <c r="AN51" s="144">
        <f>'IS Feb KSA'!AJ51+'IS Feb USA'!AJ51</f>
        <v>0</v>
      </c>
      <c r="AO51" s="146"/>
      <c r="AP51" s="144"/>
      <c r="AQ51" s="144"/>
    </row>
    <row r="52" spans="1:43" outlineLevel="1">
      <c r="B52" s="157" t="s">
        <v>620</v>
      </c>
      <c r="C52" s="144">
        <f t="shared" si="48"/>
        <v>16100</v>
      </c>
      <c r="D52" s="144">
        <f t="shared" si="49"/>
        <v>0</v>
      </c>
      <c r="E52" s="144">
        <f>'IS Feb KSA'!E52+'IS Feb USA'!E52</f>
        <v>0</v>
      </c>
      <c r="F52" s="144">
        <f>'IS Feb KSA'!F52+'IS Feb USA'!F52</f>
        <v>0</v>
      </c>
      <c r="G52" s="144">
        <f>'IS Feb KSA'!G52+'IS Feb USA'!G52</f>
        <v>0</v>
      </c>
      <c r="H52" s="144">
        <f t="shared" si="50"/>
        <v>0</v>
      </c>
      <c r="I52" s="144">
        <f>'IS Feb KSA'!I52+'IS Feb USA'!I52</f>
        <v>0</v>
      </c>
      <c r="J52" s="144">
        <f>'IS Feb KSA'!F52+'IS Feb USA'!F52</f>
        <v>0</v>
      </c>
      <c r="K52" s="144">
        <f>'IS Feb KSA'!G52+'IS Feb USA'!G52</f>
        <v>0</v>
      </c>
      <c r="L52" s="144">
        <f t="shared" si="51"/>
        <v>0</v>
      </c>
      <c r="M52" s="144">
        <f>'IS Feb KSA'!M52+'IS Feb USA'!M52</f>
        <v>0</v>
      </c>
      <c r="N52" s="144">
        <f>'IS Feb KSA'!N52+'IS Feb USA'!N52</f>
        <v>0</v>
      </c>
      <c r="O52" s="144">
        <f>'IS Feb KSA'!O52+'IS Feb USA'!O52</f>
        <v>0</v>
      </c>
      <c r="P52" s="144">
        <f t="shared" si="52"/>
        <v>16100</v>
      </c>
      <c r="Q52" s="144">
        <f>'IS Feb KSA'!Q52+'IS Feb USA'!Q52</f>
        <v>0</v>
      </c>
      <c r="R52" s="144">
        <f>'IS Feb KSA'!R52+'IS Feb USA'!R52</f>
        <v>8000</v>
      </c>
      <c r="S52" s="144">
        <f>'IS Feb KSA'!S52+'IS Feb USA'!S52</f>
        <v>8100</v>
      </c>
      <c r="T52" s="197"/>
      <c r="U52" s="197"/>
      <c r="V52" s="144">
        <f t="shared" si="59"/>
        <v>0</v>
      </c>
      <c r="W52" s="197">
        <f t="shared" si="60"/>
        <v>18104.1476866876</v>
      </c>
      <c r="X52" s="144">
        <v>18104.1476866876</v>
      </c>
      <c r="Y52" s="144">
        <f t="shared" si="61"/>
        <v>0</v>
      </c>
      <c r="Z52" s="144">
        <f>'IS Feb KSA'!V52+'IS Feb USA'!V52</f>
        <v>0</v>
      </c>
      <c r="AA52" s="144">
        <f>'IS Feb KSA'!W52+'IS Feb USA'!W52</f>
        <v>0</v>
      </c>
      <c r="AB52" s="144">
        <f>'IS Feb KSA'!X52+'IS Feb USA'!X52</f>
        <v>0</v>
      </c>
      <c r="AC52" s="144">
        <f t="shared" si="62"/>
        <v>0</v>
      </c>
      <c r="AD52" s="144">
        <f>'IS Feb KSA'!Z52+'IS Feb USA'!Z52</f>
        <v>0</v>
      </c>
      <c r="AE52" s="144">
        <f>'IS Feb KSA'!AA52+'IS Feb USA'!AA52</f>
        <v>0</v>
      </c>
      <c r="AF52" s="144">
        <f>'IS Feb KSA'!AB52+'IS Feb USA'!AB52</f>
        <v>0</v>
      </c>
      <c r="AG52" s="144">
        <f t="shared" si="63"/>
        <v>0</v>
      </c>
      <c r="AH52" s="144">
        <f>'IS Feb KSA'!AD52+'IS Feb USA'!AD52</f>
        <v>0</v>
      </c>
      <c r="AI52" s="144">
        <f>'IS Feb KSA'!AE52+'IS Feb USA'!AE52</f>
        <v>0</v>
      </c>
      <c r="AJ52" s="144">
        <f>'IS Feb KSA'!AF52+'IS Feb USA'!AF52</f>
        <v>0</v>
      </c>
      <c r="AK52" s="144">
        <f t="shared" si="64"/>
        <v>0</v>
      </c>
      <c r="AL52" s="144">
        <f>'IS Feb KSA'!AH52+'IS Feb USA'!AH52</f>
        <v>0</v>
      </c>
      <c r="AM52" s="144">
        <f>'IS Feb KSA'!AI52+'IS Feb USA'!AI52</f>
        <v>0</v>
      </c>
      <c r="AN52" s="144">
        <f>'IS Feb KSA'!AJ52+'IS Feb USA'!AJ52</f>
        <v>0</v>
      </c>
      <c r="AO52" s="146"/>
      <c r="AP52" s="144"/>
      <c r="AQ52" s="144"/>
    </row>
    <row r="53" spans="1:43" outlineLevel="1">
      <c r="B53" s="157" t="s">
        <v>42</v>
      </c>
      <c r="C53" s="144">
        <f t="shared" si="48"/>
        <v>7066.18</v>
      </c>
      <c r="D53" s="144">
        <f t="shared" si="49"/>
        <v>0</v>
      </c>
      <c r="E53" s="144">
        <f>'IS Feb KSA'!E53+'IS Feb USA'!E53</f>
        <v>0</v>
      </c>
      <c r="F53" s="144">
        <f>'IS Feb KSA'!F53+'IS Feb USA'!F53</f>
        <v>0</v>
      </c>
      <c r="G53" s="144">
        <f>'IS Feb KSA'!G53+'IS Feb USA'!G53</f>
        <v>0</v>
      </c>
      <c r="H53" s="144">
        <f t="shared" si="50"/>
        <v>0</v>
      </c>
      <c r="I53" s="144">
        <f>'IS Feb KSA'!I53+'IS Feb USA'!I53</f>
        <v>0</v>
      </c>
      <c r="J53" s="144">
        <f>'IS Feb KSA'!F53+'IS Feb USA'!F53</f>
        <v>0</v>
      </c>
      <c r="K53" s="144">
        <f>'IS Feb KSA'!G53+'IS Feb USA'!G53</f>
        <v>0</v>
      </c>
      <c r="L53" s="144">
        <f t="shared" si="51"/>
        <v>0</v>
      </c>
      <c r="M53" s="144">
        <f>'IS Feb KSA'!M53+'IS Feb USA'!M53</f>
        <v>0</v>
      </c>
      <c r="N53" s="144">
        <f>'IS Feb KSA'!N53+'IS Feb USA'!N53</f>
        <v>0</v>
      </c>
      <c r="O53" s="144">
        <f>'IS Feb KSA'!O53+'IS Feb USA'!O53</f>
        <v>0</v>
      </c>
      <c r="P53" s="144">
        <f t="shared" si="52"/>
        <v>7066.18</v>
      </c>
      <c r="Q53" s="144">
        <f>'IS Feb KSA'!Q53+'IS Feb USA'!Q53</f>
        <v>0</v>
      </c>
      <c r="R53" s="144">
        <f>'IS Feb KSA'!R53+'IS Feb USA'!R53</f>
        <v>3494.76</v>
      </c>
      <c r="S53" s="144">
        <f>'IS Feb KSA'!S53+'IS Feb USA'!S53</f>
        <v>3571.42</v>
      </c>
      <c r="T53" s="197">
        <f t="shared" si="10"/>
        <v>30123.218644017092</v>
      </c>
      <c r="U53" s="197">
        <v>68539.598644017096</v>
      </c>
      <c r="V53" s="144">
        <f t="shared" si="53"/>
        <v>38416.380000000005</v>
      </c>
      <c r="W53" s="197">
        <f t="shared" si="6"/>
        <v>7244.3486120125999</v>
      </c>
      <c r="X53" s="144">
        <v>10862.488612012599</v>
      </c>
      <c r="Y53" s="144">
        <f t="shared" si="30"/>
        <v>10525.58</v>
      </c>
      <c r="Z53" s="144">
        <f>'IS Feb KSA'!V53+'IS Feb USA'!V53</f>
        <v>3721.99</v>
      </c>
      <c r="AA53" s="144">
        <f>'IS Feb KSA'!W53+'IS Feb USA'!W53</f>
        <v>3185.45</v>
      </c>
      <c r="AB53" s="144">
        <f>'IS Feb KSA'!X53+'IS Feb USA'!X53</f>
        <v>3618.14</v>
      </c>
      <c r="AC53" s="144">
        <f t="shared" si="54"/>
        <v>8059.1</v>
      </c>
      <c r="AD53" s="144">
        <f>'IS Feb KSA'!Z53+'IS Feb USA'!Z53</f>
        <v>2716.95</v>
      </c>
      <c r="AE53" s="144">
        <f>'IS Feb KSA'!AA53+'IS Feb USA'!AA53</f>
        <v>2558.0500000000002</v>
      </c>
      <c r="AF53" s="144">
        <f>'IS Feb KSA'!AB53+'IS Feb USA'!AB53</f>
        <v>2784.1</v>
      </c>
      <c r="AG53" s="144">
        <f t="shared" si="55"/>
        <v>8457.52</v>
      </c>
      <c r="AH53" s="144">
        <f>'IS Feb KSA'!AD53+'IS Feb USA'!AD53</f>
        <v>3058.77</v>
      </c>
      <c r="AI53" s="144">
        <f>'IS Feb KSA'!AE53+'IS Feb USA'!AE53</f>
        <v>1991.38</v>
      </c>
      <c r="AJ53" s="144">
        <f>'IS Feb KSA'!AF53+'IS Feb USA'!AF53</f>
        <v>3407.37</v>
      </c>
      <c r="AK53" s="144">
        <f t="shared" si="56"/>
        <v>11374.18</v>
      </c>
      <c r="AL53" s="144">
        <f>'IS Feb KSA'!AH53+'IS Feb USA'!AH53</f>
        <v>3365.12</v>
      </c>
      <c r="AM53" s="144">
        <f>'IS Feb KSA'!AI53+'IS Feb USA'!AI53</f>
        <v>3084.98</v>
      </c>
      <c r="AN53" s="144">
        <f>'IS Feb KSA'!AJ53+'IS Feb USA'!AJ53</f>
        <v>4924.08</v>
      </c>
      <c r="AO53" s="146"/>
      <c r="AP53" s="144">
        <v>4340.78</v>
      </c>
      <c r="AQ53" s="144">
        <v>42649.18</v>
      </c>
    </row>
    <row r="54" spans="1:43" outlineLevel="1">
      <c r="B54" s="157" t="s">
        <v>43</v>
      </c>
      <c r="C54" s="144">
        <f t="shared" si="48"/>
        <v>83683.06</v>
      </c>
      <c r="D54" s="144">
        <f t="shared" si="49"/>
        <v>0</v>
      </c>
      <c r="E54" s="144">
        <f>'IS Feb KSA'!E54+'IS Feb USA'!E54</f>
        <v>0</v>
      </c>
      <c r="F54" s="144">
        <f>'IS Feb KSA'!F54+'IS Feb USA'!F54</f>
        <v>0</v>
      </c>
      <c r="G54" s="144">
        <f>'IS Feb KSA'!G54+'IS Feb USA'!G54</f>
        <v>0</v>
      </c>
      <c r="H54" s="144">
        <f t="shared" si="50"/>
        <v>0</v>
      </c>
      <c r="I54" s="144">
        <f>'IS Feb KSA'!I54+'IS Feb USA'!I54</f>
        <v>0</v>
      </c>
      <c r="J54" s="144">
        <f>'IS Feb KSA'!F54+'IS Feb USA'!F54</f>
        <v>0</v>
      </c>
      <c r="K54" s="144">
        <f>'IS Feb KSA'!G54+'IS Feb USA'!G54</f>
        <v>0</v>
      </c>
      <c r="L54" s="144">
        <f t="shared" si="51"/>
        <v>0</v>
      </c>
      <c r="M54" s="144">
        <f>'IS Feb KSA'!M54+'IS Feb USA'!M54</f>
        <v>0</v>
      </c>
      <c r="N54" s="144">
        <f>'IS Feb KSA'!N54+'IS Feb USA'!N54</f>
        <v>0</v>
      </c>
      <c r="O54" s="144">
        <f>'IS Feb KSA'!O54+'IS Feb USA'!O54</f>
        <v>0</v>
      </c>
      <c r="P54" s="144">
        <f t="shared" si="52"/>
        <v>83683.06</v>
      </c>
      <c r="Q54" s="144">
        <f>'IS Feb KSA'!Q54+'IS Feb USA'!Q54</f>
        <v>0</v>
      </c>
      <c r="R54" s="144">
        <f>'IS Feb KSA'!R54+'IS Feb USA'!R54</f>
        <v>45838.65</v>
      </c>
      <c r="S54" s="144">
        <f>'IS Feb KSA'!S54+'IS Feb USA'!S54</f>
        <v>37844.410000000003</v>
      </c>
      <c r="T54" s="197">
        <f t="shared" si="10"/>
        <v>-13285.28316429304</v>
      </c>
      <c r="U54" s="197">
        <v>609240.87683570699</v>
      </c>
      <c r="V54" s="144">
        <f t="shared" si="53"/>
        <v>622526.16</v>
      </c>
      <c r="W54" s="197">
        <f t="shared" si="6"/>
        <v>34011.444329000595</v>
      </c>
      <c r="X54" s="144">
        <v>96555.454329000597</v>
      </c>
      <c r="Y54" s="144">
        <f t="shared" si="30"/>
        <v>161759.03</v>
      </c>
      <c r="Z54" s="144">
        <f>'IS Feb KSA'!V54+'IS Feb USA'!V54</f>
        <v>52507.040000000001</v>
      </c>
      <c r="AA54" s="144">
        <f>'IS Feb KSA'!W54+'IS Feb USA'!W54</f>
        <v>46707.979999999996</v>
      </c>
      <c r="AB54" s="144">
        <f>'IS Feb KSA'!X54+'IS Feb USA'!X54</f>
        <v>62544.01</v>
      </c>
      <c r="AC54" s="144">
        <f t="shared" si="54"/>
        <v>166219.54</v>
      </c>
      <c r="AD54" s="144">
        <f>'IS Feb KSA'!Z54+'IS Feb USA'!Z54</f>
        <v>55789.35</v>
      </c>
      <c r="AE54" s="144">
        <f>'IS Feb KSA'!AA54+'IS Feb USA'!AA54</f>
        <v>56920.160000000003</v>
      </c>
      <c r="AF54" s="144">
        <f>'IS Feb KSA'!AB54+'IS Feb USA'!AB54</f>
        <v>53510.03</v>
      </c>
      <c r="AG54" s="144">
        <f t="shared" si="55"/>
        <v>156133.58000000002</v>
      </c>
      <c r="AH54" s="144">
        <f>'IS Feb KSA'!AD54+'IS Feb USA'!AD54</f>
        <v>62784.160000000003</v>
      </c>
      <c r="AI54" s="144">
        <f>'IS Feb KSA'!AE54+'IS Feb USA'!AE54</f>
        <v>67338.59</v>
      </c>
      <c r="AJ54" s="144">
        <f>'IS Feb KSA'!AF54+'IS Feb USA'!AF54</f>
        <v>26010.83</v>
      </c>
      <c r="AK54" s="144">
        <f t="shared" si="56"/>
        <v>138414.01</v>
      </c>
      <c r="AL54" s="144">
        <f>'IS Feb KSA'!AH54+'IS Feb USA'!AH54</f>
        <v>33054.800000000003</v>
      </c>
      <c r="AM54" s="144">
        <f>'IS Feb KSA'!AI54+'IS Feb USA'!AI54</f>
        <v>64087.54</v>
      </c>
      <c r="AN54" s="144">
        <f>'IS Feb KSA'!AJ54+'IS Feb USA'!AJ54</f>
        <v>41271.67</v>
      </c>
      <c r="AO54" s="146"/>
      <c r="AP54" s="144">
        <v>29899.360000000001</v>
      </c>
      <c r="AQ54" s="144">
        <v>259041.14</v>
      </c>
    </row>
    <row r="55" spans="1:43" outlineLevel="1">
      <c r="B55" s="157" t="s">
        <v>44</v>
      </c>
      <c r="C55" s="144">
        <f t="shared" si="48"/>
        <v>0</v>
      </c>
      <c r="D55" s="144">
        <f t="shared" si="49"/>
        <v>0</v>
      </c>
      <c r="E55" s="144">
        <f>'IS Feb KSA'!E55+'IS Feb USA'!E55</f>
        <v>0</v>
      </c>
      <c r="F55" s="144">
        <f>'IS Feb KSA'!F55+'IS Feb USA'!F55</f>
        <v>0</v>
      </c>
      <c r="G55" s="144">
        <f>'IS Feb KSA'!G55+'IS Feb USA'!G55</f>
        <v>0</v>
      </c>
      <c r="H55" s="144">
        <f t="shared" si="50"/>
        <v>0</v>
      </c>
      <c r="I55" s="144">
        <f>'IS Feb KSA'!I55+'IS Feb USA'!I55</f>
        <v>0</v>
      </c>
      <c r="J55" s="144">
        <f>'IS Feb KSA'!F55+'IS Feb USA'!F55</f>
        <v>0</v>
      </c>
      <c r="K55" s="144">
        <f>'IS Feb KSA'!G55+'IS Feb USA'!G55</f>
        <v>0</v>
      </c>
      <c r="L55" s="144">
        <f t="shared" si="51"/>
        <v>0</v>
      </c>
      <c r="M55" s="144">
        <f>'IS Feb KSA'!M55+'IS Feb USA'!M55</f>
        <v>0</v>
      </c>
      <c r="N55" s="144">
        <f>'IS Feb KSA'!N55+'IS Feb USA'!N55</f>
        <v>0</v>
      </c>
      <c r="O55" s="144">
        <f>'IS Feb KSA'!O55+'IS Feb USA'!O55</f>
        <v>0</v>
      </c>
      <c r="P55" s="144">
        <f t="shared" si="52"/>
        <v>0</v>
      </c>
      <c r="Q55" s="144">
        <f>'IS Feb KSA'!Q55+'IS Feb USA'!Q55</f>
        <v>0</v>
      </c>
      <c r="R55" s="144">
        <f>'IS Feb KSA'!R55+'IS Feb USA'!R55</f>
        <v>0</v>
      </c>
      <c r="S55" s="144">
        <f>'IS Feb KSA'!S55+'IS Feb USA'!S55</f>
        <v>0</v>
      </c>
      <c r="T55" s="197">
        <f t="shared" si="10"/>
        <v>-20113.05</v>
      </c>
      <c r="U55" s="197">
        <v>0</v>
      </c>
      <c r="V55" s="144">
        <f t="shared" si="53"/>
        <v>20113.05</v>
      </c>
      <c r="W55" s="197">
        <f t="shared" si="6"/>
        <v>0</v>
      </c>
      <c r="X55" s="144">
        <v>0</v>
      </c>
      <c r="Y55" s="144">
        <f t="shared" si="30"/>
        <v>19597.98</v>
      </c>
      <c r="Z55" s="144">
        <f>'IS Feb KSA'!V55+'IS Feb USA'!V55</f>
        <v>0</v>
      </c>
      <c r="AA55" s="144">
        <f>'IS Feb KSA'!W55+'IS Feb USA'!W55</f>
        <v>19597.98</v>
      </c>
      <c r="AB55" s="144">
        <f>'IS Feb KSA'!X55+'IS Feb USA'!X55</f>
        <v>0</v>
      </c>
      <c r="AC55" s="144">
        <f t="shared" si="54"/>
        <v>0</v>
      </c>
      <c r="AD55" s="144">
        <f>'IS Feb KSA'!Z55+'IS Feb USA'!Z55</f>
        <v>0</v>
      </c>
      <c r="AE55" s="144">
        <f>'IS Feb KSA'!AA55+'IS Feb USA'!AA55</f>
        <v>0</v>
      </c>
      <c r="AF55" s="144">
        <f>'IS Feb KSA'!AB55+'IS Feb USA'!AB55</f>
        <v>0</v>
      </c>
      <c r="AG55" s="144">
        <f t="shared" si="55"/>
        <v>0</v>
      </c>
      <c r="AH55" s="144">
        <f>'IS Feb KSA'!AD55+'IS Feb USA'!AD55</f>
        <v>0</v>
      </c>
      <c r="AI55" s="144">
        <f>'IS Feb KSA'!AE55+'IS Feb USA'!AE55</f>
        <v>0</v>
      </c>
      <c r="AJ55" s="144">
        <f>'IS Feb KSA'!AF55+'IS Feb USA'!AF55</f>
        <v>0</v>
      </c>
      <c r="AK55" s="144">
        <f t="shared" si="56"/>
        <v>515.07000000000005</v>
      </c>
      <c r="AL55" s="144">
        <f>'IS Feb KSA'!AH55+'IS Feb USA'!AH55</f>
        <v>0</v>
      </c>
      <c r="AM55" s="144">
        <f>'IS Feb KSA'!AI55+'IS Feb USA'!AI55</f>
        <v>0</v>
      </c>
      <c r="AN55" s="144">
        <f>'IS Feb KSA'!AJ55+'IS Feb USA'!AJ55</f>
        <v>515.07000000000005</v>
      </c>
      <c r="AO55" s="146"/>
      <c r="AP55" s="144">
        <v>25888.14</v>
      </c>
      <c r="AQ55" s="144">
        <v>218807.46000000002</v>
      </c>
    </row>
    <row r="56" spans="1:43" s="151" customFormat="1">
      <c r="A56" s="147"/>
      <c r="B56" s="148" t="s">
        <v>45</v>
      </c>
      <c r="C56" s="149">
        <f>SUM(C57:C59)</f>
        <v>182532.79</v>
      </c>
      <c r="D56" s="149">
        <f>SUM(D57:D59)</f>
        <v>0</v>
      </c>
      <c r="E56" s="149">
        <f>SUM(E57:E59)</f>
        <v>0</v>
      </c>
      <c r="F56" s="149">
        <f>SUM(F57:F59)</f>
        <v>0</v>
      </c>
      <c r="G56" s="149">
        <f>SUM(G57:G59)</f>
        <v>0</v>
      </c>
      <c r="H56" s="149">
        <f t="shared" ref="H56:L56" si="66">SUM(H57:H59)</f>
        <v>0</v>
      </c>
      <c r="I56" s="149">
        <f t="shared" si="66"/>
        <v>0</v>
      </c>
      <c r="J56" s="149">
        <f t="shared" si="66"/>
        <v>0</v>
      </c>
      <c r="K56" s="149">
        <f t="shared" si="66"/>
        <v>0</v>
      </c>
      <c r="L56" s="149">
        <f t="shared" si="66"/>
        <v>0</v>
      </c>
      <c r="M56" s="149">
        <f>SUM(M57:M59)</f>
        <v>0</v>
      </c>
      <c r="N56" s="149">
        <f t="shared" ref="N56:R56" si="67">SUM(N57:N59)</f>
        <v>0</v>
      </c>
      <c r="O56" s="149">
        <f t="shared" si="67"/>
        <v>0</v>
      </c>
      <c r="P56" s="149">
        <f t="shared" si="67"/>
        <v>182532.79</v>
      </c>
      <c r="Q56" s="149">
        <f t="shared" si="67"/>
        <v>0</v>
      </c>
      <c r="R56" s="149">
        <f t="shared" si="67"/>
        <v>88762.1</v>
      </c>
      <c r="S56" s="149">
        <f>SUM(S57:S59)</f>
        <v>93770.69</v>
      </c>
      <c r="T56" s="197">
        <f t="shared" si="10"/>
        <v>-1212063.8371191593</v>
      </c>
      <c r="U56" s="149">
        <f>SUM(U57:U59)</f>
        <v>696819.25288084056</v>
      </c>
      <c r="V56" s="149">
        <f>SUM(V57:V59)</f>
        <v>1908883.0899999999</v>
      </c>
      <c r="W56" s="197">
        <f t="shared" si="6"/>
        <v>-101327.0291112056</v>
      </c>
      <c r="X56" s="149">
        <f>SUM(X57:X59)</f>
        <v>110435.30088879442</v>
      </c>
      <c r="Y56" s="149">
        <f>SUM(Y57:Y59)</f>
        <v>504486.73</v>
      </c>
      <c r="Z56" s="149">
        <f>SUM(Z57:Z59)</f>
        <v>149025.19</v>
      </c>
      <c r="AA56" s="149">
        <f>SUM(AA57:AA59)</f>
        <v>143699.21</v>
      </c>
      <c r="AB56" s="149">
        <f>SUM(AB57:AB59)</f>
        <v>211762.33000000002</v>
      </c>
      <c r="AC56" s="149">
        <f t="shared" ref="AC56:AM56" si="68">SUM(AC57:AC59)</f>
        <v>506410.89</v>
      </c>
      <c r="AD56" s="149">
        <f t="shared" si="68"/>
        <v>179123.65</v>
      </c>
      <c r="AE56" s="149">
        <f t="shared" si="68"/>
        <v>144346.14000000001</v>
      </c>
      <c r="AF56" s="149">
        <f t="shared" si="68"/>
        <v>182941.1</v>
      </c>
      <c r="AG56" s="149">
        <f t="shared" si="68"/>
        <v>646609.48</v>
      </c>
      <c r="AH56" s="149">
        <f>SUM(AH57:AH59)</f>
        <v>225166.96999999997</v>
      </c>
      <c r="AI56" s="149">
        <f t="shared" si="68"/>
        <v>161206.18</v>
      </c>
      <c r="AJ56" s="149">
        <f t="shared" si="68"/>
        <v>260236.33</v>
      </c>
      <c r="AK56" s="149">
        <f t="shared" si="68"/>
        <v>251375.99</v>
      </c>
      <c r="AL56" s="149">
        <f t="shared" si="68"/>
        <v>78865.639999999985</v>
      </c>
      <c r="AM56" s="149">
        <f t="shared" si="68"/>
        <v>87766.58</v>
      </c>
      <c r="AN56" s="149">
        <f>SUM(AN57:AN59)</f>
        <v>84743.76999999999</v>
      </c>
      <c r="AO56" s="158"/>
      <c r="AP56" s="149">
        <f>SUM(AP57:AP59)</f>
        <v>241058.12</v>
      </c>
      <c r="AQ56" s="149">
        <f>SUM(AQ57:AQ59)</f>
        <v>912663.56</v>
      </c>
    </row>
    <row r="57" spans="1:43" outlineLevel="1">
      <c r="B57" s="157" t="s">
        <v>46</v>
      </c>
      <c r="C57" s="144">
        <f>H57+L57+D57+P57</f>
        <v>157467.73000000001</v>
      </c>
      <c r="D57" s="144">
        <f t="shared" ref="D57:D59" si="69">SUM(E57:G57)</f>
        <v>0</v>
      </c>
      <c r="E57" s="144">
        <f>'IS Feb KSA'!E57+'IS Feb USA'!E57</f>
        <v>0</v>
      </c>
      <c r="F57" s="144">
        <f>'IS Feb KSA'!F57+'IS Feb USA'!F57</f>
        <v>0</v>
      </c>
      <c r="G57" s="144">
        <f>'IS Feb KSA'!G57+'IS Feb USA'!G57</f>
        <v>0</v>
      </c>
      <c r="H57" s="144">
        <f>I57+J57+K57</f>
        <v>0</v>
      </c>
      <c r="I57" s="144">
        <f>'IS Feb KSA'!I57+'IS Feb USA'!I57</f>
        <v>0</v>
      </c>
      <c r="J57" s="144">
        <f>'IS Feb KSA'!F57+'IS Feb USA'!F57</f>
        <v>0</v>
      </c>
      <c r="K57" s="144">
        <f>'IS Feb KSA'!G57+'IS Feb USA'!G57</f>
        <v>0</v>
      </c>
      <c r="L57" s="144">
        <f t="shared" ref="L57:L58" si="70">SUM(M57:O57)</f>
        <v>0</v>
      </c>
      <c r="M57" s="144">
        <f>'IS Feb KSA'!M57+'IS Feb USA'!M57</f>
        <v>0</v>
      </c>
      <c r="N57" s="144">
        <f>'IS Feb KSA'!N57+'IS Feb USA'!N57</f>
        <v>0</v>
      </c>
      <c r="O57" s="144">
        <f>'IS Feb KSA'!O57+'IS Feb USA'!O57</f>
        <v>0</v>
      </c>
      <c r="P57" s="144">
        <f>SUM(Q57:S57)</f>
        <v>157467.73000000001</v>
      </c>
      <c r="Q57" s="144">
        <f>'IS Feb KSA'!Q57+'IS Feb USA'!Q57</f>
        <v>0</v>
      </c>
      <c r="R57" s="144">
        <f>'IS Feb KSA'!R57+'IS Feb USA'!R57</f>
        <v>75832.13</v>
      </c>
      <c r="S57" s="144">
        <f>'IS Feb KSA'!S57+'IS Feb USA'!S57</f>
        <v>81635.600000000006</v>
      </c>
      <c r="T57" s="197">
        <f t="shared" si="10"/>
        <v>-1207435.8111866098</v>
      </c>
      <c r="U57" s="197">
        <v>228465.32881338999</v>
      </c>
      <c r="V57" s="144">
        <f>AC57+AG57+Y57+AK57</f>
        <v>1435901.14</v>
      </c>
      <c r="W57" s="197">
        <f t="shared" si="6"/>
        <v>-73312.414626624814</v>
      </c>
      <c r="X57" s="144">
        <v>36208.2953733752</v>
      </c>
      <c r="Y57" s="144">
        <f t="shared" si="30"/>
        <v>353084.13</v>
      </c>
      <c r="Z57" s="144">
        <f>'IS Feb KSA'!V57+'IS Feb USA'!V57</f>
        <v>121860.83</v>
      </c>
      <c r="AA57" s="144">
        <f>'IS Feb KSA'!W57+'IS Feb USA'!W57</f>
        <v>121702.59</v>
      </c>
      <c r="AB57" s="144">
        <f>'IS Feb KSA'!X57+'IS Feb USA'!X57</f>
        <v>109520.71</v>
      </c>
      <c r="AC57" s="144">
        <f>AD57+AE57+AF57</f>
        <v>396573.48</v>
      </c>
      <c r="AD57" s="144">
        <f>'IS Feb KSA'!Z57+'IS Feb USA'!Z57</f>
        <v>148998.87</v>
      </c>
      <c r="AE57" s="144">
        <f>'IS Feb KSA'!AA57+'IS Feb USA'!AA57</f>
        <v>112386.58</v>
      </c>
      <c r="AF57" s="144">
        <f>'IS Feb KSA'!AB57+'IS Feb USA'!AB57</f>
        <v>135188.03</v>
      </c>
      <c r="AG57" s="144">
        <f t="shared" ref="AG57:AG59" si="71">SUM(AH57:AJ57)</f>
        <v>495369.48</v>
      </c>
      <c r="AH57" s="144">
        <f>'IS Feb KSA'!AD57+'IS Feb USA'!AD57</f>
        <v>207175.65</v>
      </c>
      <c r="AI57" s="144">
        <f>'IS Feb KSA'!AE57+'IS Feb USA'!AE57</f>
        <v>143190.72</v>
      </c>
      <c r="AJ57" s="144">
        <f>'IS Feb KSA'!AF57+'IS Feb USA'!AF57</f>
        <v>145003.10999999999</v>
      </c>
      <c r="AK57" s="144">
        <f>SUM(AL57:AN57)</f>
        <v>190874.05</v>
      </c>
      <c r="AL57" s="144">
        <f>'IS Feb KSA'!AH57+'IS Feb USA'!AH57</f>
        <v>69203.349999999991</v>
      </c>
      <c r="AM57" s="144">
        <f>'IS Feb KSA'!AI57+'IS Feb USA'!AI57</f>
        <v>62514.490000000005</v>
      </c>
      <c r="AN57" s="144">
        <f>'IS Feb KSA'!AJ57+'IS Feb USA'!AJ57</f>
        <v>59156.21</v>
      </c>
      <c r="AO57" s="146"/>
      <c r="AP57" s="144">
        <v>74891.990000000005</v>
      </c>
      <c r="AQ57" s="144">
        <v>515896.62999999995</v>
      </c>
    </row>
    <row r="58" spans="1:43" outlineLevel="1">
      <c r="B58" s="157" t="s">
        <v>47</v>
      </c>
      <c r="C58" s="144">
        <f>H58+L58+D58+P58</f>
        <v>952.91000000000008</v>
      </c>
      <c r="D58" s="144">
        <f t="shared" si="69"/>
        <v>0</v>
      </c>
      <c r="E58" s="144">
        <f>'IS Feb KSA'!E58+'IS Feb USA'!E58</f>
        <v>0</v>
      </c>
      <c r="F58" s="144">
        <f>'IS Feb KSA'!F58+'IS Feb USA'!F58</f>
        <v>0</v>
      </c>
      <c r="G58" s="144">
        <f>'IS Feb KSA'!G58+'IS Feb USA'!G58</f>
        <v>0</v>
      </c>
      <c r="H58" s="144">
        <f>I58+J58+K58</f>
        <v>0</v>
      </c>
      <c r="I58" s="144">
        <f>'IS Feb KSA'!I58+'IS Feb USA'!I58</f>
        <v>0</v>
      </c>
      <c r="J58" s="144">
        <f>'IS Feb KSA'!F58+'IS Feb USA'!F58</f>
        <v>0</v>
      </c>
      <c r="K58" s="144">
        <f>'IS Feb KSA'!G58+'IS Feb USA'!G58</f>
        <v>0</v>
      </c>
      <c r="L58" s="144">
        <f t="shared" si="70"/>
        <v>0</v>
      </c>
      <c r="M58" s="144">
        <f>'IS Feb KSA'!M58+'IS Feb USA'!M58</f>
        <v>0</v>
      </c>
      <c r="N58" s="144">
        <f>'IS Feb KSA'!N58+'IS Feb USA'!N58</f>
        <v>0</v>
      </c>
      <c r="O58" s="144">
        <f>'IS Feb KSA'!O58+'IS Feb USA'!O58</f>
        <v>0</v>
      </c>
      <c r="P58" s="144">
        <f>SUM(Q58:S58)</f>
        <v>952.91000000000008</v>
      </c>
      <c r="Q58" s="144">
        <f>'IS Feb KSA'!Q58+'IS Feb USA'!Q58</f>
        <v>0</v>
      </c>
      <c r="R58" s="144">
        <f>'IS Feb KSA'!R58+'IS Feb USA'!R58</f>
        <v>584.58000000000004</v>
      </c>
      <c r="S58" s="144">
        <f>'IS Feb KSA'!S58+'IS Feb USA'!S58</f>
        <v>368.33</v>
      </c>
      <c r="T58" s="197">
        <f t="shared" si="10"/>
        <v>15292.432203347598</v>
      </c>
      <c r="U58" s="197">
        <v>57116.3322033476</v>
      </c>
      <c r="V58" s="144">
        <f>AC58+AG58+Y58+AK58</f>
        <v>41823.9</v>
      </c>
      <c r="W58" s="197">
        <f t="shared" si="6"/>
        <v>5383.7438433438092</v>
      </c>
      <c r="X58" s="144">
        <v>9052.0738433438091</v>
      </c>
      <c r="Y58" s="144">
        <f t="shared" si="30"/>
        <v>10637.73</v>
      </c>
      <c r="Z58" s="144">
        <f>'IS Feb KSA'!V58+'IS Feb USA'!V58</f>
        <v>5721.07</v>
      </c>
      <c r="AA58" s="144">
        <f>'IS Feb KSA'!W58+'IS Feb USA'!W58</f>
        <v>1248.33</v>
      </c>
      <c r="AB58" s="144">
        <f>'IS Feb KSA'!X58+'IS Feb USA'!X58</f>
        <v>3668.33</v>
      </c>
      <c r="AC58" s="144">
        <f>AD58+AE58+AF58</f>
        <v>15157.83</v>
      </c>
      <c r="AD58" s="144">
        <f>'IS Feb KSA'!Z58+'IS Feb USA'!Z58</f>
        <v>4867.83</v>
      </c>
      <c r="AE58" s="144">
        <f>'IS Feb KSA'!AA58+'IS Feb USA'!AA58</f>
        <v>9540.5</v>
      </c>
      <c r="AF58" s="144">
        <f>'IS Feb KSA'!AB58+'IS Feb USA'!AB58</f>
        <v>749.5</v>
      </c>
      <c r="AG58" s="144">
        <f t="shared" si="71"/>
        <v>7098.4800000000005</v>
      </c>
      <c r="AH58" s="144">
        <f>'IS Feb KSA'!AD58+'IS Feb USA'!AD58</f>
        <v>4157.18</v>
      </c>
      <c r="AI58" s="144">
        <f>'IS Feb KSA'!AE58+'IS Feb USA'!AE58</f>
        <v>2591.3000000000002</v>
      </c>
      <c r="AJ58" s="144">
        <f>'IS Feb KSA'!AF58+'IS Feb USA'!AF58</f>
        <v>350</v>
      </c>
      <c r="AK58" s="144">
        <f>SUM(AL58:AN58)</f>
        <v>8929.86</v>
      </c>
      <c r="AL58" s="144">
        <f>'IS Feb KSA'!AH58+'IS Feb USA'!AH58</f>
        <v>1.75</v>
      </c>
      <c r="AM58" s="144">
        <f>'IS Feb KSA'!AI58+'IS Feb USA'!AI58</f>
        <v>6296.36</v>
      </c>
      <c r="AN58" s="144">
        <f>'IS Feb KSA'!AJ58+'IS Feb USA'!AJ58</f>
        <v>2631.75</v>
      </c>
      <c r="AO58" s="146"/>
      <c r="AP58" s="144">
        <v>1332.26</v>
      </c>
      <c r="AQ58" s="144">
        <v>29073.829999999998</v>
      </c>
    </row>
    <row r="59" spans="1:43" outlineLevel="1">
      <c r="B59" s="157" t="s">
        <v>48</v>
      </c>
      <c r="C59" s="144">
        <f>H59+L59+D59+P59</f>
        <v>24112.15</v>
      </c>
      <c r="D59" s="144">
        <f t="shared" si="69"/>
        <v>0</v>
      </c>
      <c r="E59" s="144">
        <f>'IS Feb KSA'!E59+'IS Feb USA'!E59</f>
        <v>0</v>
      </c>
      <c r="F59" s="144">
        <f>'IS Feb KSA'!F59+'IS Feb USA'!F59</f>
        <v>0</v>
      </c>
      <c r="G59" s="144">
        <f>'IS Feb KSA'!G59+'IS Feb USA'!G59</f>
        <v>0</v>
      </c>
      <c r="H59" s="144">
        <f>I59+J59+K59</f>
        <v>0</v>
      </c>
      <c r="I59" s="144">
        <f>'IS Feb KSA'!I59+'IS Feb USA'!I59</f>
        <v>0</v>
      </c>
      <c r="J59" s="144">
        <f>'IS Feb KSA'!F59+'IS Feb USA'!F59</f>
        <v>0</v>
      </c>
      <c r="K59" s="144">
        <f>'IS Feb KSA'!G59+'IS Feb USA'!G59</f>
        <v>0</v>
      </c>
      <c r="L59" s="144">
        <f>SUM(M59:O59)</f>
        <v>0</v>
      </c>
      <c r="M59" s="144">
        <f>'IS Feb KSA'!M59+'IS Feb USA'!M59</f>
        <v>0</v>
      </c>
      <c r="N59" s="144">
        <f>'IS Feb KSA'!N59+'IS Feb USA'!N59</f>
        <v>0</v>
      </c>
      <c r="O59" s="144">
        <f>'IS Feb KSA'!O59+'IS Feb USA'!O59</f>
        <v>0</v>
      </c>
      <c r="P59" s="144">
        <f>SUM(Q59:S59)</f>
        <v>24112.15</v>
      </c>
      <c r="Q59" s="144">
        <f>'IS Feb KSA'!Q59+'IS Feb USA'!Q59</f>
        <v>0</v>
      </c>
      <c r="R59" s="144">
        <f>'IS Feb KSA'!R59+'IS Feb USA'!R59</f>
        <v>12345.39</v>
      </c>
      <c r="S59" s="144">
        <f>'IS Feb KSA'!S59+'IS Feb USA'!S59</f>
        <v>11766.76</v>
      </c>
      <c r="T59" s="197">
        <f t="shared" si="10"/>
        <v>-19920.458135897003</v>
      </c>
      <c r="U59" s="197">
        <v>411237.59186410299</v>
      </c>
      <c r="V59" s="144">
        <f>AC59+AG59+Y59+AK59</f>
        <v>431158.05</v>
      </c>
      <c r="W59" s="197">
        <f t="shared" si="6"/>
        <v>-33398.358327924594</v>
      </c>
      <c r="X59" s="144">
        <v>65174.9316720754</v>
      </c>
      <c r="Y59" s="144">
        <f t="shared" si="30"/>
        <v>140764.87</v>
      </c>
      <c r="Z59" s="144">
        <f>'IS Feb KSA'!V59+'IS Feb USA'!V59</f>
        <v>21443.29</v>
      </c>
      <c r="AA59" s="144">
        <f>'IS Feb KSA'!W59+'IS Feb USA'!W59</f>
        <v>20748.29</v>
      </c>
      <c r="AB59" s="144">
        <f>'IS Feb KSA'!X59+'IS Feb USA'!X59</f>
        <v>98573.29</v>
      </c>
      <c r="AC59" s="144">
        <f>AD59+AE59+AF59</f>
        <v>94679.58</v>
      </c>
      <c r="AD59" s="144">
        <f>'IS Feb KSA'!Z59+'IS Feb USA'!Z59</f>
        <v>25256.95</v>
      </c>
      <c r="AE59" s="144">
        <f>'IS Feb KSA'!AA59+'IS Feb USA'!AA59</f>
        <v>22419.06</v>
      </c>
      <c r="AF59" s="144">
        <f>'IS Feb KSA'!AB59+'IS Feb USA'!AB59</f>
        <v>47003.57</v>
      </c>
      <c r="AG59" s="144">
        <f t="shared" si="71"/>
        <v>144141.51999999999</v>
      </c>
      <c r="AH59" s="144">
        <f>'IS Feb KSA'!AD59+'IS Feb USA'!AD59</f>
        <v>13834.14</v>
      </c>
      <c r="AI59" s="144">
        <f>'IS Feb KSA'!AE59+'IS Feb USA'!AE59</f>
        <v>15424.16</v>
      </c>
      <c r="AJ59" s="144">
        <f>'IS Feb KSA'!AF59+'IS Feb USA'!AF59</f>
        <v>114883.22</v>
      </c>
      <c r="AK59" s="144">
        <f>SUM(AL59:AN59)</f>
        <v>51572.08</v>
      </c>
      <c r="AL59" s="144">
        <f>'IS Feb KSA'!AH59+'IS Feb USA'!AH59</f>
        <v>9660.5400000000009</v>
      </c>
      <c r="AM59" s="144">
        <f>'IS Feb KSA'!AI59+'IS Feb USA'!AI59</f>
        <v>18955.73</v>
      </c>
      <c r="AN59" s="144">
        <f>'IS Feb KSA'!AJ59+'IS Feb USA'!AJ59</f>
        <v>22955.809999999998</v>
      </c>
      <c r="AO59" s="146"/>
      <c r="AP59" s="144">
        <v>164833.87</v>
      </c>
      <c r="AQ59" s="144">
        <v>367693.10000000003</v>
      </c>
    </row>
    <row r="60" spans="1:43" s="151" customFormat="1">
      <c r="A60" s="147"/>
      <c r="B60" s="148" t="s">
        <v>49</v>
      </c>
      <c r="C60" s="149">
        <f>SUM(C61:C64)</f>
        <v>25997.59</v>
      </c>
      <c r="D60" s="149">
        <f>SUM(D61:D64)</f>
        <v>0</v>
      </c>
      <c r="E60" s="149">
        <f>SUM(E61:E64)</f>
        <v>0</v>
      </c>
      <c r="F60" s="149">
        <f>SUM(F61:F64)</f>
        <v>0</v>
      </c>
      <c r="G60" s="149">
        <f>SUM(G61:G64)</f>
        <v>0</v>
      </c>
      <c r="H60" s="149">
        <f t="shared" ref="H60:R60" si="72">SUM(H61:H64)</f>
        <v>0</v>
      </c>
      <c r="I60" s="149">
        <f t="shared" si="72"/>
        <v>0</v>
      </c>
      <c r="J60" s="149">
        <f t="shared" si="72"/>
        <v>0</v>
      </c>
      <c r="K60" s="149">
        <f t="shared" si="72"/>
        <v>0</v>
      </c>
      <c r="L60" s="149">
        <f t="shared" si="72"/>
        <v>0</v>
      </c>
      <c r="M60" s="149">
        <f t="shared" si="72"/>
        <v>0</v>
      </c>
      <c r="N60" s="149">
        <f t="shared" si="72"/>
        <v>0</v>
      </c>
      <c r="O60" s="149">
        <f t="shared" si="72"/>
        <v>0</v>
      </c>
      <c r="P60" s="149">
        <f t="shared" si="72"/>
        <v>25997.59</v>
      </c>
      <c r="Q60" s="149">
        <f t="shared" si="72"/>
        <v>0</v>
      </c>
      <c r="R60" s="149">
        <f t="shared" si="72"/>
        <v>12819.05</v>
      </c>
      <c r="S60" s="149">
        <f>SUM(S61:S64)</f>
        <v>13178.54</v>
      </c>
      <c r="T60" s="197">
        <f t="shared" si="10"/>
        <v>142926.3666666667</v>
      </c>
      <c r="U60" s="149">
        <f>SUM(U61:U64)</f>
        <v>266666.66666666669</v>
      </c>
      <c r="V60" s="149">
        <f>SUM(V61:V64)</f>
        <v>123740.3</v>
      </c>
      <c r="W60" s="197">
        <f t="shared" si="6"/>
        <v>13494.886666666673</v>
      </c>
      <c r="X60" s="149">
        <f>SUM(X61:X64)</f>
        <v>26666.666666666672</v>
      </c>
      <c r="Y60" s="149">
        <f>SUM(Y61:Y64)</f>
        <v>42307.02</v>
      </c>
      <c r="Z60" s="149">
        <f>SUM(Z61:Z64)</f>
        <v>14707.11</v>
      </c>
      <c r="AA60" s="149">
        <f>SUM(AA61:AA64)</f>
        <v>14428.130000000001</v>
      </c>
      <c r="AB60" s="149">
        <f>SUM(AB61:AB64)</f>
        <v>13171.779999999999</v>
      </c>
      <c r="AC60" s="149">
        <f t="shared" ref="AC60:AM60" si="73">SUM(AC61:AC64)</f>
        <v>35396.130000000005</v>
      </c>
      <c r="AD60" s="149">
        <f t="shared" si="73"/>
        <v>12213.52</v>
      </c>
      <c r="AE60" s="149">
        <f t="shared" si="73"/>
        <v>11932.21</v>
      </c>
      <c r="AF60" s="149">
        <f t="shared" si="73"/>
        <v>11250.400000000001</v>
      </c>
      <c r="AG60" s="149">
        <f t="shared" si="73"/>
        <v>23469.17</v>
      </c>
      <c r="AH60" s="149">
        <f t="shared" si="73"/>
        <v>7870.34</v>
      </c>
      <c r="AI60" s="149">
        <f t="shared" si="73"/>
        <v>7497.24</v>
      </c>
      <c r="AJ60" s="149">
        <f t="shared" si="73"/>
        <v>8101.59</v>
      </c>
      <c r="AK60" s="149">
        <f t="shared" si="73"/>
        <v>22567.98</v>
      </c>
      <c r="AL60" s="149">
        <f t="shared" si="73"/>
        <v>7344.9400000000005</v>
      </c>
      <c r="AM60" s="149">
        <f t="shared" si="73"/>
        <v>7611.62</v>
      </c>
      <c r="AN60" s="149">
        <f>SUM(AN61:AN64)</f>
        <v>7611.42</v>
      </c>
      <c r="AO60" s="158"/>
      <c r="AP60" s="149">
        <f>SUM(AP61:AP64)</f>
        <v>8478.56</v>
      </c>
      <c r="AQ60" s="149">
        <f>SUM(AQ61:AQ64)</f>
        <v>88776.89</v>
      </c>
    </row>
    <row r="61" spans="1:43" outlineLevel="1">
      <c r="B61" s="157" t="s">
        <v>50</v>
      </c>
      <c r="C61" s="144">
        <f>H61+L61+D61+P61</f>
        <v>3609.92</v>
      </c>
      <c r="D61" s="144">
        <f t="shared" ref="D61:D64" si="74">SUM(E61:G61)</f>
        <v>0</v>
      </c>
      <c r="E61" s="144">
        <f>'IS Feb KSA'!E61+'IS Feb USA'!E61</f>
        <v>0</v>
      </c>
      <c r="F61" s="144">
        <f>'IS Feb KSA'!F61+'IS Feb USA'!F61</f>
        <v>0</v>
      </c>
      <c r="G61" s="144">
        <f>'IS Feb KSA'!G61+'IS Feb USA'!G61</f>
        <v>0</v>
      </c>
      <c r="H61" s="144">
        <f>I61+J61+K61</f>
        <v>0</v>
      </c>
      <c r="I61" s="144">
        <f>'IS Feb KSA'!I61+'IS Feb USA'!I61</f>
        <v>0</v>
      </c>
      <c r="J61" s="144">
        <f>'IS Feb KSA'!F61+'IS Feb USA'!F61</f>
        <v>0</v>
      </c>
      <c r="K61" s="144">
        <f>'IS Feb KSA'!G61+'IS Feb USA'!G61</f>
        <v>0</v>
      </c>
      <c r="L61" s="144">
        <f t="shared" ref="L61:L64" si="75">SUM(M61:O61)</f>
        <v>0</v>
      </c>
      <c r="M61" s="144">
        <f>'IS Feb KSA'!M61+'IS Feb USA'!M61</f>
        <v>0</v>
      </c>
      <c r="N61" s="144">
        <f>'IS Feb KSA'!N61+'IS Feb USA'!N61</f>
        <v>0</v>
      </c>
      <c r="O61" s="144">
        <f>'IS Feb KSA'!O61+'IS Feb USA'!O61</f>
        <v>0</v>
      </c>
      <c r="P61" s="144">
        <f>SUM(Q61:S61)</f>
        <v>3609.92</v>
      </c>
      <c r="Q61" s="144">
        <f>'IS Feb KSA'!Q61+'IS Feb USA'!Q61</f>
        <v>0</v>
      </c>
      <c r="R61" s="144">
        <f>'IS Feb KSA'!R61+'IS Feb USA'!R61</f>
        <v>1804.96</v>
      </c>
      <c r="S61" s="144">
        <f>'IS Feb KSA'!S61+'IS Feb USA'!S61</f>
        <v>1804.96</v>
      </c>
      <c r="T61" s="197">
        <f t="shared" si="10"/>
        <v>22703.696666666699</v>
      </c>
      <c r="U61" s="197">
        <v>41666.666666666701</v>
      </c>
      <c r="V61" s="144">
        <f>AC61+AG61+Y61+AK61</f>
        <v>18962.97</v>
      </c>
      <c r="W61" s="197">
        <f t="shared" si="6"/>
        <v>2361.7066666666697</v>
      </c>
      <c r="X61" s="144">
        <v>4166.6666666666697</v>
      </c>
      <c r="Y61" s="144">
        <f t="shared" ref="Y61:Y86" si="76">SUM(Z61:AB61)</f>
        <v>5414.88</v>
      </c>
      <c r="Z61" s="144">
        <f>'IS Feb KSA'!V61+'IS Feb USA'!V61</f>
        <v>1804.96</v>
      </c>
      <c r="AA61" s="144">
        <f>'IS Feb KSA'!W61+'IS Feb USA'!W61</f>
        <v>1804.96</v>
      </c>
      <c r="AB61" s="144">
        <f>'IS Feb KSA'!X61+'IS Feb USA'!X61</f>
        <v>1804.96</v>
      </c>
      <c r="AC61" s="144">
        <f>AD61+AE61+AF61</f>
        <v>4605.7299999999996</v>
      </c>
      <c r="AD61" s="144">
        <f>'IS Feb KSA'!Z61+'IS Feb USA'!Z61</f>
        <v>1525.8</v>
      </c>
      <c r="AE61" s="144">
        <f>'IS Feb KSA'!AA61+'IS Feb USA'!AA61</f>
        <v>1543.24</v>
      </c>
      <c r="AF61" s="144">
        <f>'IS Feb KSA'!AB61+'IS Feb USA'!AB61</f>
        <v>1536.69</v>
      </c>
      <c r="AG61" s="144">
        <f t="shared" ref="AG61:AG64" si="77">SUM(AH61:AJ61)</f>
        <v>4610.07</v>
      </c>
      <c r="AH61" s="144">
        <f>'IS Feb KSA'!AD61+'IS Feb USA'!AD61</f>
        <v>1536.69</v>
      </c>
      <c r="AI61" s="144">
        <f>'IS Feb KSA'!AE61+'IS Feb USA'!AE61</f>
        <v>1536.69</v>
      </c>
      <c r="AJ61" s="144">
        <f>'IS Feb KSA'!AF61+'IS Feb USA'!AF61</f>
        <v>1536.69</v>
      </c>
      <c r="AK61" s="144">
        <f>SUM(AL61:AN61)</f>
        <v>4332.29</v>
      </c>
      <c r="AL61" s="144">
        <f>'IS Feb KSA'!AH61+'IS Feb USA'!AH61</f>
        <v>1536.69</v>
      </c>
      <c r="AM61" s="144">
        <f>'IS Feb KSA'!AI61+'IS Feb USA'!AI61</f>
        <v>1397.8</v>
      </c>
      <c r="AN61" s="144">
        <f>'IS Feb KSA'!AJ61+'IS Feb USA'!AJ61</f>
        <v>1397.8</v>
      </c>
      <c r="AO61" s="146"/>
      <c r="AP61" s="144">
        <v>1314.47</v>
      </c>
      <c r="AQ61" s="144">
        <v>15221.759999999998</v>
      </c>
    </row>
    <row r="62" spans="1:43" outlineLevel="1">
      <c r="B62" s="157" t="s">
        <v>51</v>
      </c>
      <c r="C62" s="144">
        <f>H62+L62+D62+P62</f>
        <v>1607.24</v>
      </c>
      <c r="D62" s="144">
        <f t="shared" si="74"/>
        <v>0</v>
      </c>
      <c r="E62" s="144">
        <f>'IS Feb KSA'!E62+'IS Feb USA'!E62</f>
        <v>0</v>
      </c>
      <c r="F62" s="144">
        <f>'IS Feb KSA'!F62+'IS Feb USA'!F62</f>
        <v>0</v>
      </c>
      <c r="G62" s="144">
        <f>'IS Feb KSA'!G62+'IS Feb USA'!G62</f>
        <v>0</v>
      </c>
      <c r="H62" s="144">
        <f>I62+J62+K62</f>
        <v>0</v>
      </c>
      <c r="I62" s="144">
        <f>'IS Feb KSA'!I62+'IS Feb USA'!I62</f>
        <v>0</v>
      </c>
      <c r="J62" s="144">
        <f>'IS Feb KSA'!F62+'IS Feb USA'!F62</f>
        <v>0</v>
      </c>
      <c r="K62" s="144">
        <f>'IS Feb KSA'!G62+'IS Feb USA'!G62</f>
        <v>0</v>
      </c>
      <c r="L62" s="144">
        <f t="shared" si="75"/>
        <v>0</v>
      </c>
      <c r="M62" s="144">
        <f>'IS Feb KSA'!M62+'IS Feb USA'!M62</f>
        <v>0</v>
      </c>
      <c r="N62" s="144">
        <f>'IS Feb KSA'!N62+'IS Feb USA'!N62</f>
        <v>0</v>
      </c>
      <c r="O62" s="144">
        <f>'IS Feb KSA'!O62+'IS Feb USA'!O62</f>
        <v>0</v>
      </c>
      <c r="P62" s="144">
        <f>SUM(Q62:S62)</f>
        <v>1607.24</v>
      </c>
      <c r="Q62" s="144">
        <f>'IS Feb KSA'!Q62+'IS Feb USA'!Q62</f>
        <v>0</v>
      </c>
      <c r="R62" s="144">
        <f>'IS Feb KSA'!R62+'IS Feb USA'!R62</f>
        <v>803.62</v>
      </c>
      <c r="S62" s="144">
        <f>'IS Feb KSA'!S62+'IS Feb USA'!S62</f>
        <v>803.62</v>
      </c>
      <c r="T62" s="197">
        <f t="shared" si="10"/>
        <v>15356.56</v>
      </c>
      <c r="U62" s="197">
        <v>25000</v>
      </c>
      <c r="V62" s="144">
        <f>AC62+AG62+Y62+AK62</f>
        <v>9643.44</v>
      </c>
      <c r="W62" s="197">
        <f t="shared" si="6"/>
        <v>1696.38</v>
      </c>
      <c r="X62" s="144">
        <v>2500</v>
      </c>
      <c r="Y62" s="144">
        <f t="shared" si="76"/>
        <v>2410.86</v>
      </c>
      <c r="Z62" s="144">
        <f>'IS Feb KSA'!V62+'IS Feb USA'!V62</f>
        <v>803.62</v>
      </c>
      <c r="AA62" s="144">
        <f>'IS Feb KSA'!W62+'IS Feb USA'!W62</f>
        <v>803.62</v>
      </c>
      <c r="AB62" s="144">
        <f>'IS Feb KSA'!X62+'IS Feb USA'!X62</f>
        <v>803.62</v>
      </c>
      <c r="AC62" s="144">
        <f>AD62+AE62+AF62</f>
        <v>2410.86</v>
      </c>
      <c r="AD62" s="144">
        <f>'IS Feb KSA'!Z62+'IS Feb USA'!Z62</f>
        <v>803.62</v>
      </c>
      <c r="AE62" s="144">
        <f>'IS Feb KSA'!AA62+'IS Feb USA'!AA62</f>
        <v>803.62</v>
      </c>
      <c r="AF62" s="144">
        <f>'IS Feb KSA'!AB62+'IS Feb USA'!AB62</f>
        <v>803.62</v>
      </c>
      <c r="AG62" s="144">
        <f t="shared" si="77"/>
        <v>2410.86</v>
      </c>
      <c r="AH62" s="144">
        <f>'IS Feb KSA'!AD62+'IS Feb USA'!AD62</f>
        <v>803.62</v>
      </c>
      <c r="AI62" s="144">
        <f>'IS Feb KSA'!AE62+'IS Feb USA'!AE62</f>
        <v>803.62</v>
      </c>
      <c r="AJ62" s="144">
        <f>'IS Feb KSA'!AF62+'IS Feb USA'!AF62</f>
        <v>803.62</v>
      </c>
      <c r="AK62" s="144">
        <f>SUM(AL62:AN62)</f>
        <v>2410.86</v>
      </c>
      <c r="AL62" s="144">
        <f>'IS Feb KSA'!AH62+'IS Feb USA'!AH62</f>
        <v>803.62</v>
      </c>
      <c r="AM62" s="144">
        <f>'IS Feb KSA'!AI62+'IS Feb USA'!AI62</f>
        <v>803.62</v>
      </c>
      <c r="AN62" s="144">
        <f>'IS Feb KSA'!AJ62+'IS Feb USA'!AJ62</f>
        <v>803.62</v>
      </c>
      <c r="AO62" s="146"/>
      <c r="AP62" s="144">
        <v>1679.85</v>
      </c>
      <c r="AQ62" s="144">
        <v>14526.77</v>
      </c>
    </row>
    <row r="63" spans="1:43" outlineLevel="1">
      <c r="B63" s="157" t="s">
        <v>583</v>
      </c>
      <c r="C63" s="144">
        <f>H63+L63+D63+P63</f>
        <v>7432.6</v>
      </c>
      <c r="D63" s="144">
        <f t="shared" si="74"/>
        <v>0</v>
      </c>
      <c r="E63" s="144">
        <f>'IS Feb KSA'!E63+'IS Feb USA'!E63</f>
        <v>0</v>
      </c>
      <c r="F63" s="144">
        <f>'IS Feb KSA'!F63+'IS Feb USA'!F63</f>
        <v>0</v>
      </c>
      <c r="G63" s="144">
        <f>'IS Feb KSA'!G63+'IS Feb USA'!G63</f>
        <v>0</v>
      </c>
      <c r="H63" s="144">
        <f>I63+J63+K63</f>
        <v>0</v>
      </c>
      <c r="I63" s="144">
        <f>'IS Feb KSA'!I63+'IS Feb USA'!I63</f>
        <v>0</v>
      </c>
      <c r="J63" s="144">
        <f>'IS Feb KSA'!F63+'IS Feb USA'!F63</f>
        <v>0</v>
      </c>
      <c r="K63" s="144">
        <f>'IS Feb KSA'!G63+'IS Feb USA'!G63</f>
        <v>0</v>
      </c>
      <c r="L63" s="144">
        <f t="shared" si="75"/>
        <v>0</v>
      </c>
      <c r="M63" s="144">
        <f>'IS Feb KSA'!M63+'IS Feb USA'!M63</f>
        <v>0</v>
      </c>
      <c r="N63" s="144">
        <f>'IS Feb KSA'!N63+'IS Feb USA'!N63</f>
        <v>0</v>
      </c>
      <c r="O63" s="144">
        <f>'IS Feb KSA'!O63+'IS Feb USA'!O63</f>
        <v>0</v>
      </c>
      <c r="P63" s="144">
        <f>SUM(Q63:S63)</f>
        <v>7432.6</v>
      </c>
      <c r="Q63" s="144">
        <f>'IS Feb KSA'!Q63+'IS Feb USA'!Q63</f>
        <v>0</v>
      </c>
      <c r="R63" s="144">
        <f>'IS Feb KSA'!R63+'IS Feb USA'!R63</f>
        <v>3716.3</v>
      </c>
      <c r="S63" s="144">
        <f>'IS Feb KSA'!S63+'IS Feb USA'!S63</f>
        <v>3716.3</v>
      </c>
      <c r="T63" s="197">
        <f t="shared" si="10"/>
        <v>-22297.800000000003</v>
      </c>
      <c r="U63" s="197">
        <v>0</v>
      </c>
      <c r="V63" s="144">
        <f>AC63+AG63+Y63+AK63</f>
        <v>22297.800000000003</v>
      </c>
      <c r="W63" s="197">
        <f t="shared" si="6"/>
        <v>-3716.3</v>
      </c>
      <c r="X63" s="144">
        <v>0</v>
      </c>
      <c r="Y63" s="144">
        <f t="shared" si="76"/>
        <v>11148.900000000001</v>
      </c>
      <c r="Z63" s="144">
        <f>'IS Feb KSA'!V63+'IS Feb USA'!V63</f>
        <v>3716.3</v>
      </c>
      <c r="AA63" s="144">
        <f>'IS Feb KSA'!W63+'IS Feb USA'!W63</f>
        <v>3716.3</v>
      </c>
      <c r="AB63" s="144">
        <f>'IS Feb KSA'!X63+'IS Feb USA'!X63</f>
        <v>3716.3</v>
      </c>
      <c r="AC63" s="144">
        <f>AD63+AE63+AF63</f>
        <v>11148.900000000001</v>
      </c>
      <c r="AD63" s="144">
        <f>'IS Feb KSA'!Z63+'IS Feb USA'!Z63</f>
        <v>3716.3</v>
      </c>
      <c r="AE63" s="144">
        <f>'IS Feb KSA'!AA63+'IS Feb USA'!AA63</f>
        <v>3716.3</v>
      </c>
      <c r="AF63" s="144">
        <f>'IS Feb KSA'!AB63+'IS Feb USA'!AB63</f>
        <v>3716.3</v>
      </c>
      <c r="AG63" s="144">
        <f>'IS Feb KSA'!AC63+'IS Feb USA'!AC63</f>
        <v>0</v>
      </c>
      <c r="AH63" s="144">
        <f>'IS Feb KSA'!AD63+'IS Feb USA'!AD63</f>
        <v>0</v>
      </c>
      <c r="AI63" s="144"/>
      <c r="AJ63" s="144"/>
      <c r="AK63" s="144"/>
      <c r="AL63" s="144"/>
      <c r="AM63" s="144"/>
      <c r="AN63" s="144"/>
      <c r="AO63" s="146"/>
      <c r="AP63" s="144"/>
      <c r="AQ63" s="144"/>
    </row>
    <row r="64" spans="1:43" outlineLevel="1">
      <c r="B64" s="157" t="s">
        <v>52</v>
      </c>
      <c r="C64" s="144">
        <f>H64+L64+D64+P64</f>
        <v>13347.83</v>
      </c>
      <c r="D64" s="144">
        <f t="shared" si="74"/>
        <v>0</v>
      </c>
      <c r="E64" s="144">
        <f>'IS Feb KSA'!E64+'IS Feb USA'!E64</f>
        <v>0</v>
      </c>
      <c r="F64" s="144">
        <f>'IS Feb KSA'!F64+'IS Feb USA'!F64</f>
        <v>0</v>
      </c>
      <c r="G64" s="144">
        <f>'IS Feb KSA'!G64+'IS Feb USA'!G64</f>
        <v>0</v>
      </c>
      <c r="H64" s="144">
        <f>I64+J64+K64</f>
        <v>0</v>
      </c>
      <c r="I64" s="144">
        <f>'IS Feb KSA'!I64+'IS Feb USA'!I64</f>
        <v>0</v>
      </c>
      <c r="J64" s="144">
        <f>'IS Feb KSA'!F64+'IS Feb USA'!F64</f>
        <v>0</v>
      </c>
      <c r="K64" s="144">
        <f>'IS Feb KSA'!G64+'IS Feb USA'!G64</f>
        <v>0</v>
      </c>
      <c r="L64" s="144">
        <f t="shared" si="75"/>
        <v>0</v>
      </c>
      <c r="M64" s="144">
        <f>'IS Feb KSA'!M64+'IS Feb USA'!M64</f>
        <v>0</v>
      </c>
      <c r="N64" s="144">
        <f>'IS Feb KSA'!N64+'IS Feb USA'!N64</f>
        <v>0</v>
      </c>
      <c r="O64" s="144">
        <f>'IS Feb KSA'!O64+'IS Feb USA'!O64</f>
        <v>0</v>
      </c>
      <c r="P64" s="144">
        <f>SUM(Q64:S64)</f>
        <v>13347.83</v>
      </c>
      <c r="Q64" s="144">
        <f>'IS Feb KSA'!Q64+'IS Feb USA'!Q64</f>
        <v>0</v>
      </c>
      <c r="R64" s="144">
        <f>'IS Feb KSA'!R64+'IS Feb USA'!R64</f>
        <v>6494.17</v>
      </c>
      <c r="S64" s="144">
        <f>'IS Feb KSA'!S64+'IS Feb USA'!S64</f>
        <v>6853.66</v>
      </c>
      <c r="T64" s="197">
        <f t="shared" si="10"/>
        <v>127163.91</v>
      </c>
      <c r="U64" s="197">
        <v>200000</v>
      </c>
      <c r="V64" s="144">
        <f>AC64+AG64+Y64+AK64</f>
        <v>72836.09</v>
      </c>
      <c r="W64" s="197">
        <f t="shared" si="6"/>
        <v>13153.1</v>
      </c>
      <c r="X64" s="144">
        <v>20000</v>
      </c>
      <c r="Y64" s="144">
        <f t="shared" si="76"/>
        <v>23332.379999999997</v>
      </c>
      <c r="Z64" s="144">
        <f>'IS Feb KSA'!V64+'IS Feb USA'!V64</f>
        <v>8382.23</v>
      </c>
      <c r="AA64" s="144">
        <f>'IS Feb KSA'!W64+'IS Feb USA'!W64</f>
        <v>8103.25</v>
      </c>
      <c r="AB64" s="144">
        <f>'IS Feb KSA'!X64+'IS Feb USA'!X64</f>
        <v>6846.9</v>
      </c>
      <c r="AC64" s="144">
        <f>AD64+AE64+AF64</f>
        <v>17230.64</v>
      </c>
      <c r="AD64" s="144">
        <f>'IS Feb KSA'!Z64+'IS Feb USA'!Z64</f>
        <v>6167.7999999999993</v>
      </c>
      <c r="AE64" s="144">
        <f>'IS Feb KSA'!AA64+'IS Feb USA'!AA64</f>
        <v>5869.0499999999993</v>
      </c>
      <c r="AF64" s="144">
        <f>'IS Feb KSA'!AB64+'IS Feb USA'!AB64</f>
        <v>5193.79</v>
      </c>
      <c r="AG64" s="144">
        <f t="shared" si="77"/>
        <v>16448.239999999998</v>
      </c>
      <c r="AH64" s="144">
        <f>'IS Feb KSA'!AD64+'IS Feb USA'!AD64</f>
        <v>5530.03</v>
      </c>
      <c r="AI64" s="144">
        <f>'IS Feb KSA'!AE64+'IS Feb USA'!AE64</f>
        <v>5156.9299999999994</v>
      </c>
      <c r="AJ64" s="144">
        <f>'IS Feb KSA'!AF64+'IS Feb USA'!AF64</f>
        <v>5761.28</v>
      </c>
      <c r="AK64" s="144">
        <f>SUM(AL64:AN64)</f>
        <v>15824.83</v>
      </c>
      <c r="AL64" s="144">
        <f>'IS Feb KSA'!AH64+'IS Feb USA'!AH64</f>
        <v>5004.63</v>
      </c>
      <c r="AM64" s="144">
        <f>'IS Feb KSA'!AI64+'IS Feb USA'!AI64</f>
        <v>5410.2</v>
      </c>
      <c r="AN64" s="144">
        <f>'IS Feb KSA'!AJ64+'IS Feb USA'!AJ64</f>
        <v>5410</v>
      </c>
      <c r="AO64" s="146"/>
      <c r="AP64" s="144">
        <v>5484.24</v>
      </c>
      <c r="AQ64" s="144">
        <v>59028.36</v>
      </c>
    </row>
    <row r="65" spans="1:43" s="151" customFormat="1">
      <c r="A65" s="147"/>
      <c r="B65" s="148" t="s">
        <v>53</v>
      </c>
      <c r="C65" s="149">
        <f>SUM(C66:C86)</f>
        <v>1757164.3</v>
      </c>
      <c r="D65" s="149">
        <f>SUM(D66:D86)</f>
        <v>0</v>
      </c>
      <c r="E65" s="149">
        <f>SUM(E66:E86)</f>
        <v>0</v>
      </c>
      <c r="F65" s="149">
        <f>SUM(F66:F86)</f>
        <v>0</v>
      </c>
      <c r="G65" s="149">
        <f>SUM(G66:G86)</f>
        <v>0</v>
      </c>
      <c r="H65" s="149">
        <f t="shared" ref="H65:S65" si="78">SUM(H66:H86)</f>
        <v>0</v>
      </c>
      <c r="I65" s="149">
        <f t="shared" si="78"/>
        <v>0</v>
      </c>
      <c r="J65" s="149">
        <f t="shared" si="78"/>
        <v>0</v>
      </c>
      <c r="K65" s="149">
        <f t="shared" si="78"/>
        <v>0</v>
      </c>
      <c r="L65" s="149">
        <f t="shared" si="78"/>
        <v>0</v>
      </c>
      <c r="M65" s="149">
        <f t="shared" si="78"/>
        <v>0</v>
      </c>
      <c r="N65" s="149">
        <f t="shared" si="78"/>
        <v>0</v>
      </c>
      <c r="O65" s="149">
        <f t="shared" si="78"/>
        <v>0</v>
      </c>
      <c r="P65" s="149">
        <f t="shared" si="78"/>
        <v>1757164.3</v>
      </c>
      <c r="Q65" s="149">
        <f t="shared" si="78"/>
        <v>0</v>
      </c>
      <c r="R65" s="149">
        <f t="shared" si="78"/>
        <v>872232.8</v>
      </c>
      <c r="S65" s="149">
        <f t="shared" si="78"/>
        <v>884931.5</v>
      </c>
      <c r="T65" s="197">
        <f t="shared" si="10"/>
        <v>1366636.4198586922</v>
      </c>
      <c r="U65" s="149">
        <f>SUM(U66:U86)</f>
        <v>10679759.18985869</v>
      </c>
      <c r="V65" s="149">
        <f>SUM(V66:V86)</f>
        <v>9313122.7699999977</v>
      </c>
      <c r="W65" s="197">
        <f t="shared" si="6"/>
        <v>335086.45898268372</v>
      </c>
      <c r="X65" s="149">
        <f>SUM(X66:X86)</f>
        <v>1405475.4989826835</v>
      </c>
      <c r="Y65" s="149">
        <f>SUM(Y66:Y86)</f>
        <v>3157480.2799999993</v>
      </c>
      <c r="Z65" s="149">
        <f>SUM(Z66:Z86)</f>
        <v>1214663.51</v>
      </c>
      <c r="AA65" s="149">
        <f>SUM(AA66:AA86)</f>
        <v>872427.73</v>
      </c>
      <c r="AB65" s="149">
        <f>SUM(AB66:AB86)</f>
        <v>1070389.0399999998</v>
      </c>
      <c r="AC65" s="149">
        <f t="shared" ref="AC65:AM65" si="79">SUM(AC66:AC86)</f>
        <v>2448325.2999999998</v>
      </c>
      <c r="AD65" s="149">
        <f t="shared" si="79"/>
        <v>827726.72000000009</v>
      </c>
      <c r="AE65" s="149">
        <f t="shared" si="79"/>
        <v>813879.20000000007</v>
      </c>
      <c r="AF65" s="149">
        <f t="shared" si="79"/>
        <v>806719.38000000012</v>
      </c>
      <c r="AG65" s="149">
        <f t="shared" si="79"/>
        <v>1893890.14</v>
      </c>
      <c r="AH65" s="149">
        <f t="shared" si="79"/>
        <v>736681.29</v>
      </c>
      <c r="AI65" s="149">
        <f t="shared" si="79"/>
        <v>657552.26</v>
      </c>
      <c r="AJ65" s="149">
        <f t="shared" si="79"/>
        <v>499656.59</v>
      </c>
      <c r="AK65" s="149">
        <f t="shared" si="79"/>
        <v>1813427.05</v>
      </c>
      <c r="AL65" s="149">
        <f t="shared" si="79"/>
        <v>618269.48999999987</v>
      </c>
      <c r="AM65" s="149">
        <f t="shared" si="79"/>
        <v>560118.13</v>
      </c>
      <c r="AN65" s="149">
        <f t="shared" ref="AN65" si="80">SUM(AN66:AN86)</f>
        <v>635039.42999999993</v>
      </c>
      <c r="AO65" s="150"/>
      <c r="AP65" s="149">
        <f>SUM(AP66:AP86)</f>
        <v>715590.12999999989</v>
      </c>
      <c r="AQ65" s="149">
        <f>SUM(AQ66:AQ86)</f>
        <v>5782386.1699999999</v>
      </c>
    </row>
    <row r="66" spans="1:43" outlineLevel="1">
      <c r="B66" s="157" t="s">
        <v>54</v>
      </c>
      <c r="C66" s="144">
        <f t="shared" ref="C66:C67" si="81">H66+L66+D66+P66</f>
        <v>70442.459999999992</v>
      </c>
      <c r="D66" s="144">
        <f t="shared" ref="D66:D71" si="82">SUM(E66:G66)</f>
        <v>0</v>
      </c>
      <c r="E66" s="144">
        <f>'IS Feb KSA'!E66+'IS Feb USA'!E66</f>
        <v>0</v>
      </c>
      <c r="F66" s="144">
        <f>'IS Feb KSA'!F66+'IS Feb USA'!F66</f>
        <v>0</v>
      </c>
      <c r="G66" s="144">
        <f>'IS Feb KSA'!G66+'IS Feb USA'!G66</f>
        <v>0</v>
      </c>
      <c r="H66" s="144">
        <f t="shared" ref="H66:H67" si="83">I66+J66+K66</f>
        <v>0</v>
      </c>
      <c r="I66" s="144">
        <f>'IS Feb KSA'!I66+'IS Feb USA'!I66</f>
        <v>0</v>
      </c>
      <c r="J66" s="144">
        <f>'IS Feb KSA'!F66+'IS Feb USA'!F66</f>
        <v>0</v>
      </c>
      <c r="K66" s="144">
        <f>'IS Feb KSA'!G66+'IS Feb USA'!G66</f>
        <v>0</v>
      </c>
      <c r="L66" s="144">
        <f t="shared" ref="L66:L86" si="84">SUM(M66:O66)</f>
        <v>0</v>
      </c>
      <c r="M66" s="144">
        <f>'IS Feb KSA'!M66+'IS Feb USA'!M66</f>
        <v>0</v>
      </c>
      <c r="N66" s="144">
        <f>'IS Feb KSA'!N66+'IS Feb USA'!N66</f>
        <v>0</v>
      </c>
      <c r="O66" s="144">
        <f>'IS Feb KSA'!O66+'IS Feb USA'!O66</f>
        <v>0</v>
      </c>
      <c r="P66" s="144">
        <f t="shared" ref="P66:P80" si="85">SUM(Q66:S66)</f>
        <v>70442.459999999992</v>
      </c>
      <c r="Q66" s="144">
        <f>'IS Feb KSA'!Q66+'IS Feb USA'!Q66</f>
        <v>0</v>
      </c>
      <c r="R66" s="144">
        <f>'IS Feb KSA'!R66+'IS Feb USA'!R66</f>
        <v>30392.98</v>
      </c>
      <c r="S66" s="144">
        <f>'IS Feb KSA'!S66+'IS Feb USA'!S66</f>
        <v>40049.479999999996</v>
      </c>
      <c r="T66" s="197">
        <f t="shared" si="10"/>
        <v>51348.827777777973</v>
      </c>
      <c r="U66" s="197">
        <v>307777.77777777798</v>
      </c>
      <c r="V66" s="144">
        <f t="shared" ref="V66:V86" si="86">AC66+AG66+Y66+AK66</f>
        <v>256428.95</v>
      </c>
      <c r="W66" s="197">
        <f t="shared" si="6"/>
        <v>2800.3777777777977</v>
      </c>
      <c r="X66" s="144">
        <v>30777.777777777799</v>
      </c>
      <c r="Y66" s="144">
        <f t="shared" si="76"/>
        <v>91806.13</v>
      </c>
      <c r="Z66" s="144">
        <f>'IS Feb KSA'!V66+'IS Feb USA'!V66</f>
        <v>34523.53</v>
      </c>
      <c r="AA66" s="144">
        <f>'IS Feb KSA'!W66+'IS Feb USA'!W66</f>
        <v>29305.200000000001</v>
      </c>
      <c r="AB66" s="144">
        <f>'IS Feb KSA'!X66+'IS Feb USA'!X66</f>
        <v>27977.4</v>
      </c>
      <c r="AC66" s="144">
        <f t="shared" ref="AC66:AC86" si="87">AD66+AE66+AF66</f>
        <v>78013.47</v>
      </c>
      <c r="AD66" s="144">
        <f>'IS Feb KSA'!Z66+'IS Feb USA'!Z66</f>
        <v>28052.400000000001</v>
      </c>
      <c r="AE66" s="144">
        <f>'IS Feb KSA'!AA66+'IS Feb USA'!AA66</f>
        <v>26999.25</v>
      </c>
      <c r="AF66" s="144">
        <f>'IS Feb KSA'!AB66+'IS Feb USA'!AB66</f>
        <v>22961.82</v>
      </c>
      <c r="AG66" s="144">
        <f t="shared" ref="AG66:AG86" si="88">SUM(AH66:AJ66)</f>
        <v>23288.780000000002</v>
      </c>
      <c r="AH66" s="144">
        <f>'IS Feb KSA'!AD66+'IS Feb USA'!AD66</f>
        <v>21986.19</v>
      </c>
      <c r="AI66" s="144">
        <f>'IS Feb KSA'!AE66+'IS Feb USA'!AE66</f>
        <v>21437.72</v>
      </c>
      <c r="AJ66" s="144">
        <f>'IS Feb KSA'!AF66+'IS Feb USA'!AF66</f>
        <v>-20135.13</v>
      </c>
      <c r="AK66" s="144">
        <f t="shared" ref="AK66:AK86" si="89">SUM(AL66:AN66)</f>
        <v>63320.570000000007</v>
      </c>
      <c r="AL66" s="144">
        <f>'IS Feb KSA'!AH66+'IS Feb USA'!AH66</f>
        <v>22374.34</v>
      </c>
      <c r="AM66" s="144">
        <f>'IS Feb KSA'!AI66+'IS Feb USA'!AI66</f>
        <v>20878.79</v>
      </c>
      <c r="AN66" s="144">
        <f>'IS Feb KSA'!AJ66+'IS Feb USA'!AJ66</f>
        <v>20067.439999999999</v>
      </c>
      <c r="AO66" s="146"/>
      <c r="AP66" s="144">
        <v>19139.830000000002</v>
      </c>
      <c r="AQ66" s="144">
        <v>155647.64000000001</v>
      </c>
    </row>
    <row r="67" spans="1:43" outlineLevel="1">
      <c r="B67" s="157" t="s">
        <v>55</v>
      </c>
      <c r="C67" s="144">
        <f t="shared" si="81"/>
        <v>0</v>
      </c>
      <c r="D67" s="144">
        <f t="shared" si="82"/>
        <v>0</v>
      </c>
      <c r="E67" s="144">
        <f>'IS Feb KSA'!E67+'IS Feb USA'!E67</f>
        <v>0</v>
      </c>
      <c r="F67" s="144">
        <f>'IS Feb KSA'!F67+'IS Feb USA'!F67</f>
        <v>0</v>
      </c>
      <c r="G67" s="144">
        <f>'IS Feb KSA'!G67+'IS Feb USA'!G67</f>
        <v>0</v>
      </c>
      <c r="H67" s="144">
        <f t="shared" si="83"/>
        <v>0</v>
      </c>
      <c r="I67" s="144">
        <f>'IS Feb KSA'!I67+'IS Feb USA'!I67</f>
        <v>0</v>
      </c>
      <c r="J67" s="144">
        <f>'IS Feb KSA'!F67+'IS Feb USA'!F67</f>
        <v>0</v>
      </c>
      <c r="K67" s="144">
        <f>'IS Feb KSA'!G67+'IS Feb USA'!G67</f>
        <v>0</v>
      </c>
      <c r="L67" s="144">
        <f t="shared" si="84"/>
        <v>0</v>
      </c>
      <c r="M67" s="144">
        <f>'IS Feb KSA'!M67+'IS Feb USA'!M67</f>
        <v>0</v>
      </c>
      <c r="N67" s="144">
        <f>'IS Feb KSA'!N67+'IS Feb USA'!N67</f>
        <v>0</v>
      </c>
      <c r="O67" s="144">
        <f>'IS Feb KSA'!O67+'IS Feb USA'!O67</f>
        <v>0</v>
      </c>
      <c r="P67" s="144">
        <f t="shared" si="85"/>
        <v>0</v>
      </c>
      <c r="Q67" s="144">
        <f>'IS Feb KSA'!Q67+'IS Feb USA'!Q67</f>
        <v>0</v>
      </c>
      <c r="R67" s="144">
        <f>'IS Feb KSA'!R67+'IS Feb USA'!R67</f>
        <v>0</v>
      </c>
      <c r="S67" s="144">
        <f>'IS Feb KSA'!S67+'IS Feb USA'!S67</f>
        <v>0</v>
      </c>
      <c r="T67" s="197">
        <f t="shared" si="10"/>
        <v>-48824.67</v>
      </c>
      <c r="U67" s="197">
        <v>0</v>
      </c>
      <c r="V67" s="144">
        <f t="shared" si="86"/>
        <v>48824.67</v>
      </c>
      <c r="W67" s="197">
        <f t="shared" si="6"/>
        <v>0</v>
      </c>
      <c r="X67" s="144">
        <v>0</v>
      </c>
      <c r="Y67" s="144">
        <f t="shared" si="76"/>
        <v>24704.120000000003</v>
      </c>
      <c r="Z67" s="144">
        <f>'IS Feb KSA'!V67+'IS Feb USA'!V67</f>
        <v>8704.1200000000008</v>
      </c>
      <c r="AA67" s="144">
        <f>'IS Feb KSA'!W67+'IS Feb USA'!W67</f>
        <v>16000</v>
      </c>
      <c r="AB67" s="144">
        <f>'IS Feb KSA'!X67+'IS Feb USA'!X67</f>
        <v>0</v>
      </c>
      <c r="AC67" s="144">
        <f t="shared" si="87"/>
        <v>14636.869999999999</v>
      </c>
      <c r="AD67" s="144">
        <f>'IS Feb KSA'!Z67+'IS Feb USA'!Z67</f>
        <v>0</v>
      </c>
      <c r="AE67" s="144">
        <f>'IS Feb KSA'!AA67+'IS Feb USA'!AA67</f>
        <v>7805</v>
      </c>
      <c r="AF67" s="144">
        <f>'IS Feb KSA'!AB67+'IS Feb USA'!AB67</f>
        <v>6831.87</v>
      </c>
      <c r="AG67" s="144">
        <f t="shared" si="88"/>
        <v>9483.68</v>
      </c>
      <c r="AH67" s="144">
        <f>'IS Feb KSA'!AD67+'IS Feb USA'!AD67</f>
        <v>7540</v>
      </c>
      <c r="AI67" s="144"/>
      <c r="AJ67" s="144">
        <f>'IS Feb KSA'!AF67+'IS Feb USA'!AF67</f>
        <v>1943.68</v>
      </c>
      <c r="AK67" s="144">
        <f t="shared" si="89"/>
        <v>0</v>
      </c>
      <c r="AL67" s="144"/>
      <c r="AM67" s="144"/>
      <c r="AN67" s="144"/>
      <c r="AO67" s="146"/>
      <c r="AP67" s="144"/>
      <c r="AQ67" s="144"/>
    </row>
    <row r="68" spans="1:43" outlineLevel="1">
      <c r="B68" s="157" t="s">
        <v>56</v>
      </c>
      <c r="C68" s="144">
        <f>H68+L68+D68+P68</f>
        <v>5536.15</v>
      </c>
      <c r="D68" s="144">
        <f t="shared" si="82"/>
        <v>0</v>
      </c>
      <c r="E68" s="144">
        <f>'IS Feb KSA'!E68+'IS Feb USA'!E68</f>
        <v>0</v>
      </c>
      <c r="F68" s="144">
        <f>'IS Feb KSA'!F68+'IS Feb USA'!F68</f>
        <v>0</v>
      </c>
      <c r="G68" s="144">
        <f>'IS Feb KSA'!G68+'IS Feb USA'!G68</f>
        <v>0</v>
      </c>
      <c r="H68" s="144">
        <f>I68+J68+K68</f>
        <v>0</v>
      </c>
      <c r="I68" s="144">
        <f>'IS Feb KSA'!I68+'IS Feb USA'!I68</f>
        <v>0</v>
      </c>
      <c r="J68" s="144">
        <f>'IS Feb KSA'!F68+'IS Feb USA'!F68</f>
        <v>0</v>
      </c>
      <c r="K68" s="144">
        <f>'IS Feb KSA'!G68+'IS Feb USA'!G68</f>
        <v>0</v>
      </c>
      <c r="L68" s="144">
        <f t="shared" si="84"/>
        <v>0</v>
      </c>
      <c r="M68" s="144">
        <f>'IS Feb KSA'!M68+'IS Feb USA'!M68</f>
        <v>0</v>
      </c>
      <c r="N68" s="144">
        <f>'IS Feb KSA'!N68+'IS Feb USA'!N68</f>
        <v>0</v>
      </c>
      <c r="O68" s="144">
        <f>'IS Feb KSA'!O68+'IS Feb USA'!O68</f>
        <v>0</v>
      </c>
      <c r="P68" s="144">
        <f t="shared" si="85"/>
        <v>5536.15</v>
      </c>
      <c r="Q68" s="144">
        <f>'IS Feb KSA'!Q68+'IS Feb USA'!Q68</f>
        <v>0</v>
      </c>
      <c r="R68" s="144">
        <f>'IS Feb KSA'!R68+'IS Feb USA'!R68</f>
        <v>5536.15</v>
      </c>
      <c r="S68" s="144">
        <f>'IS Feb KSA'!S68+'IS Feb USA'!S68</f>
        <v>0</v>
      </c>
      <c r="T68" s="197">
        <f t="shared" si="10"/>
        <v>-241030.53999999998</v>
      </c>
      <c r="U68" s="197">
        <v>59375</v>
      </c>
      <c r="V68" s="144">
        <f>AC68+AG68+Y68+AK68</f>
        <v>300405.53999999998</v>
      </c>
      <c r="W68" s="197">
        <f t="shared" si="6"/>
        <v>5937.5</v>
      </c>
      <c r="X68" s="144">
        <v>5937.5</v>
      </c>
      <c r="Y68" s="144">
        <f t="shared" si="76"/>
        <v>293914.17</v>
      </c>
      <c r="Z68" s="144">
        <f>'IS Feb KSA'!V68+'IS Feb USA'!V68</f>
        <v>262912.5</v>
      </c>
      <c r="AA68" s="144">
        <f>'IS Feb KSA'!W68+'IS Feb USA'!W68</f>
        <v>31001.67</v>
      </c>
      <c r="AB68" s="144">
        <f>'IS Feb KSA'!X68+'IS Feb USA'!X68</f>
        <v>0</v>
      </c>
      <c r="AC68" s="144">
        <f>AD68+AE68+AF68</f>
        <v>0</v>
      </c>
      <c r="AD68" s="144">
        <f>'IS Feb KSA'!Z68+'IS Feb USA'!Z68</f>
        <v>0</v>
      </c>
      <c r="AE68" s="144">
        <f>'IS Feb KSA'!AA68+'IS Feb USA'!AA68</f>
        <v>0</v>
      </c>
      <c r="AF68" s="144">
        <f>'IS Feb KSA'!AB68+'IS Feb USA'!AB68</f>
        <v>0</v>
      </c>
      <c r="AG68" s="144">
        <f t="shared" si="88"/>
        <v>0</v>
      </c>
      <c r="AH68" s="144">
        <f>'IS Feb KSA'!AD68+'IS Feb USA'!AD68</f>
        <v>0</v>
      </c>
      <c r="AI68" s="144">
        <f>'IS Feb KSA'!AE68+'IS Feb USA'!AE68</f>
        <v>0</v>
      </c>
      <c r="AJ68" s="144">
        <f>'IS Feb KSA'!AF68+'IS Feb USA'!AF68</f>
        <v>0</v>
      </c>
      <c r="AK68" s="144">
        <f t="shared" si="89"/>
        <v>6491.37</v>
      </c>
      <c r="AL68" s="144">
        <f>'IS Feb KSA'!AH68+'IS Feb USA'!AH68</f>
        <v>3171.39</v>
      </c>
      <c r="AM68" s="144">
        <f>'IS Feb KSA'!AI68+'IS Feb USA'!AI68</f>
        <v>1749.98</v>
      </c>
      <c r="AN68" s="144">
        <f>'IS Feb KSA'!AJ68+'IS Feb USA'!AJ68</f>
        <v>1570</v>
      </c>
      <c r="AO68" s="146"/>
      <c r="AP68" s="144">
        <v>47874.96</v>
      </c>
      <c r="AQ68" s="144">
        <v>71427.81</v>
      </c>
    </row>
    <row r="69" spans="1:43" outlineLevel="1">
      <c r="B69" s="157" t="s">
        <v>57</v>
      </c>
      <c r="C69" s="144">
        <f t="shared" ref="C69:C79" si="90">H69+L69+D69+P69</f>
        <v>0</v>
      </c>
      <c r="D69" s="144">
        <f t="shared" si="82"/>
        <v>0</v>
      </c>
      <c r="E69" s="144">
        <f>'IS Feb KSA'!E69+'IS Feb USA'!E69</f>
        <v>0</v>
      </c>
      <c r="F69" s="144">
        <f>'IS Feb KSA'!F69+'IS Feb USA'!F69</f>
        <v>0</v>
      </c>
      <c r="G69" s="144">
        <f>'IS Feb KSA'!G69+'IS Feb USA'!G69</f>
        <v>0</v>
      </c>
      <c r="H69" s="144">
        <f t="shared" ref="H69:H71" si="91">I69+J69+K69</f>
        <v>0</v>
      </c>
      <c r="I69" s="144">
        <f>'IS Feb KSA'!I69+'IS Feb USA'!I69</f>
        <v>0</v>
      </c>
      <c r="J69" s="144">
        <f>'IS Feb KSA'!F69+'IS Feb USA'!F69</f>
        <v>0</v>
      </c>
      <c r="K69" s="144">
        <f>'IS Feb KSA'!G69+'IS Feb USA'!G69</f>
        <v>0</v>
      </c>
      <c r="L69" s="144">
        <f t="shared" si="84"/>
        <v>0</v>
      </c>
      <c r="M69" s="144">
        <f>'IS Feb KSA'!M69+'IS Feb USA'!M69</f>
        <v>0</v>
      </c>
      <c r="N69" s="144">
        <f>'IS Feb KSA'!N69+'IS Feb USA'!N69</f>
        <v>0</v>
      </c>
      <c r="O69" s="144">
        <f>'IS Feb KSA'!O69+'IS Feb USA'!O69</f>
        <v>0</v>
      </c>
      <c r="P69" s="144">
        <f t="shared" si="85"/>
        <v>0</v>
      </c>
      <c r="Q69" s="144">
        <f>'IS Feb KSA'!Q69+'IS Feb USA'!Q69</f>
        <v>0</v>
      </c>
      <c r="R69" s="144">
        <f>'IS Feb KSA'!R69+'IS Feb USA'!R69</f>
        <v>0</v>
      </c>
      <c r="S69" s="144">
        <f>'IS Feb KSA'!S69+'IS Feb USA'!S69</f>
        <v>0</v>
      </c>
      <c r="T69" s="197">
        <f t="shared" si="10"/>
        <v>-26187.5</v>
      </c>
      <c r="U69" s="197">
        <v>15000</v>
      </c>
      <c r="V69" s="144">
        <f t="shared" si="86"/>
        <v>41187.5</v>
      </c>
      <c r="W69" s="197">
        <f t="shared" si="6"/>
        <v>-13000</v>
      </c>
      <c r="X69" s="144">
        <v>1500</v>
      </c>
      <c r="Y69" s="144">
        <f t="shared" si="76"/>
        <v>17000</v>
      </c>
      <c r="Z69" s="144">
        <f>'IS Feb KSA'!V69+'IS Feb USA'!V69</f>
        <v>0</v>
      </c>
      <c r="AA69" s="144">
        <f>'IS Feb KSA'!W69+'IS Feb USA'!W69</f>
        <v>2500</v>
      </c>
      <c r="AB69" s="144">
        <f>'IS Feb KSA'!X69+'IS Feb USA'!X69</f>
        <v>14500</v>
      </c>
      <c r="AC69" s="144">
        <f t="shared" si="87"/>
        <v>3500</v>
      </c>
      <c r="AD69" s="144">
        <f>'IS Feb KSA'!Z69+'IS Feb USA'!Z69</f>
        <v>0</v>
      </c>
      <c r="AE69" s="144">
        <f>'IS Feb KSA'!AA69+'IS Feb USA'!AA69</f>
        <v>3500</v>
      </c>
      <c r="AF69" s="144">
        <f>'IS Feb KSA'!AB69+'IS Feb USA'!AB69</f>
        <v>0</v>
      </c>
      <c r="AG69" s="144">
        <f t="shared" si="88"/>
        <v>17187.5</v>
      </c>
      <c r="AH69" s="144">
        <f>'IS Feb KSA'!AD69+'IS Feb USA'!AD69</f>
        <v>17187.5</v>
      </c>
      <c r="AI69" s="144">
        <f>'IS Feb KSA'!AE69+'IS Feb USA'!AE69</f>
        <v>0</v>
      </c>
      <c r="AJ69" s="144">
        <f>'IS Feb KSA'!AF69+'IS Feb USA'!AF69</f>
        <v>0</v>
      </c>
      <c r="AK69" s="144">
        <f t="shared" si="89"/>
        <v>3500</v>
      </c>
      <c r="AL69" s="144">
        <f>'IS Feb KSA'!AH69+'IS Feb USA'!AH69</f>
        <v>0</v>
      </c>
      <c r="AM69" s="144">
        <f>'IS Feb KSA'!AI69+'IS Feb USA'!AI69</f>
        <v>3500</v>
      </c>
      <c r="AN69" s="144">
        <f>'IS Feb KSA'!AJ69+'IS Feb USA'!AJ69</f>
        <v>0</v>
      </c>
      <c r="AO69" s="146"/>
      <c r="AP69" s="144">
        <v>0</v>
      </c>
      <c r="AQ69" s="144">
        <v>13059.86</v>
      </c>
    </row>
    <row r="70" spans="1:43" outlineLevel="1">
      <c r="B70" s="157" t="s">
        <v>58</v>
      </c>
      <c r="C70" s="144">
        <f t="shared" si="90"/>
        <v>7000</v>
      </c>
      <c r="D70" s="144">
        <f t="shared" si="82"/>
        <v>0</v>
      </c>
      <c r="E70" s="144">
        <f>'IS Feb KSA'!E70+'IS Feb USA'!E70</f>
        <v>0</v>
      </c>
      <c r="F70" s="144">
        <f>'IS Feb KSA'!F70+'IS Feb USA'!F70</f>
        <v>0</v>
      </c>
      <c r="G70" s="144">
        <f>'IS Feb KSA'!G70+'IS Feb USA'!G70</f>
        <v>0</v>
      </c>
      <c r="H70" s="144">
        <f t="shared" si="91"/>
        <v>0</v>
      </c>
      <c r="I70" s="144">
        <f>'IS Feb KSA'!I70+'IS Feb USA'!I70</f>
        <v>0</v>
      </c>
      <c r="J70" s="144">
        <f>'IS Feb KSA'!F70+'IS Feb USA'!F70</f>
        <v>0</v>
      </c>
      <c r="K70" s="144">
        <f>'IS Feb KSA'!G70+'IS Feb USA'!G70</f>
        <v>0</v>
      </c>
      <c r="L70" s="144">
        <f t="shared" si="84"/>
        <v>0</v>
      </c>
      <c r="M70" s="144">
        <f>'IS Feb KSA'!M70+'IS Feb USA'!M70</f>
        <v>0</v>
      </c>
      <c r="N70" s="144">
        <f>'IS Feb KSA'!N70+'IS Feb USA'!N70</f>
        <v>0</v>
      </c>
      <c r="O70" s="144">
        <f>'IS Feb KSA'!O70+'IS Feb USA'!O70</f>
        <v>0</v>
      </c>
      <c r="P70" s="144">
        <f t="shared" si="85"/>
        <v>7000</v>
      </c>
      <c r="Q70" s="144">
        <f>'IS Feb KSA'!Q70+'IS Feb USA'!Q70</f>
        <v>0</v>
      </c>
      <c r="R70" s="144">
        <f>'IS Feb KSA'!R70+'IS Feb USA'!R70</f>
        <v>3500</v>
      </c>
      <c r="S70" s="144">
        <f>'IS Feb KSA'!S70+'IS Feb USA'!S70</f>
        <v>3500</v>
      </c>
      <c r="T70" s="197">
        <f t="shared" si="10"/>
        <v>70290.320000000007</v>
      </c>
      <c r="U70" s="197">
        <v>111000</v>
      </c>
      <c r="V70" s="144">
        <f t="shared" si="86"/>
        <v>40709.68</v>
      </c>
      <c r="W70" s="197">
        <f t="shared" si="6"/>
        <v>10790.32</v>
      </c>
      <c r="X70" s="144">
        <v>14500</v>
      </c>
      <c r="Y70" s="144">
        <f t="shared" si="76"/>
        <v>11209.68</v>
      </c>
      <c r="Z70" s="144">
        <f>'IS Feb KSA'!V70+'IS Feb USA'!V70</f>
        <v>3500</v>
      </c>
      <c r="AA70" s="144">
        <f>'IS Feb KSA'!W70+'IS Feb USA'!W70</f>
        <v>4000</v>
      </c>
      <c r="AB70" s="144">
        <f>'IS Feb KSA'!X70+'IS Feb USA'!X70</f>
        <v>3709.68</v>
      </c>
      <c r="AC70" s="144">
        <f t="shared" si="87"/>
        <v>10500</v>
      </c>
      <c r="AD70" s="144">
        <f>'IS Feb KSA'!Z70+'IS Feb USA'!Z70</f>
        <v>3500</v>
      </c>
      <c r="AE70" s="144">
        <f>'IS Feb KSA'!AA70+'IS Feb USA'!AA70</f>
        <v>4000</v>
      </c>
      <c r="AF70" s="144">
        <f>'IS Feb KSA'!AB70+'IS Feb USA'!AB70</f>
        <v>3000</v>
      </c>
      <c r="AG70" s="144">
        <f t="shared" si="88"/>
        <v>12000</v>
      </c>
      <c r="AH70" s="144">
        <f>'IS Feb KSA'!AD70+'IS Feb USA'!AD70</f>
        <v>6000</v>
      </c>
      <c r="AI70" s="144">
        <f>'IS Feb KSA'!AE70+'IS Feb USA'!AE70</f>
        <v>3000</v>
      </c>
      <c r="AJ70" s="144">
        <f>'IS Feb KSA'!AF70+'IS Feb USA'!AF70</f>
        <v>3000</v>
      </c>
      <c r="AK70" s="144">
        <f t="shared" si="89"/>
        <v>7000</v>
      </c>
      <c r="AL70" s="144">
        <f>'IS Feb KSA'!AH70+'IS Feb USA'!AH70</f>
        <v>0</v>
      </c>
      <c r="AM70" s="144">
        <f>'IS Feb KSA'!AI70+'IS Feb USA'!AI70</f>
        <v>7000</v>
      </c>
      <c r="AN70" s="144">
        <f>'IS Feb KSA'!AJ70+'IS Feb USA'!AJ70</f>
        <v>0</v>
      </c>
      <c r="AO70" s="146"/>
      <c r="AP70" s="144">
        <v>9000</v>
      </c>
      <c r="AQ70" s="144">
        <v>50915.87</v>
      </c>
    </row>
    <row r="71" spans="1:43" outlineLevel="1">
      <c r="B71" s="157" t="s">
        <v>59</v>
      </c>
      <c r="C71" s="144">
        <f t="shared" si="90"/>
        <v>0</v>
      </c>
      <c r="D71" s="144">
        <f t="shared" si="82"/>
        <v>0</v>
      </c>
      <c r="E71" s="144">
        <f>'IS Feb KSA'!E71+'IS Feb USA'!E71</f>
        <v>0</v>
      </c>
      <c r="F71" s="144">
        <f>'IS Feb KSA'!F71+'IS Feb USA'!F71</f>
        <v>0</v>
      </c>
      <c r="G71" s="144">
        <f>'IS Feb KSA'!G71+'IS Feb USA'!G71</f>
        <v>0</v>
      </c>
      <c r="H71" s="144">
        <f t="shared" si="91"/>
        <v>0</v>
      </c>
      <c r="I71" s="144">
        <f>'IS Feb KSA'!I71+'IS Feb USA'!I71</f>
        <v>0</v>
      </c>
      <c r="J71" s="144">
        <f>'IS Feb KSA'!F71+'IS Feb USA'!F71</f>
        <v>0</v>
      </c>
      <c r="K71" s="144">
        <f>'IS Feb KSA'!G71+'IS Feb USA'!G71</f>
        <v>0</v>
      </c>
      <c r="L71" s="144">
        <f t="shared" si="84"/>
        <v>0</v>
      </c>
      <c r="M71" s="144">
        <f>'IS Feb KSA'!M71+'IS Feb USA'!M71</f>
        <v>0</v>
      </c>
      <c r="N71" s="144">
        <f>'IS Feb KSA'!N71+'IS Feb USA'!N71</f>
        <v>0</v>
      </c>
      <c r="O71" s="144">
        <f>'IS Feb KSA'!O71+'IS Feb USA'!O71</f>
        <v>0</v>
      </c>
      <c r="P71" s="144">
        <f t="shared" si="85"/>
        <v>0</v>
      </c>
      <c r="Q71" s="144">
        <f>'IS Feb KSA'!Q71+'IS Feb USA'!Q71</f>
        <v>0</v>
      </c>
      <c r="R71" s="144">
        <f>'IS Feb KSA'!R71+'IS Feb USA'!R71</f>
        <v>0</v>
      </c>
      <c r="S71" s="144">
        <f>'IS Feb KSA'!S71+'IS Feb USA'!S71</f>
        <v>0</v>
      </c>
      <c r="T71" s="197">
        <f>U71-V71</f>
        <v>-21580</v>
      </c>
      <c r="U71" s="197">
        <v>0</v>
      </c>
      <c r="V71" s="144">
        <f t="shared" si="86"/>
        <v>21580</v>
      </c>
      <c r="W71" s="197">
        <f t="shared" si="6"/>
        <v>-4200</v>
      </c>
      <c r="X71" s="144">
        <v>0</v>
      </c>
      <c r="Y71" s="144">
        <f t="shared" si="76"/>
        <v>7500</v>
      </c>
      <c r="Z71" s="144">
        <f>'IS Feb KSA'!V71+'IS Feb USA'!V71</f>
        <v>300</v>
      </c>
      <c r="AA71" s="144">
        <f>'IS Feb KSA'!W71+'IS Feb USA'!W71</f>
        <v>3000</v>
      </c>
      <c r="AB71" s="144">
        <f>'IS Feb KSA'!X71+'IS Feb USA'!X71</f>
        <v>4200</v>
      </c>
      <c r="AC71" s="144">
        <f t="shared" ref="AC71" si="92">AD71+AE71+AF71</f>
        <v>0</v>
      </c>
      <c r="AD71" s="144">
        <f>'IS Feb KSA'!Z71+'IS Feb USA'!Z71</f>
        <v>0</v>
      </c>
      <c r="AE71" s="144">
        <f>'IS Feb KSA'!AA71+'IS Feb USA'!AA71</f>
        <v>0</v>
      </c>
      <c r="AF71" s="144">
        <f>'IS Feb KSA'!AB71+'IS Feb USA'!AB71</f>
        <v>0</v>
      </c>
      <c r="AG71" s="144">
        <f t="shared" ref="AG71" si="93">SUM(AH71:AJ71)</f>
        <v>600</v>
      </c>
      <c r="AH71" s="144">
        <f>'IS Feb KSA'!AD71+'IS Feb USA'!AD71</f>
        <v>0</v>
      </c>
      <c r="AI71" s="144">
        <f>'IS Feb KSA'!AE71+'IS Feb USA'!AE71</f>
        <v>0</v>
      </c>
      <c r="AJ71" s="144">
        <f>'IS Feb KSA'!AF71+'IS Feb USA'!AF71</f>
        <v>600</v>
      </c>
      <c r="AK71" s="144">
        <f t="shared" si="89"/>
        <v>13480</v>
      </c>
      <c r="AL71" s="144">
        <f>'IS Feb KSA'!AH71+'IS Feb USA'!AH71</f>
        <v>1800</v>
      </c>
      <c r="AM71" s="144">
        <f>'IS Feb KSA'!AI71+'IS Feb USA'!AI71</f>
        <v>7800</v>
      </c>
      <c r="AN71" s="144">
        <f>'IS Feb KSA'!AJ71+'IS Feb USA'!AJ71</f>
        <v>3880</v>
      </c>
      <c r="AO71" s="146"/>
      <c r="AP71" s="144"/>
      <c r="AQ71" s="144"/>
    </row>
    <row r="72" spans="1:43" outlineLevel="1">
      <c r="B72" s="157" t="s">
        <v>603</v>
      </c>
      <c r="C72" s="144">
        <f t="shared" si="90"/>
        <v>83.4</v>
      </c>
      <c r="D72" s="144">
        <f t="shared" ref="D72" si="94">SUM(E72:G72)</f>
        <v>0</v>
      </c>
      <c r="E72" s="144">
        <f>'IS Feb KSA'!E72+'IS Feb USA'!E72</f>
        <v>0</v>
      </c>
      <c r="F72" s="144">
        <f>'IS Feb KSA'!F72+'IS Feb USA'!F72</f>
        <v>0</v>
      </c>
      <c r="G72" s="144">
        <f>'IS Feb KSA'!G72+'IS Feb USA'!G72</f>
        <v>0</v>
      </c>
      <c r="H72" s="144"/>
      <c r="I72" s="144">
        <f>'IS Feb KSA'!I72+'IS Feb USA'!I72</f>
        <v>0</v>
      </c>
      <c r="J72" s="144">
        <f>'IS Feb KSA'!F72+'IS Feb USA'!F72</f>
        <v>0</v>
      </c>
      <c r="K72" s="144">
        <f>'IS Feb KSA'!G72+'IS Feb USA'!G72</f>
        <v>0</v>
      </c>
      <c r="L72" s="144">
        <f t="shared" si="84"/>
        <v>0</v>
      </c>
      <c r="M72" s="144">
        <f>'IS Feb KSA'!M72+'IS Feb USA'!M72</f>
        <v>0</v>
      </c>
      <c r="N72" s="144">
        <f>'IS Feb KSA'!N72+'IS Feb USA'!N72</f>
        <v>0</v>
      </c>
      <c r="O72" s="144">
        <f>'IS Feb KSA'!O72+'IS Feb USA'!O72</f>
        <v>0</v>
      </c>
      <c r="P72" s="144">
        <f t="shared" si="85"/>
        <v>83.4</v>
      </c>
      <c r="Q72" s="144">
        <f>'IS Feb KSA'!Q72+'IS Feb USA'!Q72</f>
        <v>0</v>
      </c>
      <c r="R72" s="144">
        <f>'IS Feb KSA'!R72+'IS Feb USA'!R72</f>
        <v>0</v>
      </c>
      <c r="S72" s="144">
        <f>'IS Feb KSA'!S72+'IS Feb USA'!S72</f>
        <v>83.4</v>
      </c>
      <c r="T72" s="197"/>
      <c r="U72" s="197">
        <v>0</v>
      </c>
      <c r="V72" s="144">
        <f t="shared" si="86"/>
        <v>4845.75</v>
      </c>
      <c r="W72" s="197">
        <f t="shared" si="6"/>
        <v>-4845.75</v>
      </c>
      <c r="X72" s="144">
        <v>0</v>
      </c>
      <c r="Y72" s="144">
        <f t="shared" ref="Y72" si="95">SUM(Z72:AB72)</f>
        <v>4845.75</v>
      </c>
      <c r="Z72" s="144">
        <f>'IS Feb KSA'!V72+'IS Feb USA'!V72</f>
        <v>0</v>
      </c>
      <c r="AA72" s="144">
        <f>'IS Feb KSA'!W72+'IS Feb USA'!W72</f>
        <v>0</v>
      </c>
      <c r="AB72" s="144">
        <f>'IS Feb KSA'!X72+'IS Feb USA'!X72</f>
        <v>4845.75</v>
      </c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6"/>
      <c r="AP72" s="144"/>
      <c r="AQ72" s="144"/>
    </row>
    <row r="73" spans="1:43" outlineLevel="1">
      <c r="B73" s="157" t="s">
        <v>60</v>
      </c>
      <c r="C73" s="144">
        <f t="shared" si="90"/>
        <v>17866.62</v>
      </c>
      <c r="D73" s="144">
        <f t="shared" ref="D73:D79" si="96">SUM(E73:G73)</f>
        <v>0</v>
      </c>
      <c r="E73" s="144">
        <f>'IS Feb KSA'!E73+'IS Feb USA'!E73</f>
        <v>0</v>
      </c>
      <c r="F73" s="144">
        <f>'IS Feb KSA'!F73+'IS Feb USA'!F73</f>
        <v>0</v>
      </c>
      <c r="G73" s="144">
        <f>'IS Feb KSA'!G73+'IS Feb USA'!G73</f>
        <v>0</v>
      </c>
      <c r="H73" s="144">
        <f t="shared" ref="H73:H86" si="97">I73+J73+K73</f>
        <v>0</v>
      </c>
      <c r="I73" s="144">
        <f>'IS Feb KSA'!I73+'IS Feb USA'!I73</f>
        <v>0</v>
      </c>
      <c r="J73" s="144">
        <f>'IS Feb KSA'!F73+'IS Feb USA'!F73</f>
        <v>0</v>
      </c>
      <c r="K73" s="144">
        <f>'IS Feb KSA'!G73+'IS Feb USA'!G73</f>
        <v>0</v>
      </c>
      <c r="L73" s="144">
        <f t="shared" si="84"/>
        <v>0</v>
      </c>
      <c r="M73" s="144">
        <f>'IS Feb KSA'!M73+'IS Feb USA'!M73</f>
        <v>0</v>
      </c>
      <c r="N73" s="144">
        <f>'IS Feb KSA'!N73+'IS Feb USA'!N73</f>
        <v>0</v>
      </c>
      <c r="O73" s="144">
        <f>'IS Feb KSA'!O73+'IS Feb USA'!O73</f>
        <v>0</v>
      </c>
      <c r="P73" s="144">
        <f t="shared" ref="P73:P79" si="98">SUM(Q73:S73)</f>
        <v>17866.62</v>
      </c>
      <c r="Q73" s="144">
        <f>'IS Feb KSA'!Q73+'IS Feb USA'!Q73</f>
        <v>0</v>
      </c>
      <c r="R73" s="144">
        <f>'IS Feb KSA'!R73+'IS Feb USA'!R73</f>
        <v>7583.31</v>
      </c>
      <c r="S73" s="144">
        <f>'IS Feb KSA'!S73+'IS Feb USA'!S73</f>
        <v>10283.31</v>
      </c>
      <c r="T73" s="197">
        <f t="shared" si="10"/>
        <v>169480.346666667</v>
      </c>
      <c r="U73" s="197">
        <v>245916.66666666701</v>
      </c>
      <c r="V73" s="144">
        <f t="shared" si="86"/>
        <v>76436.320000000007</v>
      </c>
      <c r="W73" s="197">
        <f t="shared" si="6"/>
        <v>27517.106666666699</v>
      </c>
      <c r="X73" s="144">
        <v>31416.666666666701</v>
      </c>
      <c r="Y73" s="144">
        <f t="shared" si="76"/>
        <v>11934.32</v>
      </c>
      <c r="Z73" s="144">
        <f>'IS Feb KSA'!V73+'IS Feb USA'!V73</f>
        <v>5153.7299999999996</v>
      </c>
      <c r="AA73" s="144">
        <f>'IS Feb KSA'!W73+'IS Feb USA'!W73</f>
        <v>2881.03</v>
      </c>
      <c r="AB73" s="144">
        <f>'IS Feb KSA'!X73+'IS Feb USA'!X73</f>
        <v>3899.56</v>
      </c>
      <c r="AC73" s="144">
        <f t="shared" si="87"/>
        <v>38512</v>
      </c>
      <c r="AD73" s="144">
        <f>'IS Feb KSA'!Z73+'IS Feb USA'!Z73</f>
        <v>13075</v>
      </c>
      <c r="AE73" s="144">
        <f>'IS Feb KSA'!AA73+'IS Feb USA'!AA73</f>
        <v>19937</v>
      </c>
      <c r="AF73" s="144">
        <f>'IS Feb KSA'!AB73+'IS Feb USA'!AB73</f>
        <v>5500</v>
      </c>
      <c r="AG73" s="144">
        <f t="shared" si="88"/>
        <v>560</v>
      </c>
      <c r="AH73" s="144">
        <f>'IS Feb KSA'!AD73+'IS Feb USA'!AD73</f>
        <v>500</v>
      </c>
      <c r="AI73" s="144">
        <f>'IS Feb KSA'!AE73+'IS Feb USA'!AE73</f>
        <v>0</v>
      </c>
      <c r="AJ73" s="144">
        <f>'IS Feb KSA'!AF73+'IS Feb USA'!AF73</f>
        <v>60</v>
      </c>
      <c r="AK73" s="144">
        <f t="shared" si="89"/>
        <v>25430</v>
      </c>
      <c r="AL73" s="144">
        <f>'IS Feb KSA'!AH73+'IS Feb USA'!AH73</f>
        <v>3700</v>
      </c>
      <c r="AM73" s="144">
        <f>'IS Feb KSA'!AI73+'IS Feb USA'!AI73</f>
        <v>0</v>
      </c>
      <c r="AN73" s="144">
        <f>'IS Feb KSA'!AJ73+'IS Feb USA'!AJ73</f>
        <v>21730</v>
      </c>
      <c r="AO73" s="146"/>
      <c r="AP73" s="144">
        <v>22339.49</v>
      </c>
      <c r="AQ73" s="144">
        <v>168634.61000000002</v>
      </c>
    </row>
    <row r="74" spans="1:43" outlineLevel="1">
      <c r="B74" s="157" t="s">
        <v>212</v>
      </c>
      <c r="C74" s="144">
        <f t="shared" si="90"/>
        <v>2400</v>
      </c>
      <c r="D74" s="144">
        <f t="shared" si="96"/>
        <v>0</v>
      </c>
      <c r="E74" s="144">
        <f>'IS Feb KSA'!E74+'IS Feb USA'!E74</f>
        <v>0</v>
      </c>
      <c r="F74" s="144">
        <f>'IS Feb KSA'!F74+'IS Feb USA'!F74</f>
        <v>0</v>
      </c>
      <c r="G74" s="144">
        <f>'IS Feb KSA'!G74+'IS Feb USA'!G74</f>
        <v>0</v>
      </c>
      <c r="H74" s="144">
        <f t="shared" si="97"/>
        <v>0</v>
      </c>
      <c r="I74" s="144">
        <f>'IS Feb KSA'!I74+'IS Feb USA'!I74</f>
        <v>0</v>
      </c>
      <c r="J74" s="144">
        <f>'IS Feb KSA'!F74+'IS Feb USA'!F74</f>
        <v>0</v>
      </c>
      <c r="K74" s="144">
        <f>'IS Feb KSA'!G74+'IS Feb USA'!G74</f>
        <v>0</v>
      </c>
      <c r="L74" s="144">
        <f t="shared" si="84"/>
        <v>0</v>
      </c>
      <c r="M74" s="144">
        <f>'IS Feb KSA'!M74+'IS Feb USA'!M74</f>
        <v>0</v>
      </c>
      <c r="N74" s="144">
        <f>'IS Feb KSA'!N74+'IS Feb USA'!N74</f>
        <v>0</v>
      </c>
      <c r="O74" s="144">
        <f>'IS Feb KSA'!O74+'IS Feb USA'!O74</f>
        <v>0</v>
      </c>
      <c r="P74" s="144">
        <f t="shared" si="98"/>
        <v>2400</v>
      </c>
      <c r="Q74" s="144">
        <f>'IS Feb KSA'!Q74+'IS Feb USA'!Q74</f>
        <v>0</v>
      </c>
      <c r="R74" s="144">
        <f>'IS Feb KSA'!R74+'IS Feb USA'!R74</f>
        <v>1200</v>
      </c>
      <c r="S74" s="144">
        <f>'IS Feb KSA'!S74+'IS Feb USA'!S74</f>
        <v>1200</v>
      </c>
      <c r="T74" s="197">
        <f t="shared" si="10"/>
        <v>29200</v>
      </c>
      <c r="U74" s="197">
        <v>44400</v>
      </c>
      <c r="V74" s="144">
        <f t="shared" si="86"/>
        <v>15200</v>
      </c>
      <c r="W74" s="197">
        <f t="shared" si="6"/>
        <v>4600</v>
      </c>
      <c r="X74" s="144">
        <v>5800</v>
      </c>
      <c r="Y74" s="144">
        <f t="shared" si="76"/>
        <v>3600</v>
      </c>
      <c r="Z74" s="144">
        <f>'IS Feb KSA'!V74+'IS Feb USA'!V74</f>
        <v>1200</v>
      </c>
      <c r="AA74" s="144">
        <f>'IS Feb KSA'!W74+'IS Feb USA'!W74</f>
        <v>1200</v>
      </c>
      <c r="AB74" s="144">
        <f>'IS Feb KSA'!X74+'IS Feb USA'!X74</f>
        <v>1200</v>
      </c>
      <c r="AC74" s="144">
        <f t="shared" si="87"/>
        <v>3600</v>
      </c>
      <c r="AD74" s="144">
        <f>'IS Feb KSA'!Z74+'IS Feb USA'!Z74</f>
        <v>1200</v>
      </c>
      <c r="AE74" s="144">
        <f>'IS Feb KSA'!AA74+'IS Feb USA'!AA74</f>
        <v>1200</v>
      </c>
      <c r="AF74" s="144">
        <f>'IS Feb KSA'!AB74+'IS Feb USA'!AB74</f>
        <v>1200</v>
      </c>
      <c r="AG74" s="144">
        <f t="shared" si="88"/>
        <v>4800</v>
      </c>
      <c r="AH74" s="144">
        <f>'IS Feb KSA'!AD74+'IS Feb USA'!AD74</f>
        <v>2400</v>
      </c>
      <c r="AI74" s="144">
        <f>'IS Feb KSA'!AE74+'IS Feb USA'!AE74</f>
        <v>1200</v>
      </c>
      <c r="AJ74" s="144">
        <f>'IS Feb KSA'!AF74+'IS Feb USA'!AF74</f>
        <v>1200</v>
      </c>
      <c r="AK74" s="144">
        <f t="shared" si="89"/>
        <v>3200</v>
      </c>
      <c r="AL74" s="144">
        <f>'IS Feb KSA'!AH74+'IS Feb USA'!AH74</f>
        <v>0</v>
      </c>
      <c r="AM74" s="144">
        <f>'IS Feb KSA'!AI74+'IS Feb USA'!AI74</f>
        <v>3200</v>
      </c>
      <c r="AN74" s="144">
        <f>'IS Feb KSA'!AJ74+'IS Feb USA'!AJ74</f>
        <v>0</v>
      </c>
      <c r="AO74" s="146"/>
      <c r="AP74" s="144">
        <v>3400</v>
      </c>
      <c r="AQ74" s="144">
        <v>16448.46</v>
      </c>
    </row>
    <row r="75" spans="1:43" outlineLevel="1">
      <c r="B75" s="157" t="s">
        <v>62</v>
      </c>
      <c r="C75" s="144">
        <f t="shared" si="90"/>
        <v>7222.32</v>
      </c>
      <c r="D75" s="144">
        <f t="shared" si="96"/>
        <v>0</v>
      </c>
      <c r="E75" s="144">
        <f>'IS Feb KSA'!E75+'IS Feb USA'!E75</f>
        <v>0</v>
      </c>
      <c r="F75" s="144">
        <f>'IS Feb KSA'!F75+'IS Feb USA'!F75</f>
        <v>0</v>
      </c>
      <c r="G75" s="144">
        <f>'IS Feb KSA'!G75+'IS Feb USA'!G75</f>
        <v>0</v>
      </c>
      <c r="H75" s="144">
        <f t="shared" si="97"/>
        <v>0</v>
      </c>
      <c r="I75" s="144">
        <f>'IS Feb KSA'!I75+'IS Feb USA'!I75</f>
        <v>0</v>
      </c>
      <c r="J75" s="144">
        <f>'IS Feb KSA'!F75+'IS Feb USA'!F75</f>
        <v>0</v>
      </c>
      <c r="K75" s="144">
        <f>'IS Feb KSA'!G75+'IS Feb USA'!G75</f>
        <v>0</v>
      </c>
      <c r="L75" s="144">
        <f t="shared" si="84"/>
        <v>0</v>
      </c>
      <c r="M75" s="144">
        <f>'IS Feb KSA'!M75+'IS Feb USA'!M75</f>
        <v>0</v>
      </c>
      <c r="N75" s="144">
        <f>'IS Feb KSA'!N75+'IS Feb USA'!N75</f>
        <v>0</v>
      </c>
      <c r="O75" s="144">
        <f>'IS Feb KSA'!O75+'IS Feb USA'!O75</f>
        <v>0</v>
      </c>
      <c r="P75" s="144">
        <f t="shared" si="98"/>
        <v>7222.32</v>
      </c>
      <c r="Q75" s="144">
        <f>'IS Feb KSA'!Q75+'IS Feb USA'!Q75</f>
        <v>0</v>
      </c>
      <c r="R75" s="144">
        <f>'IS Feb KSA'!R75+'IS Feb USA'!R75</f>
        <v>4362.79</v>
      </c>
      <c r="S75" s="144">
        <f>'IS Feb KSA'!S75+'IS Feb USA'!S75</f>
        <v>2859.53</v>
      </c>
      <c r="T75" s="197">
        <f t="shared" si="10"/>
        <v>1047.4900000000052</v>
      </c>
      <c r="U75" s="197">
        <v>34312.5</v>
      </c>
      <c r="V75" s="144">
        <f t="shared" si="86"/>
        <v>33265.009999999995</v>
      </c>
      <c r="W75" s="197">
        <f t="shared" si="6"/>
        <v>506.92000000000007</v>
      </c>
      <c r="X75" s="144">
        <v>3431.25</v>
      </c>
      <c r="Y75" s="144">
        <f t="shared" si="76"/>
        <v>7914.57</v>
      </c>
      <c r="Z75" s="144">
        <f>'IS Feb KSA'!V75+'IS Feb USA'!V75</f>
        <v>2467.1999999999998</v>
      </c>
      <c r="AA75" s="144">
        <f>'IS Feb KSA'!W75+'IS Feb USA'!W75</f>
        <v>2523.04</v>
      </c>
      <c r="AB75" s="144">
        <f>'IS Feb KSA'!X75+'IS Feb USA'!X75</f>
        <v>2924.33</v>
      </c>
      <c r="AC75" s="144">
        <f t="shared" si="87"/>
        <v>7377.01</v>
      </c>
      <c r="AD75" s="144">
        <f>'IS Feb KSA'!Z75+'IS Feb USA'!Z75</f>
        <v>3322.62</v>
      </c>
      <c r="AE75" s="144">
        <f>'IS Feb KSA'!AA75+'IS Feb USA'!AA75</f>
        <v>1319.59</v>
      </c>
      <c r="AF75" s="144">
        <f>'IS Feb KSA'!AB75+'IS Feb USA'!AB75</f>
        <v>2734.8</v>
      </c>
      <c r="AG75" s="144">
        <f t="shared" si="88"/>
        <v>5066.4699999999993</v>
      </c>
      <c r="AH75" s="144">
        <f>'IS Feb KSA'!AD75+'IS Feb USA'!AD75</f>
        <v>0</v>
      </c>
      <c r="AI75" s="144">
        <f>'IS Feb KSA'!AE75+'IS Feb USA'!AE75</f>
        <v>1135.31</v>
      </c>
      <c r="AJ75" s="144">
        <f>'IS Feb KSA'!AF75+'IS Feb USA'!AF75</f>
        <v>3931.16</v>
      </c>
      <c r="AK75" s="144">
        <f t="shared" si="89"/>
        <v>12906.96</v>
      </c>
      <c r="AL75" s="144">
        <f>'IS Feb KSA'!AH75+'IS Feb USA'!AH75</f>
        <v>4054.24</v>
      </c>
      <c r="AM75" s="144">
        <f>'IS Feb KSA'!AI75+'IS Feb USA'!AI75</f>
        <v>4561.2700000000004</v>
      </c>
      <c r="AN75" s="144">
        <f>'IS Feb KSA'!AJ75+'IS Feb USA'!AJ75</f>
        <v>4291.45</v>
      </c>
      <c r="AO75" s="146"/>
      <c r="AP75" s="144">
        <v>3054.31</v>
      </c>
      <c r="AQ75" s="144">
        <v>35255.31</v>
      </c>
    </row>
    <row r="76" spans="1:43" outlineLevel="1">
      <c r="B76" s="157" t="s">
        <v>63</v>
      </c>
      <c r="C76" s="144">
        <f t="shared" si="90"/>
        <v>31567.97</v>
      </c>
      <c r="D76" s="144">
        <f t="shared" si="96"/>
        <v>0</v>
      </c>
      <c r="E76" s="144">
        <f>'IS Feb KSA'!E76+'IS Feb USA'!E76</f>
        <v>0</v>
      </c>
      <c r="F76" s="144">
        <f>'IS Feb KSA'!F76+'IS Feb USA'!F76</f>
        <v>0</v>
      </c>
      <c r="G76" s="144">
        <f>'IS Feb KSA'!G76+'IS Feb USA'!G76</f>
        <v>0</v>
      </c>
      <c r="H76" s="144">
        <f t="shared" si="97"/>
        <v>0</v>
      </c>
      <c r="I76" s="144">
        <f>'IS Feb KSA'!I76+'IS Feb USA'!I76</f>
        <v>0</v>
      </c>
      <c r="J76" s="144">
        <f>'IS Feb KSA'!F76+'IS Feb USA'!F76</f>
        <v>0</v>
      </c>
      <c r="K76" s="144">
        <f>'IS Feb KSA'!G76+'IS Feb USA'!G76</f>
        <v>0</v>
      </c>
      <c r="L76" s="144">
        <f t="shared" si="84"/>
        <v>0</v>
      </c>
      <c r="M76" s="144">
        <f>'IS Feb KSA'!M76+'IS Feb USA'!M76</f>
        <v>0</v>
      </c>
      <c r="N76" s="144">
        <f>'IS Feb KSA'!N76+'IS Feb USA'!N76</f>
        <v>0</v>
      </c>
      <c r="O76" s="144">
        <f>'IS Feb KSA'!O76+'IS Feb USA'!O76</f>
        <v>0</v>
      </c>
      <c r="P76" s="144">
        <f t="shared" si="98"/>
        <v>31567.97</v>
      </c>
      <c r="Q76" s="144">
        <f>'IS Feb KSA'!Q76+'IS Feb USA'!Q76</f>
        <v>0</v>
      </c>
      <c r="R76" s="144">
        <f>'IS Feb KSA'!R76+'IS Feb USA'!R76</f>
        <v>15169.53</v>
      </c>
      <c r="S76" s="144">
        <f>'IS Feb KSA'!S76+'IS Feb USA'!S76</f>
        <v>16398.439999999999</v>
      </c>
      <c r="T76" s="197">
        <f t="shared" si="10"/>
        <v>172480.67499999999</v>
      </c>
      <c r="U76" s="197">
        <v>368282.92499999999</v>
      </c>
      <c r="V76" s="144">
        <f t="shared" si="86"/>
        <v>195802.25</v>
      </c>
      <c r="W76" s="197">
        <f t="shared" ref="W76:W87" si="99">X76-AB76</f>
        <v>25357.342500000002</v>
      </c>
      <c r="X76" s="144">
        <v>47439.292500000003</v>
      </c>
      <c r="Y76" s="144">
        <f t="shared" si="76"/>
        <v>59758.75</v>
      </c>
      <c r="Z76" s="144">
        <f>'IS Feb KSA'!V76+'IS Feb USA'!V76</f>
        <v>14867.04</v>
      </c>
      <c r="AA76" s="144">
        <f>'IS Feb KSA'!W76+'IS Feb USA'!W76</f>
        <v>22809.759999999998</v>
      </c>
      <c r="AB76" s="144">
        <f>'IS Feb KSA'!X76+'IS Feb USA'!X76</f>
        <v>22081.95</v>
      </c>
      <c r="AC76" s="144">
        <f t="shared" si="87"/>
        <v>53577.75</v>
      </c>
      <c r="AD76" s="144">
        <f>'IS Feb KSA'!Z76+'IS Feb USA'!Z76</f>
        <v>20219.27</v>
      </c>
      <c r="AE76" s="144">
        <f>'IS Feb KSA'!AA76+'IS Feb USA'!AA76</f>
        <v>20132.82</v>
      </c>
      <c r="AF76" s="144">
        <f>'IS Feb KSA'!AB76+'IS Feb USA'!AB76</f>
        <v>13225.66</v>
      </c>
      <c r="AG76" s="144">
        <f t="shared" si="88"/>
        <v>33786.5</v>
      </c>
      <c r="AH76" s="144">
        <f>'IS Feb KSA'!AD76+'IS Feb USA'!AD76</f>
        <v>12414.99</v>
      </c>
      <c r="AI76" s="144">
        <f>'IS Feb KSA'!AE76+'IS Feb USA'!AE76</f>
        <v>11182.63</v>
      </c>
      <c r="AJ76" s="144">
        <f>'IS Feb KSA'!AF76+'IS Feb USA'!AF76</f>
        <v>10188.879999999999</v>
      </c>
      <c r="AK76" s="144">
        <f t="shared" si="89"/>
        <v>48679.25</v>
      </c>
      <c r="AL76" s="144">
        <f>'IS Feb KSA'!AH76+'IS Feb USA'!AH76</f>
        <v>13037.78</v>
      </c>
      <c r="AM76" s="144">
        <f>'IS Feb KSA'!AI76+'IS Feb USA'!AI76</f>
        <v>18534.91</v>
      </c>
      <c r="AN76" s="144">
        <f>'IS Feb KSA'!AJ76+'IS Feb USA'!AJ76</f>
        <v>17106.560000000001</v>
      </c>
      <c r="AO76" s="146"/>
      <c r="AP76" s="144">
        <v>17220.560000000001</v>
      </c>
      <c r="AQ76" s="144">
        <v>167751.58000000002</v>
      </c>
    </row>
    <row r="77" spans="1:43" outlineLevel="1">
      <c r="B77" s="157" t="s">
        <v>64</v>
      </c>
      <c r="C77" s="144">
        <f t="shared" si="90"/>
        <v>-6000</v>
      </c>
      <c r="D77" s="144">
        <f t="shared" si="96"/>
        <v>0</v>
      </c>
      <c r="E77" s="144">
        <f>'IS Feb KSA'!E77+'IS Feb USA'!E77</f>
        <v>0</v>
      </c>
      <c r="F77" s="144">
        <f>'IS Feb KSA'!F77+'IS Feb USA'!F77</f>
        <v>0</v>
      </c>
      <c r="G77" s="144">
        <f>'IS Feb KSA'!G77+'IS Feb USA'!G77</f>
        <v>0</v>
      </c>
      <c r="H77" s="144">
        <f t="shared" si="97"/>
        <v>0</v>
      </c>
      <c r="I77" s="144">
        <f>'IS Feb KSA'!I77+'IS Feb USA'!I77</f>
        <v>0</v>
      </c>
      <c r="J77" s="144">
        <f>'IS Feb KSA'!F77+'IS Feb USA'!F77</f>
        <v>0</v>
      </c>
      <c r="K77" s="144">
        <f>'IS Feb KSA'!G77+'IS Feb USA'!G77</f>
        <v>0</v>
      </c>
      <c r="L77" s="144">
        <f t="shared" si="84"/>
        <v>0</v>
      </c>
      <c r="M77" s="144">
        <f>'IS Feb KSA'!M77+'IS Feb USA'!M77</f>
        <v>0</v>
      </c>
      <c r="N77" s="144">
        <f>'IS Feb KSA'!N77+'IS Feb USA'!N77</f>
        <v>0</v>
      </c>
      <c r="O77" s="144">
        <f>'IS Feb KSA'!O77+'IS Feb USA'!O77</f>
        <v>0</v>
      </c>
      <c r="P77" s="144">
        <f t="shared" si="98"/>
        <v>-6000</v>
      </c>
      <c r="Q77" s="144">
        <f>'IS Feb KSA'!Q77+'IS Feb USA'!Q77</f>
        <v>0</v>
      </c>
      <c r="R77" s="144">
        <f>'IS Feb KSA'!R77+'IS Feb USA'!R77</f>
        <v>0</v>
      </c>
      <c r="S77" s="144">
        <f>'IS Feb KSA'!S77+'IS Feb USA'!S77</f>
        <v>-6000</v>
      </c>
      <c r="T77" s="197">
        <f t="shared" si="10"/>
        <v>-69000</v>
      </c>
      <c r="U77" s="197">
        <v>-150000</v>
      </c>
      <c r="V77" s="144">
        <f t="shared" si="86"/>
        <v>-81000</v>
      </c>
      <c r="W77" s="197">
        <f t="shared" si="99"/>
        <v>-3000</v>
      </c>
      <c r="X77" s="144">
        <v>-15000</v>
      </c>
      <c r="Y77" s="144">
        <f t="shared" si="76"/>
        <v>-18000</v>
      </c>
      <c r="Z77" s="144">
        <f>'IS Feb KSA'!V77+'IS Feb USA'!V77</f>
        <v>-6000</v>
      </c>
      <c r="AA77" s="144">
        <f>'IS Feb KSA'!W77+'IS Feb USA'!W77</f>
        <v>0</v>
      </c>
      <c r="AB77" s="144">
        <f>'IS Feb KSA'!X77+'IS Feb USA'!X77</f>
        <v>-12000</v>
      </c>
      <c r="AC77" s="144">
        <f t="shared" si="87"/>
        <v>-18000</v>
      </c>
      <c r="AD77" s="144">
        <f>'IS Feb KSA'!Z77+'IS Feb USA'!Z77</f>
        <v>0</v>
      </c>
      <c r="AE77" s="144">
        <f>'IS Feb KSA'!AA77+'IS Feb USA'!AA77</f>
        <v>-6000</v>
      </c>
      <c r="AF77" s="144">
        <f>'IS Feb KSA'!AB77+'IS Feb USA'!AB77</f>
        <v>-12000</v>
      </c>
      <c r="AG77" s="144">
        <f t="shared" si="88"/>
        <v>-18000</v>
      </c>
      <c r="AH77" s="144">
        <f>'IS Feb KSA'!AD77+'IS Feb USA'!AD77</f>
        <v>0</v>
      </c>
      <c r="AI77" s="144">
        <f>'IS Feb KSA'!AE77+'IS Feb USA'!AE77</f>
        <v>-18000</v>
      </c>
      <c r="AJ77" s="144">
        <f>'IS Feb KSA'!AF77+'IS Feb USA'!AF77</f>
        <v>0</v>
      </c>
      <c r="AK77" s="144">
        <f t="shared" si="89"/>
        <v>-27000</v>
      </c>
      <c r="AL77" s="144">
        <f>'IS Feb KSA'!AH77+'IS Feb USA'!AH77</f>
        <v>-18000</v>
      </c>
      <c r="AM77" s="144">
        <f>'IS Feb KSA'!AI77+'IS Feb USA'!AI77</f>
        <v>0</v>
      </c>
      <c r="AN77" s="144">
        <f>'IS Feb KSA'!AJ77+'IS Feb USA'!AJ77</f>
        <v>-9000</v>
      </c>
      <c r="AO77" s="146"/>
      <c r="AP77" s="144">
        <v>-15000</v>
      </c>
      <c r="AQ77" s="144">
        <v>-81000</v>
      </c>
    </row>
    <row r="78" spans="1:43" outlineLevel="1">
      <c r="B78" s="157" t="s">
        <v>65</v>
      </c>
      <c r="C78" s="144">
        <f t="shared" si="90"/>
        <v>8822.74</v>
      </c>
      <c r="D78" s="144">
        <f t="shared" si="96"/>
        <v>0</v>
      </c>
      <c r="E78" s="144">
        <f>'IS Feb KSA'!E78+'IS Feb USA'!E78</f>
        <v>0</v>
      </c>
      <c r="F78" s="144">
        <f>'IS Feb KSA'!F78+'IS Feb USA'!F78</f>
        <v>0</v>
      </c>
      <c r="G78" s="144">
        <f>'IS Feb KSA'!G78+'IS Feb USA'!G78</f>
        <v>0</v>
      </c>
      <c r="H78" s="144">
        <f t="shared" si="97"/>
        <v>0</v>
      </c>
      <c r="I78" s="144">
        <f>'IS Feb KSA'!I78+'IS Feb USA'!I78</f>
        <v>0</v>
      </c>
      <c r="J78" s="144">
        <f>'IS Feb KSA'!F78+'IS Feb USA'!F78</f>
        <v>0</v>
      </c>
      <c r="K78" s="144">
        <f>'IS Feb KSA'!G78+'IS Feb USA'!G78</f>
        <v>0</v>
      </c>
      <c r="L78" s="144">
        <f t="shared" si="84"/>
        <v>0</v>
      </c>
      <c r="M78" s="144">
        <f>'IS Feb KSA'!M78+'IS Feb USA'!M78</f>
        <v>0</v>
      </c>
      <c r="N78" s="144">
        <f>'IS Feb KSA'!N78+'IS Feb USA'!N78</f>
        <v>0</v>
      </c>
      <c r="O78" s="144">
        <f>'IS Feb KSA'!O78+'IS Feb USA'!O78</f>
        <v>0</v>
      </c>
      <c r="P78" s="144">
        <f t="shared" si="98"/>
        <v>8822.74</v>
      </c>
      <c r="Q78" s="144">
        <f>'IS Feb KSA'!Q78+'IS Feb USA'!Q78</f>
        <v>0</v>
      </c>
      <c r="R78" s="144">
        <f>'IS Feb KSA'!R78+'IS Feb USA'!R78</f>
        <v>840</v>
      </c>
      <c r="S78" s="144">
        <f>'IS Feb KSA'!S78+'IS Feb USA'!S78</f>
        <v>7982.74</v>
      </c>
      <c r="T78" s="197">
        <f t="shared" si="10"/>
        <v>-293066.30327687558</v>
      </c>
      <c r="U78" s="197">
        <v>53308.576723124403</v>
      </c>
      <c r="V78" s="144">
        <f t="shared" si="86"/>
        <v>346374.88</v>
      </c>
      <c r="W78" s="197">
        <f t="shared" si="99"/>
        <v>-45729.707746212443</v>
      </c>
      <c r="X78" s="144">
        <v>8448.6022537875506</v>
      </c>
      <c r="Y78" s="144">
        <f t="shared" si="76"/>
        <v>74513.459999999992</v>
      </c>
      <c r="Z78" s="144">
        <f>'IS Feb KSA'!V78+'IS Feb USA'!V78</f>
        <v>10729.32</v>
      </c>
      <c r="AA78" s="144">
        <f>'IS Feb KSA'!W78+'IS Feb USA'!W78</f>
        <v>9605.83</v>
      </c>
      <c r="AB78" s="144">
        <f>'IS Feb KSA'!X78+'IS Feb USA'!X78</f>
        <v>54178.31</v>
      </c>
      <c r="AC78" s="144">
        <f t="shared" si="87"/>
        <v>122938.20999999999</v>
      </c>
      <c r="AD78" s="144">
        <f>'IS Feb KSA'!Z78+'IS Feb USA'!Z78</f>
        <v>6116.67</v>
      </c>
      <c r="AE78" s="144">
        <f>'IS Feb KSA'!AA78+'IS Feb USA'!AA78</f>
        <v>65191.05</v>
      </c>
      <c r="AF78" s="144">
        <f>'IS Feb KSA'!AB78+'IS Feb USA'!AB78</f>
        <v>51630.49</v>
      </c>
      <c r="AG78" s="144">
        <f t="shared" si="88"/>
        <v>135389.93</v>
      </c>
      <c r="AH78" s="144">
        <f>'IS Feb KSA'!AD78+'IS Feb USA'!AD78</f>
        <v>74572.7</v>
      </c>
      <c r="AI78" s="144">
        <f>'IS Feb KSA'!AE78+'IS Feb USA'!AE78</f>
        <v>58103.210000000006</v>
      </c>
      <c r="AJ78" s="144">
        <f>'IS Feb KSA'!AF78+'IS Feb USA'!AF78</f>
        <v>2714.02</v>
      </c>
      <c r="AK78" s="144">
        <f t="shared" si="89"/>
        <v>13533.279999999999</v>
      </c>
      <c r="AL78" s="144">
        <f>'IS Feb KSA'!AH78+'IS Feb USA'!AH78</f>
        <v>3052.7</v>
      </c>
      <c r="AM78" s="144">
        <f>'IS Feb KSA'!AI78+'IS Feb USA'!AI78</f>
        <v>0</v>
      </c>
      <c r="AN78" s="144">
        <f>'IS Feb KSA'!AJ78+'IS Feb USA'!AJ78</f>
        <v>10480.58</v>
      </c>
      <c r="AO78" s="146"/>
      <c r="AP78" s="144">
        <v>0</v>
      </c>
      <c r="AQ78" s="144">
        <v>55227.62</v>
      </c>
    </row>
    <row r="79" spans="1:43" outlineLevel="1">
      <c r="B79" s="157" t="s">
        <v>66</v>
      </c>
      <c r="C79" s="144">
        <f t="shared" si="90"/>
        <v>0</v>
      </c>
      <c r="D79" s="144">
        <f t="shared" si="96"/>
        <v>0</v>
      </c>
      <c r="E79" s="144">
        <f>'IS Feb KSA'!E79+'IS Feb USA'!E79</f>
        <v>0</v>
      </c>
      <c r="F79" s="144">
        <f>'IS Feb KSA'!F79+'IS Feb USA'!F79</f>
        <v>0</v>
      </c>
      <c r="G79" s="144">
        <f>'IS Feb KSA'!G79+'IS Feb USA'!G79</f>
        <v>0</v>
      </c>
      <c r="H79" s="144">
        <f t="shared" si="97"/>
        <v>0</v>
      </c>
      <c r="I79" s="144">
        <f>'IS Feb KSA'!I79+'IS Feb USA'!I79</f>
        <v>0</v>
      </c>
      <c r="J79" s="144">
        <f>'IS Feb KSA'!F79+'IS Feb USA'!F79</f>
        <v>0</v>
      </c>
      <c r="K79" s="144">
        <f>'IS Feb KSA'!G79+'IS Feb USA'!G79</f>
        <v>0</v>
      </c>
      <c r="L79" s="144">
        <f t="shared" si="84"/>
        <v>0</v>
      </c>
      <c r="M79" s="144">
        <f>'IS Feb KSA'!M79+'IS Feb USA'!M79</f>
        <v>0</v>
      </c>
      <c r="N79" s="144">
        <f>'IS Feb KSA'!N79+'IS Feb USA'!N79</f>
        <v>0</v>
      </c>
      <c r="O79" s="144">
        <f>'IS Feb KSA'!O79+'IS Feb USA'!O79</f>
        <v>0</v>
      </c>
      <c r="P79" s="144">
        <f t="shared" si="98"/>
        <v>0</v>
      </c>
      <c r="Q79" s="144">
        <f>'IS Feb KSA'!Q79+'IS Feb USA'!Q79</f>
        <v>0</v>
      </c>
      <c r="R79" s="144">
        <f>'IS Feb KSA'!R79+'IS Feb USA'!R79</f>
        <v>0</v>
      </c>
      <c r="S79" s="144">
        <f>'IS Feb KSA'!S79+'IS Feb USA'!S79</f>
        <v>0</v>
      </c>
      <c r="T79" s="197">
        <f t="shared" si="10"/>
        <v>-258530.05000000005</v>
      </c>
      <c r="U79" s="197">
        <v>133739</v>
      </c>
      <c r="V79" s="144">
        <f t="shared" si="86"/>
        <v>392269.05000000005</v>
      </c>
      <c r="W79" s="197">
        <f t="shared" si="99"/>
        <v>-195702.12000000002</v>
      </c>
      <c r="X79" s="144">
        <v>16397.900000000001</v>
      </c>
      <c r="Y79" s="144">
        <f t="shared" si="76"/>
        <v>212600.02000000002</v>
      </c>
      <c r="Z79" s="144">
        <f>'IS Feb KSA'!V79+'IS Feb USA'!V79</f>
        <v>500</v>
      </c>
      <c r="AA79" s="144">
        <f>'IS Feb KSA'!W79+'IS Feb USA'!W79</f>
        <v>0</v>
      </c>
      <c r="AB79" s="144">
        <f>'IS Feb KSA'!X79+'IS Feb USA'!X79</f>
        <v>212100.02000000002</v>
      </c>
      <c r="AC79" s="144">
        <f t="shared" si="87"/>
        <v>49999.99</v>
      </c>
      <c r="AD79" s="144">
        <f>'IS Feb KSA'!Z79+'IS Feb USA'!Z79</f>
        <v>0</v>
      </c>
      <c r="AE79" s="144">
        <f>'IS Feb KSA'!AA79+'IS Feb USA'!AA79</f>
        <v>49999.99</v>
      </c>
      <c r="AF79" s="144">
        <f>'IS Feb KSA'!AB79+'IS Feb USA'!AB79</f>
        <v>0</v>
      </c>
      <c r="AG79" s="144">
        <f t="shared" si="88"/>
        <v>53872.67</v>
      </c>
      <c r="AH79" s="144">
        <f>'IS Feb KSA'!AD79+'IS Feb USA'!AD79</f>
        <v>10000</v>
      </c>
      <c r="AI79" s="144">
        <f>'IS Feb KSA'!AE79+'IS Feb USA'!AE79</f>
        <v>43872.67</v>
      </c>
      <c r="AJ79" s="144">
        <f>'IS Feb KSA'!AF79+'IS Feb USA'!AF79</f>
        <v>0</v>
      </c>
      <c r="AK79" s="144">
        <f t="shared" si="89"/>
        <v>75796.37</v>
      </c>
      <c r="AL79" s="144">
        <f>'IS Feb KSA'!AH79+'IS Feb USA'!AH79</f>
        <v>25387.309999999998</v>
      </c>
      <c r="AM79" s="144">
        <f>'IS Feb KSA'!AI79+'IS Feb USA'!AI79</f>
        <v>12000</v>
      </c>
      <c r="AN79" s="144">
        <f>'IS Feb KSA'!AJ79+'IS Feb USA'!AJ79</f>
        <v>38409.06</v>
      </c>
      <c r="AO79" s="146"/>
      <c r="AP79" s="144">
        <v>2739</v>
      </c>
      <c r="AQ79" s="144">
        <v>98517.64</v>
      </c>
    </row>
    <row r="80" spans="1:43" outlineLevel="1">
      <c r="B80" s="157" t="s">
        <v>585</v>
      </c>
      <c r="C80" s="144">
        <f>H80+L80+D80+P80</f>
        <v>14772.880000000001</v>
      </c>
      <c r="D80" s="144">
        <f t="shared" ref="D80" si="100">SUM(E80:G80)</f>
        <v>0</v>
      </c>
      <c r="E80" s="144">
        <f>'IS Feb KSA'!E80+'IS Feb USA'!E80</f>
        <v>0</v>
      </c>
      <c r="F80" s="144">
        <f>'IS Feb KSA'!F80+'IS Feb USA'!F80</f>
        <v>0</v>
      </c>
      <c r="G80" s="144">
        <f>'IS Feb KSA'!G80+'IS Feb USA'!G80</f>
        <v>0</v>
      </c>
      <c r="H80" s="144">
        <f t="shared" si="97"/>
        <v>0</v>
      </c>
      <c r="I80" s="144">
        <f>'IS Feb KSA'!I80+'IS Feb USA'!I80</f>
        <v>0</v>
      </c>
      <c r="J80" s="144">
        <f>'IS Feb KSA'!F80+'IS Feb USA'!F80</f>
        <v>0</v>
      </c>
      <c r="K80" s="144">
        <f>'IS Feb KSA'!G80+'IS Feb USA'!G80</f>
        <v>0</v>
      </c>
      <c r="L80" s="144">
        <f t="shared" si="84"/>
        <v>0</v>
      </c>
      <c r="M80" s="144">
        <f>'IS Feb KSA'!M80+'IS Feb USA'!M80</f>
        <v>0</v>
      </c>
      <c r="N80" s="144">
        <f>'IS Feb KSA'!N80+'IS Feb USA'!N80</f>
        <v>0</v>
      </c>
      <c r="O80" s="144">
        <f>'IS Feb KSA'!O80+'IS Feb USA'!O80</f>
        <v>0</v>
      </c>
      <c r="P80" s="144">
        <f t="shared" si="85"/>
        <v>14772.880000000001</v>
      </c>
      <c r="Q80" s="144">
        <f>'IS Feb KSA'!Q80+'IS Feb USA'!Q80</f>
        <v>0</v>
      </c>
      <c r="R80" s="144">
        <f>'IS Feb KSA'!R80+'IS Feb USA'!R80</f>
        <v>14772.880000000001</v>
      </c>
      <c r="S80" s="144">
        <f>'IS Feb KSA'!S80+'IS Feb USA'!S80</f>
        <v>0</v>
      </c>
      <c r="T80" s="197">
        <f t="shared" si="10"/>
        <v>-264056.14</v>
      </c>
      <c r="U80" s="197">
        <v>0</v>
      </c>
      <c r="V80" s="144">
        <f>AC80+AG80+Y80+AK80</f>
        <v>264056.14</v>
      </c>
      <c r="W80" s="197">
        <f t="shared" si="99"/>
        <v>-21150</v>
      </c>
      <c r="X80" s="144">
        <v>0</v>
      </c>
      <c r="Y80" s="144">
        <f t="shared" ref="Y80" si="101">SUM(Z80:AB80)</f>
        <v>117273.38</v>
      </c>
      <c r="Z80" s="144">
        <f>'IS Feb KSA'!V80+'IS Feb USA'!V80</f>
        <v>96123.38</v>
      </c>
      <c r="AA80" s="144">
        <f>'IS Feb KSA'!W80+'IS Feb USA'!W80</f>
        <v>0</v>
      </c>
      <c r="AB80" s="144">
        <f>'IS Feb KSA'!X80+'IS Feb USA'!X80</f>
        <v>21150</v>
      </c>
      <c r="AC80" s="144">
        <f t="shared" ref="AC80" si="102">AD80+AE80+AF80</f>
        <v>146782.76</v>
      </c>
      <c r="AD80" s="144">
        <f>'IS Feb KSA'!Z80+'IS Feb USA'!Z80</f>
        <v>81483.38</v>
      </c>
      <c r="AE80" s="144">
        <f>'IS Feb KSA'!AA80+'IS Feb USA'!AA80</f>
        <v>0</v>
      </c>
      <c r="AF80" s="144">
        <f>'IS Feb KSA'!AB80+'IS Feb USA'!AB80</f>
        <v>65299.380000000005</v>
      </c>
      <c r="AG80" s="144"/>
      <c r="AH80" s="144">
        <f>'IS Feb KSA'!AD80+'IS Feb USA'!AD80</f>
        <v>0</v>
      </c>
      <c r="AI80" s="144"/>
      <c r="AJ80" s="144"/>
      <c r="AK80" s="144"/>
      <c r="AL80" s="144"/>
      <c r="AM80" s="144"/>
      <c r="AN80" s="144"/>
      <c r="AO80" s="146"/>
      <c r="AP80" s="144"/>
      <c r="AQ80" s="144"/>
    </row>
    <row r="81" spans="1:43" outlineLevel="1">
      <c r="B81" s="157" t="s">
        <v>67</v>
      </c>
      <c r="C81" s="144">
        <f t="shared" ref="C81:C86" si="103">H81+L81+D81+P81</f>
        <v>1335637.1499999999</v>
      </c>
      <c r="D81" s="144">
        <f t="shared" ref="D81:D86" si="104">SUM(E81:G81)</f>
        <v>0</v>
      </c>
      <c r="E81" s="144">
        <f>'IS Feb KSA'!E81+'IS Feb USA'!E81</f>
        <v>0</v>
      </c>
      <c r="F81" s="144">
        <f>'IS Feb KSA'!F81+'IS Feb USA'!F81</f>
        <v>0</v>
      </c>
      <c r="G81" s="144">
        <f>'IS Feb KSA'!G81+'IS Feb USA'!G81</f>
        <v>0</v>
      </c>
      <c r="H81" s="144">
        <f t="shared" si="97"/>
        <v>0</v>
      </c>
      <c r="I81" s="144">
        <f>'IS Feb KSA'!I81+'IS Feb USA'!I81</f>
        <v>0</v>
      </c>
      <c r="J81" s="144">
        <f>'IS Feb KSA'!F81+'IS Feb USA'!F81</f>
        <v>0</v>
      </c>
      <c r="K81" s="144">
        <f>'IS Feb KSA'!G81+'IS Feb USA'!G81</f>
        <v>0</v>
      </c>
      <c r="L81" s="144">
        <f t="shared" si="84"/>
        <v>0</v>
      </c>
      <c r="M81" s="144">
        <f>'IS Feb KSA'!M81+'IS Feb USA'!M81</f>
        <v>0</v>
      </c>
      <c r="N81" s="144">
        <f>'IS Feb KSA'!N81+'IS Feb USA'!N81</f>
        <v>0</v>
      </c>
      <c r="O81" s="144">
        <f>'IS Feb KSA'!O81+'IS Feb USA'!O81</f>
        <v>0</v>
      </c>
      <c r="P81" s="144">
        <f t="shared" ref="P81:P86" si="105">SUM(Q81:S81)</f>
        <v>1335637.1499999999</v>
      </c>
      <c r="Q81" s="144">
        <f>'IS Feb KSA'!Q81+'IS Feb USA'!Q81</f>
        <v>0</v>
      </c>
      <c r="R81" s="144">
        <f>'IS Feb KSA'!R81+'IS Feb USA'!R81</f>
        <v>662288.54</v>
      </c>
      <c r="S81" s="144">
        <f>'IS Feb KSA'!S81+'IS Feb USA'!S81</f>
        <v>673348.61</v>
      </c>
      <c r="T81" s="197">
        <f t="shared" si="10"/>
        <v>984966.38000000082</v>
      </c>
      <c r="U81" s="197">
        <v>6880425</v>
      </c>
      <c r="V81" s="144">
        <f t="shared" si="86"/>
        <v>5895458.6199999992</v>
      </c>
      <c r="W81" s="197">
        <f t="shared" si="99"/>
        <v>341801.26</v>
      </c>
      <c r="X81" s="144">
        <v>914842.5</v>
      </c>
      <c r="Y81" s="144">
        <f t="shared" si="76"/>
        <v>1701438.0999999999</v>
      </c>
      <c r="Z81" s="144">
        <f>'IS Feb KSA'!V81+'IS Feb USA'!V81</f>
        <v>556441.14</v>
      </c>
      <c r="AA81" s="144">
        <f>'IS Feb KSA'!W81+'IS Feb USA'!W81</f>
        <v>571955.72</v>
      </c>
      <c r="AB81" s="144">
        <f>'IS Feb KSA'!X81+'IS Feb USA'!X81</f>
        <v>573041.24</v>
      </c>
      <c r="AC81" s="144">
        <f t="shared" si="87"/>
        <v>1563140.5</v>
      </c>
      <c r="AD81" s="144">
        <f>'IS Feb KSA'!Z81+'IS Feb USA'!Z81</f>
        <v>558181.69999999995</v>
      </c>
      <c r="AE81" s="144">
        <f>'IS Feb KSA'!AA81+'IS Feb USA'!AA81</f>
        <v>511021.99</v>
      </c>
      <c r="AF81" s="144">
        <f>'IS Feb KSA'!AB81+'IS Feb USA'!AB81</f>
        <v>493936.81</v>
      </c>
      <c r="AG81" s="144">
        <f t="shared" si="88"/>
        <v>1339366.96</v>
      </c>
      <c r="AH81" s="144">
        <f>'IS Feb KSA'!AD81+'IS Feb USA'!AD81</f>
        <v>453897.79000000004</v>
      </c>
      <c r="AI81" s="144">
        <f>'IS Feb KSA'!AE81+'IS Feb USA'!AE81</f>
        <v>460883.53</v>
      </c>
      <c r="AJ81" s="144">
        <f>'IS Feb KSA'!AF81+'IS Feb USA'!AF81</f>
        <v>424585.64</v>
      </c>
      <c r="AK81" s="144">
        <f t="shared" si="89"/>
        <v>1291513.06</v>
      </c>
      <c r="AL81" s="144">
        <f>'IS Feb KSA'!AH81+'IS Feb USA'!AH81</f>
        <v>442003.73</v>
      </c>
      <c r="AM81" s="144">
        <f>'IS Feb KSA'!AI81+'IS Feb USA'!AI81</f>
        <v>409891.01</v>
      </c>
      <c r="AN81" s="144">
        <f>'IS Feb KSA'!AJ81+'IS Feb USA'!AJ81</f>
        <v>439618.31999999995</v>
      </c>
      <c r="AO81" s="146"/>
      <c r="AP81" s="144">
        <v>414829.56</v>
      </c>
      <c r="AQ81" s="144">
        <v>4141100.92</v>
      </c>
    </row>
    <row r="82" spans="1:43" outlineLevel="1">
      <c r="B82" s="157" t="s">
        <v>68</v>
      </c>
      <c r="C82" s="144">
        <f t="shared" si="103"/>
        <v>173902.32</v>
      </c>
      <c r="D82" s="144">
        <f t="shared" si="104"/>
        <v>0</v>
      </c>
      <c r="E82" s="144">
        <f>'IS Feb KSA'!E82+'IS Feb USA'!E82</f>
        <v>0</v>
      </c>
      <c r="F82" s="144">
        <f>'IS Feb KSA'!F82+'IS Feb USA'!F82</f>
        <v>0</v>
      </c>
      <c r="G82" s="144">
        <f>'IS Feb KSA'!G82+'IS Feb USA'!G82</f>
        <v>0</v>
      </c>
      <c r="H82" s="144">
        <f t="shared" si="97"/>
        <v>0</v>
      </c>
      <c r="I82" s="144">
        <f>'IS Feb KSA'!I82+'IS Feb USA'!I82</f>
        <v>0</v>
      </c>
      <c r="J82" s="144">
        <f>'IS Feb KSA'!F82+'IS Feb USA'!F82</f>
        <v>0</v>
      </c>
      <c r="K82" s="144">
        <f>'IS Feb KSA'!G82+'IS Feb USA'!G82</f>
        <v>0</v>
      </c>
      <c r="L82" s="144">
        <f t="shared" si="84"/>
        <v>0</v>
      </c>
      <c r="M82" s="144">
        <f>'IS Feb KSA'!M82+'IS Feb USA'!M82</f>
        <v>0</v>
      </c>
      <c r="N82" s="144">
        <f>'IS Feb KSA'!N82+'IS Feb USA'!N82</f>
        <v>0</v>
      </c>
      <c r="O82" s="144">
        <f>'IS Feb KSA'!O82+'IS Feb USA'!O82</f>
        <v>0</v>
      </c>
      <c r="P82" s="144">
        <f t="shared" si="105"/>
        <v>173902.32</v>
      </c>
      <c r="Q82" s="144">
        <f>'IS Feb KSA'!Q82+'IS Feb USA'!Q82</f>
        <v>0</v>
      </c>
      <c r="R82" s="144">
        <f>'IS Feb KSA'!R82+'IS Feb USA'!R82</f>
        <v>88117.47</v>
      </c>
      <c r="S82" s="144">
        <f>'IS Feb KSA'!S82+'IS Feb USA'!S82</f>
        <v>85784.85</v>
      </c>
      <c r="T82" s="197">
        <f t="shared" si="10"/>
        <v>557798.96</v>
      </c>
      <c r="U82" s="197">
        <v>1376085</v>
      </c>
      <c r="V82" s="144">
        <f t="shared" si="86"/>
        <v>818286.04</v>
      </c>
      <c r="W82" s="197">
        <f t="shared" si="99"/>
        <v>88128.13</v>
      </c>
      <c r="X82" s="144">
        <v>182968.5</v>
      </c>
      <c r="Y82" s="144">
        <f t="shared" si="76"/>
        <v>266137.17</v>
      </c>
      <c r="Z82" s="144">
        <f>'IS Feb KSA'!V82+'IS Feb USA'!V82</f>
        <v>76991.100000000006</v>
      </c>
      <c r="AA82" s="144">
        <f>'IS Feb KSA'!W82+'IS Feb USA'!W82</f>
        <v>94305.7</v>
      </c>
      <c r="AB82" s="144">
        <f>'IS Feb KSA'!X82+'IS Feb USA'!X82</f>
        <v>94840.37</v>
      </c>
      <c r="AC82" s="144">
        <f t="shared" si="87"/>
        <v>218600.13</v>
      </c>
      <c r="AD82" s="144">
        <f>'IS Feb KSA'!Z82+'IS Feb USA'!Z82</f>
        <v>74520.570000000007</v>
      </c>
      <c r="AE82" s="144">
        <f>'IS Feb KSA'!AA82+'IS Feb USA'!AA82</f>
        <v>74520.570000000007</v>
      </c>
      <c r="AF82" s="144">
        <f>'IS Feb KSA'!AB82+'IS Feb USA'!AB82</f>
        <v>69558.990000000005</v>
      </c>
      <c r="AG82" s="144">
        <f t="shared" si="88"/>
        <v>168254.97</v>
      </c>
      <c r="AH82" s="144">
        <f>'IS Feb KSA'!AD82+'IS Feb USA'!AD82</f>
        <v>63768.57</v>
      </c>
      <c r="AI82" s="144">
        <f>'IS Feb KSA'!AE82+'IS Feb USA'!AE82</f>
        <v>53374.07</v>
      </c>
      <c r="AJ82" s="144">
        <f>'IS Feb KSA'!AF82+'IS Feb USA'!AF82</f>
        <v>51112.33</v>
      </c>
      <c r="AK82" s="144">
        <f t="shared" si="89"/>
        <v>165293.76999999999</v>
      </c>
      <c r="AL82" s="144">
        <f>'IS Feb KSA'!AH82+'IS Feb USA'!AH82</f>
        <v>54676.09</v>
      </c>
      <c r="AM82" s="144">
        <f>'IS Feb KSA'!AI82+'IS Feb USA'!AI82</f>
        <v>50710.09</v>
      </c>
      <c r="AN82" s="144">
        <f>'IS Feb KSA'!AJ82+'IS Feb USA'!AJ82</f>
        <v>59907.59</v>
      </c>
      <c r="AO82" s="146"/>
      <c r="AP82" s="144">
        <v>58989.69</v>
      </c>
      <c r="AQ82" s="144">
        <v>495183.73000000004</v>
      </c>
    </row>
    <row r="83" spans="1:43" outlineLevel="1">
      <c r="B83" s="157" t="s">
        <v>69</v>
      </c>
      <c r="C83" s="144">
        <f t="shared" si="103"/>
        <v>10753.89</v>
      </c>
      <c r="D83" s="144">
        <f t="shared" si="104"/>
        <v>0</v>
      </c>
      <c r="E83" s="144">
        <f>'IS Feb KSA'!E83+'IS Feb USA'!E83</f>
        <v>0</v>
      </c>
      <c r="F83" s="144">
        <f>'IS Feb KSA'!F83+'IS Feb USA'!F83</f>
        <v>0</v>
      </c>
      <c r="G83" s="144">
        <f>'IS Feb KSA'!G83+'IS Feb USA'!G83</f>
        <v>0</v>
      </c>
      <c r="H83" s="144">
        <f t="shared" si="97"/>
        <v>0</v>
      </c>
      <c r="I83" s="144">
        <f>'IS Feb KSA'!I83+'IS Feb USA'!I83</f>
        <v>0</v>
      </c>
      <c r="J83" s="144">
        <f>'IS Feb KSA'!F83+'IS Feb USA'!F83</f>
        <v>0</v>
      </c>
      <c r="K83" s="144">
        <f>'IS Feb KSA'!G83+'IS Feb USA'!G83</f>
        <v>0</v>
      </c>
      <c r="L83" s="144">
        <f t="shared" si="84"/>
        <v>0</v>
      </c>
      <c r="M83" s="144">
        <f>'IS Feb KSA'!M83+'IS Feb USA'!M83</f>
        <v>0</v>
      </c>
      <c r="N83" s="144">
        <f>'IS Feb KSA'!N83+'IS Feb USA'!N83</f>
        <v>0</v>
      </c>
      <c r="O83" s="144">
        <f>'IS Feb KSA'!O83+'IS Feb USA'!O83</f>
        <v>0</v>
      </c>
      <c r="P83" s="144">
        <f t="shared" si="105"/>
        <v>10753.89</v>
      </c>
      <c r="Q83" s="144">
        <f>'IS Feb KSA'!Q83+'IS Feb USA'!Q83</f>
        <v>0</v>
      </c>
      <c r="R83" s="144">
        <f>'IS Feb KSA'!R83+'IS Feb USA'!R83</f>
        <v>2843</v>
      </c>
      <c r="S83" s="144">
        <f>'IS Feb KSA'!S83+'IS Feb USA'!S83</f>
        <v>7910.89</v>
      </c>
      <c r="T83" s="197">
        <f t="shared" si="10"/>
        <v>-179694.07519776831</v>
      </c>
      <c r="U83" s="197">
        <v>38077.554802231702</v>
      </c>
      <c r="V83" s="144">
        <f t="shared" si="86"/>
        <v>217771.63</v>
      </c>
      <c r="W83" s="197">
        <f t="shared" si="99"/>
        <v>2611.71589556254</v>
      </c>
      <c r="X83" s="144">
        <v>6034.71589556254</v>
      </c>
      <c r="Y83" s="144">
        <f t="shared" si="76"/>
        <v>100394</v>
      </c>
      <c r="Z83" s="144">
        <f>'IS Feb KSA'!V83+'IS Feb USA'!V83</f>
        <v>57935.5</v>
      </c>
      <c r="AA83" s="144">
        <f>'IS Feb KSA'!W83+'IS Feb USA'!W83</f>
        <v>39035.5</v>
      </c>
      <c r="AB83" s="144">
        <f>'IS Feb KSA'!X83+'IS Feb USA'!X83</f>
        <v>3423</v>
      </c>
      <c r="AC83" s="144">
        <f t="shared" si="87"/>
        <v>44744.3</v>
      </c>
      <c r="AD83" s="144">
        <f>'IS Feb KSA'!Z83+'IS Feb USA'!Z83</f>
        <v>3010.5</v>
      </c>
      <c r="AE83" s="144">
        <f>'IS Feb KSA'!AA83+'IS Feb USA'!AA83</f>
        <v>1633.8</v>
      </c>
      <c r="AF83" s="144">
        <f>'IS Feb KSA'!AB83+'IS Feb USA'!AB83</f>
        <v>40100</v>
      </c>
      <c r="AG83" s="144">
        <f t="shared" si="88"/>
        <v>36000</v>
      </c>
      <c r="AH83" s="144">
        <f>'IS Feb KSA'!AD83+'IS Feb USA'!AD83</f>
        <v>36000</v>
      </c>
      <c r="AI83" s="144">
        <f>'IS Feb KSA'!AE83+'IS Feb USA'!AE83</f>
        <v>0</v>
      </c>
      <c r="AJ83" s="144">
        <f>'IS Feb KSA'!AF83+'IS Feb USA'!AF83</f>
        <v>0</v>
      </c>
      <c r="AK83" s="144">
        <f t="shared" si="89"/>
        <v>36633.33</v>
      </c>
      <c r="AL83" s="144">
        <f>'IS Feb KSA'!AH83+'IS Feb USA'!AH83</f>
        <v>36633.33</v>
      </c>
      <c r="AM83" s="144">
        <f>'IS Feb KSA'!AI83+'IS Feb USA'!AI83</f>
        <v>0</v>
      </c>
      <c r="AN83" s="144">
        <f>'IS Feb KSA'!AJ83+'IS Feb USA'!AJ83</f>
        <v>0</v>
      </c>
      <c r="AO83" s="146"/>
      <c r="AP83" s="144">
        <v>0</v>
      </c>
      <c r="AQ83" s="144">
        <v>52758.849999999991</v>
      </c>
    </row>
    <row r="84" spans="1:43" outlineLevel="1">
      <c r="B84" s="157" t="s">
        <v>70</v>
      </c>
      <c r="C84" s="144">
        <f t="shared" si="103"/>
        <v>69609.81</v>
      </c>
      <c r="D84" s="144">
        <f t="shared" si="104"/>
        <v>0</v>
      </c>
      <c r="E84" s="144">
        <f>'IS Feb KSA'!E84+'IS Feb USA'!E84</f>
        <v>0</v>
      </c>
      <c r="F84" s="144">
        <f>'IS Feb KSA'!F84+'IS Feb USA'!F84</f>
        <v>0</v>
      </c>
      <c r="G84" s="144">
        <f>'IS Feb KSA'!G84+'IS Feb USA'!G84</f>
        <v>0</v>
      </c>
      <c r="H84" s="144">
        <f t="shared" si="97"/>
        <v>0</v>
      </c>
      <c r="I84" s="144">
        <f>'IS Feb KSA'!I84+'IS Feb USA'!I84</f>
        <v>0</v>
      </c>
      <c r="J84" s="144">
        <f>'IS Feb KSA'!F84+'IS Feb USA'!F84</f>
        <v>0</v>
      </c>
      <c r="K84" s="144">
        <f>'IS Feb KSA'!G84+'IS Feb USA'!G84</f>
        <v>0</v>
      </c>
      <c r="L84" s="144">
        <f t="shared" si="84"/>
        <v>0</v>
      </c>
      <c r="M84" s="144">
        <f>'IS Feb KSA'!M84+'IS Feb USA'!M84</f>
        <v>0</v>
      </c>
      <c r="N84" s="144">
        <f>'IS Feb KSA'!N84+'IS Feb USA'!N84</f>
        <v>0</v>
      </c>
      <c r="O84" s="144">
        <f>'IS Feb KSA'!O84+'IS Feb USA'!O84</f>
        <v>0</v>
      </c>
      <c r="P84" s="144">
        <f t="shared" si="105"/>
        <v>69609.81</v>
      </c>
      <c r="Q84" s="144">
        <f>'IS Feb KSA'!Q84+'IS Feb USA'!Q84</f>
        <v>0</v>
      </c>
      <c r="R84" s="144">
        <f>'IS Feb KSA'!R84+'IS Feb USA'!R84</f>
        <v>35270.870000000003</v>
      </c>
      <c r="S84" s="144">
        <f>'IS Feb KSA'!S84+'IS Feb USA'!S84</f>
        <v>34338.94</v>
      </c>
      <c r="T84" s="197">
        <f t="shared" si="10"/>
        <v>583289.64999999991</v>
      </c>
      <c r="U84" s="197">
        <v>917390</v>
      </c>
      <c r="V84" s="144">
        <f t="shared" si="86"/>
        <v>334100.35000000003</v>
      </c>
      <c r="W84" s="197">
        <f t="shared" si="99"/>
        <v>84019.97</v>
      </c>
      <c r="X84" s="144">
        <v>121979</v>
      </c>
      <c r="Y84" s="144">
        <f t="shared" si="76"/>
        <v>106520.34</v>
      </c>
      <c r="Z84" s="144">
        <f>'IS Feb KSA'!V84+'IS Feb USA'!V84</f>
        <v>30815.38</v>
      </c>
      <c r="AA84" s="144">
        <f>'IS Feb KSA'!W84+'IS Feb USA'!W84</f>
        <v>37745.93</v>
      </c>
      <c r="AB84" s="144">
        <f>'IS Feb KSA'!X84+'IS Feb USA'!X84</f>
        <v>37959.03</v>
      </c>
      <c r="AC84" s="144">
        <f t="shared" si="87"/>
        <v>91694.9</v>
      </c>
      <c r="AD84" s="144">
        <f>'IS Feb KSA'!Z84+'IS Feb USA'!Z84</f>
        <v>31227.67</v>
      </c>
      <c r="AE84" s="144">
        <f>'IS Feb KSA'!AA84+'IS Feb USA'!AA84</f>
        <v>31227.67</v>
      </c>
      <c r="AF84" s="144">
        <f>'IS Feb KSA'!AB84+'IS Feb USA'!AB84</f>
        <v>29239.56</v>
      </c>
      <c r="AG84" s="144">
        <f t="shared" si="88"/>
        <v>68742.42</v>
      </c>
      <c r="AH84" s="144">
        <f>'IS Feb KSA'!AD84+'IS Feb USA'!AD84</f>
        <v>26923.29</v>
      </c>
      <c r="AI84" s="144">
        <f>'IS Feb KSA'!AE84+'IS Feb USA'!AE84</f>
        <v>21363.119999999999</v>
      </c>
      <c r="AJ84" s="144">
        <f>'IS Feb KSA'!AF84+'IS Feb USA'!AF84</f>
        <v>20456.009999999998</v>
      </c>
      <c r="AK84" s="144">
        <f t="shared" si="89"/>
        <v>67142.69</v>
      </c>
      <c r="AL84" s="144">
        <f>'IS Feb KSA'!AH84+'IS Feb USA'!AH84</f>
        <v>22878.58</v>
      </c>
      <c r="AM84" s="144">
        <f>'IS Feb KSA'!AI84+'IS Feb USA'!AI84</f>
        <v>20292.080000000002</v>
      </c>
      <c r="AN84" s="144">
        <f>'IS Feb KSA'!AJ84+'IS Feb USA'!AJ84</f>
        <v>23972.03</v>
      </c>
      <c r="AO84" s="146"/>
      <c r="AP84" s="144">
        <v>23601.29</v>
      </c>
      <c r="AQ84" s="144">
        <v>207649.09</v>
      </c>
    </row>
    <row r="85" spans="1:43" outlineLevel="1">
      <c r="B85" s="157" t="s">
        <v>71</v>
      </c>
      <c r="C85" s="144">
        <f t="shared" si="103"/>
        <v>0</v>
      </c>
      <c r="D85" s="144">
        <f t="shared" si="104"/>
        <v>0</v>
      </c>
      <c r="E85" s="144">
        <f>'IS Feb KSA'!E85+'IS Feb USA'!E85</f>
        <v>0</v>
      </c>
      <c r="F85" s="144">
        <f>'IS Feb KSA'!F85+'IS Feb USA'!F85</f>
        <v>0</v>
      </c>
      <c r="G85" s="144">
        <f>'IS Feb KSA'!G85+'IS Feb USA'!G85</f>
        <v>0</v>
      </c>
      <c r="H85" s="144">
        <f t="shared" si="97"/>
        <v>0</v>
      </c>
      <c r="I85" s="144">
        <f>'IS Feb KSA'!I85+'IS Feb USA'!I85</f>
        <v>0</v>
      </c>
      <c r="J85" s="144">
        <f>'IS Feb KSA'!F85+'IS Feb USA'!F85</f>
        <v>0</v>
      </c>
      <c r="K85" s="144">
        <f>'IS Feb KSA'!G85+'IS Feb USA'!G85</f>
        <v>0</v>
      </c>
      <c r="L85" s="144">
        <f t="shared" si="84"/>
        <v>0</v>
      </c>
      <c r="M85" s="144">
        <f>'IS Feb KSA'!M85+'IS Feb USA'!M85</f>
        <v>0</v>
      </c>
      <c r="N85" s="144">
        <f>'IS Feb KSA'!N85+'IS Feb USA'!N85</f>
        <v>0</v>
      </c>
      <c r="O85" s="144">
        <f>'IS Feb KSA'!O85+'IS Feb USA'!O85</f>
        <v>0</v>
      </c>
      <c r="P85" s="144">
        <f t="shared" si="105"/>
        <v>0</v>
      </c>
      <c r="Q85" s="144">
        <f>'IS Feb KSA'!Q85+'IS Feb USA'!Q85</f>
        <v>0</v>
      </c>
      <c r="R85" s="144">
        <f>'IS Feb KSA'!R85+'IS Feb USA'!R85</f>
        <v>0</v>
      </c>
      <c r="S85" s="144">
        <f>'IS Feb KSA'!S85+'IS Feb USA'!S85</f>
        <v>0</v>
      </c>
      <c r="T85" s="197">
        <f t="shared" si="10"/>
        <v>121532.85999999999</v>
      </c>
      <c r="U85" s="197">
        <v>194280.3</v>
      </c>
      <c r="V85" s="144">
        <f t="shared" si="86"/>
        <v>72747.44</v>
      </c>
      <c r="W85" s="197">
        <f t="shared" si="99"/>
        <v>23962.904999999999</v>
      </c>
      <c r="X85" s="144">
        <v>23962.904999999999</v>
      </c>
      <c r="Y85" s="144">
        <f t="shared" si="76"/>
        <v>52741.04</v>
      </c>
      <c r="Z85" s="144">
        <f>'IS Feb KSA'!V85+'IS Feb USA'!V85</f>
        <v>52741.04</v>
      </c>
      <c r="AA85" s="144">
        <f>'IS Feb KSA'!W85+'IS Feb USA'!W85</f>
        <v>0</v>
      </c>
      <c r="AB85" s="144">
        <f>'IS Feb KSA'!X85+'IS Feb USA'!X85</f>
        <v>0</v>
      </c>
      <c r="AC85" s="144">
        <f t="shared" si="87"/>
        <v>13500</v>
      </c>
      <c r="AD85" s="144">
        <f>'IS Feb KSA'!Z85+'IS Feb USA'!Z85</f>
        <v>0</v>
      </c>
      <c r="AE85" s="144">
        <f>'IS Feb KSA'!AA85+'IS Feb USA'!AA85</f>
        <v>0</v>
      </c>
      <c r="AF85" s="144">
        <f>'IS Feb KSA'!AB85+'IS Feb USA'!AB85</f>
        <v>13500</v>
      </c>
      <c r="AG85" s="144">
        <f t="shared" si="88"/>
        <v>0</v>
      </c>
      <c r="AH85" s="144">
        <f>'IS Feb KSA'!AD85+'IS Feb USA'!AD85</f>
        <v>0</v>
      </c>
      <c r="AI85" s="144">
        <f>'IS Feb KSA'!AE85+'IS Feb USA'!AE85</f>
        <v>0</v>
      </c>
      <c r="AJ85" s="144">
        <f>'IS Feb KSA'!AF85+'IS Feb USA'!AF85</f>
        <v>0</v>
      </c>
      <c r="AK85" s="144">
        <f t="shared" si="89"/>
        <v>6506.4</v>
      </c>
      <c r="AL85" s="144">
        <f>'IS Feb KSA'!AH85+'IS Feb USA'!AH85</f>
        <v>3500</v>
      </c>
      <c r="AM85" s="144">
        <f>'IS Feb KSA'!AI85+'IS Feb USA'!AI85</f>
        <v>0</v>
      </c>
      <c r="AN85" s="144">
        <f>'IS Feb KSA'!AJ85+'IS Feb USA'!AJ85</f>
        <v>3006.4</v>
      </c>
      <c r="AO85" s="146"/>
      <c r="AP85" s="144">
        <v>108401.43999999999</v>
      </c>
      <c r="AQ85" s="144">
        <v>130235.93</v>
      </c>
    </row>
    <row r="86" spans="1:43" outlineLevel="1">
      <c r="B86" s="157" t="s">
        <v>72</v>
      </c>
      <c r="C86" s="144">
        <f t="shared" si="103"/>
        <v>7546.59</v>
      </c>
      <c r="D86" s="144">
        <f t="shared" si="104"/>
        <v>0</v>
      </c>
      <c r="E86" s="144">
        <f>'IS Feb KSA'!E86+'IS Feb USA'!E86</f>
        <v>0</v>
      </c>
      <c r="F86" s="144">
        <f>'IS Feb KSA'!F86+'IS Feb USA'!F86</f>
        <v>0</v>
      </c>
      <c r="G86" s="144">
        <f>'IS Feb KSA'!G86+'IS Feb USA'!G86</f>
        <v>0</v>
      </c>
      <c r="H86" s="144">
        <f t="shared" si="97"/>
        <v>0</v>
      </c>
      <c r="I86" s="144">
        <f>'IS Feb KSA'!I86+'IS Feb USA'!I86</f>
        <v>0</v>
      </c>
      <c r="J86" s="144">
        <f>'IS Feb KSA'!F86+'IS Feb USA'!F86</f>
        <v>0</v>
      </c>
      <c r="K86" s="144">
        <f>'IS Feb KSA'!G86+'IS Feb USA'!G86</f>
        <v>0</v>
      </c>
      <c r="L86" s="144">
        <f t="shared" si="84"/>
        <v>0</v>
      </c>
      <c r="M86" s="144">
        <f>'IS Feb KSA'!M86+'IS Feb USA'!M86</f>
        <v>0</v>
      </c>
      <c r="N86" s="144">
        <f>'IS Feb KSA'!N86+'IS Feb USA'!N86</f>
        <v>0</v>
      </c>
      <c r="O86" s="144">
        <f>'IS Feb KSA'!O86+'IS Feb USA'!O86</f>
        <v>0</v>
      </c>
      <c r="P86" s="144">
        <f t="shared" si="105"/>
        <v>7546.59</v>
      </c>
      <c r="Q86" s="144">
        <f>'IS Feb KSA'!Q86+'IS Feb USA'!Q86</f>
        <v>0</v>
      </c>
      <c r="R86" s="144">
        <f>'IS Feb KSA'!R86+'IS Feb USA'!R86</f>
        <v>355.28</v>
      </c>
      <c r="S86" s="144">
        <f>'IS Feb KSA'!S86+'IS Feb USA'!S86</f>
        <v>7191.31</v>
      </c>
      <c r="T86" s="197">
        <f t="shared" si="10"/>
        <v>32015.938888888897</v>
      </c>
      <c r="U86" s="197">
        <v>50388.888888888898</v>
      </c>
      <c r="V86" s="144">
        <f t="shared" si="86"/>
        <v>18372.95</v>
      </c>
      <c r="W86" s="197">
        <f t="shared" si="99"/>
        <v>4680.48888888889</v>
      </c>
      <c r="X86" s="144">
        <v>5038.8888888888896</v>
      </c>
      <c r="Y86" s="144">
        <f t="shared" si="76"/>
        <v>9675.2800000000007</v>
      </c>
      <c r="Z86" s="144">
        <f>'IS Feb KSA'!V86+'IS Feb USA'!V86</f>
        <v>4758.53</v>
      </c>
      <c r="AA86" s="144">
        <f>'IS Feb KSA'!W86+'IS Feb USA'!W86</f>
        <v>4558.3500000000004</v>
      </c>
      <c r="AB86" s="144">
        <f>'IS Feb KSA'!X86+'IS Feb USA'!X86</f>
        <v>358.4</v>
      </c>
      <c r="AC86" s="144">
        <f t="shared" si="87"/>
        <v>5207.41</v>
      </c>
      <c r="AD86" s="144">
        <f>'IS Feb KSA'!Z86+'IS Feb USA'!Z86</f>
        <v>3816.94</v>
      </c>
      <c r="AE86" s="144">
        <f>'IS Feb KSA'!AA86+'IS Feb USA'!AA86</f>
        <v>1390.47</v>
      </c>
      <c r="AF86" s="144">
        <f>'IS Feb KSA'!AB86+'IS Feb USA'!AB86</f>
        <v>0</v>
      </c>
      <c r="AG86" s="144">
        <f t="shared" si="88"/>
        <v>3490.26</v>
      </c>
      <c r="AH86" s="144">
        <f>'IS Feb KSA'!AD86+'IS Feb USA'!AD86</f>
        <v>3490.26</v>
      </c>
      <c r="AI86" s="144">
        <f>'IS Feb KSA'!AE86+'IS Feb USA'!AE86</f>
        <v>0</v>
      </c>
      <c r="AJ86" s="144">
        <f>'IS Feb KSA'!AF86+'IS Feb USA'!AF86</f>
        <v>0</v>
      </c>
      <c r="AK86" s="144">
        <f t="shared" si="89"/>
        <v>0</v>
      </c>
      <c r="AL86" s="144">
        <f>'IS Feb KSA'!AH86+'IS Feb USA'!AH86</f>
        <v>0</v>
      </c>
      <c r="AM86" s="144">
        <f>'IS Feb KSA'!AI86+'IS Feb USA'!AI86</f>
        <v>0</v>
      </c>
      <c r="AN86" s="144">
        <f>'IS Feb KSA'!AJ86+'IS Feb USA'!AJ86</f>
        <v>0</v>
      </c>
      <c r="AO86" s="146"/>
      <c r="AP86" s="144">
        <v>0</v>
      </c>
      <c r="AQ86" s="144">
        <v>3571.25</v>
      </c>
    </row>
    <row r="87" spans="1:43" s="151" customFormat="1">
      <c r="A87" s="147"/>
      <c r="B87" s="148" t="s">
        <v>73</v>
      </c>
      <c r="C87" s="149">
        <f>+C65+C60+C56+C39+C19</f>
        <v>2650587.7300000004</v>
      </c>
      <c r="D87" s="149">
        <f>+D65+D60+D56+D39+D19</f>
        <v>0</v>
      </c>
      <c r="E87" s="149">
        <f t="shared" ref="E87:F87" si="106">+E65+E60+E56+E39+E19</f>
        <v>0</v>
      </c>
      <c r="F87" s="149">
        <f t="shared" si="106"/>
        <v>0</v>
      </c>
      <c r="G87" s="149">
        <f>+G65+G60+G56+G39+G19</f>
        <v>0</v>
      </c>
      <c r="H87" s="149">
        <f t="shared" ref="H87:K87" si="107">+H65+H60+H56+H39+H19</f>
        <v>0</v>
      </c>
      <c r="I87" s="149">
        <f t="shared" si="107"/>
        <v>0</v>
      </c>
      <c r="J87" s="149">
        <f t="shared" si="107"/>
        <v>0</v>
      </c>
      <c r="K87" s="149">
        <f t="shared" si="107"/>
        <v>0</v>
      </c>
      <c r="L87" s="149">
        <f>+L65+L60+L56+L39+L19</f>
        <v>0</v>
      </c>
      <c r="M87" s="149">
        <f>+M65+M60+M56+M39+M19</f>
        <v>0</v>
      </c>
      <c r="N87" s="149">
        <f t="shared" ref="N87:S87" si="108">+N65+N60+N56+N39+N19</f>
        <v>0</v>
      </c>
      <c r="O87" s="149">
        <f t="shared" si="108"/>
        <v>0</v>
      </c>
      <c r="P87" s="149">
        <f t="shared" si="108"/>
        <v>2650587.7300000004</v>
      </c>
      <c r="Q87" s="149">
        <f t="shared" si="108"/>
        <v>0</v>
      </c>
      <c r="R87" s="149">
        <f t="shared" si="108"/>
        <v>1240528.9700000002</v>
      </c>
      <c r="S87" s="149">
        <f t="shared" si="108"/>
        <v>1410058.76</v>
      </c>
      <c r="T87" s="203">
        <f t="shared" si="10"/>
        <v>-2009239.9171433747</v>
      </c>
      <c r="U87" s="149">
        <f>+U65+U60+U56+U39+U19</f>
        <v>14819689.822856627</v>
      </c>
      <c r="V87" s="149">
        <f>+V65+V60+V56+V39+V19</f>
        <v>16828929.740000002</v>
      </c>
      <c r="W87" s="197">
        <f t="shared" si="99"/>
        <v>-180377.00387317198</v>
      </c>
      <c r="X87" s="149">
        <f>+X65+X60+X56+X39+X19</f>
        <v>1959023.746126828</v>
      </c>
      <c r="Y87" s="149">
        <f>+Y65+Y60+Y56+Y39+Y19</f>
        <v>6629798.7699999996</v>
      </c>
      <c r="Z87" s="149">
        <f t="shared" ref="Z87:AN87" si="109">+Z65+Z60+Z56+Z39+Z19</f>
        <v>2312310.1800000002</v>
      </c>
      <c r="AA87" s="149">
        <f t="shared" si="109"/>
        <v>2178087.84</v>
      </c>
      <c r="AB87" s="149">
        <f>+AB65+AB60+AB56+AB39+AB19</f>
        <v>2139400.75</v>
      </c>
      <c r="AC87" s="149">
        <f t="shared" si="109"/>
        <v>4012398.8299999996</v>
      </c>
      <c r="AD87" s="149">
        <f t="shared" si="109"/>
        <v>1401691.35</v>
      </c>
      <c r="AE87" s="149">
        <f t="shared" si="109"/>
        <v>1217571.52</v>
      </c>
      <c r="AF87" s="149">
        <f t="shared" si="109"/>
        <v>1393135.9600000002</v>
      </c>
      <c r="AG87" s="149">
        <f>+AG65+AG60+AG56+AG39+AG19</f>
        <v>3352201.5</v>
      </c>
      <c r="AH87" s="149">
        <f>+AH65+AH60+AH56+AH39+AH19</f>
        <v>1274013.99</v>
      </c>
      <c r="AI87" s="149">
        <f t="shared" si="109"/>
        <v>1090695.3500000001</v>
      </c>
      <c r="AJ87" s="149">
        <f t="shared" si="109"/>
        <v>987492.16</v>
      </c>
      <c r="AK87" s="149">
        <f t="shared" si="109"/>
        <v>2834530.64</v>
      </c>
      <c r="AL87" s="149">
        <f t="shared" si="109"/>
        <v>931790.6399999999</v>
      </c>
      <c r="AM87" s="149">
        <f t="shared" si="109"/>
        <v>956735.61</v>
      </c>
      <c r="AN87" s="149">
        <f t="shared" si="109"/>
        <v>946004.39</v>
      </c>
      <c r="AO87" s="150"/>
      <c r="AP87" s="149">
        <f>+AP65+AP60+AP56+AP39+AP19</f>
        <v>1379932.59</v>
      </c>
      <c r="AQ87" s="149">
        <f>+AQ65+AQ60+AQ56+AQ39+AQ19</f>
        <v>8738025.2999999989</v>
      </c>
    </row>
    <row r="88" spans="1:43">
      <c r="B88" s="160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61"/>
      <c r="Q88" s="146"/>
      <c r="R88" s="146"/>
      <c r="S88" s="146"/>
      <c r="T88" s="160"/>
      <c r="U88" s="204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61"/>
      <c r="AL88" s="146"/>
      <c r="AM88" s="146"/>
      <c r="AN88" s="146"/>
      <c r="AO88" s="146"/>
      <c r="AP88" s="146"/>
      <c r="AQ88" s="146"/>
    </row>
    <row r="89" spans="1:43">
      <c r="B89" s="160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60"/>
      <c r="U89" s="204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</row>
    <row r="90" spans="1:43">
      <c r="B90" s="143" t="s">
        <v>74</v>
      </c>
      <c r="C90" s="144">
        <f>H90+L90+D90+P90</f>
        <v>920647.30999999866</v>
      </c>
      <c r="D90" s="149">
        <f>SUM(E90:G90)</f>
        <v>0</v>
      </c>
      <c r="E90" s="144">
        <f>'IS Feb KSA'!E90+'IS Feb USA'!E90</f>
        <v>0</v>
      </c>
      <c r="F90" s="144">
        <f>'IS Feb KSA'!F90+'IS Feb USA'!F90</f>
        <v>0</v>
      </c>
      <c r="G90" s="144">
        <f>'IS Feb KSA'!G90+'IS Feb USA'!G90</f>
        <v>0</v>
      </c>
      <c r="H90" s="144">
        <f>H17-H87</f>
        <v>0</v>
      </c>
      <c r="I90" s="144">
        <f>'IS Feb KSA'!I90+'IS Feb USA'!I90</f>
        <v>0</v>
      </c>
      <c r="J90" s="144">
        <f>'IS Feb KSA'!F90+'IS Feb USA'!F90</f>
        <v>0</v>
      </c>
      <c r="K90" s="144">
        <f>'IS Feb KSA'!G90+'IS Feb USA'!G90</f>
        <v>0</v>
      </c>
      <c r="L90" s="144">
        <f>SUM(M90:O90)</f>
        <v>0</v>
      </c>
      <c r="M90" s="144">
        <f>'IS Feb KSA'!M90+'IS Feb USA'!M90</f>
        <v>0</v>
      </c>
      <c r="N90" s="144">
        <f>'IS Feb KSA'!N90+'IS Feb USA'!N90</f>
        <v>0</v>
      </c>
      <c r="O90" s="144">
        <f>'IS Feb KSA'!O90+'IS Feb USA'!O90</f>
        <v>0</v>
      </c>
      <c r="P90" s="144">
        <f t="shared" ref="P90:S90" si="110">P17-P87</f>
        <v>920647.30999999866</v>
      </c>
      <c r="Q90" s="144">
        <f>Q17-Q87</f>
        <v>0</v>
      </c>
      <c r="R90" s="144">
        <f t="shared" si="110"/>
        <v>644392.51000000024</v>
      </c>
      <c r="S90" s="144">
        <f t="shared" si="110"/>
        <v>276254.80000000051</v>
      </c>
      <c r="T90" s="197">
        <f t="shared" ref="T90" si="111">U90-V90</f>
        <v>1965134.8116443572</v>
      </c>
      <c r="U90" s="144">
        <f>U17-U87</f>
        <v>2272500.1716443598</v>
      </c>
      <c r="V90" s="144">
        <f>AC90+AG90+Y90+AK90</f>
        <v>307365.36000000266</v>
      </c>
      <c r="W90" s="197">
        <f>X90-AE90</f>
        <v>1213798.3114119445</v>
      </c>
      <c r="X90" s="144">
        <f>SUM(X14+X16+X15)-X87</f>
        <v>749829.57141194376</v>
      </c>
      <c r="Y90" s="149">
        <f>SUM(Z90:AB90)</f>
        <v>-192326.29999999935</v>
      </c>
      <c r="Z90" s="144">
        <f>SUM(Z14+Z16+Z15)-Z87</f>
        <v>469489.55000000028</v>
      </c>
      <c r="AA90" s="144">
        <f>SUM(AA14+AA16+AA15)-AA87</f>
        <v>-239527.19999999925</v>
      </c>
      <c r="AB90" s="144">
        <f>SUM(AB14+AB16+AB15)-AB87</f>
        <v>-422288.65000000037</v>
      </c>
      <c r="AC90" s="144">
        <f>AC17-AC87</f>
        <v>86660.119999998715</v>
      </c>
      <c r="AD90" s="144">
        <f>SUM(AD14+AD16+AD15)-AD87</f>
        <v>-415126.72000000114</v>
      </c>
      <c r="AE90" s="144">
        <f>SUM(AE14+AE16+AE15)-AE87</f>
        <v>-463968.74000000069</v>
      </c>
      <c r="AF90" s="144">
        <f>SUM(AF14+AF16+AF15)-AF87</f>
        <v>965755.57999999984</v>
      </c>
      <c r="AG90" s="144">
        <f>AG17-AG87</f>
        <v>17083.840000004508</v>
      </c>
      <c r="AH90" s="144">
        <f>SUM(AH14+AH16+AH15)-AH87</f>
        <v>-148475.60000000033</v>
      </c>
      <c r="AI90" s="144">
        <f t="shared" ref="AI90:AN90" si="112">AI17-AI87</f>
        <v>136083.55000000028</v>
      </c>
      <c r="AJ90" s="144">
        <f t="shared" si="112"/>
        <v>29475.889999998966</v>
      </c>
      <c r="AK90" s="144">
        <f t="shared" si="112"/>
        <v>395947.69999999879</v>
      </c>
      <c r="AL90" s="144">
        <f t="shared" si="112"/>
        <v>351766.70999999973</v>
      </c>
      <c r="AM90" s="144">
        <f t="shared" si="112"/>
        <v>80592.840000000782</v>
      </c>
      <c r="AN90" s="144">
        <f t="shared" si="112"/>
        <v>-36411.850000000559</v>
      </c>
      <c r="AO90" s="145"/>
      <c r="AP90" s="144">
        <v>-338792.37000000034</v>
      </c>
      <c r="AQ90" s="144">
        <v>-1058242.6500000018</v>
      </c>
    </row>
    <row r="91" spans="1:43">
      <c r="B91" s="160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60"/>
      <c r="U91" s="204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</row>
    <row r="92" spans="1:43">
      <c r="B92" s="160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60"/>
      <c r="U92" s="204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</row>
    <row r="93" spans="1:43">
      <c r="B93" s="143" t="s">
        <v>75</v>
      </c>
      <c r="C93" s="144">
        <f>H93+L93+D93+P93</f>
        <v>-8593.23</v>
      </c>
      <c r="D93" s="144">
        <f>SUM(E93:G93)</f>
        <v>0</v>
      </c>
      <c r="E93" s="144">
        <f>'IS Feb KSA'!E93+'IS Feb USA'!E93</f>
        <v>0</v>
      </c>
      <c r="F93" s="144">
        <f>'IS Feb KSA'!F93+'IS Feb USA'!F93</f>
        <v>0</v>
      </c>
      <c r="G93" s="144">
        <f>'IS Feb KSA'!G93+'IS Feb USA'!G93</f>
        <v>0</v>
      </c>
      <c r="H93" s="144">
        <f>I93+J93+K93</f>
        <v>0</v>
      </c>
      <c r="I93" s="144">
        <f>'IS Feb KSA'!I93+'IS Feb USA'!I93</f>
        <v>0</v>
      </c>
      <c r="J93" s="144">
        <f>'IS Feb KSA'!F93+'IS Feb USA'!F93</f>
        <v>0</v>
      </c>
      <c r="K93" s="144">
        <f>'IS Feb KSA'!G93+'IS Feb USA'!G93</f>
        <v>0</v>
      </c>
      <c r="L93" s="144">
        <f>SUM(M93:O93)</f>
        <v>0</v>
      </c>
      <c r="M93" s="144">
        <f>'IS Feb KSA'!M93+'IS Feb USA'!M93</f>
        <v>0</v>
      </c>
      <c r="N93" s="144">
        <f>'IS Feb KSA'!N93+'IS Feb USA'!N93</f>
        <v>0</v>
      </c>
      <c r="O93" s="144">
        <f>'IS Feb KSA'!O93+'IS Feb USA'!O93</f>
        <v>0</v>
      </c>
      <c r="P93" s="144">
        <f>SUM(Q93:S93)</f>
        <v>-8593.23</v>
      </c>
      <c r="Q93" s="144">
        <f>'IS Feb KSA'!Q93+'IS Feb USA'!Q93</f>
        <v>0</v>
      </c>
      <c r="R93" s="144">
        <f>'IS Feb KSA'!R93+'IS Feb USA'!R93</f>
        <v>-7529.42</v>
      </c>
      <c r="S93" s="144">
        <f>'IS Feb KSA'!S93+'IS Feb USA'!S93</f>
        <v>-1063.81</v>
      </c>
      <c r="T93" s="197">
        <f>U93-V93</f>
        <v>17302.199999999997</v>
      </c>
      <c r="U93" s="197">
        <v>-20000</v>
      </c>
      <c r="V93" s="144">
        <f>AC93+AG93+Y93+AK93</f>
        <v>-37302.199999999997</v>
      </c>
      <c r="W93" s="197">
        <f>X93-AE93</f>
        <v>6374.99</v>
      </c>
      <c r="X93" s="144">
        <v>-2000</v>
      </c>
      <c r="Y93" s="144">
        <f>SUM(Z93:AB93)</f>
        <v>-24111.48</v>
      </c>
      <c r="Z93" s="144">
        <f>'IS Feb KSA'!V93+'IS Feb USA'!V93</f>
        <v>-4519.22</v>
      </c>
      <c r="AA93" s="144">
        <f>'IS Feb KSA'!W93+'IS Feb USA'!W93</f>
        <v>-6631.6799999999994</v>
      </c>
      <c r="AB93" s="144">
        <f>'IS Feb KSA'!X93+'IS Feb USA'!X93</f>
        <v>-12960.58</v>
      </c>
      <c r="AC93" s="144">
        <f>AD93+AE93+AF93</f>
        <v>-9102.369999999999</v>
      </c>
      <c r="AD93" s="144">
        <f>'IS Feb KSA'!Z93+'IS Feb USA'!Z93</f>
        <v>1.9999999999999997E-2</v>
      </c>
      <c r="AE93" s="144">
        <f>'IS Feb KSA'!AA93+'IS Feb USA'!AA93</f>
        <v>-8374.99</v>
      </c>
      <c r="AF93" s="144">
        <f>'IS Feb KSA'!AB93+'IS Feb USA'!AB93</f>
        <v>-727.4</v>
      </c>
      <c r="AG93" s="144">
        <f>SUM(AH93:AJ93)</f>
        <v>-2706.13</v>
      </c>
      <c r="AH93" s="144">
        <f>'IS Feb KSA'!AD93+'IS Feb USA'!AD93</f>
        <v>-465.85</v>
      </c>
      <c r="AI93" s="144">
        <f>'IS Feb KSA'!AE93+'IS Feb USA'!AE93</f>
        <v>-2190.3000000000002</v>
      </c>
      <c r="AJ93" s="144">
        <f>'IS Feb KSA'!AF93+'IS Feb USA'!AF93</f>
        <v>-49.98</v>
      </c>
      <c r="AK93" s="144">
        <f>SUM(AL93:AN93)</f>
        <v>-1382.2199999999998</v>
      </c>
      <c r="AL93" s="144">
        <f>'IS Feb KSA'!AH93+'IS Feb USA'!AH93</f>
        <v>-749.96999999999991</v>
      </c>
      <c r="AM93" s="144">
        <f>'IS Feb KSA'!AI93+'IS Feb USA'!AI93</f>
        <v>-602.32999999999993</v>
      </c>
      <c r="AN93" s="144">
        <f>'IS Feb KSA'!AJ93+'IS Feb USA'!AJ93</f>
        <v>-29.919999999999998</v>
      </c>
      <c r="AO93" s="146"/>
      <c r="AP93" s="144">
        <v>-49317.86</v>
      </c>
      <c r="AQ93" s="144">
        <v>-52218.42</v>
      </c>
    </row>
    <row r="94" spans="1:43">
      <c r="B94" s="160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60"/>
      <c r="U94" s="204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</row>
    <row r="95" spans="1:43">
      <c r="B95" s="143" t="s">
        <v>76</v>
      </c>
      <c r="C95" s="144">
        <f>H95+L95+D95+P95</f>
        <v>0</v>
      </c>
      <c r="D95" s="144">
        <f>SUM(E95:G95)</f>
        <v>0</v>
      </c>
      <c r="E95" s="144">
        <f>'IS Feb KSA'!E95+'IS Feb USA'!E95</f>
        <v>0</v>
      </c>
      <c r="F95" s="144">
        <f>'IS Feb KSA'!F95+'IS Feb USA'!F95</f>
        <v>0</v>
      </c>
      <c r="G95" s="144">
        <f>'IS Feb KSA'!G95+'IS Feb USA'!G95</f>
        <v>0</v>
      </c>
      <c r="H95" s="144">
        <f>I95+J95+K95</f>
        <v>0</v>
      </c>
      <c r="I95" s="144">
        <f>'IS Feb KSA'!I95+'IS Feb USA'!I95</f>
        <v>0</v>
      </c>
      <c r="J95" s="144">
        <f>'IS Feb KSA'!F95+'IS Feb USA'!F95</f>
        <v>0</v>
      </c>
      <c r="K95" s="144">
        <f>'IS Feb KSA'!G95+'IS Feb USA'!G95</f>
        <v>0</v>
      </c>
      <c r="L95" s="144">
        <f>SUM(M95:O95)</f>
        <v>0</v>
      </c>
      <c r="M95" s="144">
        <f>'IS Feb KSA'!M95+'IS Feb USA'!M95</f>
        <v>0</v>
      </c>
      <c r="N95" s="144">
        <f>'IS Feb KSA'!N95+'IS Feb USA'!N95</f>
        <v>0</v>
      </c>
      <c r="O95" s="144">
        <f>'IS Feb KSA'!O95+'IS Feb USA'!O95</f>
        <v>0</v>
      </c>
      <c r="P95" s="144">
        <f>SUM(Q95:S95)</f>
        <v>0</v>
      </c>
      <c r="Q95" s="144">
        <f>'IS Feb KSA'!Q95+'IS Feb USA'!Q95</f>
        <v>0</v>
      </c>
      <c r="R95" s="144">
        <f>'IS Feb KSA'!R95+'IS Feb USA'!R95</f>
        <v>0</v>
      </c>
      <c r="S95" s="144">
        <f>'IS Feb KSA'!S95+'IS Feb USA'!S95</f>
        <v>0</v>
      </c>
      <c r="T95" s="197">
        <f>U95-V95</f>
        <v>-758.04</v>
      </c>
      <c r="U95" s="197">
        <v>0</v>
      </c>
      <c r="V95" s="144">
        <f>AC95+AG95+Y95+AK95</f>
        <v>758.04</v>
      </c>
      <c r="W95" s="197">
        <f>X95-AE95</f>
        <v>0</v>
      </c>
      <c r="X95" s="144">
        <v>0</v>
      </c>
      <c r="Y95" s="144">
        <f>SUM(Z95:AB95)</f>
        <v>0</v>
      </c>
      <c r="Z95" s="144">
        <f>'IS Feb KSA'!V95+'IS Feb USA'!V95</f>
        <v>0</v>
      </c>
      <c r="AA95" s="144">
        <f>'IS Feb KSA'!W95+'IS Feb USA'!W95</f>
        <v>0</v>
      </c>
      <c r="AB95" s="144">
        <f>'IS Feb KSA'!X95+'IS Feb USA'!X95</f>
        <v>0</v>
      </c>
      <c r="AC95" s="144">
        <f>AD95+AE95+AF95</f>
        <v>0</v>
      </c>
      <c r="AD95" s="144">
        <f>'IS Feb KSA'!Z95+'IS Feb USA'!Z95</f>
        <v>0</v>
      </c>
      <c r="AE95" s="144">
        <f>'IS Feb KSA'!AA95+'IS Feb USA'!AA95</f>
        <v>0</v>
      </c>
      <c r="AF95" s="144">
        <f>'IS Feb KSA'!AB95+'IS Feb USA'!AB95</f>
        <v>0</v>
      </c>
      <c r="AG95" s="144">
        <f>SUM(AH95:AJ95)</f>
        <v>0</v>
      </c>
      <c r="AH95" s="144">
        <f>'IS Feb KSA'!AD95+'IS Feb USA'!AD95</f>
        <v>0</v>
      </c>
      <c r="AI95" s="144">
        <f>'IS Feb KSA'!AE95+'IS Feb USA'!AE95</f>
        <v>0</v>
      </c>
      <c r="AJ95" s="144">
        <f>'IS Feb KSA'!AF95+'IS Feb USA'!AF95</f>
        <v>0</v>
      </c>
      <c r="AK95" s="144">
        <f>SUM(AL95:AN95)</f>
        <v>758.04</v>
      </c>
      <c r="AL95" s="144">
        <f>'IS Feb KSA'!AH95+'IS Feb USA'!AH95</f>
        <v>758.04</v>
      </c>
      <c r="AM95" s="144">
        <f>'IS Feb KSA'!AI95+'IS Feb USA'!AI95</f>
        <v>0</v>
      </c>
      <c r="AN95" s="144">
        <f>'IS Feb KSA'!AJ95+'IS Feb USA'!AJ95</f>
        <v>0</v>
      </c>
      <c r="AO95" s="146"/>
      <c r="AP95" s="144">
        <v>6362.26</v>
      </c>
      <c r="AQ95" s="144">
        <v>6362.26</v>
      </c>
    </row>
    <row r="96" spans="1:43">
      <c r="B96" s="160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60"/>
      <c r="U96" s="204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</row>
    <row r="97" spans="1:43">
      <c r="B97" s="160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60"/>
      <c r="U97" s="204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</row>
    <row r="98" spans="1:43">
      <c r="B98" s="143" t="s">
        <v>77</v>
      </c>
      <c r="C98" s="144">
        <f>H98+L98+D98+P98</f>
        <v>0</v>
      </c>
      <c r="D98" s="144">
        <f>SUM(E98:G98)</f>
        <v>0</v>
      </c>
      <c r="E98" s="144">
        <f>'IS Feb KSA'!E98+'IS Feb USA'!E98</f>
        <v>0</v>
      </c>
      <c r="F98" s="144">
        <f>'IS Feb KSA'!F98+'IS Feb USA'!F98</f>
        <v>0</v>
      </c>
      <c r="G98" s="144">
        <f>'IS Feb KSA'!G98+'IS Feb USA'!G98</f>
        <v>0</v>
      </c>
      <c r="H98" s="144">
        <f>I98+J98+K98</f>
        <v>0</v>
      </c>
      <c r="I98" s="144">
        <f>'IS Feb KSA'!I98+'IS Feb USA'!I98</f>
        <v>0</v>
      </c>
      <c r="J98" s="144">
        <f>'IS Feb KSA'!F98+'IS Feb USA'!F98</f>
        <v>0</v>
      </c>
      <c r="K98" s="144">
        <f>'IS Feb KSA'!G98+'IS Feb USA'!G98</f>
        <v>0</v>
      </c>
      <c r="L98" s="144">
        <f>SUM(M98:O98)</f>
        <v>0</v>
      </c>
      <c r="M98" s="144">
        <f>'IS Feb KSA'!M98+'IS Feb USA'!M98</f>
        <v>0</v>
      </c>
      <c r="N98" s="144">
        <f>'IS Feb KSA'!N98+'IS Feb USA'!N98</f>
        <v>0</v>
      </c>
      <c r="O98" s="144">
        <f>'IS Feb KSA'!O98+'IS Feb USA'!O98</f>
        <v>0</v>
      </c>
      <c r="P98" s="144">
        <f>SUM(Q98:S98)</f>
        <v>0</v>
      </c>
      <c r="Q98" s="144">
        <f>'IS Feb KSA'!Q98+'IS Feb USA'!Q98</f>
        <v>0</v>
      </c>
      <c r="R98" s="144">
        <f>'IS Feb KSA'!R98+'IS Feb USA'!R98</f>
        <v>0</v>
      </c>
      <c r="S98" s="144">
        <f>'IS Feb KSA'!S98+'IS Feb USA'!S98</f>
        <v>0</v>
      </c>
      <c r="T98" s="197">
        <f>U98-V98</f>
        <v>-4556865.3954531457</v>
      </c>
      <c r="U98" s="197">
        <v>-4556865.3954531457</v>
      </c>
      <c r="V98" s="144">
        <f>AC98+AG98+Y98+AK98</f>
        <v>0</v>
      </c>
      <c r="W98" s="197">
        <f>X98-AE98</f>
        <v>-1523566.6526291033</v>
      </c>
      <c r="X98" s="144">
        <v>-1523566.6526291033</v>
      </c>
      <c r="Y98" s="144">
        <f>SUM(Z98:AB98)</f>
        <v>0</v>
      </c>
      <c r="Z98" s="144">
        <f>'IS Feb KSA'!V98+'IS Feb USA'!V98</f>
        <v>0</v>
      </c>
      <c r="AA98" s="144">
        <f>'IS Feb KSA'!W98+'IS Feb USA'!W98</f>
        <v>0</v>
      </c>
      <c r="AB98" s="144">
        <f>'IS Feb KSA'!X98+'IS Feb USA'!X98</f>
        <v>0</v>
      </c>
      <c r="AC98" s="144">
        <f>AD98+AE98+AF98</f>
        <v>0</v>
      </c>
      <c r="AD98" s="144">
        <f>'IS Feb KSA'!Z98+'IS Feb USA'!Z98</f>
        <v>0</v>
      </c>
      <c r="AE98" s="144">
        <f>'IS Feb KSA'!AA98+'IS Feb USA'!AA98</f>
        <v>0</v>
      </c>
      <c r="AF98" s="144">
        <f>'IS Feb KSA'!AB98+'IS Feb USA'!AB98</f>
        <v>0</v>
      </c>
      <c r="AG98" s="144">
        <f>SUM(AH98:AJ98)</f>
        <v>0</v>
      </c>
      <c r="AH98" s="144">
        <f>'IS Feb KSA'!AD98+'IS Feb USA'!AD98</f>
        <v>0</v>
      </c>
      <c r="AI98" s="144">
        <f>'IS Feb KSA'!AE98+'IS Feb USA'!AE98</f>
        <v>0</v>
      </c>
      <c r="AJ98" s="144">
        <f>'IS Feb KSA'!AF98+'IS Feb USA'!AF98</f>
        <v>0</v>
      </c>
      <c r="AK98" s="144">
        <f>SUM(AL98:AN98)</f>
        <v>0</v>
      </c>
      <c r="AL98" s="144">
        <f>'IS Feb KSA'!AH98+'IS Feb USA'!AH98</f>
        <v>0</v>
      </c>
      <c r="AM98" s="144">
        <f>'IS Feb KSA'!AI98+'IS Feb USA'!AI98</f>
        <v>0</v>
      </c>
      <c r="AN98" s="144">
        <f>'IS Feb KSA'!AJ98+'IS Feb USA'!AJ98</f>
        <v>0</v>
      </c>
      <c r="AO98" s="145"/>
      <c r="AP98" s="144">
        <v>475000</v>
      </c>
      <c r="AQ98" s="144">
        <v>-706164.6100000001</v>
      </c>
    </row>
    <row r="99" spans="1:43">
      <c r="B99" s="160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60"/>
      <c r="U99" s="204"/>
      <c r="V99" s="146"/>
      <c r="W99" s="146"/>
      <c r="X99" s="144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</row>
    <row r="100" spans="1:43">
      <c r="B100" s="143" t="s">
        <v>189</v>
      </c>
      <c r="C100" s="144">
        <f>H100+L100+D100+P100</f>
        <v>-60566.67</v>
      </c>
      <c r="D100" s="144">
        <f>SUM(E100:G100)</f>
        <v>0</v>
      </c>
      <c r="E100" s="144">
        <f>'IS Feb KSA'!E100+'IS Feb USA'!E100</f>
        <v>0</v>
      </c>
      <c r="F100" s="144">
        <f>'IS Feb KSA'!F100+'IS Feb USA'!F100</f>
        <v>0</v>
      </c>
      <c r="G100" s="144">
        <f>'IS Feb KSA'!G100+'IS Feb USA'!G100</f>
        <v>0</v>
      </c>
      <c r="H100" s="144">
        <f>I100+J100+K100</f>
        <v>0</v>
      </c>
      <c r="I100" s="144">
        <f>'IS Feb KSA'!I100+'IS Feb USA'!I100</f>
        <v>0</v>
      </c>
      <c r="J100" s="144">
        <f>'IS Feb KSA'!F100+'IS Feb USA'!F100</f>
        <v>0</v>
      </c>
      <c r="K100" s="144">
        <f>'IS Feb KSA'!G100+'IS Feb USA'!G100</f>
        <v>0</v>
      </c>
      <c r="L100" s="144">
        <f>SUM(M100:O100)</f>
        <v>0</v>
      </c>
      <c r="M100" s="144">
        <f>'IS Feb KSA'!M100+'IS Feb USA'!M100</f>
        <v>0</v>
      </c>
      <c r="N100" s="144">
        <f>'IS Feb KSA'!N100+'IS Feb USA'!N100</f>
        <v>0</v>
      </c>
      <c r="O100" s="144">
        <f>'IS Feb KSA'!O100+'IS Feb USA'!O100</f>
        <v>0</v>
      </c>
      <c r="P100" s="144">
        <f>SUM(Q100:S100)</f>
        <v>-60566.67</v>
      </c>
      <c r="Q100" s="144">
        <f>'IS Feb KSA'!Q100+'IS Feb USA'!Q100</f>
        <v>0</v>
      </c>
      <c r="R100" s="144">
        <f>'IS Feb KSA'!R100+'IS Feb USA'!R100</f>
        <v>-30283.34</v>
      </c>
      <c r="S100" s="144">
        <f>'IS Feb KSA'!S100+'IS Feb USA'!S100</f>
        <v>-30283.33</v>
      </c>
      <c r="T100" s="197">
        <f t="shared" ref="T100" si="113">U100-V100</f>
        <v>0</v>
      </c>
      <c r="U100" s="197">
        <f>V100</f>
        <v>-363399.98000000004</v>
      </c>
      <c r="V100" s="144">
        <f>AC100+AG100+Y100+AK100</f>
        <v>-363399.98000000004</v>
      </c>
      <c r="W100" s="197">
        <f>X100-AE100</f>
        <v>0</v>
      </c>
      <c r="X100" s="144">
        <f>AB100</f>
        <v>-30283.33</v>
      </c>
      <c r="Y100" s="144">
        <f>SUM(Z100:AB100)</f>
        <v>-90849.99</v>
      </c>
      <c r="Z100" s="144">
        <f>'IS Feb KSA'!V100+'IS Feb USA'!V100</f>
        <v>-30283.33</v>
      </c>
      <c r="AA100" s="144">
        <f>'IS Feb KSA'!W100+'IS Feb USA'!W100</f>
        <v>-30283.33</v>
      </c>
      <c r="AB100" s="144">
        <f>'IS Feb KSA'!X100+'IS Feb USA'!X100</f>
        <v>-30283.33</v>
      </c>
      <c r="AC100" s="144">
        <f>AD100+AE100+AF100</f>
        <v>-90849.99</v>
      </c>
      <c r="AD100" s="144">
        <f>'IS Feb KSA'!Z100+'IS Feb USA'!Z100</f>
        <v>-30283.33</v>
      </c>
      <c r="AE100" s="144">
        <f>'IS Feb KSA'!AA100+'IS Feb USA'!AA100</f>
        <v>-30283.33</v>
      </c>
      <c r="AF100" s="144">
        <f>'IS Feb KSA'!AB100+'IS Feb USA'!AB100</f>
        <v>-30283.33</v>
      </c>
      <c r="AG100" s="144">
        <f>SUM(AH100:AJ100)</f>
        <v>-90849.99</v>
      </c>
      <c r="AH100" s="144">
        <f>'IS Feb KSA'!AD100+'IS Feb USA'!AD100</f>
        <v>-30283.33</v>
      </c>
      <c r="AI100" s="144">
        <f>'IS Feb KSA'!AE100+'IS Feb USA'!AE100</f>
        <v>-30283.33</v>
      </c>
      <c r="AJ100" s="144">
        <f>'IS Feb KSA'!AF100+'IS Feb USA'!AF100</f>
        <v>-30283.33</v>
      </c>
      <c r="AK100" s="144">
        <f>SUM(AL100:AN100)</f>
        <v>-90850.010000000009</v>
      </c>
      <c r="AL100" s="144">
        <f>'IS Feb KSA'!AH100+'IS Feb USA'!AH100</f>
        <v>-30283.37</v>
      </c>
      <c r="AM100" s="144">
        <f>'IS Feb KSA'!AI100+'IS Feb USA'!AI100</f>
        <v>-30283.31</v>
      </c>
      <c r="AN100" s="144">
        <f>'IS Feb KSA'!AJ100+'IS Feb USA'!AJ100</f>
        <v>-30283.33</v>
      </c>
      <c r="AO100" s="145"/>
      <c r="AP100" s="144">
        <v>-30283.33</v>
      </c>
      <c r="AQ100" s="144">
        <v>-365252.64</v>
      </c>
    </row>
    <row r="101" spans="1:43">
      <c r="B101" s="160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60"/>
      <c r="U101" s="204"/>
      <c r="V101" s="146"/>
      <c r="W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</row>
    <row r="102" spans="1:43">
      <c r="B102" s="207" t="s">
        <v>79</v>
      </c>
      <c r="C102" s="144">
        <f>H102+L102+D102+P102</f>
        <v>-724395.84000000008</v>
      </c>
      <c r="D102" s="144">
        <f>SUM(E102:G102)</f>
        <v>0</v>
      </c>
      <c r="E102" s="144">
        <f>'IS Feb KSA'!E102+'IS Feb USA'!E102</f>
        <v>0</v>
      </c>
      <c r="F102" s="144">
        <f>'IS Feb KSA'!F102+'IS Feb USA'!F102</f>
        <v>0</v>
      </c>
      <c r="G102" s="144">
        <f>'IS Feb KSA'!G102+'IS Feb USA'!G102</f>
        <v>0</v>
      </c>
      <c r="H102" s="144">
        <f>I102+J102+K102</f>
        <v>0</v>
      </c>
      <c r="I102" s="144">
        <f>'IS Feb KSA'!I102+'IS Feb USA'!I102</f>
        <v>0</v>
      </c>
      <c r="J102" s="144">
        <f>'IS Feb KSA'!F102+'IS Feb USA'!F102</f>
        <v>0</v>
      </c>
      <c r="K102" s="144">
        <f>'IS Feb KSA'!G102+'IS Feb USA'!G102</f>
        <v>0</v>
      </c>
      <c r="L102" s="144">
        <f>SUM(M102:O102)</f>
        <v>0</v>
      </c>
      <c r="M102" s="144">
        <f>'IS Feb KSA'!M102+'IS Feb USA'!M102</f>
        <v>0</v>
      </c>
      <c r="N102" s="144">
        <f>'IS Feb KSA'!N102+'IS Feb USA'!N102</f>
        <v>0</v>
      </c>
      <c r="O102" s="144">
        <f>'IS Feb KSA'!O102+'IS Feb USA'!O102</f>
        <v>0</v>
      </c>
      <c r="P102" s="144">
        <f>SUM(Q102:S102)</f>
        <v>-724395.84000000008</v>
      </c>
      <c r="Q102" s="144">
        <f>'IS Feb KSA'!Q102+'IS Feb USA'!Q102</f>
        <v>0</v>
      </c>
      <c r="R102" s="144">
        <f>'IS Feb KSA'!R102+'IS Feb USA'!R102</f>
        <v>-353840.28</v>
      </c>
      <c r="S102" s="144">
        <f>'IS Feb KSA'!S102+'IS Feb USA'!S102</f>
        <v>-370555.56</v>
      </c>
      <c r="T102" s="197">
        <f t="shared" ref="T102" si="114">U102-V102</f>
        <v>1813614.3693819391</v>
      </c>
      <c r="U102" s="197">
        <f>-3689326.37061806-U100-U104-U106-U108-U110</f>
        <v>-2510809.2506180601</v>
      </c>
      <c r="V102" s="144">
        <f>AC102+AG102+Y102+AK102</f>
        <v>-4324423.6199999992</v>
      </c>
      <c r="W102" s="197">
        <f>X102-AE102</f>
        <v>233398.28155555599</v>
      </c>
      <c r="X102" s="144">
        <f>-290477.778444444-X100-X104-X106-X108-X110</f>
        <v>-149643.38844444399</v>
      </c>
      <c r="Y102" s="144">
        <f>SUM(Z102:AB102)</f>
        <v>-1148520.8400000001</v>
      </c>
      <c r="Z102" s="144">
        <f>'IS Feb KSA'!V102+'IS Feb USA'!V102</f>
        <v>-387069.45</v>
      </c>
      <c r="AA102" s="144">
        <f>'IS Feb KSA'!W102+'IS Feb USA'!W102</f>
        <v>-387069.45</v>
      </c>
      <c r="AB102" s="144">
        <f>'IS Feb KSA'!X102+'IS Feb USA'!X102</f>
        <v>-374381.94</v>
      </c>
      <c r="AC102" s="144">
        <f>AD102+AE102+AF102</f>
        <v>-1153152.79</v>
      </c>
      <c r="AD102" s="144">
        <f>'IS Feb KSA'!Z102+'IS Feb USA'!Z102</f>
        <v>-391097.22</v>
      </c>
      <c r="AE102" s="144">
        <f>'IS Feb KSA'!AA102+'IS Feb USA'!AA102</f>
        <v>-383041.67</v>
      </c>
      <c r="AF102" s="144">
        <f>'IS Feb KSA'!AB102+'IS Feb USA'!AB102</f>
        <v>-379013.9</v>
      </c>
      <c r="AG102" s="144">
        <f>SUM(AH102:AJ102)</f>
        <v>-1140263.8899999999</v>
      </c>
      <c r="AH102" s="144">
        <f>'IS Feb KSA'!AD102+'IS Feb USA'!AD102</f>
        <v>-391097.22</v>
      </c>
      <c r="AI102" s="144">
        <f>'IS Feb KSA'!AE102+'IS Feb USA'!AE102</f>
        <v>-378409.72</v>
      </c>
      <c r="AJ102" s="144">
        <f>'IS Feb KSA'!AF102+'IS Feb USA'!AF102</f>
        <v>-370756.95</v>
      </c>
      <c r="AK102" s="144">
        <f>SUM(AL102:AN102)</f>
        <v>-882486.1</v>
      </c>
      <c r="AL102" s="144">
        <f>'IS Feb KSA'!AH102+'IS Feb USA'!AH102</f>
        <v>-387069.44</v>
      </c>
      <c r="AM102" s="144">
        <f>'IS Feb KSA'!AI102+'IS Feb USA'!AI102</f>
        <v>-239250</v>
      </c>
      <c r="AN102" s="144">
        <f>'IS Feb KSA'!AJ102+'IS Feb USA'!AJ102</f>
        <v>-256166.66</v>
      </c>
      <c r="AP102" s="144">
        <v>-255965.28</v>
      </c>
      <c r="AQ102" s="144">
        <v>-497027.78</v>
      </c>
    </row>
    <row r="103" spans="1:43">
      <c r="B103" s="160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62"/>
      <c r="P103" s="162"/>
      <c r="Q103" s="162"/>
      <c r="R103" s="162"/>
      <c r="S103" s="162"/>
      <c r="T103" s="160"/>
      <c r="U103" s="204"/>
      <c r="V103" s="146"/>
      <c r="W103" s="162"/>
      <c r="X103" s="144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62"/>
      <c r="AK103" s="162"/>
      <c r="AL103" s="162"/>
      <c r="AM103" s="162"/>
      <c r="AN103" s="162"/>
      <c r="AO103" s="146"/>
      <c r="AP103" s="146"/>
      <c r="AQ103" s="146"/>
    </row>
    <row r="104" spans="1:43">
      <c r="B104" s="143" t="s">
        <v>80</v>
      </c>
      <c r="C104" s="144">
        <f>H104+L104+D104+P104</f>
        <v>-78018.759999999995</v>
      </c>
      <c r="D104" s="144">
        <f>SUM(E104:G104)</f>
        <v>0</v>
      </c>
      <c r="E104" s="144">
        <f>'IS Feb KSA'!E104+'IS Feb USA'!E104</f>
        <v>0</v>
      </c>
      <c r="F104" s="144">
        <f>'IS Feb KSA'!F104+'IS Feb USA'!F104</f>
        <v>0</v>
      </c>
      <c r="G104" s="144">
        <f>'IS Feb KSA'!G104+'IS Feb USA'!G104</f>
        <v>0</v>
      </c>
      <c r="H104" s="144">
        <f>I104+J104+K104</f>
        <v>0</v>
      </c>
      <c r="I104" s="144">
        <f>'IS Feb KSA'!I104+'IS Feb USA'!I104</f>
        <v>0</v>
      </c>
      <c r="J104" s="144">
        <f>'IS Feb KSA'!F104+'IS Feb USA'!F104</f>
        <v>0</v>
      </c>
      <c r="K104" s="144">
        <f>'IS Feb KSA'!G104+'IS Feb USA'!G104</f>
        <v>0</v>
      </c>
      <c r="L104" s="144">
        <f>SUM(M104:O104)</f>
        <v>0</v>
      </c>
      <c r="M104" s="144">
        <f>'IS Feb KSA'!M104+'IS Feb USA'!M104</f>
        <v>0</v>
      </c>
      <c r="N104" s="144">
        <f>'IS Feb KSA'!N104+'IS Feb USA'!N104</f>
        <v>0</v>
      </c>
      <c r="O104" s="144">
        <f>'IS Feb KSA'!O104+'IS Feb USA'!O104</f>
        <v>0</v>
      </c>
      <c r="P104" s="144">
        <f>SUM(Q104:S104)</f>
        <v>-78018.759999999995</v>
      </c>
      <c r="Q104" s="144">
        <f>'IS Feb KSA'!Q104+'IS Feb USA'!Q104</f>
        <v>0</v>
      </c>
      <c r="R104" s="144">
        <f>'IS Feb KSA'!R104+'IS Feb USA'!R104</f>
        <v>-39009.379999999997</v>
      </c>
      <c r="S104" s="144">
        <f>'IS Feb KSA'!S104+'IS Feb USA'!S104</f>
        <v>-39009.379999999997</v>
      </c>
      <c r="T104" s="197">
        <f>U104-V104</f>
        <v>0</v>
      </c>
      <c r="U104" s="197">
        <f>V104</f>
        <v>-295867.16000000003</v>
      </c>
      <c r="V104" s="144">
        <f>AC104+AG104+Y104+AK104</f>
        <v>-295867.16000000003</v>
      </c>
      <c r="W104" s="197">
        <f>X104-AE104</f>
        <v>0</v>
      </c>
      <c r="X104" s="162">
        <f>AB104</f>
        <v>-27946.880000000001</v>
      </c>
      <c r="Y104" s="144">
        <f>SUM(Z104:AB104)</f>
        <v>-94903.14</v>
      </c>
      <c r="Z104" s="172">
        <f>'IS Feb KSA'!V104+'IS Feb USA'!V104</f>
        <v>-39009.379999999997</v>
      </c>
      <c r="AA104" s="172">
        <f>'IS Feb KSA'!W104+'IS Feb USA'!W104</f>
        <v>-27946.880000000001</v>
      </c>
      <c r="AB104" s="144">
        <f>'IS Feb KSA'!X104+'IS Feb USA'!X104</f>
        <v>-27946.880000000001</v>
      </c>
      <c r="AC104" s="144">
        <f>AD104+AE104+AF104</f>
        <v>-83840.639999999999</v>
      </c>
      <c r="AD104" s="144">
        <f>'IS Feb KSA'!Z104+'IS Feb USA'!Z104</f>
        <v>-27946.880000000001</v>
      </c>
      <c r="AE104" s="144">
        <f>'IS Feb KSA'!AA104+'IS Feb USA'!AA104</f>
        <v>-27946.880000000001</v>
      </c>
      <c r="AF104" s="144">
        <f>'IS Feb KSA'!AB104+'IS Feb USA'!AB104</f>
        <v>-27946.880000000001</v>
      </c>
      <c r="AG104" s="144">
        <f>SUM(AH104:AJ104)</f>
        <v>-63571.880000000005</v>
      </c>
      <c r="AH104" s="144">
        <f>'IS Feb KSA'!AD104+'IS Feb USA'!AD104</f>
        <v>-27946.880000000001</v>
      </c>
      <c r="AI104" s="144">
        <f>'IS Feb KSA'!AE104+'IS Feb USA'!AE104</f>
        <v>-17812.5</v>
      </c>
      <c r="AJ104" s="144">
        <f>'IS Feb KSA'!AF104+'IS Feb USA'!AF104</f>
        <v>-17812.5</v>
      </c>
      <c r="AK104" s="144">
        <f>SUM(AL104:AN104)</f>
        <v>-53551.5</v>
      </c>
      <c r="AL104" s="144">
        <f>'IS Feb KSA'!AH104+'IS Feb USA'!AH104</f>
        <v>-17850.5</v>
      </c>
      <c r="AM104" s="144">
        <f>'IS Feb KSA'!AI104+'IS Feb USA'!AI104</f>
        <v>-17850.5</v>
      </c>
      <c r="AN104" s="144">
        <f>'IS Feb KSA'!AJ104+'IS Feb USA'!AJ104</f>
        <v>-17850.5</v>
      </c>
      <c r="AP104" s="172">
        <v>-17850.5</v>
      </c>
      <c r="AQ104" s="144">
        <v>-69147.199999999997</v>
      </c>
    </row>
    <row r="105" spans="1:43">
      <c r="B105" s="160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62"/>
      <c r="P105" s="162"/>
      <c r="Q105" s="162"/>
      <c r="R105" s="162"/>
      <c r="S105" s="162"/>
      <c r="T105" s="160"/>
      <c r="U105" s="204"/>
      <c r="V105" s="146"/>
      <c r="W105" s="162"/>
      <c r="X105" s="144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62"/>
      <c r="AK105" s="162"/>
      <c r="AL105" s="162"/>
      <c r="AM105" s="162"/>
      <c r="AN105" s="162"/>
      <c r="AO105" s="146"/>
      <c r="AP105" s="146"/>
      <c r="AQ105" s="146"/>
    </row>
    <row r="106" spans="1:43">
      <c r="B106" s="143" t="s">
        <v>81</v>
      </c>
      <c r="C106" s="144">
        <f>H106+L106+D106+P106</f>
        <v>-76125.009999999995</v>
      </c>
      <c r="D106" s="144">
        <f>SUM(E106:G106)</f>
        <v>0</v>
      </c>
      <c r="E106" s="144">
        <f>'IS Feb KSA'!E106+'IS Feb USA'!E106</f>
        <v>0</v>
      </c>
      <c r="F106" s="144">
        <f>'IS Feb KSA'!F106+'IS Feb USA'!F106</f>
        <v>0</v>
      </c>
      <c r="G106" s="144">
        <f>'IS Feb KSA'!G106+'IS Feb USA'!G106</f>
        <v>0</v>
      </c>
      <c r="H106" s="144">
        <f>I106+J106+K106</f>
        <v>0</v>
      </c>
      <c r="I106" s="144">
        <f>'IS Feb KSA'!I106+'IS Feb USA'!I106</f>
        <v>0</v>
      </c>
      <c r="J106" s="144">
        <f>'IS Feb KSA'!F106+'IS Feb USA'!F106</f>
        <v>0</v>
      </c>
      <c r="K106" s="144">
        <f>'IS Feb KSA'!G106+'IS Feb USA'!G106</f>
        <v>0</v>
      </c>
      <c r="L106" s="144">
        <f>SUM(M106:O106)</f>
        <v>0</v>
      </c>
      <c r="M106" s="144">
        <f>'IS Feb KSA'!M106+'IS Feb USA'!M106</f>
        <v>0</v>
      </c>
      <c r="N106" s="144">
        <f>'IS Feb KSA'!N106+'IS Feb USA'!N106</f>
        <v>0</v>
      </c>
      <c r="O106" s="144">
        <f>'IS Feb KSA'!O106+'IS Feb USA'!O106</f>
        <v>0</v>
      </c>
      <c r="P106" s="144">
        <f>SUM(Q106:S106)</f>
        <v>-76125.009999999995</v>
      </c>
      <c r="Q106" s="144">
        <f>'IS Feb KSA'!Q106+'IS Feb USA'!Q106</f>
        <v>0</v>
      </c>
      <c r="R106" s="144">
        <f>'IS Feb KSA'!R106+'IS Feb USA'!R106</f>
        <v>-41854.17</v>
      </c>
      <c r="S106" s="144">
        <f>'IS Feb KSA'!S106+'IS Feb USA'!S106</f>
        <v>-34270.839999999997</v>
      </c>
      <c r="T106" s="197">
        <f>U106-V106</f>
        <v>0</v>
      </c>
      <c r="U106" s="197">
        <f>V106</f>
        <v>-253416.66</v>
      </c>
      <c r="V106" s="144">
        <f>AC106+AG106+Y106+AK106</f>
        <v>-253416.66</v>
      </c>
      <c r="W106" s="197">
        <f>X106-AE106</f>
        <v>-9.9999999947613105E-3</v>
      </c>
      <c r="X106" s="162">
        <f>AB106</f>
        <v>-34270.839999999997</v>
      </c>
      <c r="Y106" s="144">
        <f>SUM(Z106:AB106)</f>
        <v>-102812.5</v>
      </c>
      <c r="Z106" s="172">
        <f>'IS Feb KSA'!V106+'IS Feb USA'!V106</f>
        <v>-34270.83</v>
      </c>
      <c r="AA106" s="172">
        <f>'IS Feb KSA'!W106+'IS Feb USA'!W106</f>
        <v>-34270.83</v>
      </c>
      <c r="AB106" s="144">
        <f>'IS Feb KSA'!X106+'IS Feb USA'!X106</f>
        <v>-34270.839999999997</v>
      </c>
      <c r="AC106" s="144">
        <f>AD106+AE106+AF106</f>
        <v>-95895.84</v>
      </c>
      <c r="AD106" s="144">
        <f>'IS Feb KSA'!Z106+'IS Feb USA'!Z106</f>
        <v>-34270.83</v>
      </c>
      <c r="AE106" s="144">
        <f>'IS Feb KSA'!AA106+'IS Feb USA'!AA106</f>
        <v>-34270.83</v>
      </c>
      <c r="AF106" s="144">
        <f>'IS Feb KSA'!AB106+'IS Feb USA'!AB106</f>
        <v>-27354.18</v>
      </c>
      <c r="AG106" s="144">
        <f>SUM(AH106:AJ106)</f>
        <v>-54708.320000000007</v>
      </c>
      <c r="AH106" s="144">
        <f>'IS Feb KSA'!AD106+'IS Feb USA'!AD106</f>
        <v>-33354.160000000003</v>
      </c>
      <c r="AI106" s="144">
        <f>'IS Feb KSA'!AE106+'IS Feb USA'!AE106</f>
        <v>-21354.16</v>
      </c>
      <c r="AJ106" s="144">
        <f>'IS Feb KSA'!AF106+'IS Feb USA'!AF106</f>
        <v>0</v>
      </c>
      <c r="AK106" s="144">
        <f>SUM(AL106:AN106)</f>
        <v>0</v>
      </c>
      <c r="AL106" s="144">
        <f>'IS Feb KSA'!AH106+'IS Feb USA'!AH106</f>
        <v>0</v>
      </c>
      <c r="AM106" s="144">
        <f>'IS Feb KSA'!AI106+'IS Feb USA'!AI106</f>
        <v>0</v>
      </c>
      <c r="AN106" s="144">
        <f>'IS Feb KSA'!AJ106+'IS Feb USA'!AJ106</f>
        <v>0</v>
      </c>
      <c r="AP106" s="172"/>
      <c r="AQ106" s="144"/>
    </row>
    <row r="107" spans="1:43">
      <c r="B107" s="160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62"/>
      <c r="P107" s="162"/>
      <c r="Q107" s="162"/>
      <c r="R107" s="162"/>
      <c r="S107" s="162"/>
      <c r="T107" s="160"/>
      <c r="U107" s="204"/>
      <c r="V107" s="146"/>
      <c r="W107" s="162"/>
      <c r="X107" s="144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62"/>
      <c r="AK107" s="162"/>
      <c r="AL107" s="162"/>
      <c r="AM107" s="162"/>
      <c r="AN107" s="162"/>
      <c r="AO107" s="146"/>
      <c r="AP107" s="146"/>
      <c r="AQ107" s="146"/>
    </row>
    <row r="108" spans="1:43">
      <c r="B108" s="143" t="s">
        <v>551</v>
      </c>
      <c r="C108" s="144">
        <f>H108+L108+D108+P108</f>
        <v>-24166.68</v>
      </c>
      <c r="D108" s="144">
        <f>SUM(E108:G108)</f>
        <v>0</v>
      </c>
      <c r="E108" s="144">
        <f>'IS Feb KSA'!E108+'IS Feb USA'!E108</f>
        <v>0</v>
      </c>
      <c r="F108" s="144">
        <f>'IS Feb KSA'!F108+'IS Feb USA'!F108</f>
        <v>0</v>
      </c>
      <c r="G108" s="144">
        <f>'IS Feb KSA'!G108+'IS Feb USA'!G108</f>
        <v>0</v>
      </c>
      <c r="H108" s="144">
        <f>I108+J108+K108</f>
        <v>0</v>
      </c>
      <c r="I108" s="144">
        <f>'IS Feb KSA'!I108+'IS Feb USA'!I108</f>
        <v>0</v>
      </c>
      <c r="J108" s="144">
        <f>'IS Feb KSA'!F108+'IS Feb USA'!F108</f>
        <v>0</v>
      </c>
      <c r="K108" s="144">
        <f>'IS Feb KSA'!G108+'IS Feb USA'!G108</f>
        <v>0</v>
      </c>
      <c r="L108" s="144">
        <f>SUM(M108:O108)</f>
        <v>0</v>
      </c>
      <c r="M108" s="144">
        <f>'IS Feb KSA'!M108+'IS Feb USA'!M108</f>
        <v>0</v>
      </c>
      <c r="N108" s="144">
        <f>'IS Feb KSA'!N108+'IS Feb USA'!N108</f>
        <v>0</v>
      </c>
      <c r="O108" s="144">
        <f>'IS Feb KSA'!O108+'IS Feb USA'!O108</f>
        <v>0</v>
      </c>
      <c r="P108" s="144">
        <f>SUM(Q108:S108)</f>
        <v>-24166.68</v>
      </c>
      <c r="Q108" s="144">
        <f>'IS Feb KSA'!Q108+'IS Feb USA'!Q108</f>
        <v>0</v>
      </c>
      <c r="R108" s="144">
        <f>'IS Feb KSA'!R108+'IS Feb USA'!R108</f>
        <v>-12083.36</v>
      </c>
      <c r="S108" s="144">
        <f>'IS Feb KSA'!S108+'IS Feb USA'!S108</f>
        <v>-12083.32</v>
      </c>
      <c r="T108" s="197">
        <f>U108-V108</f>
        <v>0</v>
      </c>
      <c r="U108" s="197">
        <f>V108</f>
        <v>-84583.32</v>
      </c>
      <c r="V108" s="144">
        <f>AC108+AG108+Y108+AK108</f>
        <v>-84583.32</v>
      </c>
      <c r="W108" s="197">
        <f>X108-AE108</f>
        <v>0</v>
      </c>
      <c r="X108" s="162">
        <f>AB108</f>
        <v>-12083.34</v>
      </c>
      <c r="Y108" s="144">
        <f>SUM(Z108:AB108)</f>
        <v>-36249.979999999996</v>
      </c>
      <c r="Z108" s="172">
        <f>'IS Feb KSA'!V108+'IS Feb USA'!V108</f>
        <v>-12083.32</v>
      </c>
      <c r="AA108" s="172">
        <f>'IS Feb KSA'!W108+'IS Feb USA'!W108</f>
        <v>-12083.32</v>
      </c>
      <c r="AB108" s="144">
        <f>'IS Feb KSA'!X108+'IS Feb USA'!X108</f>
        <v>-12083.34</v>
      </c>
      <c r="AC108" s="144">
        <f>AD108+AE108+AF108</f>
        <v>-36250.01</v>
      </c>
      <c r="AD108" s="144">
        <f>'IS Feb KSA'!Z108+'IS Feb USA'!Z108</f>
        <v>-12083.34</v>
      </c>
      <c r="AE108" s="144">
        <f>'IS Feb KSA'!AA108+'IS Feb USA'!AA108</f>
        <v>-12083.34</v>
      </c>
      <c r="AF108" s="144">
        <f>'IS Feb KSA'!AB108+'IS Feb USA'!AB108</f>
        <v>-12083.33</v>
      </c>
      <c r="AG108" s="144">
        <f>SUM(AH108:AJ108)</f>
        <v>-12083.33</v>
      </c>
      <c r="AH108" s="144">
        <f>'IS Feb KSA'!AD108+'IS Feb USA'!AD108</f>
        <v>-12083.33</v>
      </c>
      <c r="AI108" s="144">
        <f>'IS Feb KSA'!AE108+'IS Feb USA'!AE108</f>
        <v>0</v>
      </c>
      <c r="AJ108" s="144">
        <f>'IS Feb KSA'!AF108+'IS Feb USA'!AF108</f>
        <v>0</v>
      </c>
      <c r="AK108" s="144">
        <f>SUM(AL108:AN108)</f>
        <v>0</v>
      </c>
      <c r="AL108" s="144">
        <f>'IS Feb KSA'!AH108+'IS Feb USA'!AH108</f>
        <v>0</v>
      </c>
      <c r="AM108" s="144">
        <f>'IS Feb KSA'!AI108+'IS Feb USA'!AI108</f>
        <v>0</v>
      </c>
      <c r="AN108" s="144">
        <f>'IS Feb KSA'!AJ108+'IS Feb USA'!AJ108</f>
        <v>0</v>
      </c>
      <c r="AP108" s="172"/>
      <c r="AQ108" s="144"/>
    </row>
    <row r="109" spans="1:43" customFormat="1">
      <c r="A109" s="1"/>
      <c r="B109" s="13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5"/>
      <c r="Q109" s="47"/>
      <c r="R109" s="47"/>
      <c r="S109" s="54"/>
      <c r="T109" s="47"/>
      <c r="U109" s="47"/>
      <c r="V109" s="47"/>
      <c r="W109" s="47"/>
      <c r="X109" s="85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5"/>
      <c r="AL109" s="47"/>
      <c r="AM109" s="47"/>
      <c r="AN109" s="54"/>
    </row>
    <row r="110" spans="1:43">
      <c r="B110" s="143" t="s">
        <v>593</v>
      </c>
      <c r="C110" s="144">
        <f>H110+L110+D110+P110</f>
        <v>0</v>
      </c>
      <c r="D110" s="144">
        <f>SUM(E110:G110)</f>
        <v>0</v>
      </c>
      <c r="E110" s="144">
        <f>'IS Feb KSA'!E110+'IS Feb USA'!E110</f>
        <v>0</v>
      </c>
      <c r="F110" s="144">
        <f>'IS Feb KSA'!F110+'IS Feb USA'!F110</f>
        <v>0</v>
      </c>
      <c r="G110" s="144">
        <f>'IS Feb KSA'!G110+'IS Feb USA'!G110</f>
        <v>0</v>
      </c>
      <c r="H110" s="144">
        <f>I110+J110+K110</f>
        <v>0</v>
      </c>
      <c r="I110" s="144">
        <f>'IS Feb KSA'!I110+'IS Feb USA'!I110</f>
        <v>0</v>
      </c>
      <c r="J110" s="144">
        <f>'IS Feb KSA'!F110+'IS Feb USA'!F110</f>
        <v>0</v>
      </c>
      <c r="K110" s="144">
        <f>'IS Feb KSA'!G110+'IS Feb USA'!G110</f>
        <v>0</v>
      </c>
      <c r="L110" s="144">
        <f>SUM(M110:O110)</f>
        <v>0</v>
      </c>
      <c r="M110" s="144">
        <f>'IS Feb KSA'!M110+'IS Feb USA'!M110</f>
        <v>0</v>
      </c>
      <c r="N110" s="144">
        <f>'IS Feb KSA'!N110+'IS Feb USA'!N110</f>
        <v>0</v>
      </c>
      <c r="O110" s="144">
        <f>'IS Feb KSA'!O110+'IS Feb USA'!O110</f>
        <v>0</v>
      </c>
      <c r="P110" s="144">
        <f>SUM(Q110:S110)</f>
        <v>0</v>
      </c>
      <c r="Q110" s="144">
        <f>'IS Feb KSA'!Q110+'IS Feb USA'!Q110</f>
        <v>0</v>
      </c>
      <c r="R110" s="144">
        <f>'IS Feb KSA'!R110+'IS Feb USA'!R110</f>
        <v>0</v>
      </c>
      <c r="S110" s="144">
        <f>'IS Feb KSA'!S110+'IS Feb USA'!S110</f>
        <v>0</v>
      </c>
      <c r="T110" s="197">
        <f>U110-V110</f>
        <v>0</v>
      </c>
      <c r="U110" s="197">
        <f>V110</f>
        <v>-181250</v>
      </c>
      <c r="V110" s="144">
        <f>AC110+AG110+Y110+AK110</f>
        <v>-181250</v>
      </c>
      <c r="W110" s="197">
        <f>X110-AE110</f>
        <v>0</v>
      </c>
      <c r="X110" s="162">
        <f>AB110</f>
        <v>-36250</v>
      </c>
      <c r="Y110" s="144">
        <f>SUM(Z110:AB110)</f>
        <v>-108750</v>
      </c>
      <c r="Z110" s="172">
        <f>'IS Feb KSA'!V110+'IS Feb USA'!V110</f>
        <v>-36250</v>
      </c>
      <c r="AA110" s="172">
        <f>'IS Feb KSA'!W110+'IS Feb USA'!W110</f>
        <v>-36250</v>
      </c>
      <c r="AB110" s="144">
        <f>'IS Feb KSA'!X110+'IS Feb USA'!X110</f>
        <v>-36250</v>
      </c>
      <c r="AC110" s="144">
        <f>AD110+AE110+AF110</f>
        <v>-72500</v>
      </c>
      <c r="AD110" s="144">
        <f>'IS Feb KSA'!Z110+'IS Feb USA'!Z110</f>
        <v>-36250</v>
      </c>
      <c r="AE110" s="144">
        <f>'IS Feb KSA'!AA110+'IS Feb USA'!AA110</f>
        <v>-36250</v>
      </c>
      <c r="AF110" s="144">
        <f>'IS Feb KSA'!AB110+'IS Feb USA'!AB110</f>
        <v>0</v>
      </c>
      <c r="AG110" s="144">
        <f>SUM(AH110:AJ110)</f>
        <v>0</v>
      </c>
      <c r="AH110" s="144">
        <f>'IS Feb KSA'!AD110+'IS Feb USA'!AD110</f>
        <v>0</v>
      </c>
      <c r="AI110" s="144"/>
      <c r="AJ110" s="144"/>
      <c r="AK110" s="144"/>
      <c r="AL110" s="144"/>
      <c r="AM110" s="144"/>
      <c r="AN110" s="144"/>
      <c r="AP110" s="172"/>
      <c r="AQ110" s="144"/>
    </row>
    <row r="111" spans="1:43" customFormat="1">
      <c r="A111" s="1"/>
      <c r="B111" s="11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5"/>
      <c r="Q111" s="47"/>
      <c r="R111" s="47"/>
      <c r="S111" s="54"/>
      <c r="T111" s="47"/>
      <c r="U111" s="47"/>
      <c r="V111" s="47"/>
      <c r="W111" s="47"/>
      <c r="X111" s="85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5"/>
      <c r="AL111" s="47"/>
      <c r="AM111" s="47"/>
      <c r="AN111" s="54"/>
    </row>
    <row r="112" spans="1:43">
      <c r="B112" s="143" t="s">
        <v>606</v>
      </c>
      <c r="C112" s="144">
        <f>H112+L112+D112+P112</f>
        <v>-470356.51</v>
      </c>
      <c r="D112" s="144">
        <f>SUM(E112:G112)</f>
        <v>0</v>
      </c>
      <c r="E112" s="144">
        <f>'IS Feb KSA'!E112+'IS Feb USA'!E112</f>
        <v>0</v>
      </c>
      <c r="F112" s="144">
        <f>'IS Feb KSA'!F112+'IS Feb USA'!F112</f>
        <v>0</v>
      </c>
      <c r="G112" s="144">
        <f>'IS Feb KSA'!G112+'IS Feb USA'!G112</f>
        <v>0</v>
      </c>
      <c r="H112" s="144">
        <f>I112+J112+K112</f>
        <v>0</v>
      </c>
      <c r="I112" s="144">
        <f>'IS Feb KSA'!I112+'IS Feb USA'!I112</f>
        <v>0</v>
      </c>
      <c r="J112" s="144">
        <f>'IS Feb KSA'!F112+'IS Feb USA'!F112</f>
        <v>0</v>
      </c>
      <c r="K112" s="144">
        <f>'IS Feb KSA'!G112+'IS Feb USA'!G112</f>
        <v>0</v>
      </c>
      <c r="L112" s="144">
        <f>SUM(M112:O112)</f>
        <v>0</v>
      </c>
      <c r="M112" s="144">
        <f>'IS Feb KSA'!M112+'IS Feb USA'!M112</f>
        <v>0</v>
      </c>
      <c r="N112" s="144">
        <f>'IS Feb KSA'!N112+'IS Feb USA'!N112</f>
        <v>0</v>
      </c>
      <c r="O112" s="144">
        <f>'IS Feb KSA'!O112+'IS Feb USA'!O112</f>
        <v>0</v>
      </c>
      <c r="P112" s="144">
        <f>SUM(Q112:S112)</f>
        <v>-470356.51</v>
      </c>
      <c r="Q112" s="144">
        <f>'IS Feb KSA'!Q112+'IS Feb USA'!Q112</f>
        <v>0</v>
      </c>
      <c r="R112" s="144">
        <f>'IS Feb KSA'!R112+'IS Feb USA'!R112</f>
        <v>-292518.53000000003</v>
      </c>
      <c r="S112" s="144">
        <f>'IS Feb KSA'!S112+'IS Feb USA'!S112</f>
        <v>-177837.98</v>
      </c>
      <c r="T112" s="197"/>
      <c r="U112" s="197"/>
      <c r="V112" s="144">
        <f>AC112+AG112+Y112+AK112</f>
        <v>-119666.66</v>
      </c>
      <c r="W112" s="197">
        <f>X112-AE112</f>
        <v>0</v>
      </c>
      <c r="X112" s="162">
        <f>AB112</f>
        <v>0</v>
      </c>
      <c r="Y112" s="144">
        <f>SUM(Z112:AB112)</f>
        <v>-119666.66</v>
      </c>
      <c r="Z112" s="172">
        <f>'IS Feb KSA'!V112+'IS Feb USA'!V112</f>
        <v>-119666.66</v>
      </c>
      <c r="AA112" s="172">
        <f>'IS Feb KSA'!W112+'IS Feb USA'!W112</f>
        <v>0</v>
      </c>
      <c r="AB112" s="144">
        <f>'IS Feb KSA'!X112+'IS Feb USA'!X112</f>
        <v>0</v>
      </c>
      <c r="AC112" s="144">
        <f>AD112+AE112+AF112</f>
        <v>0</v>
      </c>
      <c r="AD112" s="144">
        <f>'IS Feb KSA'!Z112+'IS Feb USA'!Z112</f>
        <v>0</v>
      </c>
      <c r="AE112" s="144">
        <f>'IS Feb KSA'!AA112+'IS Feb USA'!AA112</f>
        <v>0</v>
      </c>
      <c r="AF112" s="144"/>
      <c r="AG112" s="144"/>
      <c r="AH112" s="144"/>
      <c r="AI112" s="144"/>
      <c r="AJ112" s="144"/>
      <c r="AK112" s="144"/>
      <c r="AL112" s="144"/>
      <c r="AM112" s="144"/>
      <c r="AN112" s="144"/>
      <c r="AP112" s="172"/>
      <c r="AQ112" s="144"/>
    </row>
    <row r="113" spans="1:43" customFormat="1">
      <c r="A113" s="1"/>
      <c r="B113" s="11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5"/>
      <c r="Q113" s="47"/>
      <c r="R113" s="47"/>
      <c r="S113" s="54"/>
      <c r="T113" s="47"/>
      <c r="U113" s="47"/>
      <c r="V113" s="47"/>
      <c r="W113" s="47"/>
      <c r="X113" s="85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5"/>
      <c r="AL113" s="47"/>
      <c r="AM113" s="47"/>
      <c r="AN113" s="54"/>
    </row>
    <row r="114" spans="1:43">
      <c r="B114" s="171" t="s">
        <v>82</v>
      </c>
      <c r="C114" s="144">
        <f>H114+L114+D114+P114</f>
        <v>0</v>
      </c>
      <c r="D114" s="144">
        <f>SUM(E114:G114)</f>
        <v>0</v>
      </c>
      <c r="E114" s="144">
        <f>'IS Feb KSA'!E114+'IS Feb USA'!E114</f>
        <v>0</v>
      </c>
      <c r="F114" s="144">
        <f>'IS Feb KSA'!F114+'IS Feb USA'!F114</f>
        <v>0</v>
      </c>
      <c r="G114" s="144">
        <f>'IS Feb KSA'!G114+'IS Feb USA'!G114</f>
        <v>0</v>
      </c>
      <c r="H114" s="144">
        <f>I114+J114+K114</f>
        <v>0</v>
      </c>
      <c r="I114" s="144">
        <f>'IS Feb KSA'!I114+'IS Feb USA'!I114</f>
        <v>0</v>
      </c>
      <c r="J114" s="144">
        <f>'IS Feb KSA'!F114+'IS Feb USA'!F114</f>
        <v>0</v>
      </c>
      <c r="K114" s="144">
        <f>'IS Feb KSA'!G114+'IS Feb USA'!G114</f>
        <v>0</v>
      </c>
      <c r="L114" s="144">
        <f>SUM(M114:O114)</f>
        <v>0</v>
      </c>
      <c r="M114" s="144">
        <f>'IS Feb KSA'!M114+'IS Feb USA'!M114</f>
        <v>0</v>
      </c>
      <c r="N114" s="144">
        <f>'IS Feb KSA'!N114+'IS Feb USA'!N114</f>
        <v>0</v>
      </c>
      <c r="O114" s="144">
        <f>'IS Feb KSA'!O114+'IS Feb USA'!O114</f>
        <v>0</v>
      </c>
      <c r="P114" s="144">
        <f>SUM(Q114:S114)</f>
        <v>0</v>
      </c>
      <c r="Q114" s="144">
        <f>'IS Feb KSA'!Q114+'IS Feb USA'!Q114</f>
        <v>0</v>
      </c>
      <c r="R114" s="144">
        <f>'IS Feb KSA'!R114+'IS Feb USA'!R114</f>
        <v>0</v>
      </c>
      <c r="S114" s="144">
        <f>'IS Feb KSA'!S114+'IS Feb USA'!S114</f>
        <v>0</v>
      </c>
      <c r="T114" s="197">
        <f t="shared" ref="T114" si="115">U114-V114</f>
        <v>-88612.271111111128</v>
      </c>
      <c r="U114" s="197">
        <v>-151111.11111111112</v>
      </c>
      <c r="V114" s="144">
        <f>AC114+AG114+Y114+AK114</f>
        <v>-62498.84</v>
      </c>
      <c r="W114" s="197">
        <f>X114-AE114</f>
        <v>-27777.777777777777</v>
      </c>
      <c r="X114" s="162">
        <v>-27777.777777777777</v>
      </c>
      <c r="Y114" s="144">
        <f>SUM(Z114:AB114)</f>
        <v>0</v>
      </c>
      <c r="Z114" s="172">
        <f>'IS Feb KSA'!V114+'IS Feb USA'!V114</f>
        <v>0</v>
      </c>
      <c r="AA114" s="172">
        <f>'IS Feb KSA'!W114+'IS Feb USA'!W114</f>
        <v>0</v>
      </c>
      <c r="AB114" s="144">
        <f>'IS Feb KSA'!X114+'IS Feb USA'!X114</f>
        <v>0</v>
      </c>
      <c r="AC114" s="144">
        <f>AD114+AE114+AF114</f>
        <v>0</v>
      </c>
      <c r="AD114" s="144">
        <f>'IS Feb KSA'!Z114+'IS Feb USA'!Z114</f>
        <v>0</v>
      </c>
      <c r="AE114" s="144">
        <f>'IS Feb KSA'!AA114+'IS Feb USA'!AA114</f>
        <v>0</v>
      </c>
      <c r="AF114" s="144">
        <f>'IS Feb KSA'!AB114+'IS Feb USA'!AB114</f>
        <v>0</v>
      </c>
      <c r="AG114" s="144">
        <f>SUM(AH114:AJ114)</f>
        <v>-9998.84</v>
      </c>
      <c r="AH114" s="144">
        <f>'IS Feb KSA'!AD114+'IS Feb USA'!AD114</f>
        <v>0</v>
      </c>
      <c r="AI114" s="144">
        <f>'IS Feb KSA'!AE114+'IS Feb USA'!AE114</f>
        <v>0</v>
      </c>
      <c r="AJ114" s="144">
        <f>'IS Feb KSA'!AF114+'IS Feb USA'!AF114</f>
        <v>-9998.84</v>
      </c>
      <c r="AK114" s="144">
        <f>SUM(AL114:AN114)</f>
        <v>-52500</v>
      </c>
      <c r="AL114" s="144">
        <f>'IS Feb KSA'!AH114+'IS Feb USA'!AH114</f>
        <v>0</v>
      </c>
      <c r="AM114" s="144">
        <f>'IS Feb KSA'!AI114+'IS Feb USA'!AI114</f>
        <v>-52500</v>
      </c>
      <c r="AN114" s="144">
        <f>'IS Feb KSA'!AJ114+'IS Feb USA'!AJ114</f>
        <v>0</v>
      </c>
      <c r="AP114" s="172">
        <v>0</v>
      </c>
      <c r="AQ114" s="144">
        <v>-102500</v>
      </c>
    </row>
    <row r="115" spans="1:43">
      <c r="B115" s="160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60"/>
      <c r="U115" s="204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</row>
    <row r="116" spans="1:43">
      <c r="B116" s="143" t="s">
        <v>83</v>
      </c>
      <c r="C116" s="144">
        <f>H116+L116+D116+P116</f>
        <v>-4722.2</v>
      </c>
      <c r="D116" s="144">
        <f>SUM(E116:G116)</f>
        <v>0</v>
      </c>
      <c r="E116" s="144">
        <f>'IS Feb KSA'!E116+'IS Feb USA'!E116</f>
        <v>0</v>
      </c>
      <c r="F116" s="144">
        <f>'IS Feb KSA'!F116+'IS Feb USA'!F116</f>
        <v>0</v>
      </c>
      <c r="G116" s="144">
        <f>'IS Feb KSA'!G116+'IS Feb USA'!G116</f>
        <v>0</v>
      </c>
      <c r="H116" s="144">
        <f>I116+J116+K116</f>
        <v>0</v>
      </c>
      <c r="I116" s="144">
        <f>'IS Feb KSA'!I116+'IS Feb USA'!I116</f>
        <v>0</v>
      </c>
      <c r="J116" s="144">
        <f>'IS Feb KSA'!F116+'IS Feb USA'!F116</f>
        <v>0</v>
      </c>
      <c r="K116" s="144">
        <f>'IS Feb KSA'!G116+'IS Feb USA'!G116</f>
        <v>0</v>
      </c>
      <c r="L116" s="144">
        <f>SUM(M116:O116)</f>
        <v>0</v>
      </c>
      <c r="M116" s="144">
        <f>'IS Feb KSA'!M116+'IS Feb USA'!M116</f>
        <v>0</v>
      </c>
      <c r="N116" s="144">
        <f>'IS Feb KSA'!N116+'IS Feb USA'!N116</f>
        <v>0</v>
      </c>
      <c r="O116" s="144">
        <f>'IS Feb KSA'!O116+'IS Feb USA'!O116</f>
        <v>0</v>
      </c>
      <c r="P116" s="144">
        <f>SUM(Q116:S116)</f>
        <v>-4722.2</v>
      </c>
      <c r="Q116" s="144">
        <f>'IS Feb KSA'!Q116+'IS Feb USA'!Q116</f>
        <v>0</v>
      </c>
      <c r="R116" s="144">
        <f>'IS Feb KSA'!R116+'IS Feb USA'!R116</f>
        <v>-2361.1</v>
      </c>
      <c r="S116" s="144">
        <f>'IS Feb KSA'!S116+'IS Feb USA'!S116</f>
        <v>-2361.1</v>
      </c>
      <c r="T116" s="197">
        <f>U116-V116</f>
        <v>10077.291111111103</v>
      </c>
      <c r="U116" s="197">
        <v>-38888.888888888891</v>
      </c>
      <c r="V116" s="144">
        <f>AC116+AG116+Y116+AK116</f>
        <v>-48966.179999999993</v>
      </c>
      <c r="W116" s="197">
        <f>X116-AE116</f>
        <v>-3194.4555555555557</v>
      </c>
      <c r="X116" s="144">
        <v>-5555.5555555555557</v>
      </c>
      <c r="Y116" s="144">
        <f>SUM(Z116:AB116)</f>
        <v>-7083.2999999999993</v>
      </c>
      <c r="Z116" s="172">
        <f>'IS Feb KSA'!V116+'IS Feb USA'!V116</f>
        <v>-2361.1</v>
      </c>
      <c r="AA116" s="172">
        <f>'IS Feb KSA'!W116+'IS Feb USA'!W116</f>
        <v>-2361.1</v>
      </c>
      <c r="AB116" s="172">
        <f>'IS Feb KSA'!X116+'IS Feb USA'!X116</f>
        <v>-2361.1</v>
      </c>
      <c r="AC116" s="144">
        <f>AD116+AE116+AF116</f>
        <v>-27708.3</v>
      </c>
      <c r="AD116" s="144">
        <f>'IS Feb KSA'!Z116+'IS Feb USA'!Z116</f>
        <v>-22986.100000000002</v>
      </c>
      <c r="AE116" s="144">
        <f>'IS Feb KSA'!AA116+'IS Feb USA'!AA116</f>
        <v>-2361.1</v>
      </c>
      <c r="AF116" s="144">
        <f>'IS Feb KSA'!AB116+'IS Feb USA'!AB116</f>
        <v>-2361.1</v>
      </c>
      <c r="AG116" s="144">
        <f>SUM(AH116:AJ116)</f>
        <v>-7083.2999999999993</v>
      </c>
      <c r="AH116" s="144">
        <f>'IS Feb KSA'!AD116+'IS Feb USA'!AD116</f>
        <v>-2361.1</v>
      </c>
      <c r="AI116" s="144">
        <f>'IS Feb KSA'!AE116+'IS Feb USA'!AE116</f>
        <v>-2361.1</v>
      </c>
      <c r="AJ116" s="144">
        <f>'IS Feb KSA'!AF116+'IS Feb USA'!AF116</f>
        <v>-2361.1</v>
      </c>
      <c r="AK116" s="144">
        <f>SUM(AL116:AN116)</f>
        <v>-7091.2800000000007</v>
      </c>
      <c r="AL116" s="144">
        <f>'IS Feb KSA'!AH116+'IS Feb USA'!AH116</f>
        <v>-2363.7600000000002</v>
      </c>
      <c r="AM116" s="144">
        <f>'IS Feb KSA'!AI116+'IS Feb USA'!AI116</f>
        <v>-2363.7600000000002</v>
      </c>
      <c r="AN116" s="144">
        <f>'IS Feb KSA'!AJ116+'IS Feb USA'!AJ116</f>
        <v>-2363.7600000000002</v>
      </c>
      <c r="AO116" s="145"/>
      <c r="AP116" s="172">
        <v>-2363.7600000000002</v>
      </c>
      <c r="AQ116" s="144">
        <v>-9313.5</v>
      </c>
    </row>
    <row r="117" spans="1:43">
      <c r="B117" s="160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60"/>
      <c r="U117" s="204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</row>
    <row r="118" spans="1:43">
      <c r="B118" s="206" t="s">
        <v>84</v>
      </c>
      <c r="C118" s="144">
        <f>G118+H118+L118+P118+F118+E118</f>
        <v>0</v>
      </c>
      <c r="D118" s="144">
        <f>SUM(E118:G118)</f>
        <v>0</v>
      </c>
      <c r="E118" s="144">
        <f>'IS Feb KSA'!E118+'IS Feb USA'!E118</f>
        <v>0</v>
      </c>
      <c r="F118" s="144">
        <f>'IS Feb KSA'!F118+'IS Feb USA'!F118</f>
        <v>0</v>
      </c>
      <c r="G118" s="144">
        <f>'IS Feb KSA'!G118+'IS Feb USA'!G118</f>
        <v>0</v>
      </c>
      <c r="H118" s="144">
        <f>I118+J118+K118</f>
        <v>0</v>
      </c>
      <c r="I118" s="144">
        <f>'IS Feb KSA'!I118+'IS Feb USA'!I118</f>
        <v>0</v>
      </c>
      <c r="J118" s="144">
        <f>'IS Feb KSA'!F118+'IS Feb USA'!F118</f>
        <v>0</v>
      </c>
      <c r="K118" s="144">
        <f>'IS Feb KSA'!G118+'IS Feb USA'!G118</f>
        <v>0</v>
      </c>
      <c r="L118" s="144">
        <f>SUM(M118:O118)</f>
        <v>0</v>
      </c>
      <c r="M118" s="144">
        <f>'IS Feb KSA'!M118+'IS Feb USA'!M118</f>
        <v>0</v>
      </c>
      <c r="N118" s="144">
        <f>'IS Feb KSA'!N118+'IS Feb USA'!N118</f>
        <v>0</v>
      </c>
      <c r="O118" s="144">
        <f>'IS Feb KSA'!O118+'IS Feb USA'!O118</f>
        <v>0</v>
      </c>
      <c r="P118" s="144">
        <f>SUM(Q118:S118)</f>
        <v>0</v>
      </c>
      <c r="Q118" s="144">
        <f>'IS Feb KSA'!Q118+'IS Feb USA'!Q118</f>
        <v>0</v>
      </c>
      <c r="R118" s="144">
        <f>'IS Feb KSA'!R118+'IS Feb USA'!R118</f>
        <v>0</v>
      </c>
      <c r="S118" s="144">
        <f>'IS Feb KSA'!S118+'IS Feb USA'!S118</f>
        <v>0</v>
      </c>
      <c r="T118" s="197">
        <f t="shared" ref="T118" si="116">U118-V118</f>
        <v>0</v>
      </c>
      <c r="U118" s="197"/>
      <c r="V118" s="144">
        <f>AB118+AC118+AG118+AK118+AA118+Z118</f>
        <v>0</v>
      </c>
      <c r="W118" s="197">
        <f>X118-AI118</f>
        <v>0</v>
      </c>
      <c r="X118" s="144"/>
      <c r="Y118" s="144">
        <f>SUM(Z118:AB118)</f>
        <v>0</v>
      </c>
      <c r="Z118" s="144">
        <v>0</v>
      </c>
      <c r="AA118" s="144">
        <v>0</v>
      </c>
      <c r="AB118" s="144">
        <v>0</v>
      </c>
      <c r="AC118" s="144">
        <f>AD118+AE118+AF118</f>
        <v>0</v>
      </c>
      <c r="AD118" s="144">
        <f>'IS Feb KSA'!Z118+'IS Feb USA'!Z118</f>
        <v>0</v>
      </c>
      <c r="AE118" s="144">
        <f>'IS Feb KSA'!AA118+'IS Feb USA'!AA118</f>
        <v>0</v>
      </c>
      <c r="AF118" s="144">
        <f>'IS Feb KSA'!AB118+'IS Feb USA'!AB118</f>
        <v>0</v>
      </c>
      <c r="AG118" s="144">
        <f>SUM(AH118:AJ118)</f>
        <v>0</v>
      </c>
      <c r="AH118" s="144">
        <f>'IS Feb KSA'!AD118+'IS Feb USA'!AD118</f>
        <v>0</v>
      </c>
      <c r="AI118" s="144">
        <f>'IS Feb KSA'!AE118+'IS Feb USA'!AE118</f>
        <v>0</v>
      </c>
      <c r="AJ118" s="144">
        <f>'IS Feb KSA'!AF118+'IS Feb USA'!AF118</f>
        <v>0</v>
      </c>
      <c r="AK118" s="144">
        <f>SUM(AL118:AN118)</f>
        <v>0</v>
      </c>
      <c r="AL118" s="144">
        <f>'IS Feb KSA'!AH118+'IS Feb USA'!AH118</f>
        <v>0</v>
      </c>
      <c r="AM118" s="144">
        <f>'IS Feb KSA'!AI118+'IS Feb USA'!AI118</f>
        <v>0</v>
      </c>
      <c r="AN118" s="144">
        <f>'IS Feb KSA'!AJ118+'IS Feb USA'!AJ118</f>
        <v>0</v>
      </c>
      <c r="AO118" s="145"/>
      <c r="AP118" s="144">
        <v>0</v>
      </c>
      <c r="AQ118" s="144">
        <v>0</v>
      </c>
    </row>
    <row r="119" spans="1:43">
      <c r="B119" s="160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60"/>
      <c r="U119" s="204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</row>
    <row r="120" spans="1:43">
      <c r="B120" s="143" t="s">
        <v>85</v>
      </c>
      <c r="C120" s="144">
        <f>G120+H120+L120+P120+F120+E120</f>
        <v>0</v>
      </c>
      <c r="D120" s="144">
        <f>SUM(E120:G120)</f>
        <v>0</v>
      </c>
      <c r="E120" s="144">
        <f>'IS Feb KSA'!E120+'IS Feb USA'!E120</f>
        <v>0</v>
      </c>
      <c r="F120" s="144">
        <f>'IS Feb KSA'!F120+'IS Feb USA'!F120</f>
        <v>0</v>
      </c>
      <c r="G120" s="144">
        <f>'IS Feb KSA'!G120+'IS Feb USA'!G120</f>
        <v>0</v>
      </c>
      <c r="H120" s="144">
        <f>I120+J120+K120</f>
        <v>0</v>
      </c>
      <c r="I120" s="144">
        <f>'IS Feb KSA'!I120+'IS Feb USA'!I120</f>
        <v>0</v>
      </c>
      <c r="J120" s="144">
        <f>'IS Feb KSA'!F120+'IS Feb USA'!F120</f>
        <v>0</v>
      </c>
      <c r="K120" s="144">
        <f>'IS Feb KSA'!G120+'IS Feb USA'!G120</f>
        <v>0</v>
      </c>
      <c r="L120" s="144">
        <f>SUM(M120:O120)</f>
        <v>0</v>
      </c>
      <c r="M120" s="144">
        <f>'IS Feb KSA'!M120+'IS Feb USA'!M120</f>
        <v>0</v>
      </c>
      <c r="N120" s="144">
        <f>'IS Feb KSA'!N120+'IS Feb USA'!N120</f>
        <v>0</v>
      </c>
      <c r="O120" s="144">
        <f>'IS Feb KSA'!O120+'IS Feb USA'!O120</f>
        <v>0</v>
      </c>
      <c r="P120" s="144">
        <f>SUM(Q120:S120)</f>
        <v>0</v>
      </c>
      <c r="Q120" s="144">
        <f>'IS Feb KSA'!Q120+'IS Feb USA'!Q120</f>
        <v>0</v>
      </c>
      <c r="R120" s="144">
        <f>'IS Feb KSA'!R120+'IS Feb USA'!R120</f>
        <v>0</v>
      </c>
      <c r="S120" s="144">
        <f>'IS Feb KSA'!S120+'IS Feb USA'!S120</f>
        <v>0</v>
      </c>
      <c r="T120" s="143"/>
      <c r="U120" s="197"/>
      <c r="V120" s="144">
        <f>AB120+AC120+AG120+AK120+AA120+Z120</f>
        <v>0</v>
      </c>
      <c r="W120" s="197">
        <f>X120-AI120</f>
        <v>0</v>
      </c>
      <c r="X120" s="144">
        <v>0</v>
      </c>
      <c r="Y120" s="144">
        <f>SUM(Z120:AB120)</f>
        <v>0</v>
      </c>
      <c r="Z120" s="144">
        <v>0</v>
      </c>
      <c r="AA120" s="144">
        <v>0</v>
      </c>
      <c r="AB120" s="144">
        <v>0</v>
      </c>
      <c r="AC120" s="144">
        <f>AD120+AE120+AF120</f>
        <v>0</v>
      </c>
      <c r="AD120" s="144">
        <f>'IS Feb KSA'!Z120+'IS Feb USA'!Z120</f>
        <v>0</v>
      </c>
      <c r="AE120" s="144">
        <f>'IS Feb KSA'!AA120+'IS Feb USA'!AA120</f>
        <v>0</v>
      </c>
      <c r="AF120" s="144">
        <f>'IS Feb KSA'!AB120+'IS Feb USA'!AB120</f>
        <v>0</v>
      </c>
      <c r="AG120" s="144">
        <f>SUM(AH120:AJ120)</f>
        <v>0</v>
      </c>
      <c r="AH120" s="144">
        <f>'IS Feb KSA'!AD120+'IS Feb USA'!AD120</f>
        <v>0</v>
      </c>
      <c r="AI120" s="144">
        <f>'IS Feb KSA'!AE120+'IS Feb USA'!AE120</f>
        <v>0</v>
      </c>
      <c r="AJ120" s="144">
        <f>'IS Feb KSA'!AF120+'IS Feb USA'!AF120</f>
        <v>0</v>
      </c>
      <c r="AK120" s="144">
        <f>SUM(AL120:AN120)</f>
        <v>0</v>
      </c>
      <c r="AL120" s="144">
        <f>'IS Feb KSA'!AH120+'IS Feb USA'!AH120</f>
        <v>0</v>
      </c>
      <c r="AM120" s="144">
        <f>'IS Feb KSA'!AI120+'IS Feb USA'!AI120</f>
        <v>0</v>
      </c>
      <c r="AN120" s="144">
        <f>'IS Feb KSA'!AJ120+'IS Feb USA'!AJ120</f>
        <v>0</v>
      </c>
      <c r="AO120" s="145"/>
      <c r="AP120" s="144">
        <v>0</v>
      </c>
      <c r="AQ120" s="144">
        <v>5910.49</v>
      </c>
    </row>
    <row r="121" spans="1:43">
      <c r="B121" s="160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60"/>
      <c r="U121" s="204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</row>
    <row r="122" spans="1:43">
      <c r="B122" s="148" t="s">
        <v>86</v>
      </c>
      <c r="C122" s="236">
        <f t="shared" ref="C122" si="117">+C90+C98+C100+C118+C120+C93+C102+C114+C116+C104+C95+C106+C108+C110+C112</f>
        <v>-526297.59000000148</v>
      </c>
      <c r="D122" s="236">
        <f t="shared" ref="D122:S122" si="118">+D90+D98+D100+D118+D120+D93+D102+D114+D116+D104+D95+D106+D108+D110+D112</f>
        <v>0</v>
      </c>
      <c r="E122" s="236">
        <f>+E90+E98+E100+E118+E120+E93+E102+E114+E116+E104+E95+E106+E108+E110+E112</f>
        <v>0</v>
      </c>
      <c r="F122" s="236">
        <f>+F90+F98+F100+F118+F120+F93+F102+F114+F116+F104+F95+F106+F108+F110+F112</f>
        <v>0</v>
      </c>
      <c r="G122" s="236">
        <f>+G90+G98+G100+G118+G120+G93+G102+G114+G116+G104+G95+G106+G108+G110+G112</f>
        <v>0</v>
      </c>
      <c r="H122" s="236">
        <f t="shared" si="118"/>
        <v>0</v>
      </c>
      <c r="I122" s="144">
        <f>'IS Feb KSA'!I122+'IS Feb USA'!I122</f>
        <v>0</v>
      </c>
      <c r="J122" s="144">
        <f>'IS Feb KSA'!F122+'IS Feb USA'!F122</f>
        <v>0</v>
      </c>
      <c r="K122" s="144">
        <f>'IS Feb KSA'!G122+'IS Feb USA'!G122</f>
        <v>0</v>
      </c>
      <c r="L122" s="236">
        <f t="shared" si="118"/>
        <v>0</v>
      </c>
      <c r="M122" s="236">
        <f t="shared" si="118"/>
        <v>0</v>
      </c>
      <c r="N122" s="236">
        <f t="shared" si="118"/>
        <v>0</v>
      </c>
      <c r="O122" s="236">
        <f t="shared" si="118"/>
        <v>0</v>
      </c>
      <c r="P122" s="236">
        <f t="shared" si="118"/>
        <v>-526297.59000000148</v>
      </c>
      <c r="Q122" s="236">
        <f>+Q90+Q98+Q100+Q118+Q120+Q93+Q102+Q114+Q116+Q104+Q95+Q106+Q108+Q110+Q112</f>
        <v>0</v>
      </c>
      <c r="R122" s="236">
        <f t="shared" si="118"/>
        <v>-135087.06999999983</v>
      </c>
      <c r="S122" s="236">
        <f t="shared" si="118"/>
        <v>-391210.51999999955</v>
      </c>
      <c r="T122" s="197">
        <f>U122-V122</f>
        <v>-720440.37442684919</v>
      </c>
      <c r="U122" s="149">
        <f>+U90+U98+U100+U118+U120+U93+U102+U114+U116+U104+U95+U106+U108+U110</f>
        <v>-6183691.5944268461</v>
      </c>
      <c r="V122" s="236">
        <f>+V90+V98+V100+V118+V120+V93+V102+V114+V116+V104+V95+V106+V108+V110+V112</f>
        <v>-5463251.2199999969</v>
      </c>
      <c r="W122" s="197">
        <f>X122-AE122</f>
        <v>-100967.31299493625</v>
      </c>
      <c r="X122" s="236">
        <f>+X90+X98+X100+X118+X120+X93+X102+X114+X116+X104+X95+X106+X108+X110</f>
        <v>-1099548.1929949368</v>
      </c>
      <c r="Y122" s="236">
        <f t="shared" ref="Y122:AN122" si="119">+Y90+Y98+Y100+Y118+Y120+Y93+Y102+Y114+Y116+Y104+Y95+Y106+Y108+Y110+Y112</f>
        <v>-1925274.1899999992</v>
      </c>
      <c r="Z122" s="236">
        <f t="shared" si="119"/>
        <v>-196023.73999999973</v>
      </c>
      <c r="AA122" s="236">
        <f t="shared" si="119"/>
        <v>-776423.78999999911</v>
      </c>
      <c r="AB122" s="236">
        <f t="shared" si="119"/>
        <v>-952826.66000000038</v>
      </c>
      <c r="AC122" s="236">
        <f t="shared" si="119"/>
        <v>-1482639.8200000015</v>
      </c>
      <c r="AD122" s="236">
        <f t="shared" si="119"/>
        <v>-970044.40000000107</v>
      </c>
      <c r="AE122" s="236">
        <f t="shared" si="119"/>
        <v>-998580.88000000059</v>
      </c>
      <c r="AF122" s="236">
        <f t="shared" si="119"/>
        <v>485985.45999999985</v>
      </c>
      <c r="AG122" s="236">
        <f t="shared" si="119"/>
        <v>-1364181.8399999959</v>
      </c>
      <c r="AH122" s="236">
        <f t="shared" si="119"/>
        <v>-646067.47000000032</v>
      </c>
      <c r="AI122" s="236">
        <f t="shared" si="119"/>
        <v>-316327.55999999965</v>
      </c>
      <c r="AJ122" s="236">
        <f t="shared" si="119"/>
        <v>-401786.81000000105</v>
      </c>
      <c r="AK122" s="236">
        <f t="shared" si="119"/>
        <v>-691155.37000000116</v>
      </c>
      <c r="AL122" s="236">
        <f t="shared" si="119"/>
        <v>-85792.290000000241</v>
      </c>
      <c r="AM122" s="236">
        <f t="shared" si="119"/>
        <v>-262257.05999999924</v>
      </c>
      <c r="AN122" s="236">
        <f t="shared" si="119"/>
        <v>-343106.0200000006</v>
      </c>
      <c r="AO122" s="150"/>
      <c r="AP122" s="149">
        <f>+AP90+AP98+AP100+AP118+AP120+AP93+AP102+AP114+AP116+AP104+AP95</f>
        <v>-213210.84000000035</v>
      </c>
      <c r="AQ122" s="149">
        <f>+AQ90+AQ98+AQ100+AQ118+AQ120+AQ93+AQ102+AQ114+AQ116+AQ104+AQ95</f>
        <v>-2847594.0500000017</v>
      </c>
    </row>
    <row r="123" spans="1:43" s="334" customFormat="1" ht="15.6">
      <c r="A123" s="327"/>
      <c r="B123" s="328"/>
      <c r="C123" s="329"/>
      <c r="D123" s="330"/>
      <c r="E123" s="331"/>
      <c r="F123" s="331"/>
      <c r="G123" s="331"/>
      <c r="H123" s="331"/>
      <c r="I123" s="330"/>
      <c r="J123" s="330"/>
      <c r="K123" s="330"/>
      <c r="L123" s="330"/>
      <c r="M123" s="330"/>
      <c r="N123" s="330"/>
      <c r="O123" s="330"/>
      <c r="P123" s="330"/>
      <c r="Q123" s="330"/>
      <c r="R123" s="331">
        <v>-135087.07</v>
      </c>
      <c r="S123" s="332">
        <v>-391210.52000000025</v>
      </c>
      <c r="T123" s="328"/>
      <c r="U123" s="333"/>
      <c r="V123" s="329"/>
      <c r="W123" s="330"/>
      <c r="X123" s="330"/>
      <c r="Y123" s="330"/>
      <c r="Z123" s="331">
        <v>-196023.73999999824</v>
      </c>
      <c r="AA123" s="331">
        <v>-776423.78999999876</v>
      </c>
      <c r="AB123" s="331">
        <v>-952826.65999999992</v>
      </c>
      <c r="AC123" s="331"/>
      <c r="AD123" s="330">
        <v>-970044.40000000084</v>
      </c>
      <c r="AE123" s="330">
        <v>-998580.88000000094</v>
      </c>
      <c r="AF123" s="330">
        <v>485985.45999999909</v>
      </c>
      <c r="AG123" s="330"/>
      <c r="AH123" s="330">
        <v>-646067.46999999927</v>
      </c>
      <c r="AI123" s="330">
        <v>-316327.55999999942</v>
      </c>
      <c r="AJ123" s="330">
        <v>-401786.81000000105</v>
      </c>
      <c r="AK123" s="330"/>
      <c r="AL123" s="330">
        <v>-85792.290000000503</v>
      </c>
      <c r="AM123" s="331">
        <v>-262257.05999999889</v>
      </c>
      <c r="AN123" s="331">
        <v>-343106.02000000078</v>
      </c>
      <c r="AO123" s="331"/>
      <c r="AP123" s="331"/>
      <c r="AQ123" s="329"/>
    </row>
    <row r="124" spans="1:43" s="334" customFormat="1">
      <c r="A124" s="327"/>
      <c r="C124" s="332"/>
      <c r="D124" s="329"/>
      <c r="E124" s="332"/>
      <c r="F124" s="332"/>
      <c r="G124" s="332"/>
      <c r="H124" s="335"/>
      <c r="I124" s="332"/>
      <c r="J124" s="332"/>
      <c r="K124" s="332"/>
      <c r="M124" s="332"/>
      <c r="N124" s="332"/>
      <c r="O124" s="332"/>
      <c r="Q124" s="332"/>
      <c r="R124" s="336">
        <f>R122-R123</f>
        <v>0</v>
      </c>
      <c r="S124" s="332">
        <f>S122-S123</f>
        <v>6.9849193096160889E-10</v>
      </c>
      <c r="U124" s="329"/>
      <c r="V124" s="332"/>
      <c r="X124" s="329"/>
      <c r="Y124" s="329"/>
      <c r="Z124" s="332">
        <f>Z122-Z123</f>
        <v>-1.4842953532934189E-9</v>
      </c>
      <c r="AA124" s="332">
        <f>AA122-AA123</f>
        <v>0</v>
      </c>
      <c r="AB124" s="332">
        <f>AB122-AB123</f>
        <v>0</v>
      </c>
      <c r="AC124" s="335"/>
      <c r="AD124" s="332">
        <f>AD122-AD123</f>
        <v>0</v>
      </c>
      <c r="AE124" s="332">
        <f>AE122-AE123</f>
        <v>0</v>
      </c>
      <c r="AF124" s="332">
        <f>AF122-AF123</f>
        <v>7.5669959187507629E-10</v>
      </c>
      <c r="AH124" s="332">
        <f>AH122-AH123</f>
        <v>-1.0477378964424133E-9</v>
      </c>
      <c r="AI124" s="332">
        <f>AI122-AI123</f>
        <v>0</v>
      </c>
      <c r="AJ124" s="332">
        <f>AJ122-AJ123</f>
        <v>0</v>
      </c>
      <c r="AL124" s="332">
        <f>AL122-AL123</f>
        <v>2.6193447411060333E-10</v>
      </c>
      <c r="AM124" s="332">
        <f>AM122-AM123</f>
        <v>0</v>
      </c>
      <c r="AN124" s="332">
        <f>AN122-AN123</f>
        <v>0</v>
      </c>
      <c r="AP124" s="332"/>
    </row>
    <row r="125" spans="1:43" s="319" customFormat="1">
      <c r="A125" s="316"/>
      <c r="C125" s="317"/>
      <c r="D125" s="317"/>
      <c r="E125" s="321"/>
      <c r="F125" s="322"/>
      <c r="G125" s="322"/>
      <c r="H125" s="322"/>
      <c r="I125" s="322"/>
      <c r="J125" s="322"/>
      <c r="K125" s="323"/>
      <c r="L125" s="320"/>
      <c r="M125" s="322"/>
      <c r="N125" s="322"/>
      <c r="P125" s="320"/>
      <c r="Q125" s="321"/>
      <c r="R125" s="324"/>
      <c r="S125" s="322"/>
      <c r="U125" s="317"/>
      <c r="V125" s="317"/>
      <c r="W125" s="321"/>
      <c r="X125" s="322"/>
      <c r="Y125" s="317"/>
      <c r="Z125" s="321"/>
      <c r="AA125" s="322"/>
      <c r="AB125" s="322"/>
      <c r="AC125" s="322"/>
      <c r="AD125" s="322"/>
      <c r="AE125" s="322"/>
      <c r="AF125" s="323"/>
      <c r="AG125" s="320"/>
      <c r="AH125" s="322"/>
      <c r="AI125" s="322"/>
      <c r="AK125" s="320"/>
      <c r="AL125" s="321"/>
      <c r="AM125" s="324"/>
      <c r="AN125" s="322"/>
      <c r="AO125" s="320"/>
      <c r="AP125" s="321">
        <f>AP122-AP124</f>
        <v>-213210.84000000035</v>
      </c>
      <c r="AQ125" s="317"/>
    </row>
    <row r="126" spans="1:43" s="319" customFormat="1">
      <c r="A126" s="316"/>
      <c r="C126" s="325"/>
      <c r="D126" s="317"/>
      <c r="E126" s="322"/>
      <c r="F126" s="322"/>
      <c r="G126" s="322"/>
      <c r="H126" s="322"/>
      <c r="Q126" s="317"/>
      <c r="R126" s="317"/>
      <c r="S126" s="317"/>
      <c r="U126" s="324"/>
      <c r="V126" s="325"/>
      <c r="W126" s="317"/>
      <c r="X126" s="317"/>
      <c r="Y126" s="317"/>
      <c r="Z126" s="322"/>
      <c r="AA126" s="322"/>
      <c r="AB126" s="322"/>
      <c r="AC126" s="322"/>
      <c r="AL126" s="317"/>
      <c r="AM126" s="317"/>
      <c r="AN126" s="317"/>
      <c r="AP126" s="322"/>
      <c r="AQ126" s="325"/>
    </row>
    <row r="127" spans="1:43" s="319" customFormat="1">
      <c r="A127" s="316"/>
      <c r="C127" s="317"/>
      <c r="D127" s="317"/>
      <c r="F127" s="318"/>
      <c r="U127" s="324"/>
      <c r="V127" s="317"/>
      <c r="Y127" s="317"/>
      <c r="AA127" s="318"/>
      <c r="AQ127" s="317"/>
    </row>
    <row r="128" spans="1:43">
      <c r="C128" s="127"/>
      <c r="D128" s="127"/>
      <c r="V128" s="127"/>
      <c r="Y128" s="127"/>
      <c r="AQ128" s="127"/>
    </row>
    <row r="129" spans="3:43">
      <c r="C129" s="127"/>
      <c r="D129" s="127"/>
      <c r="V129" s="127"/>
      <c r="Y129" s="127"/>
      <c r="AQ129" s="127"/>
    </row>
    <row r="130" spans="3:43">
      <c r="C130" s="127"/>
      <c r="D130" s="127"/>
      <c r="N130" s="167"/>
      <c r="O130" s="167"/>
      <c r="Q130" s="167"/>
      <c r="R130" s="167"/>
      <c r="S130" s="167"/>
      <c r="V130" s="127"/>
      <c r="Y130" s="127"/>
      <c r="AI130" s="167"/>
      <c r="AJ130" s="167"/>
      <c r="AL130" s="167"/>
      <c r="AM130" s="167"/>
      <c r="AN130" s="167"/>
      <c r="AQ130" s="127"/>
    </row>
    <row r="131" spans="3:43">
      <c r="C131" s="127"/>
      <c r="D131" s="127"/>
      <c r="V131" s="127"/>
      <c r="Y131" s="127"/>
      <c r="AQ131" s="127"/>
    </row>
    <row r="132" spans="3:43">
      <c r="C132" s="127"/>
      <c r="D132" s="127"/>
      <c r="V132" s="127"/>
      <c r="Y132" s="127"/>
      <c r="AQ132" s="127"/>
    </row>
    <row r="133" spans="3:43">
      <c r="C133" s="127"/>
      <c r="D133" s="127"/>
      <c r="V133" s="127"/>
      <c r="Y133" s="127"/>
      <c r="AQ133" s="127"/>
    </row>
    <row r="134" spans="3:43">
      <c r="C134" s="127"/>
      <c r="D134" s="127"/>
      <c r="V134" s="127"/>
      <c r="Y134" s="127"/>
      <c r="AQ134" s="127"/>
    </row>
    <row r="135" spans="3:43">
      <c r="C135" s="127"/>
      <c r="D135" s="127"/>
      <c r="V135" s="127"/>
      <c r="Y135" s="127"/>
      <c r="AQ135" s="127"/>
    </row>
    <row r="136" spans="3:43">
      <c r="C136" s="127"/>
      <c r="D136" s="127"/>
      <c r="V136" s="127"/>
      <c r="Y136" s="127"/>
      <c r="AQ136" s="127"/>
    </row>
    <row r="137" spans="3:43">
      <c r="C137" s="127"/>
      <c r="D137" s="127"/>
      <c r="V137" s="127"/>
      <c r="Y137" s="127"/>
      <c r="AQ137" s="127"/>
    </row>
    <row r="138" spans="3:43">
      <c r="C138" s="127"/>
      <c r="D138" s="127"/>
      <c r="V138" s="127"/>
      <c r="Y138" s="127"/>
      <c r="AQ138" s="127"/>
    </row>
    <row r="139" spans="3:43">
      <c r="C139" s="127"/>
      <c r="D139" s="127"/>
      <c r="V139" s="127"/>
      <c r="Y139" s="127"/>
      <c r="AQ139" s="127"/>
    </row>
    <row r="140" spans="3:43">
      <c r="C140" s="127"/>
      <c r="D140" s="127"/>
      <c r="V140" s="127"/>
      <c r="Y140" s="127"/>
      <c r="AQ140" s="127"/>
    </row>
    <row r="141" spans="3:43">
      <c r="C141" s="127"/>
      <c r="D141" s="127"/>
      <c r="V141" s="127"/>
      <c r="Y141" s="127"/>
      <c r="AQ141" s="127"/>
    </row>
    <row r="142" spans="3:43">
      <c r="C142" s="127"/>
      <c r="D142" s="127"/>
      <c r="V142" s="127"/>
      <c r="Y142" s="127"/>
      <c r="AQ142" s="127"/>
    </row>
    <row r="143" spans="3:43">
      <c r="C143" s="127"/>
      <c r="D143" s="127"/>
      <c r="V143" s="127"/>
      <c r="Y143" s="127"/>
      <c r="AQ143" s="127"/>
    </row>
    <row r="144" spans="3:43">
      <c r="C144" s="127"/>
      <c r="D144" s="127"/>
      <c r="V144" s="127"/>
      <c r="Y144" s="127"/>
      <c r="AQ144" s="127"/>
    </row>
    <row r="145" spans="3:43">
      <c r="C145" s="127"/>
      <c r="D145" s="127"/>
      <c r="V145" s="127"/>
      <c r="Y145" s="127"/>
      <c r="AQ145" s="127"/>
    </row>
    <row r="146" spans="3:43">
      <c r="C146" s="127"/>
      <c r="D146" s="127"/>
      <c r="V146" s="127"/>
      <c r="Y146" s="127"/>
      <c r="AQ146" s="127"/>
    </row>
    <row r="147" spans="3:43">
      <c r="C147" s="127"/>
      <c r="D147" s="127"/>
      <c r="V147" s="127"/>
      <c r="Y147" s="127"/>
      <c r="AQ147" s="127"/>
    </row>
    <row r="148" spans="3:43">
      <c r="C148" s="127"/>
      <c r="D148" s="127"/>
      <c r="V148" s="127"/>
      <c r="Y148" s="127"/>
      <c r="AQ148" s="127"/>
    </row>
    <row r="149" spans="3:43">
      <c r="C149" s="127"/>
      <c r="D149" s="127"/>
      <c r="V149" s="127"/>
      <c r="Y149" s="127"/>
      <c r="AQ149" s="127"/>
    </row>
    <row r="150" spans="3:43">
      <c r="C150" s="127"/>
      <c r="D150" s="127"/>
      <c r="V150" s="127"/>
      <c r="Y150" s="127"/>
      <c r="AQ150" s="127"/>
    </row>
    <row r="151" spans="3:43">
      <c r="C151" s="127"/>
      <c r="D151" s="127"/>
      <c r="V151" s="127"/>
      <c r="Y151" s="127"/>
      <c r="AQ151" s="127"/>
    </row>
    <row r="152" spans="3:43">
      <c r="C152" s="127"/>
      <c r="D152" s="127"/>
      <c r="V152" s="127"/>
      <c r="Y152" s="127"/>
      <c r="AQ152" s="127"/>
    </row>
    <row r="153" spans="3:43">
      <c r="C153" s="127"/>
      <c r="D153" s="127"/>
      <c r="V153" s="127"/>
      <c r="Y153" s="127"/>
      <c r="AQ153" s="127"/>
    </row>
    <row r="154" spans="3:43">
      <c r="C154" s="127"/>
      <c r="D154" s="127"/>
      <c r="V154" s="127"/>
      <c r="Y154" s="127"/>
      <c r="AQ154" s="127"/>
    </row>
    <row r="155" spans="3:43">
      <c r="C155" s="127"/>
      <c r="D155" s="127"/>
      <c r="V155" s="127"/>
      <c r="Y155" s="127"/>
      <c r="AQ155" s="127"/>
    </row>
    <row r="156" spans="3:43">
      <c r="C156" s="127"/>
      <c r="D156" s="127"/>
      <c r="V156" s="127"/>
      <c r="Y156" s="127"/>
      <c r="AQ156" s="127"/>
    </row>
    <row r="157" spans="3:43">
      <c r="C157" s="127"/>
      <c r="D157" s="127"/>
      <c r="V157" s="127"/>
      <c r="Y157" s="127"/>
      <c r="AQ157" s="127"/>
    </row>
    <row r="158" spans="3:43">
      <c r="C158" s="127"/>
      <c r="D158" s="127"/>
      <c r="V158" s="127"/>
      <c r="Y158" s="127"/>
      <c r="AQ158" s="127"/>
    </row>
    <row r="159" spans="3:43">
      <c r="C159" s="127"/>
      <c r="D159" s="127"/>
      <c r="V159" s="127"/>
      <c r="Y159" s="127"/>
      <c r="AQ159" s="127"/>
    </row>
    <row r="160" spans="3:43">
      <c r="C160" s="127"/>
      <c r="D160" s="127"/>
      <c r="V160" s="127"/>
      <c r="Y160" s="127"/>
      <c r="AQ160" s="127"/>
    </row>
    <row r="161" spans="3:43">
      <c r="C161" s="127"/>
      <c r="D161" s="127"/>
      <c r="V161" s="127"/>
      <c r="Y161" s="127"/>
      <c r="AQ161" s="127"/>
    </row>
    <row r="162" spans="3:43">
      <c r="C162" s="127"/>
      <c r="D162" s="127"/>
      <c r="V162" s="127"/>
      <c r="Y162" s="127"/>
      <c r="AQ162" s="127"/>
    </row>
    <row r="163" spans="3:43">
      <c r="C163" s="127"/>
      <c r="D163" s="127"/>
      <c r="V163" s="127"/>
      <c r="Y163" s="127"/>
      <c r="AQ163" s="127"/>
    </row>
    <row r="164" spans="3:43">
      <c r="C164" s="127"/>
      <c r="D164" s="127"/>
      <c r="V164" s="127"/>
      <c r="Y164" s="127"/>
      <c r="AQ164" s="127"/>
    </row>
    <row r="165" spans="3:43">
      <c r="C165" s="127"/>
      <c r="D165" s="127"/>
      <c r="V165" s="127"/>
      <c r="Y165" s="127"/>
      <c r="AQ165" s="127"/>
    </row>
    <row r="166" spans="3:43">
      <c r="C166" s="127"/>
      <c r="D166" s="127"/>
      <c r="V166" s="127"/>
      <c r="Y166" s="127"/>
      <c r="AQ166" s="127"/>
    </row>
    <row r="167" spans="3:43">
      <c r="C167" s="127"/>
      <c r="D167" s="127"/>
      <c r="V167" s="127"/>
      <c r="Y167" s="127"/>
      <c r="AQ167" s="127"/>
    </row>
    <row r="168" spans="3:43">
      <c r="C168" s="127"/>
      <c r="D168" s="127"/>
      <c r="V168" s="127"/>
      <c r="Y168" s="127"/>
      <c r="AQ168" s="127"/>
    </row>
    <row r="169" spans="3:43">
      <c r="C169" s="127"/>
      <c r="D169" s="127"/>
      <c r="V169" s="127"/>
      <c r="Y169" s="127"/>
      <c r="AQ169" s="127"/>
    </row>
    <row r="170" spans="3:43">
      <c r="C170" s="127"/>
      <c r="D170" s="127"/>
      <c r="V170" s="127"/>
      <c r="Y170" s="127"/>
      <c r="AQ170" s="127"/>
    </row>
    <row r="171" spans="3:43">
      <c r="C171" s="127"/>
      <c r="D171" s="127"/>
      <c r="V171" s="127"/>
      <c r="Y171" s="127"/>
      <c r="AQ171" s="127"/>
    </row>
    <row r="172" spans="3:43">
      <c r="C172" s="127"/>
      <c r="D172" s="127"/>
      <c r="V172" s="127"/>
      <c r="Y172" s="127"/>
      <c r="AQ172" s="127"/>
    </row>
    <row r="173" spans="3:43">
      <c r="C173" s="127"/>
      <c r="D173" s="127"/>
      <c r="V173" s="127"/>
      <c r="Y173" s="127"/>
      <c r="AQ173" s="127"/>
    </row>
    <row r="174" spans="3:43">
      <c r="C174" s="127"/>
      <c r="D174" s="127"/>
      <c r="V174" s="127"/>
      <c r="Y174" s="127"/>
      <c r="AQ174" s="127"/>
    </row>
    <row r="175" spans="3:43">
      <c r="C175" s="127"/>
      <c r="D175" s="127"/>
      <c r="V175" s="127"/>
      <c r="Y175" s="127"/>
      <c r="AQ175" s="127"/>
    </row>
    <row r="176" spans="3:43">
      <c r="C176" s="127"/>
      <c r="D176" s="127"/>
      <c r="V176" s="127"/>
      <c r="Y176" s="127"/>
      <c r="AQ176" s="127"/>
    </row>
    <row r="177" spans="3:43">
      <c r="C177" s="127"/>
      <c r="D177" s="127"/>
      <c r="V177" s="127"/>
      <c r="Y177" s="127"/>
      <c r="AQ177" s="127"/>
    </row>
  </sheetData>
  <autoFilter ref="A7:AR122" xr:uid="{0B9D8580-E5F1-4DD1-8580-B9D507D288C5}"/>
  <mergeCells count="4">
    <mergeCell ref="AC1:AD1"/>
    <mergeCell ref="Z1:AB1"/>
    <mergeCell ref="E1:G1"/>
    <mergeCell ref="H1:I1"/>
  </mergeCells>
  <conditionalFormatting sqref="C123:S123">
    <cfRule type="cellIs" dxfId="118" priority="67" operator="equal">
      <formula>0</formula>
    </cfRule>
  </conditionalFormatting>
  <conditionalFormatting sqref="T10:T87">
    <cfRule type="cellIs" dxfId="117" priority="302" operator="greaterThan">
      <formula>0</formula>
    </cfRule>
    <cfRule type="cellIs" dxfId="116" priority="301" operator="lessThan">
      <formula>0</formula>
    </cfRule>
  </conditionalFormatting>
  <conditionalFormatting sqref="T90">
    <cfRule type="cellIs" dxfId="115" priority="287" operator="lessThan">
      <formula>0</formula>
    </cfRule>
    <cfRule type="cellIs" dxfId="114" priority="288" operator="greaterThan">
      <formula>0</formula>
    </cfRule>
  </conditionalFormatting>
  <conditionalFormatting sqref="T93">
    <cfRule type="cellIs" dxfId="113" priority="286" operator="greaterThan">
      <formula>0</formula>
    </cfRule>
    <cfRule type="cellIs" dxfId="112" priority="285" operator="lessThan">
      <formula>0</formula>
    </cfRule>
  </conditionalFormatting>
  <conditionalFormatting sqref="T95">
    <cfRule type="cellIs" dxfId="111" priority="242" operator="greaterThan">
      <formula>0</formula>
    </cfRule>
    <cfRule type="cellIs" dxfId="110" priority="241" operator="lessThan">
      <formula>0</formula>
    </cfRule>
  </conditionalFormatting>
  <conditionalFormatting sqref="T98">
    <cfRule type="cellIs" dxfId="109" priority="284" operator="greaterThan">
      <formula>0</formula>
    </cfRule>
    <cfRule type="cellIs" dxfId="108" priority="283" operator="lessThan">
      <formula>0</formula>
    </cfRule>
  </conditionalFormatting>
  <conditionalFormatting sqref="T100">
    <cfRule type="cellIs" dxfId="107" priority="282" operator="greaterThan">
      <formula>0</formula>
    </cfRule>
    <cfRule type="cellIs" dxfId="106" priority="281" operator="lessThan">
      <formula>0</formula>
    </cfRule>
  </conditionalFormatting>
  <conditionalFormatting sqref="T102">
    <cfRule type="cellIs" dxfId="105" priority="280" operator="greaterThan">
      <formula>0</formula>
    </cfRule>
    <cfRule type="cellIs" dxfId="104" priority="279" operator="lessThan">
      <formula>0</formula>
    </cfRule>
  </conditionalFormatting>
  <conditionalFormatting sqref="T104">
    <cfRule type="cellIs" dxfId="103" priority="277" operator="lessThan">
      <formula>0</formula>
    </cfRule>
    <cfRule type="cellIs" dxfId="102" priority="278" operator="greaterThan">
      <formula>0</formula>
    </cfRule>
  </conditionalFormatting>
  <conditionalFormatting sqref="T106">
    <cfRule type="cellIs" dxfId="101" priority="216" operator="greaterThan">
      <formula>0</formula>
    </cfRule>
    <cfRule type="cellIs" dxfId="100" priority="215" operator="lessThan">
      <formula>0</formula>
    </cfRule>
  </conditionalFormatting>
  <conditionalFormatting sqref="T108">
    <cfRule type="cellIs" dxfId="99" priority="151" operator="lessThan">
      <formula>0</formula>
    </cfRule>
    <cfRule type="cellIs" dxfId="98" priority="152" operator="greaterThan">
      <formula>0</formula>
    </cfRule>
  </conditionalFormatting>
  <conditionalFormatting sqref="T110">
    <cfRule type="cellIs" dxfId="97" priority="99" operator="lessThan">
      <formula>0</formula>
    </cfRule>
    <cfRule type="cellIs" dxfId="96" priority="100" operator="greaterThan">
      <formula>0</formula>
    </cfRule>
  </conditionalFormatting>
  <conditionalFormatting sqref="T112">
    <cfRule type="cellIs" dxfId="95" priority="71" operator="lessThan">
      <formula>0</formula>
    </cfRule>
    <cfRule type="cellIs" dxfId="94" priority="72" operator="greaterThan">
      <formula>0</formula>
    </cfRule>
  </conditionalFormatting>
  <conditionalFormatting sqref="T114">
    <cfRule type="cellIs" dxfId="93" priority="276" operator="greaterThan">
      <formula>0</formula>
    </cfRule>
    <cfRule type="cellIs" dxfId="92" priority="275" operator="lessThan">
      <formula>0</formula>
    </cfRule>
  </conditionalFormatting>
  <conditionalFormatting sqref="T116">
    <cfRule type="cellIs" dxfId="91" priority="274" operator="greaterThan">
      <formula>0</formula>
    </cfRule>
    <cfRule type="cellIs" dxfId="90" priority="273" operator="lessThan">
      <formula>0</formula>
    </cfRule>
  </conditionalFormatting>
  <conditionalFormatting sqref="T118">
    <cfRule type="cellIs" dxfId="89" priority="272" operator="greaterThan">
      <formula>0</formula>
    </cfRule>
    <cfRule type="cellIs" dxfId="88" priority="271" operator="lessThan">
      <formula>0</formula>
    </cfRule>
  </conditionalFormatting>
  <conditionalFormatting sqref="T122">
    <cfRule type="cellIs" dxfId="87" priority="269" operator="lessThan">
      <formula>0</formula>
    </cfRule>
    <cfRule type="cellIs" dxfId="86" priority="270" operator="greaterThan">
      <formula>0</formula>
    </cfRule>
  </conditionalFormatting>
  <conditionalFormatting sqref="V123:AQ123">
    <cfRule type="cellIs" dxfId="85" priority="678" operator="equal">
      <formula>0</formula>
    </cfRule>
  </conditionalFormatting>
  <conditionalFormatting sqref="W10:W87">
    <cfRule type="cellIs" dxfId="84" priority="264" operator="greaterThan">
      <formula>0</formula>
    </cfRule>
    <cfRule type="cellIs" dxfId="83" priority="263" operator="lessThan">
      <formula>0</formula>
    </cfRule>
  </conditionalFormatting>
  <conditionalFormatting sqref="W90">
    <cfRule type="cellIs" dxfId="82" priority="148" operator="greaterThan">
      <formula>0</formula>
    </cfRule>
    <cfRule type="cellIs" dxfId="81" priority="147" operator="lessThan">
      <formula>0</formula>
    </cfRule>
  </conditionalFormatting>
  <conditionalFormatting sqref="W93">
    <cfRule type="cellIs" dxfId="80" priority="95" operator="lessThan">
      <formula>0</formula>
    </cfRule>
    <cfRule type="cellIs" dxfId="79" priority="96" operator="greaterThan">
      <formula>0</formula>
    </cfRule>
  </conditionalFormatting>
  <conditionalFormatting sqref="W95">
    <cfRule type="cellIs" dxfId="78" priority="93" operator="lessThan">
      <formula>0</formula>
    </cfRule>
    <cfRule type="cellIs" dxfId="77" priority="94" operator="greaterThan">
      <formula>0</formula>
    </cfRule>
  </conditionalFormatting>
  <conditionalFormatting sqref="W98">
    <cfRule type="cellIs" dxfId="76" priority="91" operator="lessThan">
      <formula>0</formula>
    </cfRule>
    <cfRule type="cellIs" dxfId="75" priority="92" operator="greaterThan">
      <formula>0</formula>
    </cfRule>
  </conditionalFormatting>
  <conditionalFormatting sqref="W100">
    <cfRule type="cellIs" dxfId="74" priority="90" operator="greaterThan">
      <formula>0</formula>
    </cfRule>
    <cfRule type="cellIs" dxfId="73" priority="89" operator="lessThan">
      <formula>0</formula>
    </cfRule>
  </conditionalFormatting>
  <conditionalFormatting sqref="W102">
    <cfRule type="cellIs" dxfId="72" priority="88" operator="greaterThan">
      <formula>0</formula>
    </cfRule>
    <cfRule type="cellIs" dxfId="71" priority="87" operator="lessThan">
      <formula>0</formula>
    </cfRule>
  </conditionalFormatting>
  <conditionalFormatting sqref="W104">
    <cfRule type="cellIs" dxfId="70" priority="85" operator="lessThan">
      <formula>0</formula>
    </cfRule>
    <cfRule type="cellIs" dxfId="69" priority="86" operator="greaterThan">
      <formula>0</formula>
    </cfRule>
  </conditionalFormatting>
  <conditionalFormatting sqref="W106">
    <cfRule type="cellIs" dxfId="68" priority="84" operator="greaterThan">
      <formula>0</formula>
    </cfRule>
    <cfRule type="cellIs" dxfId="67" priority="83" operator="lessThan">
      <formula>0</formula>
    </cfRule>
  </conditionalFormatting>
  <conditionalFormatting sqref="W108">
    <cfRule type="cellIs" dxfId="66" priority="82" operator="greaterThan">
      <formula>0</formula>
    </cfRule>
    <cfRule type="cellIs" dxfId="65" priority="81" operator="lessThan">
      <formula>0</formula>
    </cfRule>
  </conditionalFormatting>
  <conditionalFormatting sqref="W110">
    <cfRule type="cellIs" dxfId="64" priority="80" operator="greaterThan">
      <formula>0</formula>
    </cfRule>
    <cfRule type="cellIs" dxfId="63" priority="79" operator="lessThan">
      <formula>0</formula>
    </cfRule>
  </conditionalFormatting>
  <conditionalFormatting sqref="W112">
    <cfRule type="cellIs" dxfId="62" priority="69" operator="lessThan">
      <formula>0</formula>
    </cfRule>
    <cfRule type="cellIs" dxfId="61" priority="70" operator="greaterThan">
      <formula>0</formula>
    </cfRule>
  </conditionalFormatting>
  <conditionalFormatting sqref="W114">
    <cfRule type="cellIs" dxfId="60" priority="77" operator="lessThan">
      <formula>0</formula>
    </cfRule>
    <cfRule type="cellIs" dxfId="59" priority="78" operator="greaterThan">
      <formula>0</formula>
    </cfRule>
  </conditionalFormatting>
  <conditionalFormatting sqref="W116">
    <cfRule type="cellIs" dxfId="58" priority="76" operator="greaterThan">
      <formula>0</formula>
    </cfRule>
    <cfRule type="cellIs" dxfId="57" priority="75" operator="lessThan">
      <formula>0</formula>
    </cfRule>
  </conditionalFormatting>
  <conditionalFormatting sqref="W118">
    <cfRule type="cellIs" dxfId="56" priority="192" operator="greaterThan">
      <formula>0</formula>
    </cfRule>
    <cfRule type="cellIs" dxfId="55" priority="191" operator="lessThan">
      <formula>0</formula>
    </cfRule>
  </conditionalFormatting>
  <conditionalFormatting sqref="W120">
    <cfRule type="cellIs" dxfId="54" priority="190" operator="greaterThan">
      <formula>0</formula>
    </cfRule>
    <cfRule type="cellIs" dxfId="53" priority="189" operator="lessThan">
      <formula>0</formula>
    </cfRule>
  </conditionalFormatting>
  <conditionalFormatting sqref="W122">
    <cfRule type="cellIs" dxfId="52" priority="125" operator="lessThan">
      <formula>0</formula>
    </cfRule>
    <cfRule type="cellIs" dxfId="51" priority="126" operator="greaterThan">
      <formula>0</formula>
    </cfRule>
  </conditionalFormatting>
  <pageMargins left="0.7" right="0.7" top="0.75" bottom="0.75" header="0.3" footer="0.3"/>
  <pageSetup orientation="portrait" r:id="rId1"/>
  <ignoredErrors>
    <ignoredError sqref="AN65 AC126:AC141 AF127:AF141 AB16 AB81:AB86 AB92:AB93 AB100 AB97:AB98 AB114 AB116:AB117 V127:V141 AB35:AB36 AB102:AB103 AA128:AA141 AB68:AB70 AB12:AB14 AB10 AJ114:AN116 AJ92:AN93 AJ95:AN98 AJ100:AN100 AJ102:AN105 AH131:AO141 AH126:AH130 AO126:AO130 AL90:AN90 AG126:AG141 AB73:AB79 X56 AB20:AB24 AC119:AD119 AC118:AN118 AC120:AN120 AC114:AG116 V114 V120 V118 AB26:AB32 X122 AC122:AN122 R118:S122 C108:C117 C118:C122 D108:S117 D118:Q122" unlockedFormula="1"/>
    <ignoredError sqref="AN56 AN39 AN60 AN87 AB88:AB89 AA88:AA89 AA18:AB18 AA39 AB64 AB101 AB94 AB99 AA118:AB121 AA56 AA60 AB42:AB44 AA91:AB91 AE91:AF91 AL91:AN91 AE88:AF88 AH88:AN89 AH91:AJ91 AJ119:AN119 AE18:AN18 AE89:AG89 AE94:AN94 AE99:AN99 AE101:AN101 AE121:AN121 AB53:AB62 AB47:AB48 AB39:AB40 AE119:AF119 AG119:AI119 W122 AB66" formula="1" unlockedFormula="1"/>
    <ignoredError sqref="V9" numberStoredAsText="1"/>
    <ignoredError sqref="AO118:AO122 AO68:AO70 AO16:AO23 AO98:AO101 AO35 AO81:AO84 AO86:AO91 AO93:AO94 AO42:AO44 AO64:AO66 AO53:AO62 AO47:AO48 AO75:AO79 AO39:AO40 AO26:AO32" formula="1"/>
    <ignoredError sqref="V88:V89 V18 V39 V60 V56 V65 V101 V94 V99 V91 V119 V121" numberStoredAsText="1" formula="1" unlockedFormula="1"/>
    <ignoredError sqref="V92 V97 V103 V117 V115" numberStoredAsText="1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8" id="{96C57FB2-9101-49D4-BFAA-B79FAF463A2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E3:E6</xm:sqref>
        </x14:conditionalFormatting>
        <x14:conditionalFormatting xmlns:xm="http://schemas.microsoft.com/office/excel/2006/main">
          <x14:cfRule type="iconSet" priority="679" id="{1F894E2D-AB20-489E-B50E-3F5372CCDFE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Z3:Z6</xm:sqref>
        </x14:conditionalFormatting>
        <x14:conditionalFormatting xmlns:xm="http://schemas.microsoft.com/office/excel/2006/main">
          <x14:cfRule type="iconSet" priority="331" id="{BD8A3A9B-A87B-4D03-BE4B-936AEA72C21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AP3:AP6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D386-AA45-41CE-A92B-933D1E35A122}">
  <dimension ref="A1"/>
  <sheetViews>
    <sheetView showGridLines="0" workbookViewId="0">
      <selection activeCell="O5" sqref="O5"/>
    </sheetView>
  </sheetViews>
  <sheetFormatPr defaultRowHeight="14.4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F49F-4797-4982-A164-77C4D19F5251}">
  <dimension ref="A1:AC156"/>
  <sheetViews>
    <sheetView showGridLines="0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4" sqref="G4"/>
    </sheetView>
  </sheetViews>
  <sheetFormatPr defaultColWidth="8.5546875" defaultRowHeight="14.4" outlineLevelRow="1" outlineLevelCol="1"/>
  <cols>
    <col min="1" max="1" width="3.44140625" style="120" customWidth="1"/>
    <col min="2" max="2" width="40.5546875" style="121" bestFit="1" customWidth="1"/>
    <col min="3" max="3" width="20.33203125" style="121" bestFit="1" customWidth="1"/>
    <col min="4" max="4" width="21.109375" style="198" bestFit="1" customWidth="1"/>
    <col min="5" max="5" width="16.44140625" style="121" customWidth="1"/>
    <col min="6" max="6" width="15.109375" style="121" customWidth="1"/>
    <col min="7" max="7" width="15.5546875" style="121" customWidth="1"/>
    <col min="8" max="8" width="13.33203125" style="121" hidden="1" customWidth="1"/>
    <col min="9" max="9" width="17.5546875" style="121" hidden="1" customWidth="1" outlineLevel="1"/>
    <col min="10" max="11" width="16.44140625" style="121" hidden="1" customWidth="1" outlineLevel="1"/>
    <col min="12" max="15" width="16.5546875" style="121" hidden="1" customWidth="1" outlineLevel="1"/>
    <col min="16" max="16" width="21.5546875" style="121" hidden="1" customWidth="1" outlineLevel="1"/>
    <col min="17" max="17" width="20.44140625" style="121" hidden="1" customWidth="1" collapsed="1"/>
    <col min="18" max="18" width="15.6640625" style="121" hidden="1" customWidth="1" outlineLevel="1"/>
    <col min="19" max="19" width="16.44140625" style="121" hidden="1" customWidth="1" outlineLevel="1"/>
    <col min="20" max="20" width="12.44140625" style="121" bestFit="1" customWidth="1" outlineLevel="1"/>
    <col min="21" max="21" width="13.88671875" style="121" customWidth="1"/>
    <col min="22" max="22" width="17.88671875" style="121" bestFit="1" customWidth="1" outlineLevel="1"/>
    <col min="23" max="23" width="12.44140625" style="121" customWidth="1" outlineLevel="1"/>
    <col min="24" max="24" width="1.88671875" style="121" customWidth="1" outlineLevel="1"/>
    <col min="25" max="25" width="17.5546875" style="121" hidden="1" customWidth="1" outlineLevel="1"/>
    <col min="26" max="26" width="16.44140625" style="121" hidden="1" customWidth="1"/>
    <col min="27" max="27" width="13.5546875" style="121" bestFit="1" customWidth="1"/>
    <col min="28" max="28" width="10.5546875" style="121" bestFit="1" customWidth="1"/>
    <col min="29" max="29" width="14" style="121" bestFit="1" customWidth="1"/>
    <col min="30" max="16384" width="8.5546875" style="121"/>
  </cols>
  <sheetData>
    <row r="1" spans="1:29">
      <c r="I1" s="326"/>
      <c r="J1" s="326"/>
      <c r="K1" s="326"/>
      <c r="L1" s="326"/>
      <c r="M1" s="326"/>
    </row>
    <row r="2" spans="1:29">
      <c r="I2" s="191"/>
      <c r="J2" s="191"/>
      <c r="K2" s="191"/>
      <c r="L2" s="191"/>
      <c r="M2" s="191"/>
      <c r="Y2" s="191"/>
    </row>
    <row r="3" spans="1:29">
      <c r="H3" s="167"/>
      <c r="I3" s="167"/>
      <c r="J3" s="190"/>
      <c r="K3" s="190"/>
      <c r="L3" s="190"/>
      <c r="M3" s="190"/>
      <c r="W3" s="123"/>
      <c r="Y3" s="167"/>
      <c r="AB3" s="124"/>
    </row>
    <row r="4" spans="1:29">
      <c r="H4" s="126"/>
      <c r="I4" s="167"/>
      <c r="J4" s="190"/>
      <c r="K4" s="190"/>
      <c r="L4" s="190"/>
      <c r="M4" s="190"/>
      <c r="W4" s="125"/>
      <c r="Y4" s="167"/>
      <c r="AB4" s="124"/>
    </row>
    <row r="5" spans="1:29">
      <c r="E5" s="126"/>
      <c r="H5" s="126"/>
      <c r="I5" s="167"/>
      <c r="J5" s="190"/>
      <c r="K5" s="190"/>
      <c r="L5" s="190"/>
      <c r="M5" s="190"/>
      <c r="N5" s="167"/>
      <c r="W5" s="122"/>
      <c r="Y5" s="167"/>
      <c r="Z5" s="126"/>
      <c r="AC5" s="127"/>
    </row>
    <row r="6" spans="1:29" s="132" customFormat="1" ht="16.2" thickBot="1">
      <c r="A6" s="128"/>
      <c r="B6" s="129"/>
      <c r="C6" s="196"/>
      <c r="D6" s="199"/>
      <c r="E6" s="130"/>
      <c r="H6" s="131"/>
      <c r="I6" s="189"/>
      <c r="J6" s="189"/>
      <c r="K6" s="192"/>
      <c r="L6" s="192"/>
      <c r="M6" s="192"/>
      <c r="W6" s="133"/>
      <c r="Y6" s="189"/>
      <c r="Z6" s="130"/>
    </row>
    <row r="7" spans="1:29" ht="15" thickBot="1">
      <c r="B7" s="134" t="s">
        <v>188</v>
      </c>
      <c r="C7" s="135" t="s">
        <v>201</v>
      </c>
      <c r="D7" s="200" t="s">
        <v>202</v>
      </c>
      <c r="E7" s="135" t="s">
        <v>203</v>
      </c>
      <c r="F7" s="193" t="s">
        <v>204</v>
      </c>
      <c r="G7" s="193" t="s">
        <v>205</v>
      </c>
      <c r="H7" s="136" t="s">
        <v>206</v>
      </c>
      <c r="I7" s="193" t="s">
        <v>3</v>
      </c>
      <c r="J7" s="193" t="s">
        <v>3</v>
      </c>
      <c r="K7" s="193" t="s">
        <v>3</v>
      </c>
      <c r="L7" s="193" t="s">
        <v>207</v>
      </c>
      <c r="M7" s="193" t="s">
        <v>3</v>
      </c>
      <c r="N7" s="193" t="s">
        <v>3</v>
      </c>
      <c r="O7" s="193" t="s">
        <v>3</v>
      </c>
      <c r="P7" s="136" t="s">
        <v>208</v>
      </c>
      <c r="Q7" s="193" t="s">
        <v>3</v>
      </c>
      <c r="R7" s="193" t="s">
        <v>3</v>
      </c>
      <c r="S7" s="193" t="s">
        <v>3</v>
      </c>
      <c r="T7" s="136" t="s">
        <v>210</v>
      </c>
      <c r="U7" s="193" t="s">
        <v>209</v>
      </c>
      <c r="V7" s="193" t="s">
        <v>3</v>
      </c>
      <c r="W7" s="193" t="s">
        <v>3</v>
      </c>
      <c r="X7" s="137"/>
      <c r="Y7" s="193" t="s">
        <v>3</v>
      </c>
      <c r="Z7" s="135" t="s">
        <v>1</v>
      </c>
    </row>
    <row r="8" spans="1:29">
      <c r="B8" s="121" t="s">
        <v>213</v>
      </c>
      <c r="C8" s="187" t="s">
        <v>7</v>
      </c>
      <c r="D8" s="187" t="s">
        <v>7</v>
      </c>
      <c r="E8" s="187" t="s">
        <v>7</v>
      </c>
      <c r="F8" s="139"/>
      <c r="G8" s="139">
        <v>45747</v>
      </c>
      <c r="H8" s="138" t="s">
        <v>7</v>
      </c>
      <c r="I8" s="139">
        <v>46022</v>
      </c>
      <c r="J8" s="139">
        <v>45991</v>
      </c>
      <c r="K8" s="139">
        <v>45961</v>
      </c>
      <c r="L8" s="138" t="s">
        <v>7</v>
      </c>
      <c r="M8" s="139">
        <v>45930</v>
      </c>
      <c r="N8" s="139">
        <v>45900</v>
      </c>
      <c r="O8" s="139">
        <v>45869</v>
      </c>
      <c r="P8" s="138" t="s">
        <v>7</v>
      </c>
      <c r="Q8" s="139">
        <v>45838</v>
      </c>
      <c r="R8" s="139">
        <v>45808</v>
      </c>
      <c r="S8" s="139">
        <v>45777</v>
      </c>
      <c r="T8" s="138" t="s">
        <v>7</v>
      </c>
      <c r="U8" s="139">
        <v>45747</v>
      </c>
      <c r="V8" s="139">
        <v>45716</v>
      </c>
      <c r="W8" s="139">
        <v>45688</v>
      </c>
      <c r="X8" s="139"/>
      <c r="Y8" s="139">
        <v>45657</v>
      </c>
      <c r="Z8" s="195">
        <v>2024</v>
      </c>
    </row>
    <row r="9" spans="1:29" ht="15.6">
      <c r="B9" s="140"/>
      <c r="C9" s="140"/>
      <c r="D9" s="201"/>
      <c r="E9" s="141"/>
      <c r="F9" s="142"/>
      <c r="G9" s="142"/>
      <c r="H9" s="142"/>
      <c r="I9" s="131"/>
      <c r="J9" s="131"/>
      <c r="K9" s="131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31"/>
      <c r="Z9" s="141"/>
    </row>
    <row r="10" spans="1:29">
      <c r="B10" s="143" t="s">
        <v>8</v>
      </c>
      <c r="C10" s="197">
        <f>D10-E10</f>
        <v>-131319871.02802622</v>
      </c>
      <c r="D10" s="197">
        <f>V10+W10+G10</f>
        <v>26505833.591973774</v>
      </c>
      <c r="E10" s="144">
        <f>L10+P10+H10+T10</f>
        <v>157825704.62</v>
      </c>
      <c r="F10" s="197">
        <f t="shared" ref="F10:F16" si="0">G10-U10</f>
        <v>-5906236.1080262261</v>
      </c>
      <c r="G10" s="144">
        <v>7760874.3019737741</v>
      </c>
      <c r="H10" s="144">
        <f t="shared" ref="H10:H16" si="1">SUM(I10:K10)</f>
        <v>54905863.700000003</v>
      </c>
      <c r="I10" s="172">
        <f>'IS Feb KSA'!V10+'IS Feb USA'!V10</f>
        <v>20791022.670000002</v>
      </c>
      <c r="J10" s="172">
        <f>'IS Feb KSA'!W10+'IS Feb USA'!W10</f>
        <v>18885652.350000001</v>
      </c>
      <c r="K10" s="144">
        <f>'IS Feb KSA'!X10+'IS Feb USA'!X10</f>
        <v>15229188.68</v>
      </c>
      <c r="L10" s="144">
        <f t="shared" ref="L10:L15" si="2">M10+N10+O10</f>
        <v>37535436.420000002</v>
      </c>
      <c r="M10" s="144">
        <f>'IS Feb KSA'!Z10+'IS Feb USA'!Z10</f>
        <v>9966234.8399999999</v>
      </c>
      <c r="N10" s="144">
        <f>'IS Feb KSA'!AA10+'IS Feb USA'!AA10</f>
        <v>7379008.2599999998</v>
      </c>
      <c r="O10" s="144">
        <f>'IS Feb KSA'!AB10+'IS Feb USA'!AB10</f>
        <v>20190193.32</v>
      </c>
      <c r="P10" s="144">
        <f>SUM(Q10:S10)</f>
        <v>32972334.800000001</v>
      </c>
      <c r="Q10" s="144">
        <f>'IS Feb KSA'!AD10+'IS Feb USA'!AD10</f>
        <v>11726375.869999999</v>
      </c>
      <c r="R10" s="144">
        <f>'IS Feb KSA'!AE10+'IS Feb USA'!AE10</f>
        <v>11371330.73</v>
      </c>
      <c r="S10" s="144">
        <f>'IS Feb KSA'!AF10+'IS Feb USA'!AF10</f>
        <v>9874628.1999999993</v>
      </c>
      <c r="T10" s="144">
        <f>SUM(U10:W10)</f>
        <v>32412069.700000003</v>
      </c>
      <c r="U10" s="144">
        <f>'IS Feb KSA'!AH10+'IS Feb USA'!AH10</f>
        <v>13667110.41</v>
      </c>
      <c r="V10" s="144">
        <f>'IS Feb KSA'!AI10+'IS Feb USA'!AI10</f>
        <v>10659012.9</v>
      </c>
      <c r="W10" s="144">
        <f>'IS Feb KSA'!AJ10+'IS Feb USA'!AJ10</f>
        <v>8085946.3899999997</v>
      </c>
      <c r="X10" s="145"/>
      <c r="Y10" s="172">
        <v>10080211.189999999</v>
      </c>
      <c r="Z10" s="144">
        <v>76420879.799999997</v>
      </c>
    </row>
    <row r="11" spans="1:29">
      <c r="B11" s="143" t="s">
        <v>10</v>
      </c>
      <c r="C11" s="197">
        <f t="shared" ref="C11:C74" si="3">D11-E11</f>
        <v>-117001499.14785463</v>
      </c>
      <c r="D11" s="197">
        <f>V11+W11+G11</f>
        <v>23911022.532145388</v>
      </c>
      <c r="E11" s="144">
        <f>L11+P11+H11+T11</f>
        <v>140912521.68000001</v>
      </c>
      <c r="F11" s="197">
        <f t="shared" si="0"/>
        <v>-5365662.9478546111</v>
      </c>
      <c r="G11" s="144">
        <v>7037618.2721453896</v>
      </c>
      <c r="H11" s="144">
        <f t="shared" si="1"/>
        <v>48616544.590000004</v>
      </c>
      <c r="I11" s="144">
        <f>'IS Feb KSA'!V12+'IS Feb USA'!V12</f>
        <v>18140835</v>
      </c>
      <c r="J11" s="144">
        <f>'IS Feb KSA'!W12+'IS Feb USA'!W12</f>
        <v>16962082.07</v>
      </c>
      <c r="K11" s="144">
        <f>'IS Feb KSA'!X12+'IS Feb USA'!X12</f>
        <v>13513627.52</v>
      </c>
      <c r="L11" s="144">
        <f t="shared" si="2"/>
        <v>33436501.600000001</v>
      </c>
      <c r="M11" s="144">
        <f>'IS Feb KSA'!Z12+'IS Feb USA'!Z12</f>
        <v>8979707.7100000009</v>
      </c>
      <c r="N11" s="144">
        <f>'IS Feb KSA'!AA12+'IS Feb USA'!AA12</f>
        <v>6625405.4800000004</v>
      </c>
      <c r="O11" s="144">
        <f>'IS Feb KSA'!AB12+'IS Feb USA'!AB12</f>
        <v>17831388.41</v>
      </c>
      <c r="P11" s="144">
        <f t="shared" ref="P11:P15" si="4">SUM(Q11:S11)</f>
        <v>29582790.009999998</v>
      </c>
      <c r="Q11" s="144">
        <f>'IS Feb KSA'!AD12+'IS Feb USA'!AD12</f>
        <v>10608445.439999999</v>
      </c>
      <c r="R11" s="144">
        <f>'IS Feb KSA'!AE12+'IS Feb USA'!AE12</f>
        <v>10128323.25</v>
      </c>
      <c r="S11" s="144">
        <f>'IS Feb KSA'!AF12+'IS Feb USA'!AF12</f>
        <v>8846021.3200000003</v>
      </c>
      <c r="T11" s="144">
        <f t="shared" ref="T11:T15" si="5">SUM(U11:W11)</f>
        <v>29276685.480000004</v>
      </c>
      <c r="U11" s="144">
        <f>'IS Feb KSA'!AH12+'IS Feb USA'!AH12</f>
        <v>12403281.220000001</v>
      </c>
      <c r="V11" s="144">
        <f>'IS Feb KSA'!AI12+'IS Feb USA'!AI12</f>
        <v>9631833.0199999996</v>
      </c>
      <c r="W11" s="144">
        <f>'IS Feb KSA'!AJ12+'IS Feb USA'!AJ12</f>
        <v>7241571.2400000002</v>
      </c>
      <c r="X11" s="145"/>
      <c r="Y11" s="144">
        <v>9065157.9299999997</v>
      </c>
      <c r="Z11" s="144">
        <v>69127801.870000005</v>
      </c>
    </row>
    <row r="12" spans="1:29" outlineLevel="1">
      <c r="B12" s="143" t="s">
        <v>11</v>
      </c>
      <c r="C12" s="197">
        <f t="shared" si="3"/>
        <v>217887.19</v>
      </c>
      <c r="D12" s="197">
        <f>V12+W12+G12</f>
        <v>-4140</v>
      </c>
      <c r="E12" s="144">
        <f>K12+L12+P12+T12+J12+I12</f>
        <v>-222027.19</v>
      </c>
      <c r="F12" s="197">
        <f t="shared" si="0"/>
        <v>7728.16</v>
      </c>
      <c r="G12" s="144">
        <v>0</v>
      </c>
      <c r="H12" s="144">
        <f t="shared" si="1"/>
        <v>-148153.35999999999</v>
      </c>
      <c r="I12" s="144">
        <f>'IS Feb KSA'!V13+'IS Feb USA'!V13</f>
        <v>-131612.06</v>
      </c>
      <c r="J12" s="144">
        <f>'IS Feb KSA'!W13+'IS Feb USA'!W13</f>
        <v>-14990.36</v>
      </c>
      <c r="K12" s="144">
        <f>'IS Feb KSA'!X13+'IS Feb USA'!X13</f>
        <v>-1550.94</v>
      </c>
      <c r="L12" s="144">
        <f t="shared" si="2"/>
        <v>0</v>
      </c>
      <c r="M12" s="144">
        <f>'IS Feb KSA'!Z13+'IS Feb USA'!Z13</f>
        <v>0</v>
      </c>
      <c r="N12" s="144">
        <f>'IS Feb KSA'!AA13+'IS Feb USA'!AA13</f>
        <v>0</v>
      </c>
      <c r="O12" s="144">
        <f>'IS Feb KSA'!AB13+'IS Feb USA'!AB13</f>
        <v>0</v>
      </c>
      <c r="P12" s="144">
        <f t="shared" si="4"/>
        <v>-62005.67</v>
      </c>
      <c r="Q12" s="144">
        <f>'IS Feb KSA'!AD13+'IS Feb USA'!AD13</f>
        <v>0</v>
      </c>
      <c r="R12" s="144">
        <f>'IS Feb KSA'!AE13+'IS Feb USA'!AE13</f>
        <v>-62005.67</v>
      </c>
      <c r="S12" s="144">
        <f>'IS Feb KSA'!AF13+'IS Feb USA'!AF13</f>
        <v>0</v>
      </c>
      <c r="T12" s="144">
        <f t="shared" si="5"/>
        <v>-11868.16</v>
      </c>
      <c r="U12" s="144">
        <f>'IS Feb KSA'!AH13+'IS Feb USA'!AH13</f>
        <v>-7728.16</v>
      </c>
      <c r="V12" s="144">
        <f>'IS Feb KSA'!AI13+'IS Feb USA'!AI13</f>
        <v>-4140</v>
      </c>
      <c r="W12" s="144">
        <f>'IS Feb KSA'!AJ13+'IS Feb USA'!AJ13</f>
        <v>0</v>
      </c>
      <c r="X12" s="146"/>
      <c r="Y12" s="144">
        <v>0</v>
      </c>
      <c r="Z12" s="144">
        <v>-93226.45</v>
      </c>
    </row>
    <row r="13" spans="1:29">
      <c r="B13" s="143" t="s">
        <v>12</v>
      </c>
      <c r="C13" s="197">
        <f t="shared" si="3"/>
        <v>-14438439.37017161</v>
      </c>
      <c r="D13" s="144">
        <f>D10-D11+D12</f>
        <v>2590671.0598283857</v>
      </c>
      <c r="E13" s="144">
        <f>L13+P13+H13+T13</f>
        <v>17029110.429999996</v>
      </c>
      <c r="F13" s="197">
        <f t="shared" si="0"/>
        <v>-532845.00017161504</v>
      </c>
      <c r="G13" s="144">
        <f>G10-G11+G12</f>
        <v>723256.02982838452</v>
      </c>
      <c r="H13" s="144">
        <f t="shared" si="1"/>
        <v>6437472.4700000007</v>
      </c>
      <c r="I13" s="144">
        <f>'IS Feb KSA'!V14+'IS Feb USA'!V14</f>
        <v>2781799.7300000004</v>
      </c>
      <c r="J13" s="144">
        <f>'IS Feb KSA'!W14+'IS Feb USA'!W14</f>
        <v>1938560.6400000006</v>
      </c>
      <c r="K13" s="144">
        <f>'IS Feb KSA'!X14+'IS Feb USA'!X14</f>
        <v>1717112.0999999996</v>
      </c>
      <c r="L13" s="144">
        <f t="shared" si="2"/>
        <v>4098934.8199999984</v>
      </c>
      <c r="M13" s="144">
        <f>'IS Feb KSA'!Z14+'IS Feb USA'!Z14</f>
        <v>986527.12999999896</v>
      </c>
      <c r="N13" s="144">
        <f>'IS Feb KSA'!AA14+'IS Feb USA'!AA14</f>
        <v>753602.77999999933</v>
      </c>
      <c r="O13" s="144">
        <f>'IS Feb KSA'!AB14+'IS Feb USA'!AB14</f>
        <v>2358804.91</v>
      </c>
      <c r="P13" s="144">
        <f t="shared" si="4"/>
        <v>3369187.0799999982</v>
      </c>
      <c r="Q13" s="144">
        <f>'IS Feb KSA'!AD14+'IS Feb USA'!AD14</f>
        <v>1125489.2599999998</v>
      </c>
      <c r="R13" s="144">
        <f>'IS Feb KSA'!AE14+'IS Feb USA'!AE14</f>
        <v>1226729.7699999996</v>
      </c>
      <c r="S13" s="144">
        <f>'IS Feb KSA'!AF14+'IS Feb USA'!AF14</f>
        <v>1016968.0499999989</v>
      </c>
      <c r="T13" s="144">
        <f>SUM(U13:W13)</f>
        <v>3123516.0599999996</v>
      </c>
      <c r="U13" s="144">
        <f>U10-U11+U12</f>
        <v>1256101.0299999996</v>
      </c>
      <c r="V13" s="144">
        <f>V10-V11+V12</f>
        <v>1023039.8800000008</v>
      </c>
      <c r="W13" s="144">
        <f>W10-W11+W12</f>
        <v>844375.14999999944</v>
      </c>
      <c r="X13" s="145"/>
      <c r="Y13" s="144">
        <v>1015053.2599999998</v>
      </c>
      <c r="Z13" s="144">
        <v>7386304.379999998</v>
      </c>
      <c r="AA13" s="167"/>
    </row>
    <row r="14" spans="1:29">
      <c r="B14" s="143" t="s">
        <v>13</v>
      </c>
      <c r="C14" s="197">
        <f>D14-E14</f>
        <v>-12222.39</v>
      </c>
      <c r="D14" s="197">
        <f>V14+W14+G14</f>
        <v>6008.57</v>
      </c>
      <c r="E14" s="144">
        <f>L14+P14+H14+T14</f>
        <v>18230.96</v>
      </c>
      <c r="F14" s="197">
        <f t="shared" si="0"/>
        <v>-12000</v>
      </c>
      <c r="G14" s="144">
        <v>0</v>
      </c>
      <c r="H14" s="144">
        <f t="shared" si="1"/>
        <v>0</v>
      </c>
      <c r="I14" s="144">
        <f>'IS Feb KSA'!V15+'IS Feb USA'!V15</f>
        <v>0</v>
      </c>
      <c r="J14" s="144">
        <f>'IS Feb KSA'!W15+'IS Feb USA'!W15</f>
        <v>0</v>
      </c>
      <c r="K14" s="144">
        <f>'IS Feb KSA'!X15+'IS Feb USA'!X15</f>
        <v>0</v>
      </c>
      <c r="L14" s="144">
        <f t="shared" si="2"/>
        <v>124.13</v>
      </c>
      <c r="M14" s="144">
        <f>'IS Feb KSA'!Z15+'IS Feb USA'!Z15</f>
        <v>37.5</v>
      </c>
      <c r="N14" s="144">
        <f>'IS Feb KSA'!AA15+'IS Feb USA'!AA15</f>
        <v>0</v>
      </c>
      <c r="O14" s="144">
        <f>'IS Feb KSA'!AB15+'IS Feb USA'!AB15</f>
        <v>86.63</v>
      </c>
      <c r="P14" s="144">
        <f t="shared" si="4"/>
        <v>98.26</v>
      </c>
      <c r="Q14" s="144">
        <f>'IS Feb KSA'!AD15+'IS Feb USA'!AD15</f>
        <v>49.13</v>
      </c>
      <c r="R14" s="144">
        <f>'IS Feb KSA'!AE15+'IS Feb USA'!AE15</f>
        <v>49.13</v>
      </c>
      <c r="S14" s="144">
        <f>'IS Feb KSA'!AF15+'IS Feb USA'!AF15</f>
        <v>0</v>
      </c>
      <c r="T14" s="144">
        <f t="shared" si="5"/>
        <v>18008.57</v>
      </c>
      <c r="U14" s="144">
        <f>'IS Feb KSA'!AH15+'IS Feb USA'!AH15</f>
        <v>12000</v>
      </c>
      <c r="V14" s="144">
        <f>'IS Feb KSA'!AI15+'IS Feb USA'!AI15</f>
        <v>6008.57</v>
      </c>
      <c r="W14" s="144">
        <f>'IS Feb KSA'!AJ15+'IS Feb USA'!AJ15</f>
        <v>0</v>
      </c>
      <c r="X14" s="145"/>
      <c r="Y14" s="144"/>
      <c r="Z14" s="144"/>
    </row>
    <row r="15" spans="1:29">
      <c r="B15" s="143" t="s">
        <v>14</v>
      </c>
      <c r="C15" s="197">
        <f t="shared" si="3"/>
        <v>52173.913043478256</v>
      </c>
      <c r="D15" s="197">
        <f>V15+W15+G15</f>
        <v>117391.30304347826</v>
      </c>
      <c r="E15" s="144">
        <f>L15+P15+H15+T15</f>
        <v>65217.39</v>
      </c>
      <c r="F15" s="197">
        <f t="shared" si="0"/>
        <v>52173.913043478256</v>
      </c>
      <c r="G15" s="144">
        <v>52173.913043478256</v>
      </c>
      <c r="H15" s="144">
        <f t="shared" si="1"/>
        <v>0</v>
      </c>
      <c r="I15" s="144">
        <f>'IS Feb KSA'!V16+'IS Feb USA'!V16</f>
        <v>0</v>
      </c>
      <c r="J15" s="144">
        <f>'IS Feb KSA'!W16+'IS Feb USA'!W16</f>
        <v>0</v>
      </c>
      <c r="K15" s="144">
        <f>'IS Feb KSA'!X16+'IS Feb USA'!X16</f>
        <v>0</v>
      </c>
      <c r="L15" s="144">
        <f t="shared" si="2"/>
        <v>0</v>
      </c>
      <c r="M15" s="144">
        <f>'IS Feb KSA'!Z16+'IS Feb USA'!Z16</f>
        <v>0</v>
      </c>
      <c r="N15" s="144">
        <f>'IS Feb KSA'!AA16+'IS Feb USA'!AA16</f>
        <v>0</v>
      </c>
      <c r="O15" s="144">
        <f>'IS Feb KSA'!AB16+'IS Feb USA'!AB16</f>
        <v>0</v>
      </c>
      <c r="P15" s="144">
        <f t="shared" si="4"/>
        <v>0</v>
      </c>
      <c r="Q15" s="144">
        <f>'IS Feb KSA'!AD16+'IS Feb USA'!AD16</f>
        <v>0</v>
      </c>
      <c r="R15" s="144">
        <f>'IS Feb KSA'!AE16+'IS Feb USA'!AE16</f>
        <v>0</v>
      </c>
      <c r="S15" s="144">
        <f>'IS Feb KSA'!AF16+'IS Feb USA'!AF16</f>
        <v>0</v>
      </c>
      <c r="T15" s="144">
        <f t="shared" si="5"/>
        <v>65217.39</v>
      </c>
      <c r="U15" s="144">
        <f>'IS Feb KSA'!AH16+'IS Feb USA'!AH16</f>
        <v>0</v>
      </c>
      <c r="V15" s="144">
        <f>'IS Feb KSA'!AI16+'IS Feb USA'!AI16</f>
        <v>0</v>
      </c>
      <c r="W15" s="144">
        <f>'IS Feb KSA'!AJ16+'IS Feb USA'!AJ16</f>
        <v>65217.39</v>
      </c>
      <c r="X15" s="145"/>
      <c r="Y15" s="144">
        <v>26086.959999999999</v>
      </c>
      <c r="Z15" s="144">
        <v>293478.27</v>
      </c>
    </row>
    <row r="16" spans="1:29" s="151" customFormat="1">
      <c r="A16" s="147"/>
      <c r="B16" s="148" t="s">
        <v>15</v>
      </c>
      <c r="C16" s="197">
        <f t="shared" si="3"/>
        <v>-14398487.847128134</v>
      </c>
      <c r="D16" s="149">
        <f>+D15+D13+D14</f>
        <v>2714070.9328718637</v>
      </c>
      <c r="E16" s="149">
        <f>+E15+E13+E14</f>
        <v>17112558.779999997</v>
      </c>
      <c r="F16" s="197">
        <f t="shared" si="0"/>
        <v>-492671.08712813677</v>
      </c>
      <c r="G16" s="149">
        <f>+G15+G13+G14</f>
        <v>775429.94287186279</v>
      </c>
      <c r="H16" s="149">
        <f t="shared" si="1"/>
        <v>6437472.4700000007</v>
      </c>
      <c r="I16" s="149">
        <f>+I15+I13</f>
        <v>2781799.7300000004</v>
      </c>
      <c r="J16" s="149">
        <f>+J15+J13</f>
        <v>1938560.6400000006</v>
      </c>
      <c r="K16" s="149">
        <f>+K15+K13</f>
        <v>1717112.0999999996</v>
      </c>
      <c r="L16" s="149">
        <f t="shared" ref="L16:S16" si="6">+L15+L13</f>
        <v>4098934.8199999984</v>
      </c>
      <c r="M16" s="149">
        <f t="shared" si="6"/>
        <v>986527.12999999896</v>
      </c>
      <c r="N16" s="149">
        <f t="shared" si="6"/>
        <v>753602.77999999933</v>
      </c>
      <c r="O16" s="149">
        <f t="shared" si="6"/>
        <v>2358804.91</v>
      </c>
      <c r="P16" s="149">
        <f t="shared" si="6"/>
        <v>3369187.0799999982</v>
      </c>
      <c r="Q16" s="149">
        <f t="shared" si="6"/>
        <v>1125489.2599999998</v>
      </c>
      <c r="R16" s="149">
        <f t="shared" si="6"/>
        <v>1226729.7699999996</v>
      </c>
      <c r="S16" s="149">
        <f t="shared" si="6"/>
        <v>1016968.0499999989</v>
      </c>
      <c r="T16" s="149">
        <f>+T15+T13+T14</f>
        <v>3206742.0199999996</v>
      </c>
      <c r="U16" s="149">
        <f>+U15+U13+U14</f>
        <v>1268101.0299999996</v>
      </c>
      <c r="V16" s="149">
        <f>+V15+V13+V14</f>
        <v>1029048.4500000008</v>
      </c>
      <c r="W16" s="149">
        <f>+W15+W13+W14</f>
        <v>909592.53999999946</v>
      </c>
      <c r="X16" s="150"/>
      <c r="Y16" s="149">
        <f>+Y15+Y13</f>
        <v>1041140.2199999997</v>
      </c>
      <c r="Z16" s="149">
        <f>+Z15+Z13</f>
        <v>7679782.6499999985</v>
      </c>
      <c r="AA16" s="152"/>
    </row>
    <row r="17" spans="1:27">
      <c r="B17" s="153"/>
      <c r="C17" s="197">
        <f t="shared" si="3"/>
        <v>0</v>
      </c>
      <c r="D17" s="202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5"/>
      <c r="U17" s="154"/>
      <c r="V17" s="154"/>
      <c r="W17" s="154"/>
      <c r="X17" s="146"/>
      <c r="Y17" s="154"/>
      <c r="Z17" s="154"/>
    </row>
    <row r="18" spans="1:27" s="151" customFormat="1">
      <c r="A18" s="147"/>
      <c r="B18" s="148" t="s">
        <v>16</v>
      </c>
      <c r="C18" s="197">
        <f t="shared" si="3"/>
        <v>-3492337.6709067449</v>
      </c>
      <c r="D18" s="149">
        <f>SUM(D19:D34)</f>
        <v>344515.17909325601</v>
      </c>
      <c r="E18" s="149">
        <f>SUM(E19:E34)</f>
        <v>3836852.850000001</v>
      </c>
      <c r="F18" s="197">
        <f t="shared" ref="F18:F33" si="7">G18-U18</f>
        <v>-82459.920906743981</v>
      </c>
      <c r="G18" s="149">
        <f t="shared" ref="G18:W18" si="8">SUM(G19:G34)</f>
        <v>64267.089093256</v>
      </c>
      <c r="H18" s="149">
        <f t="shared" si="8"/>
        <v>2422838.6500000004</v>
      </c>
      <c r="I18" s="149">
        <f t="shared" si="8"/>
        <v>752887.87</v>
      </c>
      <c r="J18" s="149">
        <f t="shared" si="8"/>
        <v>997458.12999999989</v>
      </c>
      <c r="K18" s="149">
        <f t="shared" si="8"/>
        <v>672492.65</v>
      </c>
      <c r="L18" s="149">
        <f t="shared" si="8"/>
        <v>544717.19999999995</v>
      </c>
      <c r="M18" s="149">
        <f t="shared" si="8"/>
        <v>207793.21</v>
      </c>
      <c r="N18" s="149">
        <f t="shared" si="8"/>
        <v>143959.50999999998</v>
      </c>
      <c r="O18" s="149">
        <f t="shared" si="8"/>
        <v>192964.47999999998</v>
      </c>
      <c r="P18" s="149">
        <f t="shared" si="8"/>
        <v>442321.89999999997</v>
      </c>
      <c r="Q18" s="149">
        <f t="shared" si="8"/>
        <v>156566.79999999999</v>
      </c>
      <c r="R18" s="149">
        <f t="shared" si="8"/>
        <v>147893.27000000002</v>
      </c>
      <c r="S18" s="149">
        <f t="shared" si="8"/>
        <v>137861.82999999999</v>
      </c>
      <c r="T18" s="149">
        <f t="shared" si="8"/>
        <v>426975.10000000003</v>
      </c>
      <c r="U18" s="149">
        <f t="shared" si="8"/>
        <v>146727.00999999998</v>
      </c>
      <c r="V18" s="149">
        <f t="shared" si="8"/>
        <v>154366.93000000005</v>
      </c>
      <c r="W18" s="149">
        <f t="shared" si="8"/>
        <v>125881.15999999999</v>
      </c>
      <c r="X18" s="150"/>
      <c r="Y18" s="149">
        <f>SUM(Y19:Y34)</f>
        <v>326464.27999999997</v>
      </c>
      <c r="Z18" s="149">
        <f>SUM(Z19:Z34)</f>
        <v>1182570.32</v>
      </c>
      <c r="AA18" s="156"/>
    </row>
    <row r="19" spans="1:27" outlineLevel="1">
      <c r="B19" s="157" t="s">
        <v>17</v>
      </c>
      <c r="C19" s="197">
        <f t="shared" si="3"/>
        <v>-1994438.21</v>
      </c>
      <c r="D19" s="197">
        <f t="shared" ref="D19:D33" si="9">V19+W19+G19</f>
        <v>50000.3</v>
      </c>
      <c r="E19" s="144">
        <f t="shared" ref="E19:E34" si="10">L19+P19+H19+T19</f>
        <v>2044438.51</v>
      </c>
      <c r="F19" s="197">
        <f t="shared" si="7"/>
        <v>-25000.799999999999</v>
      </c>
      <c r="G19" s="144">
        <v>0</v>
      </c>
      <c r="H19" s="144">
        <f t="shared" ref="H19:H50" si="11">SUM(I19:K19)</f>
        <v>1820446.25</v>
      </c>
      <c r="I19" s="144">
        <f>'IS Feb KSA'!V20+'IS Feb USA'!V20</f>
        <v>526062.9</v>
      </c>
      <c r="J19" s="144">
        <f>'IS Feb KSA'!W20+'IS Feb USA'!W20</f>
        <v>857099.96</v>
      </c>
      <c r="K19" s="144">
        <f>'IS Feb KSA'!X20+'IS Feb USA'!X20</f>
        <v>437283.39</v>
      </c>
      <c r="L19" s="144">
        <f t="shared" ref="L19:L33" si="12">M19+N19+O19</f>
        <v>75000</v>
      </c>
      <c r="M19" s="144">
        <f>'IS Feb KSA'!Z20+'IS Feb USA'!Z20</f>
        <v>25000</v>
      </c>
      <c r="N19" s="144">
        <f>'IS Feb KSA'!AA20+'IS Feb USA'!AA20</f>
        <v>25000</v>
      </c>
      <c r="O19" s="144">
        <f>'IS Feb KSA'!AB20+'IS Feb USA'!AB20</f>
        <v>25000</v>
      </c>
      <c r="P19" s="144">
        <f t="shared" ref="P19:P33" si="13">SUM(Q19:S19)</f>
        <v>73991.16</v>
      </c>
      <c r="Q19" s="144">
        <f>'IS Feb KSA'!AD20+'IS Feb USA'!AD20</f>
        <v>25000</v>
      </c>
      <c r="R19" s="144">
        <f>'IS Feb KSA'!AE20+'IS Feb USA'!AE20</f>
        <v>23991.16</v>
      </c>
      <c r="S19" s="144">
        <f>'IS Feb KSA'!AF20+'IS Feb USA'!AF20</f>
        <v>25000</v>
      </c>
      <c r="T19" s="144">
        <f t="shared" ref="T19:T33" si="14">SUM(U19:W19)</f>
        <v>75001.100000000006</v>
      </c>
      <c r="U19" s="144">
        <f>'IS Feb KSA'!AH20+'IS Feb USA'!AH20</f>
        <v>25000.799999999999</v>
      </c>
      <c r="V19" s="144">
        <f>'IS Feb KSA'!AI20+'IS Feb USA'!AI20</f>
        <v>25000.3</v>
      </c>
      <c r="W19" s="144">
        <f>'IS Feb KSA'!AJ20+'IS Feb USA'!AJ20</f>
        <v>25000</v>
      </c>
      <c r="X19" s="146"/>
      <c r="Y19" s="144">
        <v>203009.5</v>
      </c>
      <c r="Z19" s="144">
        <v>203016.64</v>
      </c>
    </row>
    <row r="20" spans="1:27" outlineLevel="1">
      <c r="B20" s="157" t="s">
        <v>18</v>
      </c>
      <c r="C20" s="197">
        <f t="shared" si="3"/>
        <v>-27003.587823119589</v>
      </c>
      <c r="D20" s="197">
        <f t="shared" si="9"/>
        <v>6971.4921768804106</v>
      </c>
      <c r="E20" s="144">
        <f t="shared" si="10"/>
        <v>33975.08</v>
      </c>
      <c r="F20" s="197">
        <f t="shared" si="7"/>
        <v>-1608.2278231195899</v>
      </c>
      <c r="G20" s="144">
        <v>1865.68217688041</v>
      </c>
      <c r="H20" s="144">
        <f t="shared" si="11"/>
        <v>8840.93</v>
      </c>
      <c r="I20" s="144">
        <f>'IS Feb KSA'!V21+'IS Feb USA'!V21</f>
        <v>3684.69</v>
      </c>
      <c r="J20" s="144">
        <f>'IS Feb KSA'!W21+'IS Feb USA'!W21</f>
        <v>1841.6999999999998</v>
      </c>
      <c r="K20" s="144">
        <f>'IS Feb KSA'!X21+'IS Feb USA'!X21</f>
        <v>3314.54</v>
      </c>
      <c r="L20" s="144">
        <f t="shared" si="12"/>
        <v>7403.7300000000005</v>
      </c>
      <c r="M20" s="144">
        <f>'IS Feb KSA'!Z21+'IS Feb USA'!Z21</f>
        <v>1946.7600000000002</v>
      </c>
      <c r="N20" s="144">
        <f>'IS Feb KSA'!AA21+'IS Feb USA'!AA21</f>
        <v>2143.75</v>
      </c>
      <c r="O20" s="144">
        <f>'IS Feb KSA'!AB21+'IS Feb USA'!AB21</f>
        <v>3313.2200000000003</v>
      </c>
      <c r="P20" s="144">
        <f t="shared" si="13"/>
        <v>9150.7000000000007</v>
      </c>
      <c r="Q20" s="144">
        <f>'IS Feb KSA'!AD21+'IS Feb USA'!AD21</f>
        <v>2292.29</v>
      </c>
      <c r="R20" s="144">
        <f>'IS Feb KSA'!AE21+'IS Feb USA'!AE21</f>
        <v>2672.61</v>
      </c>
      <c r="S20" s="144">
        <f>'IS Feb KSA'!AF21+'IS Feb USA'!AF21</f>
        <v>4185.8</v>
      </c>
      <c r="T20" s="144">
        <f t="shared" si="14"/>
        <v>8579.7200000000012</v>
      </c>
      <c r="U20" s="144">
        <f>'IS Feb KSA'!AH21+'IS Feb USA'!AH21</f>
        <v>3473.91</v>
      </c>
      <c r="V20" s="144">
        <f>'IS Feb KSA'!AI21+'IS Feb USA'!AI21</f>
        <v>2762.55</v>
      </c>
      <c r="W20" s="144">
        <f>'IS Feb KSA'!AJ21+'IS Feb USA'!AJ21</f>
        <v>2343.2600000000002</v>
      </c>
      <c r="X20" s="146"/>
      <c r="Y20" s="144">
        <v>2381.41</v>
      </c>
      <c r="Z20" s="144">
        <v>24338.49</v>
      </c>
    </row>
    <row r="21" spans="1:27" outlineLevel="1">
      <c r="B21" s="157" t="s">
        <v>19</v>
      </c>
      <c r="C21" s="197">
        <f t="shared" si="3"/>
        <v>-63750.878407546981</v>
      </c>
      <c r="D21" s="197">
        <f t="shared" si="9"/>
        <v>12750.351592453029</v>
      </c>
      <c r="E21" s="144">
        <f t="shared" si="10"/>
        <v>76501.23000000001</v>
      </c>
      <c r="F21" s="197">
        <f t="shared" si="7"/>
        <v>-605.0284075469699</v>
      </c>
      <c r="G21" s="144">
        <v>2240.8915924530302</v>
      </c>
      <c r="H21" s="144">
        <f t="shared" si="11"/>
        <v>18831.59</v>
      </c>
      <c r="I21" s="144">
        <f>'IS Feb KSA'!V22+'IS Feb USA'!V22</f>
        <v>4745.2700000000004</v>
      </c>
      <c r="J21" s="144">
        <f>'IS Feb KSA'!W22+'IS Feb USA'!W22</f>
        <v>6503.14</v>
      </c>
      <c r="K21" s="144">
        <f>'IS Feb KSA'!X22+'IS Feb USA'!X22</f>
        <v>7583.18</v>
      </c>
      <c r="L21" s="144">
        <f t="shared" si="12"/>
        <v>26652.270000000004</v>
      </c>
      <c r="M21" s="144">
        <f>'IS Feb KSA'!Z22+'IS Feb USA'!Z22</f>
        <v>9026.58</v>
      </c>
      <c r="N21" s="144">
        <f>'IS Feb KSA'!AA22+'IS Feb USA'!AA22</f>
        <v>10858.29</v>
      </c>
      <c r="O21" s="144">
        <f>'IS Feb KSA'!AB22+'IS Feb USA'!AB22</f>
        <v>6767.4</v>
      </c>
      <c r="P21" s="144">
        <f t="shared" si="13"/>
        <v>17661.989999999998</v>
      </c>
      <c r="Q21" s="144">
        <f>'IS Feb KSA'!AD22+'IS Feb USA'!AD22</f>
        <v>5457.01</v>
      </c>
      <c r="R21" s="144">
        <f>'IS Feb KSA'!AE22+'IS Feb USA'!AE22</f>
        <v>9625.3799999999992</v>
      </c>
      <c r="S21" s="144">
        <f>'IS Feb KSA'!AF22+'IS Feb USA'!AF22</f>
        <v>2579.6</v>
      </c>
      <c r="T21" s="144">
        <f t="shared" si="14"/>
        <v>13355.380000000001</v>
      </c>
      <c r="U21" s="144">
        <f>'IS Feb KSA'!AH22+'IS Feb USA'!AH22</f>
        <v>2845.92</v>
      </c>
      <c r="V21" s="144">
        <f>'IS Feb KSA'!AI22+'IS Feb USA'!AI22</f>
        <v>6669.62</v>
      </c>
      <c r="W21" s="144">
        <f>'IS Feb KSA'!AJ22+'IS Feb USA'!AJ22</f>
        <v>3839.84</v>
      </c>
      <c r="X21" s="146"/>
      <c r="Y21" s="144">
        <v>819.32</v>
      </c>
      <c r="Z21" s="144">
        <v>54128.030000000006</v>
      </c>
    </row>
    <row r="22" spans="1:27" outlineLevel="1">
      <c r="B22" s="157" t="s">
        <v>20</v>
      </c>
      <c r="C22" s="197">
        <f t="shared" si="3"/>
        <v>-1865.4318820797205</v>
      </c>
      <c r="D22" s="197">
        <f t="shared" si="9"/>
        <v>1675.75811792028</v>
      </c>
      <c r="E22" s="144">
        <f t="shared" si="10"/>
        <v>3541.1900000000005</v>
      </c>
      <c r="F22" s="197">
        <f t="shared" si="7"/>
        <v>1243.78811792028</v>
      </c>
      <c r="G22" s="144">
        <v>1243.78811792028</v>
      </c>
      <c r="H22" s="144">
        <f t="shared" si="11"/>
        <v>0</v>
      </c>
      <c r="I22" s="144">
        <f>'IS Feb KSA'!V23+'IS Feb USA'!V23</f>
        <v>0</v>
      </c>
      <c r="J22" s="144">
        <f>'IS Feb KSA'!W23+'IS Feb USA'!W23</f>
        <v>0</v>
      </c>
      <c r="K22" s="144">
        <f>'IS Feb KSA'!X23+'IS Feb USA'!X23</f>
        <v>0</v>
      </c>
      <c r="L22" s="144">
        <f t="shared" si="12"/>
        <v>1649.27</v>
      </c>
      <c r="M22" s="144">
        <f>'IS Feb KSA'!Z23+'IS Feb USA'!Z23</f>
        <v>165.22</v>
      </c>
      <c r="N22" s="144">
        <f>'IS Feb KSA'!AA23+'IS Feb USA'!AA23</f>
        <v>949.15</v>
      </c>
      <c r="O22" s="144">
        <f>'IS Feb KSA'!AB23+'IS Feb USA'!AB23</f>
        <v>534.9</v>
      </c>
      <c r="P22" s="144">
        <f t="shared" si="13"/>
        <v>1459.95</v>
      </c>
      <c r="Q22" s="144">
        <f>'IS Feb KSA'!AD23+'IS Feb USA'!AD23</f>
        <v>985.5</v>
      </c>
      <c r="R22" s="144">
        <f>'IS Feb KSA'!AE23+'IS Feb USA'!AE23</f>
        <v>474.45</v>
      </c>
      <c r="S22" s="144">
        <f>'IS Feb KSA'!AF23+'IS Feb USA'!AF23</f>
        <v>0</v>
      </c>
      <c r="T22" s="144">
        <f t="shared" si="14"/>
        <v>431.97</v>
      </c>
      <c r="U22" s="144">
        <f>'IS Feb KSA'!AH23+'IS Feb USA'!AH23</f>
        <v>0</v>
      </c>
      <c r="V22" s="144">
        <f>'IS Feb KSA'!AI23+'IS Feb USA'!AI23</f>
        <v>99.3</v>
      </c>
      <c r="W22" s="144">
        <f>'IS Feb KSA'!AJ23+'IS Feb USA'!AJ23</f>
        <v>332.67</v>
      </c>
      <c r="X22" s="146"/>
      <c r="Y22" s="144">
        <v>4705.55</v>
      </c>
      <c r="Z22" s="144">
        <v>24609.21</v>
      </c>
    </row>
    <row r="23" spans="1:27" outlineLevel="1">
      <c r="B23" s="157" t="s">
        <v>21</v>
      </c>
      <c r="C23" s="197">
        <f t="shared" si="3"/>
        <v>-46903.125941039871</v>
      </c>
      <c r="D23" s="197">
        <f t="shared" si="9"/>
        <v>755.80405896013792</v>
      </c>
      <c r="E23" s="144">
        <f t="shared" si="10"/>
        <v>47658.930000000008</v>
      </c>
      <c r="F23" s="197">
        <f t="shared" si="7"/>
        <v>621.89405896013795</v>
      </c>
      <c r="G23" s="144">
        <v>621.89405896013795</v>
      </c>
      <c r="H23" s="144">
        <f t="shared" si="11"/>
        <v>23520.550000000003</v>
      </c>
      <c r="I23" s="144">
        <f>'IS Feb KSA'!V24+'IS Feb USA'!V24</f>
        <v>3827.91</v>
      </c>
      <c r="J23" s="144">
        <f>'IS Feb KSA'!W24+'IS Feb USA'!W24</f>
        <v>9629.94</v>
      </c>
      <c r="K23" s="144">
        <f>'IS Feb KSA'!X24+'IS Feb USA'!X24</f>
        <v>10062.700000000001</v>
      </c>
      <c r="L23" s="144">
        <f t="shared" si="12"/>
        <v>12223.31</v>
      </c>
      <c r="M23" s="144">
        <f>'IS Feb KSA'!Z24+'IS Feb USA'!Z24</f>
        <v>641.74</v>
      </c>
      <c r="N23" s="144">
        <f>'IS Feb KSA'!AA24+'IS Feb USA'!AA24</f>
        <v>2711.91</v>
      </c>
      <c r="O23" s="144">
        <f>'IS Feb KSA'!AB24+'IS Feb USA'!AB24</f>
        <v>8869.66</v>
      </c>
      <c r="P23" s="144">
        <f t="shared" si="13"/>
        <v>11781.16</v>
      </c>
      <c r="Q23" s="144">
        <f>'IS Feb KSA'!AD24+'IS Feb USA'!AD24</f>
        <v>3687.1</v>
      </c>
      <c r="R23" s="144">
        <f>'IS Feb KSA'!AE24+'IS Feb USA'!AE24</f>
        <v>3555.84</v>
      </c>
      <c r="S23" s="144">
        <f>'IS Feb KSA'!AF24+'IS Feb USA'!AF24</f>
        <v>4538.2199999999993</v>
      </c>
      <c r="T23" s="144">
        <f t="shared" si="14"/>
        <v>133.91</v>
      </c>
      <c r="U23" s="144">
        <f>'IS Feb KSA'!AH24+'IS Feb USA'!AH24</f>
        <v>0</v>
      </c>
      <c r="V23" s="144">
        <f>'IS Feb KSA'!AI24+'IS Feb USA'!AI24</f>
        <v>133.91</v>
      </c>
      <c r="W23" s="144">
        <f>'IS Feb KSA'!AJ24+'IS Feb USA'!AJ24</f>
        <v>0</v>
      </c>
      <c r="X23" s="146"/>
      <c r="Y23" s="144">
        <v>0</v>
      </c>
      <c r="Z23" s="144">
        <v>3444.41</v>
      </c>
    </row>
    <row r="24" spans="1:27" outlineLevel="1">
      <c r="B24" s="157" t="s">
        <v>22</v>
      </c>
      <c r="C24" s="197">
        <f t="shared" si="3"/>
        <v>-24595.061453755061</v>
      </c>
      <c r="D24" s="197">
        <f t="shared" si="9"/>
        <v>5744.3885462449398</v>
      </c>
      <c r="E24" s="144">
        <f t="shared" si="10"/>
        <v>30339.45</v>
      </c>
      <c r="F24" s="197">
        <f t="shared" si="7"/>
        <v>-2821.2714537550601</v>
      </c>
      <c r="G24" s="144">
        <v>2245.7285462449399</v>
      </c>
      <c r="H24" s="144">
        <f t="shared" si="11"/>
        <v>14720.21</v>
      </c>
      <c r="I24" s="144">
        <f>'IS Feb KSA'!V26+'IS Feb USA'!V26</f>
        <v>8415.66</v>
      </c>
      <c r="J24" s="144">
        <f>'IS Feb KSA'!W26+'IS Feb USA'!W26</f>
        <v>2976.99</v>
      </c>
      <c r="K24" s="144">
        <f>'IS Feb KSA'!X26+'IS Feb USA'!X26</f>
        <v>3327.56</v>
      </c>
      <c r="L24" s="144">
        <f t="shared" si="12"/>
        <v>3873.02</v>
      </c>
      <c r="M24" s="144">
        <f>'IS Feb KSA'!Z26+'IS Feb USA'!Z26</f>
        <v>990.8</v>
      </c>
      <c r="N24" s="144">
        <f>'IS Feb KSA'!AA26+'IS Feb USA'!AA26</f>
        <v>2836.99</v>
      </c>
      <c r="O24" s="144">
        <f>'IS Feb KSA'!AB26+'IS Feb USA'!AB26</f>
        <v>45.23</v>
      </c>
      <c r="P24" s="144">
        <f t="shared" si="13"/>
        <v>3180.5599999999995</v>
      </c>
      <c r="Q24" s="144">
        <f>'IS Feb KSA'!AD26+'IS Feb USA'!AD26</f>
        <v>343.75</v>
      </c>
      <c r="R24" s="144">
        <f>'IS Feb KSA'!AE26+'IS Feb USA'!AE26</f>
        <v>457.09</v>
      </c>
      <c r="S24" s="144">
        <f>'IS Feb KSA'!AF26+'IS Feb USA'!AF26</f>
        <v>2379.7199999999998</v>
      </c>
      <c r="T24" s="144">
        <f t="shared" si="14"/>
        <v>8565.66</v>
      </c>
      <c r="U24" s="144">
        <f>'IS Feb KSA'!AH26+'IS Feb USA'!AH26</f>
        <v>5067</v>
      </c>
      <c r="V24" s="144">
        <f>'IS Feb KSA'!AI26+'IS Feb USA'!AI26</f>
        <v>3498.66</v>
      </c>
      <c r="W24" s="144">
        <f>'IS Feb KSA'!AJ26+'IS Feb USA'!AJ26</f>
        <v>0</v>
      </c>
      <c r="X24" s="146"/>
      <c r="Y24" s="144">
        <v>3750</v>
      </c>
      <c r="Z24" s="144">
        <v>38163.24</v>
      </c>
    </row>
    <row r="25" spans="1:27" outlineLevel="1">
      <c r="B25" s="157" t="s">
        <v>23</v>
      </c>
      <c r="C25" s="197">
        <f t="shared" si="3"/>
        <v>-7669.0039606932405</v>
      </c>
      <c r="D25" s="197">
        <f t="shared" si="9"/>
        <v>748.07603930675896</v>
      </c>
      <c r="E25" s="144">
        <f t="shared" si="10"/>
        <v>8417.08</v>
      </c>
      <c r="F25" s="197">
        <f t="shared" si="7"/>
        <v>414.596039306759</v>
      </c>
      <c r="G25" s="144">
        <v>414.596039306759</v>
      </c>
      <c r="H25" s="144">
        <f t="shared" si="11"/>
        <v>2051</v>
      </c>
      <c r="I25" s="144">
        <f>'IS Feb KSA'!V27+'IS Feb USA'!V27</f>
        <v>0</v>
      </c>
      <c r="J25" s="144">
        <f>'IS Feb KSA'!W27+'IS Feb USA'!W27</f>
        <v>671</v>
      </c>
      <c r="K25" s="144">
        <f>'IS Feb KSA'!X27+'IS Feb USA'!X27</f>
        <v>1380</v>
      </c>
      <c r="L25" s="144">
        <f t="shared" si="12"/>
        <v>4360.6099999999997</v>
      </c>
      <c r="M25" s="144">
        <f>'IS Feb KSA'!Z27+'IS Feb USA'!Z27</f>
        <v>46</v>
      </c>
      <c r="N25" s="144">
        <f>'IS Feb KSA'!AA27+'IS Feb USA'!AA27</f>
        <v>3717.22</v>
      </c>
      <c r="O25" s="144">
        <f>'IS Feb KSA'!AB27+'IS Feb USA'!AB27</f>
        <v>597.39</v>
      </c>
      <c r="P25" s="144">
        <f t="shared" si="13"/>
        <v>1671.99</v>
      </c>
      <c r="Q25" s="144">
        <f>'IS Feb KSA'!AD27+'IS Feb USA'!AD27</f>
        <v>1219.99</v>
      </c>
      <c r="R25" s="144">
        <f>'IS Feb KSA'!AE27+'IS Feb USA'!AE27</f>
        <v>452</v>
      </c>
      <c r="S25" s="144">
        <f>'IS Feb KSA'!AF27+'IS Feb USA'!AF27</f>
        <v>0</v>
      </c>
      <c r="T25" s="144">
        <f t="shared" si="14"/>
        <v>333.48</v>
      </c>
      <c r="U25" s="144">
        <f>'IS Feb KSA'!AH27+'IS Feb USA'!AH27</f>
        <v>0</v>
      </c>
      <c r="V25" s="144">
        <f>'IS Feb KSA'!AI27+'IS Feb USA'!AI27</f>
        <v>0</v>
      </c>
      <c r="W25" s="144">
        <f>'IS Feb KSA'!AJ27+'IS Feb USA'!AJ27</f>
        <v>333.48</v>
      </c>
      <c r="X25" s="146"/>
      <c r="Y25" s="144">
        <v>241</v>
      </c>
      <c r="Z25" s="144">
        <v>4591.3600000000006</v>
      </c>
    </row>
    <row r="26" spans="1:27" outlineLevel="1">
      <c r="B26" s="157" t="s">
        <v>24</v>
      </c>
      <c r="C26" s="197">
        <f t="shared" si="3"/>
        <v>-228494.2533333333</v>
      </c>
      <c r="D26" s="197">
        <f t="shared" si="9"/>
        <v>75078.326666666704</v>
      </c>
      <c r="E26" s="144">
        <f t="shared" si="10"/>
        <v>303572.58</v>
      </c>
      <c r="F26" s="197">
        <f t="shared" si="7"/>
        <v>-3614.1633333333011</v>
      </c>
      <c r="G26" s="144">
        <v>22616.666666666701</v>
      </c>
      <c r="H26" s="144">
        <f t="shared" si="11"/>
        <v>71280.01999999999</v>
      </c>
      <c r="I26" s="144">
        <f>'IS Feb KSA'!V28+'IS Feb USA'!V28</f>
        <v>23085.01</v>
      </c>
      <c r="J26" s="144">
        <f>'IS Feb KSA'!W28+'IS Feb USA'!W28</f>
        <v>24097.51</v>
      </c>
      <c r="K26" s="144">
        <f>'IS Feb KSA'!X28+'IS Feb USA'!X28</f>
        <v>24097.5</v>
      </c>
      <c r="L26" s="144">
        <f t="shared" si="12"/>
        <v>74907.58</v>
      </c>
      <c r="M26" s="144">
        <f>'IS Feb KSA'!Z28+'IS Feb USA'!Z28</f>
        <v>24097.5</v>
      </c>
      <c r="N26" s="144">
        <f>'IS Feb KSA'!AA28+'IS Feb USA'!AA28</f>
        <v>24579.25</v>
      </c>
      <c r="O26" s="144">
        <f>'IS Feb KSA'!AB28+'IS Feb USA'!AB28</f>
        <v>26230.83</v>
      </c>
      <c r="P26" s="144">
        <f t="shared" si="13"/>
        <v>78692.490000000005</v>
      </c>
      <c r="Q26" s="144">
        <f>'IS Feb KSA'!AD28+'IS Feb USA'!AD28</f>
        <v>26230.83</v>
      </c>
      <c r="R26" s="144">
        <f>'IS Feb KSA'!AE28+'IS Feb USA'!AE28</f>
        <v>26230.83</v>
      </c>
      <c r="S26" s="144">
        <f>'IS Feb KSA'!AF28+'IS Feb USA'!AF28</f>
        <v>26230.83</v>
      </c>
      <c r="T26" s="144">
        <f t="shared" si="14"/>
        <v>78692.490000000005</v>
      </c>
      <c r="U26" s="144">
        <f>'IS Feb KSA'!AH28+'IS Feb USA'!AH28</f>
        <v>26230.83</v>
      </c>
      <c r="V26" s="144">
        <f>'IS Feb KSA'!AI28+'IS Feb USA'!AI28</f>
        <v>26230.83</v>
      </c>
      <c r="W26" s="144">
        <f>'IS Feb KSA'!AJ28+'IS Feb USA'!AJ28</f>
        <v>26230.83</v>
      </c>
      <c r="X26" s="146"/>
      <c r="Y26" s="144">
        <v>32096.09</v>
      </c>
      <c r="Z26" s="144">
        <v>127377.93999999999</v>
      </c>
    </row>
    <row r="27" spans="1:27" outlineLevel="1">
      <c r="B27" s="157" t="s">
        <v>25</v>
      </c>
      <c r="C27" s="197">
        <f t="shared" si="3"/>
        <v>-69596.989803466218</v>
      </c>
      <c r="D27" s="197">
        <f t="shared" si="9"/>
        <v>21641.860196533791</v>
      </c>
      <c r="E27" s="144">
        <f>L27+P27+H27+T27</f>
        <v>91238.85</v>
      </c>
      <c r="F27" s="197">
        <f t="shared" si="7"/>
        <v>-9595.4498034662101</v>
      </c>
      <c r="G27" s="144">
        <v>5072.9801965337901</v>
      </c>
      <c r="H27" s="144">
        <f t="shared" si="11"/>
        <v>17450.39</v>
      </c>
      <c r="I27" s="144">
        <f>'IS Feb KSA'!V29+'IS Feb USA'!V29</f>
        <v>6851.9699999999993</v>
      </c>
      <c r="J27" s="144">
        <f>'IS Feb KSA'!W29+'IS Feb USA'!W29</f>
        <v>4527.88</v>
      </c>
      <c r="K27" s="144">
        <f>'IS Feb KSA'!X29+'IS Feb USA'!X29</f>
        <v>6070.54</v>
      </c>
      <c r="L27" s="144">
        <f t="shared" si="12"/>
        <v>22097.15</v>
      </c>
      <c r="M27" s="144">
        <f>'IS Feb KSA'!Z29+'IS Feb USA'!Z29</f>
        <v>10439.41</v>
      </c>
      <c r="N27" s="144">
        <f>'IS Feb KSA'!AA29+'IS Feb USA'!AA29</f>
        <v>6622.29</v>
      </c>
      <c r="O27" s="144">
        <f>'IS Feb KSA'!AB29+'IS Feb USA'!AB29</f>
        <v>5035.45</v>
      </c>
      <c r="P27" s="144">
        <f t="shared" si="13"/>
        <v>20454</v>
      </c>
      <c r="Q27" s="144">
        <f>'IS Feb KSA'!AD29+'IS Feb USA'!AD29</f>
        <v>5737.6</v>
      </c>
      <c r="R27" s="144">
        <f>'IS Feb KSA'!AE29+'IS Feb USA'!AE29</f>
        <v>7458.74</v>
      </c>
      <c r="S27" s="144">
        <f>'IS Feb KSA'!AF29+'IS Feb USA'!AF29</f>
        <v>7257.66</v>
      </c>
      <c r="T27" s="144">
        <f t="shared" si="14"/>
        <v>31237.31</v>
      </c>
      <c r="U27" s="144">
        <f>'IS Feb KSA'!AH29+'IS Feb USA'!AH29</f>
        <v>14668.43</v>
      </c>
      <c r="V27" s="144">
        <f>'IS Feb KSA'!AI29+'IS Feb USA'!AI29</f>
        <v>6580.38</v>
      </c>
      <c r="W27" s="144">
        <f>'IS Feb KSA'!AJ29+'IS Feb USA'!AJ29</f>
        <v>9988.5</v>
      </c>
      <c r="X27" s="146"/>
      <c r="Y27" s="144">
        <v>3897.75</v>
      </c>
      <c r="Z27" s="144">
        <v>91973.440000000002</v>
      </c>
    </row>
    <row r="28" spans="1:27" outlineLevel="1">
      <c r="B28" s="157" t="s">
        <v>26</v>
      </c>
      <c r="C28" s="197">
        <f t="shared" si="3"/>
        <v>-33272.516502888509</v>
      </c>
      <c r="D28" s="197">
        <f t="shared" si="9"/>
        <v>1727.4834971114899</v>
      </c>
      <c r="E28" s="144">
        <f t="shared" si="10"/>
        <v>35000</v>
      </c>
      <c r="F28" s="197">
        <f t="shared" si="7"/>
        <v>1727.4834971114899</v>
      </c>
      <c r="G28" s="144">
        <v>1727.4834971114899</v>
      </c>
      <c r="H28" s="144">
        <f t="shared" si="11"/>
        <v>35000</v>
      </c>
      <c r="I28" s="144">
        <f>'IS Feb KSA'!V30+'IS Feb USA'!V30</f>
        <v>35000</v>
      </c>
      <c r="J28" s="144">
        <f>'IS Feb KSA'!W30+'IS Feb USA'!W30</f>
        <v>0</v>
      </c>
      <c r="K28" s="144">
        <f>'IS Feb KSA'!X30+'IS Feb USA'!X30</f>
        <v>0</v>
      </c>
      <c r="L28" s="144">
        <f t="shared" si="12"/>
        <v>0</v>
      </c>
      <c r="M28" s="144">
        <f>'IS Feb KSA'!Z30+'IS Feb USA'!Z30</f>
        <v>0</v>
      </c>
      <c r="N28" s="144">
        <f>'IS Feb KSA'!AA30+'IS Feb USA'!AA30</f>
        <v>0</v>
      </c>
      <c r="O28" s="144">
        <f>'IS Feb KSA'!AB30+'IS Feb USA'!AB30</f>
        <v>0</v>
      </c>
      <c r="P28" s="144">
        <f t="shared" si="13"/>
        <v>0</v>
      </c>
      <c r="Q28" s="144">
        <f>'IS Feb KSA'!AD30+'IS Feb USA'!AD30</f>
        <v>0</v>
      </c>
      <c r="R28" s="144">
        <f>'IS Feb KSA'!AE30+'IS Feb USA'!AE30</f>
        <v>0</v>
      </c>
      <c r="S28" s="144">
        <f>'IS Feb KSA'!AF30+'IS Feb USA'!AF30</f>
        <v>0</v>
      </c>
      <c r="T28" s="144">
        <f t="shared" si="14"/>
        <v>0</v>
      </c>
      <c r="U28" s="144">
        <f>'IS Feb KSA'!AH30+'IS Feb USA'!AH30</f>
        <v>0</v>
      </c>
      <c r="V28" s="144">
        <f>'IS Feb KSA'!AI30+'IS Feb USA'!AI30</f>
        <v>0</v>
      </c>
      <c r="W28" s="144">
        <f>'IS Feb KSA'!AJ30+'IS Feb USA'!AJ30</f>
        <v>0</v>
      </c>
      <c r="X28" s="146"/>
      <c r="Y28" s="144">
        <v>17500</v>
      </c>
      <c r="Z28" s="144">
        <v>42500</v>
      </c>
    </row>
    <row r="29" spans="1:27" outlineLevel="1">
      <c r="B29" s="157" t="s">
        <v>27</v>
      </c>
      <c r="C29" s="197">
        <f t="shared" si="3"/>
        <v>-61478.101882079718</v>
      </c>
      <c r="D29" s="197">
        <f t="shared" si="9"/>
        <v>4248.8981179202801</v>
      </c>
      <c r="E29" s="144">
        <f t="shared" si="10"/>
        <v>65727</v>
      </c>
      <c r="F29" s="197">
        <f t="shared" si="7"/>
        <v>-4118.1018820797199</v>
      </c>
      <c r="G29" s="144">
        <v>1243.78811792028</v>
      </c>
      <c r="H29" s="144">
        <f t="shared" si="11"/>
        <v>29094.339999999997</v>
      </c>
      <c r="I29" s="144">
        <f>'IS Feb KSA'!V31+'IS Feb USA'!V31</f>
        <v>8861</v>
      </c>
      <c r="J29" s="144">
        <f>'IS Feb KSA'!W31+'IS Feb USA'!W31</f>
        <v>6890.44</v>
      </c>
      <c r="K29" s="144">
        <f>'IS Feb KSA'!X31+'IS Feb USA'!X31</f>
        <v>13342.9</v>
      </c>
      <c r="L29" s="144">
        <f t="shared" si="12"/>
        <v>19057.91</v>
      </c>
      <c r="M29" s="144">
        <f>'IS Feb KSA'!Z31+'IS Feb USA'!Z31</f>
        <v>9880.7199999999993</v>
      </c>
      <c r="N29" s="144">
        <f>'IS Feb KSA'!AA31+'IS Feb USA'!AA31</f>
        <v>4099.12</v>
      </c>
      <c r="O29" s="144">
        <f>'IS Feb KSA'!AB31+'IS Feb USA'!AB31</f>
        <v>5078.07</v>
      </c>
      <c r="P29" s="144">
        <f t="shared" si="13"/>
        <v>9207.75</v>
      </c>
      <c r="Q29" s="144">
        <f>'IS Feb KSA'!AD31+'IS Feb USA'!AD31</f>
        <v>3298.5</v>
      </c>
      <c r="R29" s="144">
        <f>'IS Feb KSA'!AE31+'IS Feb USA'!AE31</f>
        <v>2802.08</v>
      </c>
      <c r="S29" s="144">
        <f>'IS Feb KSA'!AF31+'IS Feb USA'!AF31</f>
        <v>3107.17</v>
      </c>
      <c r="T29" s="144">
        <f t="shared" si="14"/>
        <v>8367</v>
      </c>
      <c r="U29" s="144">
        <f>'IS Feb KSA'!AH31+'IS Feb USA'!AH31</f>
        <v>5361.89</v>
      </c>
      <c r="V29" s="144">
        <f>'IS Feb KSA'!AI31+'IS Feb USA'!AI31</f>
        <v>173.24</v>
      </c>
      <c r="W29" s="144">
        <f>'IS Feb KSA'!AJ31+'IS Feb USA'!AJ31</f>
        <v>2831.87</v>
      </c>
      <c r="X29" s="146"/>
      <c r="Y29" s="144">
        <v>2142.64</v>
      </c>
      <c r="Z29" s="144">
        <v>25607.52</v>
      </c>
    </row>
    <row r="30" spans="1:27" outlineLevel="1">
      <c r="B30" s="157" t="s">
        <v>28</v>
      </c>
      <c r="C30" s="197">
        <f t="shared" si="3"/>
        <v>-867713.06803466193</v>
      </c>
      <c r="D30" s="197">
        <f t="shared" si="9"/>
        <v>137262.32196533791</v>
      </c>
      <c r="E30" s="144">
        <f t="shared" si="10"/>
        <v>1004975.3899999999</v>
      </c>
      <c r="F30" s="197">
        <f t="shared" si="7"/>
        <v>-40373.648034662096</v>
      </c>
      <c r="G30" s="144">
        <v>20729.801965337901</v>
      </c>
      <c r="H30" s="144">
        <f t="shared" si="11"/>
        <v>345831.09</v>
      </c>
      <c r="I30" s="144">
        <f>'IS Feb KSA'!V32+'IS Feb USA'!V32</f>
        <v>128688.36000000002</v>
      </c>
      <c r="J30" s="144">
        <f>'IS Feb KSA'!W32+'IS Feb USA'!W32</f>
        <v>78869.17</v>
      </c>
      <c r="K30" s="144">
        <f>'IS Feb KSA'!X32+'IS Feb USA'!X32</f>
        <v>138273.56</v>
      </c>
      <c r="L30" s="144">
        <f t="shared" si="12"/>
        <v>277793.59999999998</v>
      </c>
      <c r="M30" s="144">
        <f>'IS Feb KSA'!Z32+'IS Feb USA'!Z32</f>
        <v>115331.18</v>
      </c>
      <c r="N30" s="144">
        <f>'IS Feb KSA'!AA32+'IS Feb USA'!AA32</f>
        <v>56876.149999999994</v>
      </c>
      <c r="O30" s="144">
        <f>'IS Feb KSA'!AB32+'IS Feb USA'!AB32</f>
        <v>105586.26999999999</v>
      </c>
      <c r="P30" s="144">
        <f t="shared" si="13"/>
        <v>203714.73</v>
      </c>
      <c r="Q30" s="144">
        <f>'IS Feb KSA'!AD32+'IS Feb USA'!AD32</f>
        <v>75539.11</v>
      </c>
      <c r="R30" s="144">
        <f>'IS Feb KSA'!AE32+'IS Feb USA'!AE32</f>
        <v>68015.58</v>
      </c>
      <c r="S30" s="144">
        <f>'IS Feb KSA'!AF32+'IS Feb USA'!AF32</f>
        <v>60160.040000000008</v>
      </c>
      <c r="T30" s="144">
        <f t="shared" si="14"/>
        <v>177635.97000000003</v>
      </c>
      <c r="U30" s="144">
        <f>'IS Feb KSA'!AH32+'IS Feb USA'!AH32</f>
        <v>61103.45</v>
      </c>
      <c r="V30" s="144">
        <f>'IS Feb KSA'!AI32+'IS Feb USA'!AI32</f>
        <v>72800.700000000012</v>
      </c>
      <c r="W30" s="144">
        <f>'IS Feb KSA'!AJ32+'IS Feb USA'!AJ32</f>
        <v>43731.82</v>
      </c>
      <c r="X30" s="146"/>
      <c r="Y30" s="144">
        <v>51500.229999999996</v>
      </c>
      <c r="Z30" s="144">
        <v>472140.14</v>
      </c>
    </row>
    <row r="31" spans="1:27" outlineLevel="1">
      <c r="B31" s="157" t="s">
        <v>29</v>
      </c>
      <c r="C31" s="197">
        <f t="shared" si="3"/>
        <v>406.42603930675898</v>
      </c>
      <c r="D31" s="197">
        <f t="shared" si="9"/>
        <v>414.596039306759</v>
      </c>
      <c r="E31" s="144">
        <f t="shared" si="10"/>
        <v>8.17</v>
      </c>
      <c r="F31" s="197">
        <f t="shared" si="7"/>
        <v>414.596039306759</v>
      </c>
      <c r="G31" s="144">
        <v>414.596039306759</v>
      </c>
      <c r="H31" s="144">
        <f t="shared" si="11"/>
        <v>0.66</v>
      </c>
      <c r="I31" s="144">
        <f>'IS Feb KSA'!V35+'IS Feb USA'!V35</f>
        <v>0.01</v>
      </c>
      <c r="J31" s="144">
        <f>'IS Feb KSA'!W35+'IS Feb USA'!W35</f>
        <v>0</v>
      </c>
      <c r="K31" s="144">
        <f>'IS Feb KSA'!X35+'IS Feb USA'!X35</f>
        <v>0.65</v>
      </c>
      <c r="L31" s="144">
        <f t="shared" si="12"/>
        <v>3.5100000000000002</v>
      </c>
      <c r="M31" s="144">
        <f>'IS Feb KSA'!Z35+'IS Feb USA'!Z35</f>
        <v>0.77</v>
      </c>
      <c r="N31" s="144">
        <f>'IS Feb KSA'!AA35+'IS Feb USA'!AA35</f>
        <v>2.77</v>
      </c>
      <c r="O31" s="144">
        <f>'IS Feb KSA'!AB35+'IS Feb USA'!AB35</f>
        <v>-0.03</v>
      </c>
      <c r="P31" s="144">
        <f t="shared" si="13"/>
        <v>4</v>
      </c>
      <c r="Q31" s="144">
        <f>'IS Feb KSA'!AD35+'IS Feb USA'!AD35</f>
        <v>2.94</v>
      </c>
      <c r="R31" s="144">
        <f>'IS Feb KSA'!AE35+'IS Feb USA'!AE35</f>
        <v>0.01</v>
      </c>
      <c r="S31" s="144">
        <f>'IS Feb KSA'!AF35+'IS Feb USA'!AF35</f>
        <v>1.05</v>
      </c>
      <c r="T31" s="144">
        <f t="shared" si="14"/>
        <v>0</v>
      </c>
      <c r="U31" s="144">
        <f>'IS Feb KSA'!AH35+'IS Feb USA'!AH35</f>
        <v>0</v>
      </c>
      <c r="V31" s="144">
        <f>'IS Feb KSA'!AI35+'IS Feb USA'!AI35</f>
        <v>0</v>
      </c>
      <c r="W31" s="144">
        <f>'IS Feb KSA'!AJ35+'IS Feb USA'!AJ35</f>
        <v>0</v>
      </c>
      <c r="X31" s="146"/>
      <c r="Y31" s="144">
        <v>0.24</v>
      </c>
      <c r="Z31" s="144">
        <v>-103.77</v>
      </c>
    </row>
    <row r="32" spans="1:27" outlineLevel="1">
      <c r="B32" s="157" t="s">
        <v>30</v>
      </c>
      <c r="C32" s="197">
        <f t="shared" si="3"/>
        <v>-41963.867921386489</v>
      </c>
      <c r="D32" s="197">
        <f t="shared" si="9"/>
        <v>18495.522078613518</v>
      </c>
      <c r="E32" s="144">
        <f t="shared" si="10"/>
        <v>60459.390000000007</v>
      </c>
      <c r="F32" s="197">
        <f t="shared" si="7"/>
        <v>-145.587921386483</v>
      </c>
      <c r="G32" s="144">
        <v>829.19207861351697</v>
      </c>
      <c r="H32" s="144">
        <f t="shared" si="11"/>
        <v>22771.620000000003</v>
      </c>
      <c r="I32" s="144">
        <f>'IS Feb KSA'!V36+'IS Feb USA'!V36</f>
        <v>1665.09</v>
      </c>
      <c r="J32" s="144">
        <f>'IS Feb KSA'!W36+'IS Feb USA'!W36</f>
        <v>2350.4</v>
      </c>
      <c r="K32" s="144">
        <f>'IS Feb KSA'!X36+'IS Feb USA'!X36</f>
        <v>18756.13</v>
      </c>
      <c r="L32" s="144">
        <f t="shared" si="12"/>
        <v>13695.240000000002</v>
      </c>
      <c r="M32" s="144">
        <f>'IS Feb KSA'!Z36+'IS Feb USA'!Z36</f>
        <v>8226.5300000000007</v>
      </c>
      <c r="N32" s="144">
        <f>'IS Feb KSA'!AA36+'IS Feb USA'!AA36</f>
        <v>1562.62</v>
      </c>
      <c r="O32" s="144">
        <f>'IS Feb KSA'!AB36+'IS Feb USA'!AB36</f>
        <v>3906.09</v>
      </c>
      <c r="P32" s="144">
        <f t="shared" si="13"/>
        <v>5351.42</v>
      </c>
      <c r="Q32" s="144">
        <f>'IS Feb KSA'!AD36+'IS Feb USA'!AD36</f>
        <v>4772.18</v>
      </c>
      <c r="R32" s="144">
        <f>'IS Feb KSA'!AE36+'IS Feb USA'!AE36</f>
        <v>157.5</v>
      </c>
      <c r="S32" s="144">
        <f>'IS Feb KSA'!AF36+'IS Feb USA'!AF36</f>
        <v>421.74</v>
      </c>
      <c r="T32" s="144">
        <f t="shared" si="14"/>
        <v>18641.11</v>
      </c>
      <c r="U32" s="144">
        <f>'IS Feb KSA'!AH36+'IS Feb USA'!AH36</f>
        <v>974.78</v>
      </c>
      <c r="V32" s="144">
        <f>'IS Feb KSA'!AI36+'IS Feb USA'!AI36</f>
        <v>8417.44</v>
      </c>
      <c r="W32" s="144">
        <f>'IS Feb KSA'!AJ36+'IS Feb USA'!AJ36</f>
        <v>9248.89</v>
      </c>
      <c r="X32" s="146"/>
      <c r="Y32" s="144">
        <v>2420.5500000000002</v>
      </c>
      <c r="Z32" s="144">
        <v>13174.86</v>
      </c>
    </row>
    <row r="33" spans="1:26" outlineLevel="1">
      <c r="B33" s="157" t="s">
        <v>31</v>
      </c>
      <c r="C33" s="197">
        <f t="shared" si="3"/>
        <v>-24000</v>
      </c>
      <c r="D33" s="197">
        <f t="shared" si="9"/>
        <v>7000</v>
      </c>
      <c r="E33" s="144">
        <f t="shared" si="10"/>
        <v>31000</v>
      </c>
      <c r="F33" s="197">
        <f t="shared" si="7"/>
        <v>1000</v>
      </c>
      <c r="G33" s="144">
        <v>3000</v>
      </c>
      <c r="H33" s="144">
        <f t="shared" si="11"/>
        <v>13000</v>
      </c>
      <c r="I33" s="144">
        <f>'IS Feb KSA'!V37+'IS Feb USA'!V37</f>
        <v>2000</v>
      </c>
      <c r="J33" s="144">
        <f>'IS Feb KSA'!W37+'IS Feb USA'!W37</f>
        <v>2000</v>
      </c>
      <c r="K33" s="144">
        <f>'IS Feb KSA'!X37+'IS Feb USA'!X37</f>
        <v>9000</v>
      </c>
      <c r="L33" s="144">
        <f t="shared" si="12"/>
        <v>6000</v>
      </c>
      <c r="M33" s="144">
        <f>'IS Feb KSA'!Z37+'IS Feb USA'!Z37</f>
        <v>2000</v>
      </c>
      <c r="N33" s="144">
        <f>'IS Feb KSA'!AA37+'IS Feb USA'!AA37</f>
        <v>2000</v>
      </c>
      <c r="O33" s="144">
        <f>'IS Feb KSA'!AB37+'IS Feb USA'!AB37</f>
        <v>2000</v>
      </c>
      <c r="P33" s="144">
        <f t="shared" si="13"/>
        <v>6000</v>
      </c>
      <c r="Q33" s="144">
        <f>'IS Feb KSA'!AD37+'IS Feb USA'!AD37</f>
        <v>2000</v>
      </c>
      <c r="R33" s="144">
        <f>'IS Feb KSA'!AE37+'IS Feb USA'!AE37</f>
        <v>2000</v>
      </c>
      <c r="S33" s="144">
        <f>'IS Feb KSA'!AF37+'IS Feb USA'!AF37</f>
        <v>2000</v>
      </c>
      <c r="T33" s="144">
        <f t="shared" si="14"/>
        <v>6000</v>
      </c>
      <c r="U33" s="144">
        <f>'IS Feb KSA'!AH37+'IS Feb USA'!AH37</f>
        <v>2000</v>
      </c>
      <c r="V33" s="144">
        <f>'IS Feb KSA'!AI37+'IS Feb USA'!AI37</f>
        <v>2000</v>
      </c>
      <c r="W33" s="144">
        <f>'IS Feb KSA'!AJ37+'IS Feb USA'!AJ37</f>
        <v>2000</v>
      </c>
      <c r="X33" s="146"/>
      <c r="Y33" s="144">
        <v>2000</v>
      </c>
      <c r="Z33" s="144">
        <v>10000</v>
      </c>
    </row>
    <row r="34" spans="1:26" outlineLevel="1">
      <c r="B34" s="157" t="s">
        <v>32</v>
      </c>
      <c r="C34" s="197">
        <f t="shared" si="3"/>
        <v>0</v>
      </c>
      <c r="D34" s="197">
        <v>0</v>
      </c>
      <c r="E34" s="144">
        <f t="shared" si="10"/>
        <v>0</v>
      </c>
      <c r="F34" s="197">
        <f t="shared" ref="F34" si="15">G34-V34</f>
        <v>0</v>
      </c>
      <c r="G34" s="144">
        <v>0</v>
      </c>
      <c r="H34" s="144">
        <f t="shared" si="11"/>
        <v>0</v>
      </c>
      <c r="I34" s="144">
        <f>'IS Feb KSA'!V38+'IS Feb USA'!V38</f>
        <v>0</v>
      </c>
      <c r="J34" s="144">
        <f>'IS Feb KSA'!W38+'IS Feb USA'!W38</f>
        <v>0</v>
      </c>
      <c r="K34" s="144">
        <f>'IS Feb KSA'!X38+'IS Feb USA'!X38</f>
        <v>0</v>
      </c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>
        <f>'IS Feb KSA'!AI38+'IS Feb USA'!AI38</f>
        <v>0</v>
      </c>
      <c r="W34" s="144">
        <f>'IS Feb KSA'!AJ38+'IS Feb USA'!AJ38</f>
        <v>0</v>
      </c>
      <c r="X34" s="146"/>
      <c r="Y34" s="144">
        <v>0</v>
      </c>
      <c r="Z34" s="144">
        <v>47608.81</v>
      </c>
    </row>
    <row r="35" spans="1:26" s="151" customFormat="1">
      <c r="A35" s="147"/>
      <c r="B35" s="148" t="s">
        <v>33</v>
      </c>
      <c r="C35" s="197">
        <f t="shared" si="3"/>
        <v>-987779.28099891997</v>
      </c>
      <c r="D35" s="149">
        <f>SUM(D36:D46)</f>
        <v>343576.57900108013</v>
      </c>
      <c r="E35" s="149">
        <f>SUM(E36:E46)</f>
        <v>1331355.8600000001</v>
      </c>
      <c r="F35" s="197">
        <f t="shared" ref="F35:F74" si="16">G35-U35</f>
        <v>38975.899001080121</v>
      </c>
      <c r="G35" s="149">
        <f>SUM(G36:G46)</f>
        <v>118135.67900108012</v>
      </c>
      <c r="H35" s="149">
        <f t="shared" si="11"/>
        <v>366017.69</v>
      </c>
      <c r="I35" s="149">
        <f>SUM(I36:I46)</f>
        <v>115052.34</v>
      </c>
      <c r="J35" s="149">
        <f>SUM(J36:J46)</f>
        <v>125106.14999999998</v>
      </c>
      <c r="K35" s="149">
        <f>SUM(K36:K46)</f>
        <v>125859.20000000001</v>
      </c>
      <c r="L35" s="149">
        <f t="shared" ref="L35:V35" si="17">SUM(L36:L46)</f>
        <v>350357.38</v>
      </c>
      <c r="M35" s="149">
        <f t="shared" si="17"/>
        <v>95830.139999999985</v>
      </c>
      <c r="N35" s="149">
        <f t="shared" si="17"/>
        <v>87787.97</v>
      </c>
      <c r="O35" s="149">
        <f t="shared" si="17"/>
        <v>166739.27000000002</v>
      </c>
      <c r="P35" s="149">
        <f t="shared" si="17"/>
        <v>310380.11</v>
      </c>
      <c r="Q35" s="149">
        <f t="shared" si="17"/>
        <v>122915.92</v>
      </c>
      <c r="R35" s="149">
        <f t="shared" si="17"/>
        <v>107833.88999999998</v>
      </c>
      <c r="S35" s="149">
        <f t="shared" si="17"/>
        <v>79630.300000000017</v>
      </c>
      <c r="T35" s="149">
        <f t="shared" si="17"/>
        <v>304600.68</v>
      </c>
      <c r="U35" s="149">
        <f t="shared" si="17"/>
        <v>79159.78</v>
      </c>
      <c r="V35" s="149">
        <f t="shared" si="17"/>
        <v>141279.85999999999</v>
      </c>
      <c r="W35" s="149">
        <f>SUM(W36:W46)</f>
        <v>84161.040000000008</v>
      </c>
      <c r="X35" s="158"/>
      <c r="Y35" s="149">
        <f>SUM(Y36:Y46)</f>
        <v>88341.5</v>
      </c>
      <c r="Z35" s="149">
        <f>SUM(Z36:Z46)</f>
        <v>771628.3600000001</v>
      </c>
    </row>
    <row r="36" spans="1:26" outlineLevel="1">
      <c r="B36" s="157" t="s">
        <v>34</v>
      </c>
      <c r="C36" s="197">
        <f t="shared" si="3"/>
        <v>-82436.713005777026</v>
      </c>
      <c r="D36" s="197">
        <f t="shared" ref="D36:D46" si="18">V36+W36+G36</f>
        <v>59729.86699422299</v>
      </c>
      <c r="E36" s="144">
        <f t="shared" ref="E36:E46" si="19">L36+P36+H36+T36</f>
        <v>142166.58000000002</v>
      </c>
      <c r="F36" s="197">
        <f t="shared" si="16"/>
        <v>-4583.79300577701</v>
      </c>
      <c r="G36" s="144">
        <v>3454.9669942229898</v>
      </c>
      <c r="H36" s="144">
        <f t="shared" si="11"/>
        <v>24716.93</v>
      </c>
      <c r="I36" s="144">
        <f>'IS Feb KSA'!V40+'IS Feb USA'!V40</f>
        <v>18432.23</v>
      </c>
      <c r="J36" s="144">
        <f>'IS Feb KSA'!W40+'IS Feb USA'!W40</f>
        <v>-8454.94</v>
      </c>
      <c r="K36" s="144">
        <f>'IS Feb KSA'!X40+'IS Feb USA'!X40</f>
        <v>14739.64</v>
      </c>
      <c r="L36" s="144">
        <f t="shared" ref="L36:L46" si="20">M36+N36+O36</f>
        <v>24785.52</v>
      </c>
      <c r="M36" s="144">
        <f>'IS Feb KSA'!Z40+'IS Feb USA'!Z40</f>
        <v>6977.04</v>
      </c>
      <c r="N36" s="144">
        <f>'IS Feb KSA'!AA40+'IS Feb USA'!AA40</f>
        <v>2887</v>
      </c>
      <c r="O36" s="144">
        <f>'IS Feb KSA'!AB40+'IS Feb USA'!AB40</f>
        <v>14921.48</v>
      </c>
      <c r="P36" s="144">
        <f t="shared" ref="P36:P46" si="21">SUM(Q36:S36)</f>
        <v>28350.47</v>
      </c>
      <c r="Q36" s="144">
        <f>'IS Feb KSA'!AD40+'IS Feb USA'!AD40</f>
        <v>12154.14</v>
      </c>
      <c r="R36" s="144">
        <f>'IS Feb KSA'!AE40+'IS Feb USA'!AE40</f>
        <v>11192.95</v>
      </c>
      <c r="S36" s="144">
        <f>'IS Feb KSA'!AF40+'IS Feb USA'!AF40</f>
        <v>5003.38</v>
      </c>
      <c r="T36" s="144">
        <f t="shared" ref="T36:T46" si="22">SUM(U36:W36)</f>
        <v>64313.66</v>
      </c>
      <c r="U36" s="144">
        <f>'IS Feb KSA'!AH40+'IS Feb USA'!AH40</f>
        <v>8038.76</v>
      </c>
      <c r="V36" s="144">
        <f>'IS Feb KSA'!AI40+'IS Feb USA'!AI40</f>
        <v>41252.68</v>
      </c>
      <c r="W36" s="144">
        <f>'IS Feb KSA'!AJ40+'IS Feb USA'!AJ40</f>
        <v>15022.22</v>
      </c>
      <c r="X36" s="146"/>
      <c r="Y36" s="144">
        <v>18308.590000000004</v>
      </c>
      <c r="Z36" s="144">
        <v>110575.44</v>
      </c>
    </row>
    <row r="37" spans="1:26" outlineLevel="1">
      <c r="B37" s="157" t="s">
        <v>35</v>
      </c>
      <c r="C37" s="197">
        <f t="shared" si="3"/>
        <v>4145.9603930675903</v>
      </c>
      <c r="D37" s="197">
        <f t="shared" si="18"/>
        <v>4145.9603930675903</v>
      </c>
      <c r="E37" s="144">
        <f t="shared" si="19"/>
        <v>0</v>
      </c>
      <c r="F37" s="197">
        <f t="shared" si="16"/>
        <v>4145.9603930675903</v>
      </c>
      <c r="G37" s="144">
        <v>4145.9603930675903</v>
      </c>
      <c r="H37" s="144">
        <f t="shared" si="11"/>
        <v>0</v>
      </c>
      <c r="I37" s="144">
        <f>'IS Feb KSA'!V42+'IS Feb USA'!V42</f>
        <v>0</v>
      </c>
      <c r="J37" s="144">
        <f>'IS Feb KSA'!W42+'IS Feb USA'!W42</f>
        <v>0</v>
      </c>
      <c r="K37" s="144">
        <f>'IS Feb KSA'!X42+'IS Feb USA'!X42</f>
        <v>0</v>
      </c>
      <c r="L37" s="144">
        <f t="shared" si="20"/>
        <v>0</v>
      </c>
      <c r="M37" s="144">
        <f>'IS Feb KSA'!Z42+'IS Feb USA'!Z42</f>
        <v>0</v>
      </c>
      <c r="N37" s="144">
        <f>'IS Feb KSA'!AA42+'IS Feb USA'!AA42</f>
        <v>0</v>
      </c>
      <c r="O37" s="144">
        <f>'IS Feb KSA'!AB42+'IS Feb USA'!AB42</f>
        <v>0</v>
      </c>
      <c r="P37" s="144">
        <f t="shared" si="21"/>
        <v>0</v>
      </c>
      <c r="Q37" s="144">
        <f>'IS Feb KSA'!AD42+'IS Feb USA'!AD42</f>
        <v>0</v>
      </c>
      <c r="R37" s="144">
        <f>'IS Feb KSA'!AE42+'IS Feb USA'!AE42</f>
        <v>0</v>
      </c>
      <c r="S37" s="144">
        <f>'IS Feb KSA'!AF42+'IS Feb USA'!AF42</f>
        <v>0</v>
      </c>
      <c r="T37" s="144">
        <f t="shared" si="22"/>
        <v>0</v>
      </c>
      <c r="U37" s="144">
        <f>'IS Feb KSA'!AH42+'IS Feb USA'!AH42</f>
        <v>0</v>
      </c>
      <c r="V37" s="144">
        <f>'IS Feb KSA'!AI42+'IS Feb USA'!AI42</f>
        <v>0</v>
      </c>
      <c r="W37" s="144">
        <f>'IS Feb KSA'!AJ42+'IS Feb USA'!AJ42</f>
        <v>0</v>
      </c>
      <c r="X37" s="146"/>
      <c r="Y37" s="144">
        <v>4797.13</v>
      </c>
      <c r="Z37" s="144">
        <v>61150.529999999992</v>
      </c>
    </row>
    <row r="38" spans="1:26" outlineLevel="1">
      <c r="B38" s="157" t="s">
        <v>36</v>
      </c>
      <c r="C38" s="197">
        <f t="shared" si="3"/>
        <v>-556.52173913043021</v>
      </c>
      <c r="D38" s="197">
        <f t="shared" si="18"/>
        <v>2021.73826086957</v>
      </c>
      <c r="E38" s="144">
        <f t="shared" si="19"/>
        <v>2578.2600000000002</v>
      </c>
      <c r="F38" s="197">
        <f t="shared" si="16"/>
        <v>1043.47826086957</v>
      </c>
      <c r="G38" s="144">
        <v>1043.47826086957</v>
      </c>
      <c r="H38" s="144">
        <f t="shared" si="11"/>
        <v>0</v>
      </c>
      <c r="I38" s="144">
        <f>'IS Feb KSA'!V43+'IS Feb USA'!V43</f>
        <v>0</v>
      </c>
      <c r="J38" s="144">
        <f>'IS Feb KSA'!W43+'IS Feb USA'!W43</f>
        <v>0</v>
      </c>
      <c r="K38" s="144">
        <f>'IS Feb KSA'!X43+'IS Feb USA'!X43</f>
        <v>0</v>
      </c>
      <c r="L38" s="144">
        <f t="shared" si="20"/>
        <v>0</v>
      </c>
      <c r="M38" s="144">
        <f>'IS Feb KSA'!Z43+'IS Feb USA'!Z43</f>
        <v>0</v>
      </c>
      <c r="N38" s="144">
        <f>'IS Feb KSA'!AA43+'IS Feb USA'!AA43</f>
        <v>0</v>
      </c>
      <c r="O38" s="144">
        <f>'IS Feb KSA'!AB43+'IS Feb USA'!AB43</f>
        <v>0</v>
      </c>
      <c r="P38" s="144">
        <f t="shared" si="21"/>
        <v>1600</v>
      </c>
      <c r="Q38" s="144">
        <f>'IS Feb KSA'!AD43+'IS Feb USA'!AD43</f>
        <v>0</v>
      </c>
      <c r="R38" s="144">
        <f>'IS Feb KSA'!AE43+'IS Feb USA'!AE43</f>
        <v>0</v>
      </c>
      <c r="S38" s="144">
        <f>'IS Feb KSA'!AF43+'IS Feb USA'!AF43</f>
        <v>1600</v>
      </c>
      <c r="T38" s="144">
        <f t="shared" si="22"/>
        <v>978.26</v>
      </c>
      <c r="U38" s="144">
        <f>'IS Feb KSA'!AH43+'IS Feb USA'!AH43</f>
        <v>0</v>
      </c>
      <c r="V38" s="144">
        <f>'IS Feb KSA'!AI43+'IS Feb USA'!AI43</f>
        <v>978.26</v>
      </c>
      <c r="W38" s="144">
        <f>'IS Feb KSA'!AJ43+'IS Feb USA'!AJ43</f>
        <v>0</v>
      </c>
      <c r="X38" s="146"/>
      <c r="Y38" s="144">
        <v>0</v>
      </c>
      <c r="Z38" s="144">
        <v>8543.48</v>
      </c>
    </row>
    <row r="39" spans="1:26" outlineLevel="1">
      <c r="B39" s="157" t="s">
        <v>37</v>
      </c>
      <c r="C39" s="197">
        <f t="shared" si="3"/>
        <v>-109817.54950866551</v>
      </c>
      <c r="D39" s="197">
        <f t="shared" si="18"/>
        <v>17182.450491334479</v>
      </c>
      <c r="E39" s="144">
        <f t="shared" si="19"/>
        <v>127000</v>
      </c>
      <c r="F39" s="197">
        <f t="shared" si="16"/>
        <v>-1817.5495086655201</v>
      </c>
      <c r="G39" s="144">
        <v>5182.4504913344799</v>
      </c>
      <c r="H39" s="144">
        <f t="shared" si="11"/>
        <v>39000</v>
      </c>
      <c r="I39" s="144">
        <f>'IS Feb KSA'!V44+'IS Feb USA'!V44</f>
        <v>7500</v>
      </c>
      <c r="J39" s="144">
        <f>'IS Feb KSA'!W44+'IS Feb USA'!W44</f>
        <v>21500</v>
      </c>
      <c r="K39" s="144">
        <f>'IS Feb KSA'!X44+'IS Feb USA'!X44</f>
        <v>10000</v>
      </c>
      <c r="L39" s="144">
        <f t="shared" si="20"/>
        <v>35000</v>
      </c>
      <c r="M39" s="144">
        <f>'IS Feb KSA'!Z44+'IS Feb USA'!Z44</f>
        <v>6000</v>
      </c>
      <c r="N39" s="144">
        <f>'IS Feb KSA'!AA44+'IS Feb USA'!AA44</f>
        <v>7000</v>
      </c>
      <c r="O39" s="144">
        <f>'IS Feb KSA'!AB44+'IS Feb USA'!AB44</f>
        <v>22000</v>
      </c>
      <c r="P39" s="144">
        <f t="shared" si="21"/>
        <v>34000</v>
      </c>
      <c r="Q39" s="144">
        <f>'IS Feb KSA'!AD44+'IS Feb USA'!AD44</f>
        <v>13000</v>
      </c>
      <c r="R39" s="144">
        <f>'IS Feb KSA'!AE44+'IS Feb USA'!AE44</f>
        <v>6000</v>
      </c>
      <c r="S39" s="144">
        <f>'IS Feb KSA'!AF44+'IS Feb USA'!AF44</f>
        <v>15000</v>
      </c>
      <c r="T39" s="144">
        <f t="shared" si="22"/>
        <v>19000</v>
      </c>
      <c r="U39" s="144">
        <f>'IS Feb KSA'!AH44+'IS Feb USA'!AH44</f>
        <v>7000</v>
      </c>
      <c r="V39" s="144">
        <f>'IS Feb KSA'!AI44+'IS Feb USA'!AI44</f>
        <v>7000</v>
      </c>
      <c r="W39" s="144">
        <f>'IS Feb KSA'!AJ44+'IS Feb USA'!AJ44</f>
        <v>5000</v>
      </c>
      <c r="X39" s="146"/>
      <c r="Y39" s="144">
        <v>5000</v>
      </c>
      <c r="Z39" s="144">
        <v>44606.18</v>
      </c>
    </row>
    <row r="40" spans="1:26" outlineLevel="1">
      <c r="B40" s="157" t="s">
        <v>38</v>
      </c>
      <c r="C40" s="197">
        <f t="shared" si="3"/>
        <v>-48500</v>
      </c>
      <c r="D40" s="197">
        <f t="shared" si="18"/>
        <v>6500</v>
      </c>
      <c r="E40" s="144">
        <f t="shared" si="19"/>
        <v>55000</v>
      </c>
      <c r="F40" s="197">
        <f t="shared" si="16"/>
        <v>-7000</v>
      </c>
      <c r="G40" s="144">
        <v>0</v>
      </c>
      <c r="H40" s="144">
        <f t="shared" si="11"/>
        <v>17200</v>
      </c>
      <c r="I40" s="144">
        <f>'IS Feb KSA'!V45+'IS Feb USA'!V45</f>
        <v>3400</v>
      </c>
      <c r="J40" s="144">
        <f>'IS Feb KSA'!W45+'IS Feb USA'!W45</f>
        <v>6300</v>
      </c>
      <c r="K40" s="144">
        <f>'IS Feb KSA'!X45+'IS Feb USA'!X45</f>
        <v>7500</v>
      </c>
      <c r="L40" s="144">
        <f t="shared" si="20"/>
        <v>14200</v>
      </c>
      <c r="M40" s="144">
        <f>'IS Feb KSA'!Z45+'IS Feb USA'!Z45</f>
        <v>4900</v>
      </c>
      <c r="N40" s="144">
        <f>'IS Feb KSA'!AA45+'IS Feb USA'!AA45</f>
        <v>3700</v>
      </c>
      <c r="O40" s="144">
        <f>'IS Feb KSA'!AB45+'IS Feb USA'!AB45</f>
        <v>5600</v>
      </c>
      <c r="P40" s="144">
        <f t="shared" si="21"/>
        <v>10100</v>
      </c>
      <c r="Q40" s="144">
        <f>'IS Feb KSA'!AD45+'IS Feb USA'!AD45</f>
        <v>5400</v>
      </c>
      <c r="R40" s="144">
        <f>'IS Feb KSA'!AE45+'IS Feb USA'!AE45</f>
        <v>1700</v>
      </c>
      <c r="S40" s="144">
        <f>'IS Feb KSA'!AF45+'IS Feb USA'!AF45</f>
        <v>3000</v>
      </c>
      <c r="T40" s="144">
        <f t="shared" si="22"/>
        <v>13500</v>
      </c>
      <c r="U40" s="144">
        <f>'IS Feb KSA'!AH45+'IS Feb USA'!AH45</f>
        <v>7000</v>
      </c>
      <c r="V40" s="144">
        <f>'IS Feb KSA'!AI45+'IS Feb USA'!AI45</f>
        <v>5000</v>
      </c>
      <c r="W40" s="144">
        <f>'IS Feb KSA'!AJ45+'IS Feb USA'!AJ45</f>
        <v>1500</v>
      </c>
      <c r="X40" s="146"/>
      <c r="Y40" s="144"/>
      <c r="Z40" s="144"/>
    </row>
    <row r="41" spans="1:26" outlineLevel="1">
      <c r="B41" s="157" t="s">
        <v>39</v>
      </c>
      <c r="C41" s="197">
        <f t="shared" si="3"/>
        <v>-287751.03000000003</v>
      </c>
      <c r="D41" s="197">
        <f t="shared" si="18"/>
        <v>35804.400000000001</v>
      </c>
      <c r="E41" s="144">
        <f t="shared" si="19"/>
        <v>323555.43000000005</v>
      </c>
      <c r="F41" s="197">
        <f t="shared" si="16"/>
        <v>-20701.099999999999</v>
      </c>
      <c r="G41" s="144">
        <v>0</v>
      </c>
      <c r="H41" s="144">
        <f t="shared" si="11"/>
        <v>93218.170000000013</v>
      </c>
      <c r="I41" s="144">
        <f>'IS Feb KSA'!V46+'IS Feb USA'!V46</f>
        <v>29491.08</v>
      </c>
      <c r="J41" s="144">
        <f>'IS Feb KSA'!W46+'IS Feb USA'!W46</f>
        <v>36269.68</v>
      </c>
      <c r="K41" s="144">
        <f>'IS Feb KSA'!X46+'IS Feb USA'!X46</f>
        <v>27457.41</v>
      </c>
      <c r="L41" s="144">
        <f t="shared" si="20"/>
        <v>102093.22</v>
      </c>
      <c r="M41" s="144">
        <f>'IS Feb KSA'!Z46+'IS Feb USA'!Z46</f>
        <v>19446.8</v>
      </c>
      <c r="N41" s="144">
        <f>'IS Feb KSA'!AA46+'IS Feb USA'!AA46</f>
        <v>14722.76</v>
      </c>
      <c r="O41" s="144">
        <f>'IS Feb KSA'!AB46+'IS Feb USA'!AB46</f>
        <v>67923.66</v>
      </c>
      <c r="P41" s="144">
        <f t="shared" si="21"/>
        <v>71738.540000000008</v>
      </c>
      <c r="Q41" s="144">
        <f>'IS Feb KSA'!AD46+'IS Feb USA'!AD46</f>
        <v>26518.85</v>
      </c>
      <c r="R41" s="144">
        <f>'IS Feb KSA'!AE46+'IS Feb USA'!AE46</f>
        <v>19610.97</v>
      </c>
      <c r="S41" s="144">
        <f>'IS Feb KSA'!AF46+'IS Feb USA'!AF46</f>
        <v>25608.720000000001</v>
      </c>
      <c r="T41" s="144">
        <f t="shared" si="22"/>
        <v>56505.5</v>
      </c>
      <c r="U41" s="144">
        <f>'IS Feb KSA'!AH46+'IS Feb USA'!AH46</f>
        <v>20701.099999999999</v>
      </c>
      <c r="V41" s="144">
        <f>'IS Feb KSA'!AI46+'IS Feb USA'!AI46</f>
        <v>19876.400000000001</v>
      </c>
      <c r="W41" s="144">
        <f>'IS Feb KSA'!AJ46+'IS Feb USA'!AJ46</f>
        <v>15928</v>
      </c>
      <c r="X41" s="146"/>
      <c r="Y41" s="144">
        <v>107.5</v>
      </c>
      <c r="Z41" s="144">
        <v>4457.7700000000004</v>
      </c>
    </row>
    <row r="42" spans="1:26" outlineLevel="1">
      <c r="B42" s="157" t="s">
        <v>211</v>
      </c>
      <c r="C42" s="197">
        <f t="shared" si="3"/>
        <v>73559.550601446899</v>
      </c>
      <c r="D42" s="197">
        <f t="shared" si="18"/>
        <v>73559.550601446899</v>
      </c>
      <c r="E42" s="144">
        <f t="shared" si="19"/>
        <v>0</v>
      </c>
      <c r="F42" s="197">
        <f t="shared" si="16"/>
        <v>73559.550601446899</v>
      </c>
      <c r="G42" s="144">
        <v>73559.550601446899</v>
      </c>
      <c r="H42" s="144">
        <f t="shared" si="11"/>
        <v>0</v>
      </c>
      <c r="I42" s="144">
        <f>'IS Feb KSA'!V47+'IS Feb USA'!V47</f>
        <v>0</v>
      </c>
      <c r="J42" s="144">
        <f>'IS Feb KSA'!W47+'IS Feb USA'!W47</f>
        <v>0</v>
      </c>
      <c r="K42" s="144">
        <f>'IS Feb KSA'!X47+'IS Feb USA'!X47</f>
        <v>0</v>
      </c>
      <c r="L42" s="144">
        <f t="shared" si="20"/>
        <v>0</v>
      </c>
      <c r="M42" s="144">
        <f>'IS Feb KSA'!Z47+'IS Feb USA'!Z47</f>
        <v>0</v>
      </c>
      <c r="N42" s="144">
        <f>'IS Feb KSA'!AA47+'IS Feb USA'!AA47</f>
        <v>0</v>
      </c>
      <c r="O42" s="144">
        <f>'IS Feb KSA'!AB47+'IS Feb USA'!AB47</f>
        <v>0</v>
      </c>
      <c r="P42" s="144">
        <f t="shared" si="21"/>
        <v>0</v>
      </c>
      <c r="Q42" s="144">
        <f>'IS Feb KSA'!AD47+'IS Feb USA'!AD47</f>
        <v>0</v>
      </c>
      <c r="R42" s="144">
        <f>'IS Feb KSA'!AE47+'IS Feb USA'!AE47</f>
        <v>0</v>
      </c>
      <c r="S42" s="144">
        <f>'IS Feb KSA'!AF47+'IS Feb USA'!AF47</f>
        <v>0</v>
      </c>
      <c r="T42" s="144">
        <f t="shared" si="22"/>
        <v>0</v>
      </c>
      <c r="U42" s="144">
        <f>'IS Feb KSA'!AH47+'IS Feb USA'!AH47</f>
        <v>0</v>
      </c>
      <c r="V42" s="144">
        <f>'IS Feb KSA'!AI47+'IS Feb USA'!AI47</f>
        <v>0</v>
      </c>
      <c r="W42" s="144">
        <f>'IS Feb KSA'!AJ47+'IS Feb USA'!AJ47</f>
        <v>0</v>
      </c>
      <c r="X42" s="146"/>
      <c r="Y42" s="144"/>
      <c r="Z42" s="144"/>
    </row>
    <row r="43" spans="1:26" outlineLevel="1">
      <c r="B43" s="157" t="s">
        <v>41</v>
      </c>
      <c r="C43" s="197">
        <f t="shared" si="3"/>
        <v>0</v>
      </c>
      <c r="D43" s="197">
        <f t="shared" si="18"/>
        <v>0</v>
      </c>
      <c r="E43" s="144">
        <f t="shared" si="19"/>
        <v>0</v>
      </c>
      <c r="F43" s="197">
        <f t="shared" si="16"/>
        <v>0</v>
      </c>
      <c r="G43" s="144">
        <v>0</v>
      </c>
      <c r="H43" s="144">
        <f t="shared" si="11"/>
        <v>0</v>
      </c>
      <c r="I43" s="144">
        <f>'IS Feb KSA'!V48+'IS Feb USA'!V48</f>
        <v>0</v>
      </c>
      <c r="J43" s="144">
        <f>'IS Feb KSA'!W48+'IS Feb USA'!W48</f>
        <v>0</v>
      </c>
      <c r="K43" s="144">
        <f>'IS Feb KSA'!X48+'IS Feb USA'!X48</f>
        <v>0</v>
      </c>
      <c r="L43" s="144">
        <f t="shared" si="20"/>
        <v>0</v>
      </c>
      <c r="M43" s="144">
        <f>'IS Feb KSA'!Z48+'IS Feb USA'!Z48</f>
        <v>0</v>
      </c>
      <c r="N43" s="144">
        <f>'IS Feb KSA'!AA48+'IS Feb USA'!AA48</f>
        <v>0</v>
      </c>
      <c r="O43" s="144">
        <f>'IS Feb KSA'!AB48+'IS Feb USA'!AB48</f>
        <v>0</v>
      </c>
      <c r="P43" s="144">
        <f t="shared" si="21"/>
        <v>0</v>
      </c>
      <c r="Q43" s="144">
        <f>'IS Feb KSA'!AD48+'IS Feb USA'!AD48</f>
        <v>0</v>
      </c>
      <c r="R43" s="144">
        <f>'IS Feb KSA'!AE48+'IS Feb USA'!AE48</f>
        <v>0</v>
      </c>
      <c r="S43" s="144">
        <f>'IS Feb KSA'!AF48+'IS Feb USA'!AF48</f>
        <v>0</v>
      </c>
      <c r="T43" s="144">
        <f t="shared" si="22"/>
        <v>0</v>
      </c>
      <c r="U43" s="144">
        <f>'IS Feb KSA'!AH48+'IS Feb USA'!AH48</f>
        <v>0</v>
      </c>
      <c r="V43" s="144">
        <f>'IS Feb KSA'!AI48+'IS Feb USA'!AI48</f>
        <v>0</v>
      </c>
      <c r="W43" s="144">
        <f>'IS Feb KSA'!AJ48+'IS Feb USA'!AJ48</f>
        <v>0</v>
      </c>
      <c r="X43" s="146"/>
      <c r="Y43" s="144">
        <v>0</v>
      </c>
      <c r="Z43" s="144">
        <v>21797.18</v>
      </c>
    </row>
    <row r="44" spans="1:26" outlineLevel="1">
      <c r="B44" s="157" t="s">
        <v>42</v>
      </c>
      <c r="C44" s="197">
        <f t="shared" si="3"/>
        <v>-27297.849705199314</v>
      </c>
      <c r="D44" s="197">
        <f t="shared" si="18"/>
        <v>11118.53029480069</v>
      </c>
      <c r="E44" s="144">
        <f t="shared" si="19"/>
        <v>38416.380000000005</v>
      </c>
      <c r="F44" s="197">
        <f t="shared" si="16"/>
        <v>-255.64970519930966</v>
      </c>
      <c r="G44" s="144">
        <v>3109.4702948006902</v>
      </c>
      <c r="H44" s="144">
        <f t="shared" si="11"/>
        <v>10525.58</v>
      </c>
      <c r="I44" s="144">
        <f>'IS Feb KSA'!V53+'IS Feb USA'!V53</f>
        <v>3721.99</v>
      </c>
      <c r="J44" s="144">
        <f>'IS Feb KSA'!W53+'IS Feb USA'!W53</f>
        <v>3185.45</v>
      </c>
      <c r="K44" s="144">
        <f>'IS Feb KSA'!X53+'IS Feb USA'!X53</f>
        <v>3618.14</v>
      </c>
      <c r="L44" s="144">
        <f t="shared" si="20"/>
        <v>8059.1</v>
      </c>
      <c r="M44" s="144">
        <f>'IS Feb KSA'!Z53+'IS Feb USA'!Z53</f>
        <v>2716.95</v>
      </c>
      <c r="N44" s="144">
        <f>'IS Feb KSA'!AA53+'IS Feb USA'!AA53</f>
        <v>2558.0500000000002</v>
      </c>
      <c r="O44" s="144">
        <f>'IS Feb KSA'!AB53+'IS Feb USA'!AB53</f>
        <v>2784.1</v>
      </c>
      <c r="P44" s="144">
        <f t="shared" si="21"/>
        <v>8457.52</v>
      </c>
      <c r="Q44" s="144">
        <f>'IS Feb KSA'!AD53+'IS Feb USA'!AD53</f>
        <v>3058.77</v>
      </c>
      <c r="R44" s="144">
        <f>'IS Feb KSA'!AE53+'IS Feb USA'!AE53</f>
        <v>1991.38</v>
      </c>
      <c r="S44" s="144">
        <f>'IS Feb KSA'!AF53+'IS Feb USA'!AF53</f>
        <v>3407.37</v>
      </c>
      <c r="T44" s="144">
        <f t="shared" si="22"/>
        <v>11374.18</v>
      </c>
      <c r="U44" s="144">
        <f>'IS Feb KSA'!AH53+'IS Feb USA'!AH53</f>
        <v>3365.12</v>
      </c>
      <c r="V44" s="144">
        <f>'IS Feb KSA'!AI53+'IS Feb USA'!AI53</f>
        <v>3084.98</v>
      </c>
      <c r="W44" s="144">
        <f>'IS Feb KSA'!AJ53+'IS Feb USA'!AJ53</f>
        <v>4924.08</v>
      </c>
      <c r="X44" s="146"/>
      <c r="Y44" s="144">
        <v>4340.78</v>
      </c>
      <c r="Z44" s="144">
        <v>42649.18</v>
      </c>
    </row>
    <row r="45" spans="1:26" outlineLevel="1">
      <c r="B45" s="157" t="s">
        <v>43</v>
      </c>
      <c r="C45" s="197">
        <f t="shared" si="3"/>
        <v>-489527.14803466212</v>
      </c>
      <c r="D45" s="197">
        <f t="shared" si="18"/>
        <v>132999.01196533791</v>
      </c>
      <c r="E45" s="144">
        <f t="shared" si="19"/>
        <v>622526.16</v>
      </c>
      <c r="F45" s="197">
        <f t="shared" si="16"/>
        <v>-5414.9980346621014</v>
      </c>
      <c r="G45" s="144">
        <f>20729.8019653379+6910</f>
        <v>27639.801965337901</v>
      </c>
      <c r="H45" s="144">
        <f t="shared" si="11"/>
        <v>161759.03</v>
      </c>
      <c r="I45" s="144">
        <f>'IS Feb KSA'!V54+'IS Feb USA'!V54</f>
        <v>52507.040000000001</v>
      </c>
      <c r="J45" s="144">
        <f>'IS Feb KSA'!W54+'IS Feb USA'!W54</f>
        <v>46707.979999999996</v>
      </c>
      <c r="K45" s="144">
        <f>'IS Feb KSA'!X54+'IS Feb USA'!X54</f>
        <v>62544.01</v>
      </c>
      <c r="L45" s="144">
        <f t="shared" si="20"/>
        <v>166219.54</v>
      </c>
      <c r="M45" s="144">
        <f>'IS Feb KSA'!Z54+'IS Feb USA'!Z54</f>
        <v>55789.35</v>
      </c>
      <c r="N45" s="144">
        <f>'IS Feb KSA'!AA54+'IS Feb USA'!AA54</f>
        <v>56920.160000000003</v>
      </c>
      <c r="O45" s="144">
        <f>'IS Feb KSA'!AB54+'IS Feb USA'!AB54</f>
        <v>53510.03</v>
      </c>
      <c r="P45" s="144">
        <f t="shared" si="21"/>
        <v>156133.58000000002</v>
      </c>
      <c r="Q45" s="144">
        <f>'IS Feb KSA'!AD54+'IS Feb USA'!AD54</f>
        <v>62784.160000000003</v>
      </c>
      <c r="R45" s="144">
        <f>'IS Feb KSA'!AE54+'IS Feb USA'!AE54</f>
        <v>67338.59</v>
      </c>
      <c r="S45" s="144">
        <f>'IS Feb KSA'!AF54+'IS Feb USA'!AF54</f>
        <v>26010.83</v>
      </c>
      <c r="T45" s="144">
        <f t="shared" si="22"/>
        <v>138414.01</v>
      </c>
      <c r="U45" s="144">
        <f>'IS Feb KSA'!AH54+'IS Feb USA'!AH54</f>
        <v>33054.800000000003</v>
      </c>
      <c r="V45" s="144">
        <f>'IS Feb KSA'!AI54+'IS Feb USA'!AI54</f>
        <v>64087.54</v>
      </c>
      <c r="W45" s="144">
        <f>'IS Feb KSA'!AJ54+'IS Feb USA'!AJ54</f>
        <v>41271.67</v>
      </c>
      <c r="X45" s="146"/>
      <c r="Y45" s="144">
        <v>29899.360000000001</v>
      </c>
      <c r="Z45" s="144">
        <v>259041.14</v>
      </c>
    </row>
    <row r="46" spans="1:26" outlineLevel="1">
      <c r="B46" s="157" t="s">
        <v>44</v>
      </c>
      <c r="C46" s="197">
        <f t="shared" si="3"/>
        <v>-19597.98</v>
      </c>
      <c r="D46" s="197">
        <f t="shared" si="18"/>
        <v>515.07000000000005</v>
      </c>
      <c r="E46" s="144">
        <f t="shared" si="19"/>
        <v>20113.05</v>
      </c>
      <c r="F46" s="197">
        <f t="shared" si="16"/>
        <v>0</v>
      </c>
      <c r="G46" s="144">
        <v>0</v>
      </c>
      <c r="H46" s="144">
        <f t="shared" si="11"/>
        <v>19597.98</v>
      </c>
      <c r="I46" s="144">
        <f>'IS Feb KSA'!V55+'IS Feb USA'!V55</f>
        <v>0</v>
      </c>
      <c r="J46" s="144">
        <f>'IS Feb KSA'!W55+'IS Feb USA'!W55</f>
        <v>19597.98</v>
      </c>
      <c r="K46" s="144">
        <f>'IS Feb KSA'!X55+'IS Feb USA'!X55</f>
        <v>0</v>
      </c>
      <c r="L46" s="144">
        <f t="shared" si="20"/>
        <v>0</v>
      </c>
      <c r="M46" s="144">
        <f>'IS Feb KSA'!Z55+'IS Feb USA'!Z55</f>
        <v>0</v>
      </c>
      <c r="N46" s="144">
        <f>'IS Feb KSA'!AA55+'IS Feb USA'!AA55</f>
        <v>0</v>
      </c>
      <c r="O46" s="144">
        <f>'IS Feb KSA'!AB55+'IS Feb USA'!AB55</f>
        <v>0</v>
      </c>
      <c r="P46" s="144">
        <f t="shared" si="21"/>
        <v>0</v>
      </c>
      <c r="Q46" s="144">
        <f>'IS Feb KSA'!AD55+'IS Feb USA'!AD55</f>
        <v>0</v>
      </c>
      <c r="R46" s="144">
        <f>'IS Feb KSA'!AE55+'IS Feb USA'!AE55</f>
        <v>0</v>
      </c>
      <c r="S46" s="144">
        <f>'IS Feb KSA'!AF55+'IS Feb USA'!AF55</f>
        <v>0</v>
      </c>
      <c r="T46" s="144">
        <f t="shared" si="22"/>
        <v>515.07000000000005</v>
      </c>
      <c r="U46" s="144">
        <f>'IS Feb KSA'!AH55+'IS Feb USA'!AH55</f>
        <v>0</v>
      </c>
      <c r="V46" s="144">
        <f>'IS Feb KSA'!AI55+'IS Feb USA'!AI55</f>
        <v>0</v>
      </c>
      <c r="W46" s="144">
        <f>'IS Feb KSA'!AJ55+'IS Feb USA'!AJ55</f>
        <v>515.07000000000005</v>
      </c>
      <c r="X46" s="146"/>
      <c r="Y46" s="144">
        <v>25888.14</v>
      </c>
      <c r="Z46" s="144">
        <v>218807.46000000002</v>
      </c>
    </row>
    <row r="47" spans="1:26" s="151" customFormat="1">
      <c r="A47" s="147"/>
      <c r="B47" s="148" t="s">
        <v>45</v>
      </c>
      <c r="C47" s="197">
        <f t="shared" si="3"/>
        <v>-1704759.7920028595</v>
      </c>
      <c r="D47" s="149">
        <f>SUM(D48:D50)</f>
        <v>204123.29799714033</v>
      </c>
      <c r="E47" s="149">
        <f>SUM(E48:E50)</f>
        <v>1908883.0899999999</v>
      </c>
      <c r="F47" s="197">
        <f t="shared" si="16"/>
        <v>-47252.692002859643</v>
      </c>
      <c r="G47" s="149">
        <f>SUM(G48:G50)</f>
        <v>31612.947997140342</v>
      </c>
      <c r="H47" s="149">
        <f t="shared" si="11"/>
        <v>504486.73000000004</v>
      </c>
      <c r="I47" s="149">
        <f>SUM(I48:I50)</f>
        <v>149025.19</v>
      </c>
      <c r="J47" s="149">
        <f>SUM(J48:J50)</f>
        <v>143699.21</v>
      </c>
      <c r="K47" s="149">
        <f>SUM(K48:K50)</f>
        <v>211762.33000000002</v>
      </c>
      <c r="L47" s="149">
        <f t="shared" ref="L47:V47" si="23">SUM(L48:L50)</f>
        <v>506410.89</v>
      </c>
      <c r="M47" s="149">
        <f t="shared" si="23"/>
        <v>179123.65</v>
      </c>
      <c r="N47" s="149">
        <f t="shared" si="23"/>
        <v>144346.14000000001</v>
      </c>
      <c r="O47" s="149">
        <f t="shared" si="23"/>
        <v>182941.1</v>
      </c>
      <c r="P47" s="149">
        <f t="shared" si="23"/>
        <v>646609.48</v>
      </c>
      <c r="Q47" s="149">
        <f t="shared" si="23"/>
        <v>225166.96999999997</v>
      </c>
      <c r="R47" s="149">
        <f t="shared" si="23"/>
        <v>161206.18</v>
      </c>
      <c r="S47" s="149">
        <f t="shared" si="23"/>
        <v>260236.33</v>
      </c>
      <c r="T47" s="149">
        <f t="shared" si="23"/>
        <v>251375.99</v>
      </c>
      <c r="U47" s="149">
        <f t="shared" si="23"/>
        <v>78865.639999999985</v>
      </c>
      <c r="V47" s="149">
        <f t="shared" si="23"/>
        <v>87766.58</v>
      </c>
      <c r="W47" s="149">
        <f>SUM(W48:W50)</f>
        <v>84743.76999999999</v>
      </c>
      <c r="X47" s="158"/>
      <c r="Y47" s="149">
        <f>SUM(Y48:Y50)</f>
        <v>241058.12</v>
      </c>
      <c r="Z47" s="149">
        <f>SUM(Z48:Z50)</f>
        <v>912663.56</v>
      </c>
    </row>
    <row r="48" spans="1:26" outlineLevel="1">
      <c r="B48" s="157" t="s">
        <v>46</v>
      </c>
      <c r="C48" s="197">
        <f t="shared" si="3"/>
        <v>-1303865.5390173309</v>
      </c>
      <c r="D48" s="197">
        <f t="shared" ref="D48:D50" si="24">V48+W48+G48</f>
        <v>132035.60098266901</v>
      </c>
      <c r="E48" s="144">
        <f t="shared" ref="E48:E50" si="25">L48+P48+H48+T48</f>
        <v>1435901.14</v>
      </c>
      <c r="F48" s="197">
        <f t="shared" si="16"/>
        <v>-58838.44901733099</v>
      </c>
      <c r="G48" s="144">
        <v>10364.900982669</v>
      </c>
      <c r="H48" s="144">
        <f t="shared" si="11"/>
        <v>353084.13</v>
      </c>
      <c r="I48" s="144">
        <f>'IS Feb KSA'!V57+'IS Feb USA'!V57</f>
        <v>121860.83</v>
      </c>
      <c r="J48" s="144">
        <f>'IS Feb KSA'!W57+'IS Feb USA'!W57</f>
        <v>121702.59</v>
      </c>
      <c r="K48" s="144">
        <f>'IS Feb KSA'!X57+'IS Feb USA'!X57</f>
        <v>109520.71</v>
      </c>
      <c r="L48" s="144">
        <f>M48+N48+O48</f>
        <v>396573.48</v>
      </c>
      <c r="M48" s="144">
        <f>'IS Feb KSA'!Z57+'IS Feb USA'!Z57</f>
        <v>148998.87</v>
      </c>
      <c r="N48" s="144">
        <f>'IS Feb KSA'!AA57+'IS Feb USA'!AA57</f>
        <v>112386.58</v>
      </c>
      <c r="O48" s="144">
        <f>'IS Feb KSA'!AB57+'IS Feb USA'!AB57</f>
        <v>135188.03</v>
      </c>
      <c r="P48" s="144">
        <f t="shared" ref="P48:P50" si="26">SUM(Q48:S48)</f>
        <v>495369.48</v>
      </c>
      <c r="Q48" s="144">
        <f>'IS Feb KSA'!AD57+'IS Feb USA'!AD57</f>
        <v>207175.65</v>
      </c>
      <c r="R48" s="144">
        <f>'IS Feb KSA'!AE57+'IS Feb USA'!AE57</f>
        <v>143190.72</v>
      </c>
      <c r="S48" s="144">
        <f>'IS Feb KSA'!AF57+'IS Feb USA'!AF57</f>
        <v>145003.10999999999</v>
      </c>
      <c r="T48" s="144">
        <f>SUM(U48:W48)</f>
        <v>190874.05</v>
      </c>
      <c r="U48" s="144">
        <f>'IS Feb KSA'!AH57+'IS Feb USA'!AH57</f>
        <v>69203.349999999991</v>
      </c>
      <c r="V48" s="144">
        <f>'IS Feb KSA'!AI57+'IS Feb USA'!AI57</f>
        <v>62514.490000000005</v>
      </c>
      <c r="W48" s="144">
        <f>'IS Feb KSA'!AJ57+'IS Feb USA'!AJ57</f>
        <v>59156.21</v>
      </c>
      <c r="X48" s="146"/>
      <c r="Y48" s="144">
        <v>74891.990000000005</v>
      </c>
      <c r="Z48" s="144">
        <v>515896.62999999995</v>
      </c>
    </row>
    <row r="49" spans="1:27" outlineLevel="1">
      <c r="B49" s="157" t="s">
        <v>47</v>
      </c>
      <c r="C49" s="197">
        <f t="shared" si="3"/>
        <v>-30304.564754332761</v>
      </c>
      <c r="D49" s="197">
        <f t="shared" si="24"/>
        <v>11519.33524566724</v>
      </c>
      <c r="E49" s="144">
        <f t="shared" si="25"/>
        <v>41823.9</v>
      </c>
      <c r="F49" s="197">
        <f t="shared" si="16"/>
        <v>2589.47524566724</v>
      </c>
      <c r="G49" s="144">
        <v>2591.22524566724</v>
      </c>
      <c r="H49" s="144">
        <f t="shared" si="11"/>
        <v>10637.73</v>
      </c>
      <c r="I49" s="144">
        <f>'IS Feb KSA'!V58+'IS Feb USA'!V58</f>
        <v>5721.07</v>
      </c>
      <c r="J49" s="144">
        <f>'IS Feb KSA'!W58+'IS Feb USA'!W58</f>
        <v>1248.33</v>
      </c>
      <c r="K49" s="144">
        <f>'IS Feb KSA'!X58+'IS Feb USA'!X58</f>
        <v>3668.33</v>
      </c>
      <c r="L49" s="144">
        <f>M49+N49+O49</f>
        <v>15157.83</v>
      </c>
      <c r="M49" s="144">
        <f>'IS Feb KSA'!Z58+'IS Feb USA'!Z58</f>
        <v>4867.83</v>
      </c>
      <c r="N49" s="144">
        <f>'IS Feb KSA'!AA58+'IS Feb USA'!AA58</f>
        <v>9540.5</v>
      </c>
      <c r="O49" s="144">
        <f>'IS Feb KSA'!AB58+'IS Feb USA'!AB58</f>
        <v>749.5</v>
      </c>
      <c r="P49" s="144">
        <f t="shared" si="26"/>
        <v>7098.4800000000005</v>
      </c>
      <c r="Q49" s="144">
        <f>'IS Feb KSA'!AD58+'IS Feb USA'!AD58</f>
        <v>4157.18</v>
      </c>
      <c r="R49" s="144">
        <f>'IS Feb KSA'!AE58+'IS Feb USA'!AE58</f>
        <v>2591.3000000000002</v>
      </c>
      <c r="S49" s="144">
        <f>'IS Feb KSA'!AF58+'IS Feb USA'!AF58</f>
        <v>350</v>
      </c>
      <c r="T49" s="144">
        <f>SUM(U49:W49)</f>
        <v>8929.86</v>
      </c>
      <c r="U49" s="144">
        <f>'IS Feb KSA'!AH58+'IS Feb USA'!AH58</f>
        <v>1.75</v>
      </c>
      <c r="V49" s="144">
        <f>'IS Feb KSA'!AI58+'IS Feb USA'!AI58</f>
        <v>6296.36</v>
      </c>
      <c r="W49" s="144">
        <f>'IS Feb KSA'!AJ58+'IS Feb USA'!AJ58</f>
        <v>2631.75</v>
      </c>
      <c r="X49" s="146"/>
      <c r="Y49" s="144">
        <v>1332.26</v>
      </c>
      <c r="Z49" s="144">
        <v>29073.829999999998</v>
      </c>
    </row>
    <row r="50" spans="1:27" outlineLevel="1">
      <c r="B50" s="157" t="s">
        <v>48</v>
      </c>
      <c r="C50" s="197">
        <f t="shared" si="3"/>
        <v>-370589.68823119591</v>
      </c>
      <c r="D50" s="197">
        <f t="shared" si="24"/>
        <v>60568.361768804098</v>
      </c>
      <c r="E50" s="144">
        <f t="shared" si="25"/>
        <v>431158.05</v>
      </c>
      <c r="F50" s="197">
        <f t="shared" si="16"/>
        <v>8996.2817688040996</v>
      </c>
      <c r="G50" s="144">
        <v>18656.8217688041</v>
      </c>
      <c r="H50" s="144">
        <f t="shared" si="11"/>
        <v>140764.87</v>
      </c>
      <c r="I50" s="144">
        <f>'IS Feb KSA'!V59+'IS Feb USA'!V59</f>
        <v>21443.29</v>
      </c>
      <c r="J50" s="144">
        <f>'IS Feb KSA'!W59+'IS Feb USA'!W59</f>
        <v>20748.29</v>
      </c>
      <c r="K50" s="144">
        <f>'IS Feb KSA'!X59+'IS Feb USA'!X59</f>
        <v>98573.29</v>
      </c>
      <c r="L50" s="144">
        <f>M50+N50+O50</f>
        <v>94679.58</v>
      </c>
      <c r="M50" s="144">
        <f>'IS Feb KSA'!Z59+'IS Feb USA'!Z59</f>
        <v>25256.95</v>
      </c>
      <c r="N50" s="144">
        <f>'IS Feb KSA'!AA59+'IS Feb USA'!AA59</f>
        <v>22419.06</v>
      </c>
      <c r="O50" s="144">
        <f>'IS Feb KSA'!AB59+'IS Feb USA'!AB59</f>
        <v>47003.57</v>
      </c>
      <c r="P50" s="144">
        <f t="shared" si="26"/>
        <v>144141.51999999999</v>
      </c>
      <c r="Q50" s="144">
        <f>'IS Feb KSA'!AD59+'IS Feb USA'!AD59</f>
        <v>13834.14</v>
      </c>
      <c r="R50" s="144">
        <f>'IS Feb KSA'!AE59+'IS Feb USA'!AE59</f>
        <v>15424.16</v>
      </c>
      <c r="S50" s="144">
        <f>'IS Feb KSA'!AF59+'IS Feb USA'!AF59</f>
        <v>114883.22</v>
      </c>
      <c r="T50" s="144">
        <f>SUM(U50:W50)</f>
        <v>51572.08</v>
      </c>
      <c r="U50" s="144">
        <f>'IS Feb KSA'!AH59+'IS Feb USA'!AH59</f>
        <v>9660.5400000000009</v>
      </c>
      <c r="V50" s="144">
        <f>'IS Feb KSA'!AI59+'IS Feb USA'!AI59</f>
        <v>18955.73</v>
      </c>
      <c r="W50" s="144">
        <f>'IS Feb KSA'!AJ59+'IS Feb USA'!AJ59</f>
        <v>22955.809999999998</v>
      </c>
      <c r="X50" s="146"/>
      <c r="Y50" s="144">
        <v>164833.87</v>
      </c>
      <c r="Z50" s="144">
        <v>367693.10000000003</v>
      </c>
    </row>
    <row r="51" spans="1:27" s="151" customFormat="1">
      <c r="A51" s="147"/>
      <c r="B51" s="148" t="s">
        <v>49</v>
      </c>
      <c r="C51" s="197">
        <f t="shared" si="3"/>
        <v>-59552.793333333328</v>
      </c>
      <c r="D51" s="149">
        <f>SUM(D52:D54)</f>
        <v>41889.706666666672</v>
      </c>
      <c r="E51" s="149">
        <f>SUM(E52:E54)</f>
        <v>101442.5</v>
      </c>
      <c r="F51" s="197">
        <f t="shared" si="16"/>
        <v>19321.726666666669</v>
      </c>
      <c r="G51" s="149">
        <f>SUM(G52:G54)</f>
        <v>26666.666666666672</v>
      </c>
      <c r="H51" s="149">
        <f t="shared" ref="H51:H74" si="27">SUM(I51:K51)</f>
        <v>31158.12</v>
      </c>
      <c r="I51" s="149">
        <f>SUM(I52:I54)</f>
        <v>10990.81</v>
      </c>
      <c r="J51" s="149">
        <f>SUM(J52:J54)</f>
        <v>10711.83</v>
      </c>
      <c r="K51" s="149">
        <f>SUM(K52:K54)</f>
        <v>9455.48</v>
      </c>
      <c r="L51" s="149">
        <f t="shared" ref="L51:V51" si="28">SUM(L52:L54)</f>
        <v>24247.23</v>
      </c>
      <c r="M51" s="149">
        <f t="shared" si="28"/>
        <v>8497.2199999999993</v>
      </c>
      <c r="N51" s="149">
        <f t="shared" si="28"/>
        <v>8215.91</v>
      </c>
      <c r="O51" s="149">
        <f t="shared" si="28"/>
        <v>7534.1</v>
      </c>
      <c r="P51" s="149">
        <f t="shared" si="28"/>
        <v>23469.17</v>
      </c>
      <c r="Q51" s="149">
        <f t="shared" si="28"/>
        <v>7870.34</v>
      </c>
      <c r="R51" s="149">
        <f t="shared" si="28"/>
        <v>7497.24</v>
      </c>
      <c r="S51" s="149">
        <f t="shared" si="28"/>
        <v>8101.59</v>
      </c>
      <c r="T51" s="149">
        <f t="shared" si="28"/>
        <v>22567.98</v>
      </c>
      <c r="U51" s="149">
        <f t="shared" si="28"/>
        <v>7344.9400000000005</v>
      </c>
      <c r="V51" s="149">
        <f t="shared" si="28"/>
        <v>7611.62</v>
      </c>
      <c r="W51" s="149">
        <f>SUM(W52:W54)</f>
        <v>7611.42</v>
      </c>
      <c r="X51" s="158"/>
      <c r="Y51" s="149">
        <f>SUM(Y52:Y54)</f>
        <v>8478.56</v>
      </c>
      <c r="Z51" s="149">
        <f>SUM(Z52:Z54)</f>
        <v>88776.89</v>
      </c>
    </row>
    <row r="52" spans="1:27" outlineLevel="1">
      <c r="B52" s="157" t="s">
        <v>50</v>
      </c>
      <c r="C52" s="197">
        <f t="shared" si="3"/>
        <v>-12000.703333333331</v>
      </c>
      <c r="D52" s="197">
        <f t="shared" ref="D52:D54" si="29">V52+W52+G52</f>
        <v>6962.2666666666701</v>
      </c>
      <c r="E52" s="144">
        <f t="shared" ref="E52:E54" si="30">L52+P52+H52+T52</f>
        <v>18962.97</v>
      </c>
      <c r="F52" s="197">
        <f t="shared" si="16"/>
        <v>2629.9766666666696</v>
      </c>
      <c r="G52" s="144">
        <v>4166.6666666666697</v>
      </c>
      <c r="H52" s="144">
        <f t="shared" si="27"/>
        <v>5414.88</v>
      </c>
      <c r="I52" s="144">
        <f>'IS Feb KSA'!V61+'IS Feb USA'!V61</f>
        <v>1804.96</v>
      </c>
      <c r="J52" s="144">
        <f>'IS Feb KSA'!W61+'IS Feb USA'!W61</f>
        <v>1804.96</v>
      </c>
      <c r="K52" s="144">
        <f>'IS Feb KSA'!X61+'IS Feb USA'!X61</f>
        <v>1804.96</v>
      </c>
      <c r="L52" s="144">
        <f>M52+N52+O52</f>
        <v>4605.7299999999996</v>
      </c>
      <c r="M52" s="144">
        <f>'IS Feb KSA'!Z61+'IS Feb USA'!Z61</f>
        <v>1525.8</v>
      </c>
      <c r="N52" s="144">
        <f>'IS Feb KSA'!AA61+'IS Feb USA'!AA61</f>
        <v>1543.24</v>
      </c>
      <c r="O52" s="144">
        <f>'IS Feb KSA'!AB61+'IS Feb USA'!AB61</f>
        <v>1536.69</v>
      </c>
      <c r="P52" s="144">
        <f t="shared" ref="P52:P54" si="31">SUM(Q52:S52)</f>
        <v>4610.07</v>
      </c>
      <c r="Q52" s="144">
        <f>'IS Feb KSA'!AD61+'IS Feb USA'!AD61</f>
        <v>1536.69</v>
      </c>
      <c r="R52" s="144">
        <f>'IS Feb KSA'!AE61+'IS Feb USA'!AE61</f>
        <v>1536.69</v>
      </c>
      <c r="S52" s="144">
        <f>'IS Feb KSA'!AF61+'IS Feb USA'!AF61</f>
        <v>1536.69</v>
      </c>
      <c r="T52" s="144">
        <f>SUM(U52:W52)</f>
        <v>4332.29</v>
      </c>
      <c r="U52" s="144">
        <f>'IS Feb KSA'!AH61+'IS Feb USA'!AH61</f>
        <v>1536.69</v>
      </c>
      <c r="V52" s="144">
        <f>'IS Feb KSA'!AI61+'IS Feb USA'!AI61</f>
        <v>1397.8</v>
      </c>
      <c r="W52" s="144">
        <f>'IS Feb KSA'!AJ61+'IS Feb USA'!AJ61</f>
        <v>1397.8</v>
      </c>
      <c r="X52" s="146"/>
      <c r="Y52" s="144">
        <v>1314.47</v>
      </c>
      <c r="Z52" s="144">
        <v>15221.759999999998</v>
      </c>
    </row>
    <row r="53" spans="1:27" outlineLevel="1">
      <c r="B53" s="157" t="s">
        <v>51</v>
      </c>
      <c r="C53" s="197">
        <f t="shared" si="3"/>
        <v>-5536.2000000000007</v>
      </c>
      <c r="D53" s="197">
        <f t="shared" si="29"/>
        <v>4107.24</v>
      </c>
      <c r="E53" s="144">
        <f t="shared" si="30"/>
        <v>9643.44</v>
      </c>
      <c r="F53" s="197">
        <f t="shared" si="16"/>
        <v>1696.38</v>
      </c>
      <c r="G53" s="144">
        <v>2500</v>
      </c>
      <c r="H53" s="144">
        <f t="shared" si="27"/>
        <v>2410.86</v>
      </c>
      <c r="I53" s="144">
        <f>'IS Feb KSA'!V62+'IS Feb USA'!V62</f>
        <v>803.62</v>
      </c>
      <c r="J53" s="144">
        <f>'IS Feb KSA'!W62+'IS Feb USA'!W62</f>
        <v>803.62</v>
      </c>
      <c r="K53" s="144">
        <f>'IS Feb KSA'!X62+'IS Feb USA'!X62</f>
        <v>803.62</v>
      </c>
      <c r="L53" s="144">
        <f>M53+N53+O53</f>
        <v>2410.86</v>
      </c>
      <c r="M53" s="144">
        <f>'IS Feb KSA'!Z62+'IS Feb USA'!Z62</f>
        <v>803.62</v>
      </c>
      <c r="N53" s="144">
        <f>'IS Feb KSA'!AA62+'IS Feb USA'!AA62</f>
        <v>803.62</v>
      </c>
      <c r="O53" s="144">
        <f>'IS Feb KSA'!AB62+'IS Feb USA'!AB62</f>
        <v>803.62</v>
      </c>
      <c r="P53" s="144">
        <f t="shared" si="31"/>
        <v>2410.86</v>
      </c>
      <c r="Q53" s="144">
        <f>'IS Feb KSA'!AD62+'IS Feb USA'!AD62</f>
        <v>803.62</v>
      </c>
      <c r="R53" s="144">
        <f>'IS Feb KSA'!AE62+'IS Feb USA'!AE62</f>
        <v>803.62</v>
      </c>
      <c r="S53" s="144">
        <f>'IS Feb KSA'!AF62+'IS Feb USA'!AF62</f>
        <v>803.62</v>
      </c>
      <c r="T53" s="144">
        <f>SUM(U53:W53)</f>
        <v>2410.86</v>
      </c>
      <c r="U53" s="144">
        <f>'IS Feb KSA'!AH62+'IS Feb USA'!AH62</f>
        <v>803.62</v>
      </c>
      <c r="V53" s="144">
        <f>'IS Feb KSA'!AI62+'IS Feb USA'!AI62</f>
        <v>803.62</v>
      </c>
      <c r="W53" s="144">
        <f>'IS Feb KSA'!AJ62+'IS Feb USA'!AJ62</f>
        <v>803.62</v>
      </c>
      <c r="X53" s="146"/>
      <c r="Y53" s="144">
        <v>1679.85</v>
      </c>
      <c r="Z53" s="144">
        <v>14526.77</v>
      </c>
    </row>
    <row r="54" spans="1:27" outlineLevel="1">
      <c r="B54" s="157" t="s">
        <v>52</v>
      </c>
      <c r="C54" s="197">
        <f t="shared" si="3"/>
        <v>-42015.89</v>
      </c>
      <c r="D54" s="197">
        <f t="shared" si="29"/>
        <v>30820.2</v>
      </c>
      <c r="E54" s="144">
        <f t="shared" si="30"/>
        <v>72836.09</v>
      </c>
      <c r="F54" s="197">
        <f t="shared" si="16"/>
        <v>14995.369999999999</v>
      </c>
      <c r="G54" s="144">
        <v>20000</v>
      </c>
      <c r="H54" s="144">
        <f t="shared" si="27"/>
        <v>23332.379999999997</v>
      </c>
      <c r="I54" s="144">
        <f>'IS Feb KSA'!V64+'IS Feb USA'!V64</f>
        <v>8382.23</v>
      </c>
      <c r="J54" s="144">
        <f>'IS Feb KSA'!W64+'IS Feb USA'!W64</f>
        <v>8103.25</v>
      </c>
      <c r="K54" s="144">
        <f>'IS Feb KSA'!X64+'IS Feb USA'!X64</f>
        <v>6846.9</v>
      </c>
      <c r="L54" s="144">
        <f>M54+N54+O54</f>
        <v>17230.64</v>
      </c>
      <c r="M54" s="144">
        <f>'IS Feb KSA'!Z64+'IS Feb USA'!Z64</f>
        <v>6167.7999999999993</v>
      </c>
      <c r="N54" s="144">
        <f>'IS Feb KSA'!AA64+'IS Feb USA'!AA64</f>
        <v>5869.0499999999993</v>
      </c>
      <c r="O54" s="144">
        <f>'IS Feb KSA'!AB64+'IS Feb USA'!AB64</f>
        <v>5193.79</v>
      </c>
      <c r="P54" s="144">
        <f t="shared" si="31"/>
        <v>16448.239999999998</v>
      </c>
      <c r="Q54" s="144">
        <f>'IS Feb KSA'!AD64+'IS Feb USA'!AD64</f>
        <v>5530.03</v>
      </c>
      <c r="R54" s="144">
        <f>'IS Feb KSA'!AE64+'IS Feb USA'!AE64</f>
        <v>5156.9299999999994</v>
      </c>
      <c r="S54" s="144">
        <f>'IS Feb KSA'!AF64+'IS Feb USA'!AF64</f>
        <v>5761.28</v>
      </c>
      <c r="T54" s="144">
        <f>SUM(U54:W54)</f>
        <v>15824.83</v>
      </c>
      <c r="U54" s="144">
        <f>'IS Feb KSA'!AH64+'IS Feb USA'!AH64</f>
        <v>5004.63</v>
      </c>
      <c r="V54" s="144">
        <f>'IS Feb KSA'!AI64+'IS Feb USA'!AI64</f>
        <v>5410.2</v>
      </c>
      <c r="W54" s="144">
        <f>'IS Feb KSA'!AJ64+'IS Feb USA'!AJ64</f>
        <v>5410</v>
      </c>
      <c r="X54" s="146"/>
      <c r="Y54" s="144">
        <v>5484.24</v>
      </c>
      <c r="Z54" s="144">
        <v>59028.36</v>
      </c>
    </row>
    <row r="55" spans="1:27" s="151" customFormat="1">
      <c r="A55" s="147"/>
      <c r="B55" s="148" t="s">
        <v>53</v>
      </c>
      <c r="C55" s="197">
        <f t="shared" si="3"/>
        <v>-6956337.342106929</v>
      </c>
      <c r="D55" s="149">
        <f>SUM(D56:D73)</f>
        <v>2039058.8678930679</v>
      </c>
      <c r="E55" s="149">
        <f>SUM(E56:E73)</f>
        <v>8995396.2099999972</v>
      </c>
      <c r="F55" s="197">
        <f t="shared" si="16"/>
        <v>225631.81789306772</v>
      </c>
      <c r="G55" s="149">
        <f>SUM(G56:G73)</f>
        <v>843901.3078930676</v>
      </c>
      <c r="H55" s="149">
        <f t="shared" si="27"/>
        <v>3010657.0300000003</v>
      </c>
      <c r="I55" s="149">
        <f>SUM(I56:I73)</f>
        <v>1109836.01</v>
      </c>
      <c r="J55" s="149">
        <f>SUM(J56:J73)</f>
        <v>856427.73</v>
      </c>
      <c r="K55" s="149">
        <f>SUM(K56:K73)</f>
        <v>1044393.29</v>
      </c>
      <c r="L55" s="149">
        <f t="shared" ref="L55:W55" si="32">SUM(L56:L73)</f>
        <v>2286905.67</v>
      </c>
      <c r="M55" s="149">
        <f t="shared" si="32"/>
        <v>746243.34</v>
      </c>
      <c r="N55" s="149">
        <f t="shared" si="32"/>
        <v>806074.20000000007</v>
      </c>
      <c r="O55" s="149">
        <f t="shared" si="32"/>
        <v>734588.13</v>
      </c>
      <c r="P55" s="149">
        <f t="shared" si="32"/>
        <v>1884406.46</v>
      </c>
      <c r="Q55" s="149">
        <f t="shared" si="32"/>
        <v>729141.29</v>
      </c>
      <c r="R55" s="149">
        <f t="shared" si="32"/>
        <v>657552.26</v>
      </c>
      <c r="S55" s="149">
        <f t="shared" si="32"/>
        <v>497712.91000000003</v>
      </c>
      <c r="T55" s="149">
        <f t="shared" si="32"/>
        <v>1813427.05</v>
      </c>
      <c r="U55" s="149">
        <f t="shared" si="32"/>
        <v>618269.48999999987</v>
      </c>
      <c r="V55" s="149">
        <f t="shared" si="32"/>
        <v>560118.13</v>
      </c>
      <c r="W55" s="149">
        <f t="shared" si="32"/>
        <v>635039.42999999993</v>
      </c>
      <c r="X55" s="150"/>
      <c r="Y55" s="149">
        <f>SUM(Y56:Y73)</f>
        <v>715590.12999999989</v>
      </c>
      <c r="Z55" s="149">
        <f>SUM(Z56:Z73)</f>
        <v>5782386.1699999999</v>
      </c>
      <c r="AA55" s="156"/>
    </row>
    <row r="56" spans="1:27" outlineLevel="1">
      <c r="B56" s="157" t="s">
        <v>54</v>
      </c>
      <c r="C56" s="197">
        <f t="shared" si="3"/>
        <v>-184704.94222222222</v>
      </c>
      <c r="D56" s="197">
        <f t="shared" ref="D56:D73" si="33">V56+W56+G56</f>
        <v>71724.007777777791</v>
      </c>
      <c r="E56" s="144">
        <f t="shared" ref="E56:E73" si="34">L56+P56+H56+T56</f>
        <v>256428.95</v>
      </c>
      <c r="F56" s="197">
        <f t="shared" si="16"/>
        <v>8403.4377777777991</v>
      </c>
      <c r="G56" s="144">
        <v>30777.777777777799</v>
      </c>
      <c r="H56" s="144">
        <f t="shared" si="27"/>
        <v>91806.13</v>
      </c>
      <c r="I56" s="144">
        <f>'IS Feb KSA'!V66+'IS Feb USA'!V66</f>
        <v>34523.53</v>
      </c>
      <c r="J56" s="144">
        <f>'IS Feb KSA'!W66+'IS Feb USA'!W66</f>
        <v>29305.200000000001</v>
      </c>
      <c r="K56" s="144">
        <f>'IS Feb KSA'!X66+'IS Feb USA'!X66</f>
        <v>27977.4</v>
      </c>
      <c r="L56" s="144">
        <f t="shared" ref="L56:L73" si="35">M56+N56+O56</f>
        <v>78013.47</v>
      </c>
      <c r="M56" s="144">
        <f>'IS Feb KSA'!Z66+'IS Feb USA'!Z66</f>
        <v>28052.400000000001</v>
      </c>
      <c r="N56" s="144">
        <f>'IS Feb KSA'!AA66+'IS Feb USA'!AA66</f>
        <v>26999.25</v>
      </c>
      <c r="O56" s="144">
        <f>'IS Feb KSA'!AB66+'IS Feb USA'!AB66</f>
        <v>22961.82</v>
      </c>
      <c r="P56" s="144">
        <f t="shared" ref="P56:P73" si="36">SUM(Q56:S56)</f>
        <v>23288.780000000002</v>
      </c>
      <c r="Q56" s="144">
        <f>'IS Feb KSA'!AD66+'IS Feb USA'!AD66</f>
        <v>21986.19</v>
      </c>
      <c r="R56" s="144">
        <f>'IS Feb KSA'!AE66+'IS Feb USA'!AE66</f>
        <v>21437.72</v>
      </c>
      <c r="S56" s="144">
        <f>'IS Feb KSA'!AF66+'IS Feb USA'!AF66</f>
        <v>-20135.13</v>
      </c>
      <c r="T56" s="144">
        <f t="shared" ref="T56:T73" si="37">SUM(U56:W56)</f>
        <v>63320.570000000007</v>
      </c>
      <c r="U56" s="144">
        <f>'IS Feb KSA'!AH66+'IS Feb USA'!AH66</f>
        <v>22374.34</v>
      </c>
      <c r="V56" s="144">
        <f>'IS Feb KSA'!AI66+'IS Feb USA'!AI66</f>
        <v>20878.79</v>
      </c>
      <c r="W56" s="144">
        <f>'IS Feb KSA'!AJ66+'IS Feb USA'!AJ66</f>
        <v>20067.439999999999</v>
      </c>
      <c r="X56" s="146"/>
      <c r="Y56" s="144">
        <v>19139.830000000002</v>
      </c>
      <c r="Z56" s="144">
        <v>155647.64000000001</v>
      </c>
    </row>
    <row r="57" spans="1:27" outlineLevel="1">
      <c r="B57" s="157" t="s">
        <v>56</v>
      </c>
      <c r="C57" s="197">
        <f t="shared" si="3"/>
        <v>-291148.06</v>
      </c>
      <c r="D57" s="197">
        <f t="shared" si="33"/>
        <v>9257.48</v>
      </c>
      <c r="E57" s="144">
        <f t="shared" si="34"/>
        <v>300405.53999999998</v>
      </c>
      <c r="F57" s="197">
        <f t="shared" si="16"/>
        <v>2766.11</v>
      </c>
      <c r="G57" s="144">
        <v>5937.5</v>
      </c>
      <c r="H57" s="144">
        <f t="shared" si="27"/>
        <v>293914.17</v>
      </c>
      <c r="I57" s="144">
        <f>'IS Feb KSA'!V68+'IS Feb USA'!V68</f>
        <v>262912.5</v>
      </c>
      <c r="J57" s="144">
        <f>'IS Feb KSA'!W68+'IS Feb USA'!W68</f>
        <v>31001.67</v>
      </c>
      <c r="K57" s="144">
        <f>'IS Feb KSA'!X68+'IS Feb USA'!X68</f>
        <v>0</v>
      </c>
      <c r="L57" s="144">
        <f t="shared" si="35"/>
        <v>0</v>
      </c>
      <c r="M57" s="144">
        <f>'IS Feb KSA'!Z68+'IS Feb USA'!Z68</f>
        <v>0</v>
      </c>
      <c r="N57" s="144">
        <f>'IS Feb KSA'!AA68+'IS Feb USA'!AA68</f>
        <v>0</v>
      </c>
      <c r="O57" s="144">
        <f>'IS Feb KSA'!AB68+'IS Feb USA'!AB68</f>
        <v>0</v>
      </c>
      <c r="P57" s="144">
        <f t="shared" si="36"/>
        <v>0</v>
      </c>
      <c r="Q57" s="144">
        <f>'IS Feb KSA'!AD68+'IS Feb USA'!AD68</f>
        <v>0</v>
      </c>
      <c r="R57" s="144">
        <f>'IS Feb KSA'!AE68+'IS Feb USA'!AE68</f>
        <v>0</v>
      </c>
      <c r="S57" s="144">
        <f>'IS Feb KSA'!AF68+'IS Feb USA'!AF68</f>
        <v>0</v>
      </c>
      <c r="T57" s="144">
        <f t="shared" si="37"/>
        <v>6491.37</v>
      </c>
      <c r="U57" s="144">
        <f>'IS Feb KSA'!AH68+'IS Feb USA'!AH68</f>
        <v>3171.39</v>
      </c>
      <c r="V57" s="144">
        <f>'IS Feb KSA'!AI68+'IS Feb USA'!AI68</f>
        <v>1749.98</v>
      </c>
      <c r="W57" s="144">
        <f>'IS Feb KSA'!AJ68+'IS Feb USA'!AJ68</f>
        <v>1570</v>
      </c>
      <c r="X57" s="146"/>
      <c r="Y57" s="144">
        <v>47874.96</v>
      </c>
      <c r="Z57" s="144">
        <v>71427.81</v>
      </c>
    </row>
    <row r="58" spans="1:27" outlineLevel="1">
      <c r="B58" s="157" t="s">
        <v>57</v>
      </c>
      <c r="C58" s="197">
        <f t="shared" si="3"/>
        <v>-36187.5</v>
      </c>
      <c r="D58" s="197">
        <f t="shared" si="33"/>
        <v>5000</v>
      </c>
      <c r="E58" s="144">
        <f t="shared" si="34"/>
        <v>41187.5</v>
      </c>
      <c r="F58" s="197">
        <f t="shared" si="16"/>
        <v>1500</v>
      </c>
      <c r="G58" s="144">
        <v>1500</v>
      </c>
      <c r="H58" s="144">
        <f t="shared" si="27"/>
        <v>17000</v>
      </c>
      <c r="I58" s="144">
        <f>'IS Feb KSA'!V69+'IS Feb USA'!V69</f>
        <v>0</v>
      </c>
      <c r="J58" s="144">
        <f>'IS Feb KSA'!W69+'IS Feb USA'!W69</f>
        <v>2500</v>
      </c>
      <c r="K58" s="144">
        <f>'IS Feb KSA'!X69+'IS Feb USA'!X69</f>
        <v>14500</v>
      </c>
      <c r="L58" s="144">
        <f t="shared" si="35"/>
        <v>3500</v>
      </c>
      <c r="M58" s="144">
        <f>'IS Feb KSA'!Z69+'IS Feb USA'!Z69</f>
        <v>0</v>
      </c>
      <c r="N58" s="144">
        <f>'IS Feb KSA'!AA69+'IS Feb USA'!AA69</f>
        <v>3500</v>
      </c>
      <c r="O58" s="144">
        <f>'IS Feb KSA'!AB69+'IS Feb USA'!AB69</f>
        <v>0</v>
      </c>
      <c r="P58" s="144">
        <f t="shared" si="36"/>
        <v>17187.5</v>
      </c>
      <c r="Q58" s="144">
        <f>'IS Feb KSA'!AD69+'IS Feb USA'!AD69</f>
        <v>17187.5</v>
      </c>
      <c r="R58" s="144">
        <f>'IS Feb KSA'!AE69+'IS Feb USA'!AE69</f>
        <v>0</v>
      </c>
      <c r="S58" s="144">
        <f>'IS Feb KSA'!AF69+'IS Feb USA'!AF69</f>
        <v>0</v>
      </c>
      <c r="T58" s="144">
        <f t="shared" si="37"/>
        <v>3500</v>
      </c>
      <c r="U58" s="144">
        <f>'IS Feb KSA'!AH69+'IS Feb USA'!AH69</f>
        <v>0</v>
      </c>
      <c r="V58" s="144">
        <f>'IS Feb KSA'!AI69+'IS Feb USA'!AI69</f>
        <v>3500</v>
      </c>
      <c r="W58" s="144">
        <f>'IS Feb KSA'!AJ69+'IS Feb USA'!AJ69</f>
        <v>0</v>
      </c>
      <c r="X58" s="146"/>
      <c r="Y58" s="144">
        <v>0</v>
      </c>
      <c r="Z58" s="144">
        <v>13059.86</v>
      </c>
    </row>
    <row r="59" spans="1:27" outlineLevel="1">
      <c r="B59" s="157" t="s">
        <v>58</v>
      </c>
      <c r="C59" s="197">
        <f t="shared" si="3"/>
        <v>-23959.68</v>
      </c>
      <c r="D59" s="197">
        <f t="shared" si="33"/>
        <v>16750</v>
      </c>
      <c r="E59" s="144">
        <f t="shared" si="34"/>
        <v>40709.68</v>
      </c>
      <c r="F59" s="197">
        <f t="shared" si="16"/>
        <v>9750</v>
      </c>
      <c r="G59" s="144">
        <v>9750</v>
      </c>
      <c r="H59" s="144">
        <f t="shared" si="27"/>
        <v>11209.68</v>
      </c>
      <c r="I59" s="144">
        <f>'IS Feb KSA'!V70+'IS Feb USA'!V70</f>
        <v>3500</v>
      </c>
      <c r="J59" s="144">
        <f>'IS Feb KSA'!W70+'IS Feb USA'!W70</f>
        <v>4000</v>
      </c>
      <c r="K59" s="144">
        <f>'IS Feb KSA'!X70+'IS Feb USA'!X70</f>
        <v>3709.68</v>
      </c>
      <c r="L59" s="144">
        <f t="shared" si="35"/>
        <v>10500</v>
      </c>
      <c r="M59" s="144">
        <f>'IS Feb KSA'!Z70+'IS Feb USA'!Z70</f>
        <v>3500</v>
      </c>
      <c r="N59" s="144">
        <f>'IS Feb KSA'!AA70+'IS Feb USA'!AA70</f>
        <v>4000</v>
      </c>
      <c r="O59" s="144">
        <f>'IS Feb KSA'!AB70+'IS Feb USA'!AB70</f>
        <v>3000</v>
      </c>
      <c r="P59" s="144">
        <f t="shared" si="36"/>
        <v>12000</v>
      </c>
      <c r="Q59" s="144">
        <f>'IS Feb KSA'!AD70+'IS Feb USA'!AD70</f>
        <v>6000</v>
      </c>
      <c r="R59" s="144">
        <f>'IS Feb KSA'!AE70+'IS Feb USA'!AE70</f>
        <v>3000</v>
      </c>
      <c r="S59" s="144">
        <f>'IS Feb KSA'!AF70+'IS Feb USA'!AF70</f>
        <v>3000</v>
      </c>
      <c r="T59" s="144">
        <f t="shared" si="37"/>
        <v>7000</v>
      </c>
      <c r="U59" s="144">
        <f>'IS Feb KSA'!AH70+'IS Feb USA'!AH70</f>
        <v>0</v>
      </c>
      <c r="V59" s="144">
        <f>'IS Feb KSA'!AI70+'IS Feb USA'!AI70</f>
        <v>7000</v>
      </c>
      <c r="W59" s="144">
        <f>'IS Feb KSA'!AJ70+'IS Feb USA'!AJ70</f>
        <v>0</v>
      </c>
      <c r="X59" s="146"/>
      <c r="Y59" s="144">
        <v>9000</v>
      </c>
      <c r="Z59" s="144">
        <v>50915.87</v>
      </c>
    </row>
    <row r="60" spans="1:27" outlineLevel="1">
      <c r="B60" s="157" t="s">
        <v>59</v>
      </c>
      <c r="C60" s="197">
        <f t="shared" si="3"/>
        <v>-9900</v>
      </c>
      <c r="D60" s="197">
        <f t="shared" si="33"/>
        <v>11680</v>
      </c>
      <c r="E60" s="144">
        <f t="shared" si="34"/>
        <v>21580</v>
      </c>
      <c r="F60" s="197">
        <f t="shared" si="16"/>
        <v>-1800</v>
      </c>
      <c r="G60" s="144">
        <v>0</v>
      </c>
      <c r="H60" s="144">
        <f t="shared" si="27"/>
        <v>7500</v>
      </c>
      <c r="I60" s="144">
        <f>'IS Feb KSA'!V71+'IS Feb USA'!V71</f>
        <v>300</v>
      </c>
      <c r="J60" s="144">
        <f>'IS Feb KSA'!W71+'IS Feb USA'!W71</f>
        <v>3000</v>
      </c>
      <c r="K60" s="144">
        <f>'IS Feb KSA'!X71+'IS Feb USA'!X71</f>
        <v>4200</v>
      </c>
      <c r="L60" s="144">
        <f t="shared" si="35"/>
        <v>0</v>
      </c>
      <c r="M60" s="144">
        <f>'IS Feb KSA'!Z71+'IS Feb USA'!Z71</f>
        <v>0</v>
      </c>
      <c r="N60" s="144">
        <f>'IS Feb KSA'!AA71+'IS Feb USA'!AA71</f>
        <v>0</v>
      </c>
      <c r="O60" s="144">
        <f>'IS Feb KSA'!AB71+'IS Feb USA'!AB71</f>
        <v>0</v>
      </c>
      <c r="P60" s="144">
        <f t="shared" si="36"/>
        <v>600</v>
      </c>
      <c r="Q60" s="144">
        <f>'IS Feb KSA'!AD71+'IS Feb USA'!AD71</f>
        <v>0</v>
      </c>
      <c r="R60" s="144">
        <f>'IS Feb KSA'!AE71+'IS Feb USA'!AE71</f>
        <v>0</v>
      </c>
      <c r="S60" s="144">
        <f>'IS Feb KSA'!AF71+'IS Feb USA'!AF71</f>
        <v>600</v>
      </c>
      <c r="T60" s="144">
        <f t="shared" si="37"/>
        <v>13480</v>
      </c>
      <c r="U60" s="144">
        <f>'IS Feb KSA'!AH71+'IS Feb USA'!AH71</f>
        <v>1800</v>
      </c>
      <c r="V60" s="144">
        <f>'IS Feb KSA'!AI71+'IS Feb USA'!AI71</f>
        <v>7800</v>
      </c>
      <c r="W60" s="144">
        <f>'IS Feb KSA'!AJ71+'IS Feb USA'!AJ71</f>
        <v>3880</v>
      </c>
      <c r="X60" s="146"/>
      <c r="Y60" s="144"/>
      <c r="Z60" s="144"/>
    </row>
    <row r="61" spans="1:27" outlineLevel="1">
      <c r="B61" s="157" t="s">
        <v>60</v>
      </c>
      <c r="C61" s="197">
        <f t="shared" si="3"/>
        <v>-34122.986666666708</v>
      </c>
      <c r="D61" s="197">
        <f t="shared" si="33"/>
        <v>42313.333333333299</v>
      </c>
      <c r="E61" s="144">
        <f t="shared" si="34"/>
        <v>76436.320000000007</v>
      </c>
      <c r="F61" s="197">
        <f t="shared" si="16"/>
        <v>16883.333333333299</v>
      </c>
      <c r="G61" s="144">
        <v>20583.333333333299</v>
      </c>
      <c r="H61" s="144">
        <f t="shared" si="27"/>
        <v>11934.32</v>
      </c>
      <c r="I61" s="144">
        <f>'IS Feb KSA'!V73+'IS Feb USA'!V73</f>
        <v>5153.7299999999996</v>
      </c>
      <c r="J61" s="144">
        <f>'IS Feb KSA'!W73+'IS Feb USA'!W73</f>
        <v>2881.03</v>
      </c>
      <c r="K61" s="144">
        <f>'IS Feb KSA'!X73+'IS Feb USA'!X73</f>
        <v>3899.56</v>
      </c>
      <c r="L61" s="144">
        <f t="shared" si="35"/>
        <v>38512</v>
      </c>
      <c r="M61" s="144">
        <f>'IS Feb KSA'!Z73+'IS Feb USA'!Z73</f>
        <v>13075</v>
      </c>
      <c r="N61" s="144">
        <f>'IS Feb KSA'!AA73+'IS Feb USA'!AA73</f>
        <v>19937</v>
      </c>
      <c r="O61" s="144">
        <f>'IS Feb KSA'!AB73+'IS Feb USA'!AB73</f>
        <v>5500</v>
      </c>
      <c r="P61" s="144">
        <f t="shared" si="36"/>
        <v>560</v>
      </c>
      <c r="Q61" s="144">
        <f>'IS Feb KSA'!AD73+'IS Feb USA'!AD73</f>
        <v>500</v>
      </c>
      <c r="R61" s="144">
        <f>'IS Feb KSA'!AE73+'IS Feb USA'!AE73</f>
        <v>0</v>
      </c>
      <c r="S61" s="144">
        <f>'IS Feb KSA'!AF73+'IS Feb USA'!AF73</f>
        <v>60</v>
      </c>
      <c r="T61" s="144">
        <f t="shared" si="37"/>
        <v>25430</v>
      </c>
      <c r="U61" s="144">
        <f>'IS Feb KSA'!AH73+'IS Feb USA'!AH73</f>
        <v>3700</v>
      </c>
      <c r="V61" s="144">
        <f>'IS Feb KSA'!AI73+'IS Feb USA'!AI73</f>
        <v>0</v>
      </c>
      <c r="W61" s="144">
        <f>'IS Feb KSA'!AJ73+'IS Feb USA'!AJ73</f>
        <v>21730</v>
      </c>
      <c r="X61" s="146"/>
      <c r="Y61" s="144">
        <v>22339.49</v>
      </c>
      <c r="Z61" s="144">
        <v>168634.61000000002</v>
      </c>
    </row>
    <row r="62" spans="1:27" outlineLevel="1">
      <c r="B62" s="157" t="s">
        <v>212</v>
      </c>
      <c r="C62" s="197">
        <f t="shared" si="3"/>
        <v>-8100</v>
      </c>
      <c r="D62" s="197">
        <f t="shared" si="33"/>
        <v>7100</v>
      </c>
      <c r="E62" s="144">
        <f t="shared" si="34"/>
        <v>15200</v>
      </c>
      <c r="F62" s="197">
        <f t="shared" si="16"/>
        <v>3900</v>
      </c>
      <c r="G62" s="144">
        <v>3900</v>
      </c>
      <c r="H62" s="144">
        <f t="shared" si="27"/>
        <v>3600</v>
      </c>
      <c r="I62" s="144">
        <f>'IS Feb KSA'!V74+'IS Feb USA'!V74</f>
        <v>1200</v>
      </c>
      <c r="J62" s="144">
        <f>'IS Feb KSA'!W74+'IS Feb USA'!W74</f>
        <v>1200</v>
      </c>
      <c r="K62" s="144">
        <f>'IS Feb KSA'!X74+'IS Feb USA'!X74</f>
        <v>1200</v>
      </c>
      <c r="L62" s="144">
        <f t="shared" si="35"/>
        <v>3600</v>
      </c>
      <c r="M62" s="144">
        <f>'IS Feb KSA'!Z74+'IS Feb USA'!Z74</f>
        <v>1200</v>
      </c>
      <c r="N62" s="144">
        <f>'IS Feb KSA'!AA74+'IS Feb USA'!AA74</f>
        <v>1200</v>
      </c>
      <c r="O62" s="144">
        <f>'IS Feb KSA'!AB74+'IS Feb USA'!AB74</f>
        <v>1200</v>
      </c>
      <c r="P62" s="144">
        <f t="shared" si="36"/>
        <v>4800</v>
      </c>
      <c r="Q62" s="144">
        <f>'IS Feb KSA'!AD74+'IS Feb USA'!AD74</f>
        <v>2400</v>
      </c>
      <c r="R62" s="144">
        <f>'IS Feb KSA'!AE74+'IS Feb USA'!AE74</f>
        <v>1200</v>
      </c>
      <c r="S62" s="144">
        <f>'IS Feb KSA'!AF74+'IS Feb USA'!AF74</f>
        <v>1200</v>
      </c>
      <c r="T62" s="144">
        <f t="shared" si="37"/>
        <v>3200</v>
      </c>
      <c r="U62" s="144">
        <f>'IS Feb KSA'!AH74+'IS Feb USA'!AH74</f>
        <v>0</v>
      </c>
      <c r="V62" s="144">
        <f>'IS Feb KSA'!AI74+'IS Feb USA'!AI74</f>
        <v>3200</v>
      </c>
      <c r="W62" s="144">
        <f>'IS Feb KSA'!AJ74+'IS Feb USA'!AJ74</f>
        <v>0</v>
      </c>
      <c r="X62" s="146"/>
      <c r="Y62" s="144">
        <v>3400</v>
      </c>
      <c r="Z62" s="144">
        <v>16448.46</v>
      </c>
    </row>
    <row r="63" spans="1:27" outlineLevel="1">
      <c r="B63" s="157" t="s">
        <v>62</v>
      </c>
      <c r="C63" s="197">
        <f t="shared" si="3"/>
        <v>-20981.039999999994</v>
      </c>
      <c r="D63" s="197">
        <f t="shared" si="33"/>
        <v>12283.970000000001</v>
      </c>
      <c r="E63" s="144">
        <f t="shared" si="34"/>
        <v>33265.009999999995</v>
      </c>
      <c r="F63" s="197">
        <f t="shared" si="16"/>
        <v>-622.98999999999978</v>
      </c>
      <c r="G63" s="144">
        <v>3431.25</v>
      </c>
      <c r="H63" s="144">
        <f t="shared" si="27"/>
        <v>7914.57</v>
      </c>
      <c r="I63" s="144">
        <f>'IS Feb KSA'!V75+'IS Feb USA'!V75</f>
        <v>2467.1999999999998</v>
      </c>
      <c r="J63" s="144">
        <f>'IS Feb KSA'!W75+'IS Feb USA'!W75</f>
        <v>2523.04</v>
      </c>
      <c r="K63" s="144">
        <f>'IS Feb KSA'!X75+'IS Feb USA'!X75</f>
        <v>2924.33</v>
      </c>
      <c r="L63" s="144">
        <f t="shared" si="35"/>
        <v>7377.01</v>
      </c>
      <c r="M63" s="144">
        <f>'IS Feb KSA'!Z75+'IS Feb USA'!Z75</f>
        <v>3322.62</v>
      </c>
      <c r="N63" s="144">
        <f>'IS Feb KSA'!AA75+'IS Feb USA'!AA75</f>
        <v>1319.59</v>
      </c>
      <c r="O63" s="144">
        <f>'IS Feb KSA'!AB75+'IS Feb USA'!AB75</f>
        <v>2734.8</v>
      </c>
      <c r="P63" s="144">
        <f t="shared" si="36"/>
        <v>5066.4699999999993</v>
      </c>
      <c r="Q63" s="144">
        <f>'IS Feb KSA'!AD75+'IS Feb USA'!AD75</f>
        <v>0</v>
      </c>
      <c r="R63" s="144">
        <f>'IS Feb KSA'!AE75+'IS Feb USA'!AE75</f>
        <v>1135.31</v>
      </c>
      <c r="S63" s="144">
        <f>'IS Feb KSA'!AF75+'IS Feb USA'!AF75</f>
        <v>3931.16</v>
      </c>
      <c r="T63" s="144">
        <f t="shared" si="37"/>
        <v>12906.96</v>
      </c>
      <c r="U63" s="144">
        <f>'IS Feb KSA'!AH75+'IS Feb USA'!AH75</f>
        <v>4054.24</v>
      </c>
      <c r="V63" s="144">
        <f>'IS Feb KSA'!AI75+'IS Feb USA'!AI75</f>
        <v>4561.2700000000004</v>
      </c>
      <c r="W63" s="144">
        <f>'IS Feb KSA'!AJ75+'IS Feb USA'!AJ75</f>
        <v>4291.45</v>
      </c>
      <c r="X63" s="146"/>
      <c r="Y63" s="144">
        <v>3054.31</v>
      </c>
      <c r="Z63" s="144">
        <v>35255.31</v>
      </c>
    </row>
    <row r="64" spans="1:27" outlineLevel="1">
      <c r="B64" s="157" t="s">
        <v>63</v>
      </c>
      <c r="C64" s="197">
        <f t="shared" si="3"/>
        <v>-128221.7375</v>
      </c>
      <c r="D64" s="197">
        <f t="shared" si="33"/>
        <v>67580.512499999997</v>
      </c>
      <c r="E64" s="144">
        <f t="shared" si="34"/>
        <v>195802.25</v>
      </c>
      <c r="F64" s="197">
        <f t="shared" si="16"/>
        <v>18901.262499999997</v>
      </c>
      <c r="G64" s="144">
        <v>31939.0425</v>
      </c>
      <c r="H64" s="144">
        <f t="shared" si="27"/>
        <v>59758.75</v>
      </c>
      <c r="I64" s="144">
        <f>'IS Feb KSA'!V76+'IS Feb USA'!V76</f>
        <v>14867.04</v>
      </c>
      <c r="J64" s="144">
        <f>'IS Feb KSA'!W76+'IS Feb USA'!W76</f>
        <v>22809.759999999998</v>
      </c>
      <c r="K64" s="144">
        <f>'IS Feb KSA'!X76+'IS Feb USA'!X76</f>
        <v>22081.95</v>
      </c>
      <c r="L64" s="144">
        <f t="shared" si="35"/>
        <v>53577.75</v>
      </c>
      <c r="M64" s="144">
        <f>'IS Feb KSA'!Z76+'IS Feb USA'!Z76</f>
        <v>20219.27</v>
      </c>
      <c r="N64" s="144">
        <f>'IS Feb KSA'!AA76+'IS Feb USA'!AA76</f>
        <v>20132.82</v>
      </c>
      <c r="O64" s="144">
        <f>'IS Feb KSA'!AB76+'IS Feb USA'!AB76</f>
        <v>13225.66</v>
      </c>
      <c r="P64" s="144">
        <f t="shared" si="36"/>
        <v>33786.5</v>
      </c>
      <c r="Q64" s="144">
        <f>'IS Feb KSA'!AD76+'IS Feb USA'!AD76</f>
        <v>12414.99</v>
      </c>
      <c r="R64" s="144">
        <f>'IS Feb KSA'!AE76+'IS Feb USA'!AE76</f>
        <v>11182.63</v>
      </c>
      <c r="S64" s="144">
        <f>'IS Feb KSA'!AF76+'IS Feb USA'!AF76</f>
        <v>10188.879999999999</v>
      </c>
      <c r="T64" s="144">
        <f t="shared" si="37"/>
        <v>48679.25</v>
      </c>
      <c r="U64" s="144">
        <f>'IS Feb KSA'!AH76+'IS Feb USA'!AH76</f>
        <v>13037.78</v>
      </c>
      <c r="V64" s="144">
        <f>'IS Feb KSA'!AI76+'IS Feb USA'!AI76</f>
        <v>18534.91</v>
      </c>
      <c r="W64" s="144">
        <f>'IS Feb KSA'!AJ76+'IS Feb USA'!AJ76</f>
        <v>17106.560000000001</v>
      </c>
      <c r="X64" s="146"/>
      <c r="Y64" s="144">
        <v>17220.560000000001</v>
      </c>
      <c r="Z64" s="144">
        <v>167751.58000000002</v>
      </c>
    </row>
    <row r="65" spans="1:28" outlineLevel="1">
      <c r="B65" s="157" t="s">
        <v>64</v>
      </c>
      <c r="C65" s="197">
        <f t="shared" si="3"/>
        <v>57000</v>
      </c>
      <c r="D65" s="197">
        <f t="shared" si="33"/>
        <v>-24000</v>
      </c>
      <c r="E65" s="144">
        <f t="shared" si="34"/>
        <v>-81000</v>
      </c>
      <c r="F65" s="197">
        <f t="shared" si="16"/>
        <v>3000</v>
      </c>
      <c r="G65" s="144">
        <v>-15000</v>
      </c>
      <c r="H65" s="144">
        <f t="shared" si="27"/>
        <v>-18000</v>
      </c>
      <c r="I65" s="144">
        <f>'IS Feb KSA'!V77+'IS Feb USA'!V77</f>
        <v>-6000</v>
      </c>
      <c r="J65" s="144">
        <f>'IS Feb KSA'!W77+'IS Feb USA'!W77</f>
        <v>0</v>
      </c>
      <c r="K65" s="144">
        <f>'IS Feb KSA'!X77+'IS Feb USA'!X77</f>
        <v>-12000</v>
      </c>
      <c r="L65" s="144">
        <f t="shared" si="35"/>
        <v>-18000</v>
      </c>
      <c r="M65" s="144">
        <f>'IS Feb KSA'!Z77+'IS Feb USA'!Z77</f>
        <v>0</v>
      </c>
      <c r="N65" s="144">
        <f>'IS Feb KSA'!AA77+'IS Feb USA'!AA77</f>
        <v>-6000</v>
      </c>
      <c r="O65" s="144">
        <f>'IS Feb KSA'!AB77+'IS Feb USA'!AB77</f>
        <v>-12000</v>
      </c>
      <c r="P65" s="144">
        <f t="shared" si="36"/>
        <v>-18000</v>
      </c>
      <c r="Q65" s="144">
        <f>'IS Feb KSA'!AD77+'IS Feb USA'!AD77</f>
        <v>0</v>
      </c>
      <c r="R65" s="144">
        <f>'IS Feb KSA'!AE77+'IS Feb USA'!AE77</f>
        <v>-18000</v>
      </c>
      <c r="S65" s="144">
        <f>'IS Feb KSA'!AF77+'IS Feb USA'!AF77</f>
        <v>0</v>
      </c>
      <c r="T65" s="144">
        <f t="shared" si="37"/>
        <v>-27000</v>
      </c>
      <c r="U65" s="144">
        <f>'IS Feb KSA'!AH77+'IS Feb USA'!AH77</f>
        <v>-18000</v>
      </c>
      <c r="V65" s="144">
        <f>'IS Feb KSA'!AI77+'IS Feb USA'!AI77</f>
        <v>0</v>
      </c>
      <c r="W65" s="144">
        <f>'IS Feb KSA'!AJ77+'IS Feb USA'!AJ77</f>
        <v>-9000</v>
      </c>
      <c r="X65" s="146"/>
      <c r="Y65" s="144">
        <v>-15000</v>
      </c>
      <c r="Z65" s="144">
        <v>-81000</v>
      </c>
    </row>
    <row r="66" spans="1:28" outlineLevel="1">
      <c r="B66" s="157" t="s">
        <v>65</v>
      </c>
      <c r="C66" s="197">
        <f t="shared" si="3"/>
        <v>-333475.8231040439</v>
      </c>
      <c r="D66" s="197">
        <f t="shared" si="33"/>
        <v>12899.05689595609</v>
      </c>
      <c r="E66" s="144">
        <f t="shared" si="34"/>
        <v>346374.88</v>
      </c>
      <c r="F66" s="197">
        <f t="shared" si="16"/>
        <v>-634.22310404390964</v>
      </c>
      <c r="G66" s="144">
        <v>2418.4768959560902</v>
      </c>
      <c r="H66" s="144">
        <f t="shared" si="27"/>
        <v>74513.459999999992</v>
      </c>
      <c r="I66" s="144">
        <f>'IS Feb KSA'!V78+'IS Feb USA'!V78</f>
        <v>10729.32</v>
      </c>
      <c r="J66" s="144">
        <f>'IS Feb KSA'!W78+'IS Feb USA'!W78</f>
        <v>9605.83</v>
      </c>
      <c r="K66" s="144">
        <f>'IS Feb KSA'!X78+'IS Feb USA'!X78</f>
        <v>54178.31</v>
      </c>
      <c r="L66" s="144">
        <f t="shared" si="35"/>
        <v>122938.20999999999</v>
      </c>
      <c r="M66" s="144">
        <f>'IS Feb KSA'!Z78+'IS Feb USA'!Z78</f>
        <v>6116.67</v>
      </c>
      <c r="N66" s="144">
        <f>'IS Feb KSA'!AA78+'IS Feb USA'!AA78</f>
        <v>65191.05</v>
      </c>
      <c r="O66" s="144">
        <f>'IS Feb KSA'!AB78+'IS Feb USA'!AB78</f>
        <v>51630.49</v>
      </c>
      <c r="P66" s="144">
        <f t="shared" si="36"/>
        <v>135389.93</v>
      </c>
      <c r="Q66" s="144">
        <f>'IS Feb KSA'!AD78+'IS Feb USA'!AD78</f>
        <v>74572.7</v>
      </c>
      <c r="R66" s="144">
        <f>'IS Feb KSA'!AE78+'IS Feb USA'!AE78</f>
        <v>58103.210000000006</v>
      </c>
      <c r="S66" s="144">
        <f>'IS Feb KSA'!AF78+'IS Feb USA'!AF78</f>
        <v>2714.02</v>
      </c>
      <c r="T66" s="144">
        <f t="shared" si="37"/>
        <v>13533.279999999999</v>
      </c>
      <c r="U66" s="144">
        <f>'IS Feb KSA'!AH78+'IS Feb USA'!AH78</f>
        <v>3052.7</v>
      </c>
      <c r="V66" s="144">
        <f>'IS Feb KSA'!AI78+'IS Feb USA'!AI78</f>
        <v>0</v>
      </c>
      <c r="W66" s="144">
        <f>'IS Feb KSA'!AJ78+'IS Feb USA'!AJ78</f>
        <v>10480.58</v>
      </c>
      <c r="X66" s="146"/>
      <c r="Y66" s="144">
        <v>0</v>
      </c>
      <c r="Z66" s="144">
        <v>55227.62</v>
      </c>
    </row>
    <row r="67" spans="1:28" outlineLevel="1">
      <c r="B67" s="157" t="s">
        <v>66</v>
      </c>
      <c r="C67" s="197">
        <f t="shared" si="3"/>
        <v>-330522.09000000003</v>
      </c>
      <c r="D67" s="197">
        <f t="shared" si="33"/>
        <v>61746.96</v>
      </c>
      <c r="E67" s="144">
        <f t="shared" si="34"/>
        <v>392269.05000000005</v>
      </c>
      <c r="F67" s="197">
        <f t="shared" si="16"/>
        <v>-14049.409999999998</v>
      </c>
      <c r="G67" s="144">
        <v>11337.9</v>
      </c>
      <c r="H67" s="144">
        <f t="shared" si="27"/>
        <v>212600.02000000002</v>
      </c>
      <c r="I67" s="144">
        <f>'IS Feb KSA'!V79+'IS Feb USA'!V79</f>
        <v>500</v>
      </c>
      <c r="J67" s="144">
        <f>'IS Feb KSA'!W79+'IS Feb USA'!W79</f>
        <v>0</v>
      </c>
      <c r="K67" s="144">
        <f>'IS Feb KSA'!X79+'IS Feb USA'!X79</f>
        <v>212100.02000000002</v>
      </c>
      <c r="L67" s="144">
        <f t="shared" si="35"/>
        <v>49999.99</v>
      </c>
      <c r="M67" s="144">
        <f>'IS Feb KSA'!Z79+'IS Feb USA'!Z79</f>
        <v>0</v>
      </c>
      <c r="N67" s="144">
        <f>'IS Feb KSA'!AA79+'IS Feb USA'!AA79</f>
        <v>49999.99</v>
      </c>
      <c r="O67" s="144">
        <f>'IS Feb KSA'!AB79+'IS Feb USA'!AB79</f>
        <v>0</v>
      </c>
      <c r="P67" s="144">
        <f t="shared" si="36"/>
        <v>53872.67</v>
      </c>
      <c r="Q67" s="144">
        <f>'IS Feb KSA'!AD79+'IS Feb USA'!AD79</f>
        <v>10000</v>
      </c>
      <c r="R67" s="144">
        <f>'IS Feb KSA'!AE79+'IS Feb USA'!AE79</f>
        <v>43872.67</v>
      </c>
      <c r="S67" s="144">
        <f>'IS Feb KSA'!AF79+'IS Feb USA'!AF79</f>
        <v>0</v>
      </c>
      <c r="T67" s="144">
        <f t="shared" si="37"/>
        <v>75796.37</v>
      </c>
      <c r="U67" s="144">
        <f>'IS Feb KSA'!AH79+'IS Feb USA'!AH79</f>
        <v>25387.309999999998</v>
      </c>
      <c r="V67" s="144">
        <f>'IS Feb KSA'!AI79+'IS Feb USA'!AI79</f>
        <v>12000</v>
      </c>
      <c r="W67" s="144">
        <f>'IS Feb KSA'!AJ79+'IS Feb USA'!AJ79</f>
        <v>38409.06</v>
      </c>
      <c r="X67" s="146"/>
      <c r="Y67" s="144">
        <v>2739</v>
      </c>
      <c r="Z67" s="144">
        <v>98517.64</v>
      </c>
    </row>
    <row r="68" spans="1:28" outlineLevel="1">
      <c r="B68" s="157" t="s">
        <v>67</v>
      </c>
      <c r="C68" s="197">
        <f t="shared" si="3"/>
        <v>-4510606.7899999991</v>
      </c>
      <c r="D68" s="197">
        <f t="shared" si="33"/>
        <v>1384851.83</v>
      </c>
      <c r="E68" s="144">
        <f t="shared" si="34"/>
        <v>5895458.6199999992</v>
      </c>
      <c r="F68" s="197">
        <f t="shared" si="16"/>
        <v>93338.770000000019</v>
      </c>
      <c r="G68" s="144">
        <v>535342.5</v>
      </c>
      <c r="H68" s="144">
        <f t="shared" si="27"/>
        <v>1701438.0999999999</v>
      </c>
      <c r="I68" s="144">
        <f>'IS Feb KSA'!V81+'IS Feb USA'!V81</f>
        <v>556441.14</v>
      </c>
      <c r="J68" s="144">
        <f>'IS Feb KSA'!W81+'IS Feb USA'!W81</f>
        <v>571955.72</v>
      </c>
      <c r="K68" s="144">
        <f>'IS Feb KSA'!X81+'IS Feb USA'!X81</f>
        <v>573041.24</v>
      </c>
      <c r="L68" s="144">
        <f t="shared" si="35"/>
        <v>1563140.5</v>
      </c>
      <c r="M68" s="144">
        <f>'IS Feb KSA'!Z81+'IS Feb USA'!Z81</f>
        <v>558181.69999999995</v>
      </c>
      <c r="N68" s="144">
        <f>'IS Feb KSA'!AA81+'IS Feb USA'!AA81</f>
        <v>511021.99</v>
      </c>
      <c r="O68" s="144">
        <f>'IS Feb KSA'!AB81+'IS Feb USA'!AB81</f>
        <v>493936.81</v>
      </c>
      <c r="P68" s="144">
        <f t="shared" si="36"/>
        <v>1339366.96</v>
      </c>
      <c r="Q68" s="144">
        <f>'IS Feb KSA'!AD81+'IS Feb USA'!AD81</f>
        <v>453897.79000000004</v>
      </c>
      <c r="R68" s="144">
        <f>'IS Feb KSA'!AE81+'IS Feb USA'!AE81</f>
        <v>460883.53</v>
      </c>
      <c r="S68" s="144">
        <f>'IS Feb KSA'!AF81+'IS Feb USA'!AF81</f>
        <v>424585.64</v>
      </c>
      <c r="T68" s="144">
        <f t="shared" si="37"/>
        <v>1291513.06</v>
      </c>
      <c r="U68" s="144">
        <f>'IS Feb KSA'!AH81+'IS Feb USA'!AH81</f>
        <v>442003.73</v>
      </c>
      <c r="V68" s="144">
        <f>'IS Feb KSA'!AI81+'IS Feb USA'!AI81</f>
        <v>409891.01</v>
      </c>
      <c r="W68" s="144">
        <f>'IS Feb KSA'!AJ81+'IS Feb USA'!AJ81</f>
        <v>439618.31999999995</v>
      </c>
      <c r="X68" s="146"/>
      <c r="Y68" s="144">
        <v>414829.56</v>
      </c>
      <c r="Z68" s="144">
        <v>4141100.92</v>
      </c>
    </row>
    <row r="69" spans="1:28" outlineLevel="1">
      <c r="B69" s="157" t="s">
        <v>68</v>
      </c>
      <c r="C69" s="197">
        <f t="shared" si="3"/>
        <v>-600599.8600000001</v>
      </c>
      <c r="D69" s="197">
        <f t="shared" si="33"/>
        <v>217686.18</v>
      </c>
      <c r="E69" s="144">
        <f t="shared" si="34"/>
        <v>818286.04</v>
      </c>
      <c r="F69" s="197">
        <f t="shared" si="16"/>
        <v>52392.41</v>
      </c>
      <c r="G69" s="144">
        <v>107068.5</v>
      </c>
      <c r="H69" s="144">
        <f t="shared" si="27"/>
        <v>266137.17</v>
      </c>
      <c r="I69" s="144">
        <f>'IS Feb KSA'!V82+'IS Feb USA'!V82</f>
        <v>76991.100000000006</v>
      </c>
      <c r="J69" s="144">
        <f>'IS Feb KSA'!W82+'IS Feb USA'!W82</f>
        <v>94305.7</v>
      </c>
      <c r="K69" s="144">
        <f>'IS Feb KSA'!X82+'IS Feb USA'!X82</f>
        <v>94840.37</v>
      </c>
      <c r="L69" s="144">
        <f t="shared" si="35"/>
        <v>218600.13</v>
      </c>
      <c r="M69" s="144">
        <f>'IS Feb KSA'!Z82+'IS Feb USA'!Z82</f>
        <v>74520.570000000007</v>
      </c>
      <c r="N69" s="144">
        <f>'IS Feb KSA'!AA82+'IS Feb USA'!AA82</f>
        <v>74520.570000000007</v>
      </c>
      <c r="O69" s="144">
        <f>'IS Feb KSA'!AB82+'IS Feb USA'!AB82</f>
        <v>69558.990000000005</v>
      </c>
      <c r="P69" s="144">
        <f t="shared" si="36"/>
        <v>168254.97</v>
      </c>
      <c r="Q69" s="144">
        <f>'IS Feb KSA'!AD82+'IS Feb USA'!AD82</f>
        <v>63768.57</v>
      </c>
      <c r="R69" s="144">
        <f>'IS Feb KSA'!AE82+'IS Feb USA'!AE82</f>
        <v>53374.07</v>
      </c>
      <c r="S69" s="144">
        <f>'IS Feb KSA'!AF82+'IS Feb USA'!AF82</f>
        <v>51112.33</v>
      </c>
      <c r="T69" s="144">
        <f t="shared" si="37"/>
        <v>165293.76999999999</v>
      </c>
      <c r="U69" s="144">
        <f>'IS Feb KSA'!AH82+'IS Feb USA'!AH82</f>
        <v>54676.09</v>
      </c>
      <c r="V69" s="144">
        <f>'IS Feb KSA'!AI82+'IS Feb USA'!AI82</f>
        <v>50710.09</v>
      </c>
      <c r="W69" s="144">
        <f>'IS Feb KSA'!AJ82+'IS Feb USA'!AJ82</f>
        <v>59907.59</v>
      </c>
      <c r="X69" s="146"/>
      <c r="Y69" s="144">
        <v>58989.69</v>
      </c>
      <c r="Z69" s="144">
        <v>495183.73000000004</v>
      </c>
    </row>
    <row r="70" spans="1:28" outlineLevel="1">
      <c r="B70" s="157" t="s">
        <v>69</v>
      </c>
      <c r="C70" s="197">
        <f t="shared" si="3"/>
        <v>-216044.14650288853</v>
      </c>
      <c r="D70" s="197">
        <f t="shared" si="33"/>
        <v>1727.4834971114899</v>
      </c>
      <c r="E70" s="144">
        <f t="shared" si="34"/>
        <v>217771.63</v>
      </c>
      <c r="F70" s="197">
        <f t="shared" si="16"/>
        <v>-34905.846502888511</v>
      </c>
      <c r="G70" s="144">
        <v>1727.4834971114899</v>
      </c>
      <c r="H70" s="144">
        <f t="shared" si="27"/>
        <v>100394</v>
      </c>
      <c r="I70" s="144">
        <f>'IS Feb KSA'!V83+'IS Feb USA'!V83</f>
        <v>57935.5</v>
      </c>
      <c r="J70" s="144">
        <f>'IS Feb KSA'!W83+'IS Feb USA'!W83</f>
        <v>39035.5</v>
      </c>
      <c r="K70" s="144">
        <f>'IS Feb KSA'!X83+'IS Feb USA'!X83</f>
        <v>3423</v>
      </c>
      <c r="L70" s="144">
        <f t="shared" si="35"/>
        <v>44744.3</v>
      </c>
      <c r="M70" s="144">
        <f>'IS Feb KSA'!Z83+'IS Feb USA'!Z83</f>
        <v>3010.5</v>
      </c>
      <c r="N70" s="144">
        <f>'IS Feb KSA'!AA83+'IS Feb USA'!AA83</f>
        <v>1633.8</v>
      </c>
      <c r="O70" s="144">
        <f>'IS Feb KSA'!AB83+'IS Feb USA'!AB83</f>
        <v>40100</v>
      </c>
      <c r="P70" s="144">
        <f t="shared" si="36"/>
        <v>36000</v>
      </c>
      <c r="Q70" s="144">
        <f>'IS Feb KSA'!AD83+'IS Feb USA'!AD83</f>
        <v>36000</v>
      </c>
      <c r="R70" s="144">
        <f>'IS Feb KSA'!AE83+'IS Feb USA'!AE83</f>
        <v>0</v>
      </c>
      <c r="S70" s="144">
        <f>'IS Feb KSA'!AF83+'IS Feb USA'!AF83</f>
        <v>0</v>
      </c>
      <c r="T70" s="144">
        <f t="shared" si="37"/>
        <v>36633.33</v>
      </c>
      <c r="U70" s="144">
        <f>'IS Feb KSA'!AH83+'IS Feb USA'!AH83</f>
        <v>36633.33</v>
      </c>
      <c r="V70" s="144">
        <f>'IS Feb KSA'!AI83+'IS Feb USA'!AI83</f>
        <v>0</v>
      </c>
      <c r="W70" s="144">
        <f>'IS Feb KSA'!AJ83+'IS Feb USA'!AJ83</f>
        <v>0</v>
      </c>
      <c r="X70" s="146"/>
      <c r="Y70" s="144">
        <v>0</v>
      </c>
      <c r="Z70" s="144">
        <v>52758.849999999991</v>
      </c>
    </row>
    <row r="71" spans="1:28" outlineLevel="1">
      <c r="B71" s="157" t="s">
        <v>70</v>
      </c>
      <c r="C71" s="197">
        <f t="shared" si="3"/>
        <v>-218457.24000000005</v>
      </c>
      <c r="D71" s="197">
        <f t="shared" si="33"/>
        <v>115643.11</v>
      </c>
      <c r="E71" s="144">
        <f t="shared" si="34"/>
        <v>334100.35000000003</v>
      </c>
      <c r="F71" s="197">
        <f t="shared" si="16"/>
        <v>48500.42</v>
      </c>
      <c r="G71" s="144">
        <v>71379</v>
      </c>
      <c r="H71" s="144">
        <f t="shared" si="27"/>
        <v>106520.34</v>
      </c>
      <c r="I71" s="144">
        <f>'IS Feb KSA'!V84+'IS Feb USA'!V84</f>
        <v>30815.38</v>
      </c>
      <c r="J71" s="144">
        <f>'IS Feb KSA'!W84+'IS Feb USA'!W84</f>
        <v>37745.93</v>
      </c>
      <c r="K71" s="144">
        <f>'IS Feb KSA'!X84+'IS Feb USA'!X84</f>
        <v>37959.03</v>
      </c>
      <c r="L71" s="144">
        <f t="shared" si="35"/>
        <v>91694.9</v>
      </c>
      <c r="M71" s="144">
        <f>'IS Feb KSA'!Z84+'IS Feb USA'!Z84</f>
        <v>31227.67</v>
      </c>
      <c r="N71" s="144">
        <f>'IS Feb KSA'!AA84+'IS Feb USA'!AA84</f>
        <v>31227.67</v>
      </c>
      <c r="O71" s="144">
        <f>'IS Feb KSA'!AB84+'IS Feb USA'!AB84</f>
        <v>29239.56</v>
      </c>
      <c r="P71" s="144">
        <f t="shared" si="36"/>
        <v>68742.42</v>
      </c>
      <c r="Q71" s="144">
        <f>'IS Feb KSA'!AD84+'IS Feb USA'!AD84</f>
        <v>26923.29</v>
      </c>
      <c r="R71" s="144">
        <f>'IS Feb KSA'!AE84+'IS Feb USA'!AE84</f>
        <v>21363.119999999999</v>
      </c>
      <c r="S71" s="144">
        <f>'IS Feb KSA'!AF84+'IS Feb USA'!AF84</f>
        <v>20456.009999999998</v>
      </c>
      <c r="T71" s="144">
        <f t="shared" si="37"/>
        <v>67142.69</v>
      </c>
      <c r="U71" s="144">
        <f>'IS Feb KSA'!AH84+'IS Feb USA'!AH84</f>
        <v>22878.58</v>
      </c>
      <c r="V71" s="144">
        <f>'IS Feb KSA'!AI84+'IS Feb USA'!AI84</f>
        <v>20292.080000000002</v>
      </c>
      <c r="W71" s="144">
        <f>'IS Feb KSA'!AJ84+'IS Feb USA'!AJ84</f>
        <v>23972.03</v>
      </c>
      <c r="X71" s="146"/>
      <c r="Y71" s="144">
        <v>23601.29</v>
      </c>
      <c r="Z71" s="144">
        <v>207649.09</v>
      </c>
    </row>
    <row r="72" spans="1:28" outlineLevel="1">
      <c r="B72" s="157" t="s">
        <v>71</v>
      </c>
      <c r="C72" s="197">
        <f t="shared" si="3"/>
        <v>-52971.385000000002</v>
      </c>
      <c r="D72" s="197">
        <f t="shared" si="33"/>
        <v>19776.055</v>
      </c>
      <c r="E72" s="144">
        <f t="shared" si="34"/>
        <v>72747.44</v>
      </c>
      <c r="F72" s="197">
        <f t="shared" si="16"/>
        <v>13269.654999999999</v>
      </c>
      <c r="G72" s="144">
        <v>16769.654999999999</v>
      </c>
      <c r="H72" s="144">
        <f t="shared" si="27"/>
        <v>52741.04</v>
      </c>
      <c r="I72" s="144">
        <f>'IS Feb KSA'!V85+'IS Feb USA'!V85</f>
        <v>52741.04</v>
      </c>
      <c r="J72" s="144">
        <f>'IS Feb KSA'!W85+'IS Feb USA'!W85</f>
        <v>0</v>
      </c>
      <c r="K72" s="144">
        <f>'IS Feb KSA'!X85+'IS Feb USA'!X85</f>
        <v>0</v>
      </c>
      <c r="L72" s="144">
        <f t="shared" si="35"/>
        <v>13500</v>
      </c>
      <c r="M72" s="144">
        <f>'IS Feb KSA'!Z85+'IS Feb USA'!Z85</f>
        <v>0</v>
      </c>
      <c r="N72" s="144">
        <f>'IS Feb KSA'!AA85+'IS Feb USA'!AA85</f>
        <v>0</v>
      </c>
      <c r="O72" s="144">
        <f>'IS Feb KSA'!AB85+'IS Feb USA'!AB85</f>
        <v>13500</v>
      </c>
      <c r="P72" s="144">
        <f t="shared" si="36"/>
        <v>0</v>
      </c>
      <c r="Q72" s="144">
        <f>'IS Feb KSA'!AD85+'IS Feb USA'!AD85</f>
        <v>0</v>
      </c>
      <c r="R72" s="144">
        <f>'IS Feb KSA'!AE85+'IS Feb USA'!AE85</f>
        <v>0</v>
      </c>
      <c r="S72" s="144">
        <f>'IS Feb KSA'!AF85+'IS Feb USA'!AF85</f>
        <v>0</v>
      </c>
      <c r="T72" s="144">
        <f t="shared" si="37"/>
        <v>6506.4</v>
      </c>
      <c r="U72" s="144">
        <f>'IS Feb KSA'!AH85+'IS Feb USA'!AH85</f>
        <v>3500</v>
      </c>
      <c r="V72" s="144">
        <f>'IS Feb KSA'!AI85+'IS Feb USA'!AI85</f>
        <v>0</v>
      </c>
      <c r="W72" s="144">
        <f>'IS Feb KSA'!AJ85+'IS Feb USA'!AJ85</f>
        <v>3006.4</v>
      </c>
      <c r="X72" s="146"/>
      <c r="Y72" s="144">
        <v>108401.43999999999</v>
      </c>
      <c r="Z72" s="144">
        <v>130235.93</v>
      </c>
    </row>
    <row r="73" spans="1:28" outlineLevel="1">
      <c r="B73" s="157" t="s">
        <v>72</v>
      </c>
      <c r="C73" s="197">
        <f t="shared" si="3"/>
        <v>-13334.06111111111</v>
      </c>
      <c r="D73" s="197">
        <f t="shared" si="33"/>
        <v>5038.8888888888896</v>
      </c>
      <c r="E73" s="144">
        <f t="shared" si="34"/>
        <v>18372.95</v>
      </c>
      <c r="F73" s="197">
        <f t="shared" si="16"/>
        <v>5038.8888888888896</v>
      </c>
      <c r="G73" s="144">
        <v>5038.8888888888896</v>
      </c>
      <c r="H73" s="144">
        <f t="shared" si="27"/>
        <v>9675.2800000000007</v>
      </c>
      <c r="I73" s="144">
        <f>'IS Feb KSA'!V86+'IS Feb USA'!V86</f>
        <v>4758.53</v>
      </c>
      <c r="J73" s="144">
        <f>'IS Feb KSA'!W86+'IS Feb USA'!W86</f>
        <v>4558.3500000000004</v>
      </c>
      <c r="K73" s="144">
        <f>'IS Feb KSA'!X86+'IS Feb USA'!X86</f>
        <v>358.4</v>
      </c>
      <c r="L73" s="144">
        <f t="shared" si="35"/>
        <v>5207.41</v>
      </c>
      <c r="M73" s="144">
        <f>'IS Feb KSA'!Z86+'IS Feb USA'!Z86</f>
        <v>3816.94</v>
      </c>
      <c r="N73" s="144">
        <f>'IS Feb KSA'!AA86+'IS Feb USA'!AA86</f>
        <v>1390.47</v>
      </c>
      <c r="O73" s="144">
        <f>'IS Feb KSA'!AB86+'IS Feb USA'!AB86</f>
        <v>0</v>
      </c>
      <c r="P73" s="144">
        <f t="shared" si="36"/>
        <v>3490.26</v>
      </c>
      <c r="Q73" s="144">
        <f>'IS Feb KSA'!AD86+'IS Feb USA'!AD86</f>
        <v>3490.26</v>
      </c>
      <c r="R73" s="144">
        <f>'IS Feb KSA'!AE86+'IS Feb USA'!AE86</f>
        <v>0</v>
      </c>
      <c r="S73" s="144">
        <f>'IS Feb KSA'!AF86+'IS Feb USA'!AF86</f>
        <v>0</v>
      </c>
      <c r="T73" s="144">
        <f t="shared" si="37"/>
        <v>0</v>
      </c>
      <c r="U73" s="144">
        <f>'IS Feb KSA'!AH86+'IS Feb USA'!AH86</f>
        <v>0</v>
      </c>
      <c r="V73" s="144">
        <f>'IS Feb KSA'!AI86+'IS Feb USA'!AI86</f>
        <v>0</v>
      </c>
      <c r="W73" s="144">
        <f>'IS Feb KSA'!AJ86+'IS Feb USA'!AJ86</f>
        <v>0</v>
      </c>
      <c r="X73" s="146"/>
      <c r="Y73" s="144">
        <v>0</v>
      </c>
      <c r="Z73" s="144">
        <v>3571.25</v>
      </c>
    </row>
    <row r="74" spans="1:28" s="151" customFormat="1">
      <c r="A74" s="147"/>
      <c r="B74" s="148" t="s">
        <v>73</v>
      </c>
      <c r="C74" s="203">
        <f t="shared" si="3"/>
        <v>-13200766.879348787</v>
      </c>
      <c r="D74" s="149">
        <f>+D55+D51+D47+D35+D18</f>
        <v>2973163.6306512114</v>
      </c>
      <c r="E74" s="149">
        <f>+E55+E51+E47+E35+E18</f>
        <v>16173930.509999998</v>
      </c>
      <c r="F74" s="197">
        <f t="shared" si="16"/>
        <v>154216.83065121085</v>
      </c>
      <c r="G74" s="149">
        <f>+G55+G51+G47+G35+G18</f>
        <v>1084583.6906512107</v>
      </c>
      <c r="H74" s="149">
        <f t="shared" si="27"/>
        <v>6335158.2199999997</v>
      </c>
      <c r="I74" s="149">
        <f t="shared" ref="I74:W74" si="38">+I55+I51+I47+I35+I18</f>
        <v>2137792.2200000002</v>
      </c>
      <c r="J74" s="149">
        <f t="shared" si="38"/>
        <v>2133403.0499999998</v>
      </c>
      <c r="K74" s="149">
        <f t="shared" si="38"/>
        <v>2063962.9500000002</v>
      </c>
      <c r="L74" s="149">
        <f t="shared" si="38"/>
        <v>3712638.37</v>
      </c>
      <c r="M74" s="149">
        <f t="shared" si="38"/>
        <v>1237487.56</v>
      </c>
      <c r="N74" s="149">
        <f t="shared" si="38"/>
        <v>1190383.73</v>
      </c>
      <c r="O74" s="149">
        <f t="shared" si="38"/>
        <v>1284767.08</v>
      </c>
      <c r="P74" s="149">
        <f t="shared" si="38"/>
        <v>3307187.1199999996</v>
      </c>
      <c r="Q74" s="149">
        <f t="shared" si="38"/>
        <v>1241661.32</v>
      </c>
      <c r="R74" s="149">
        <f t="shared" si="38"/>
        <v>1081982.8399999999</v>
      </c>
      <c r="S74" s="149">
        <f t="shared" si="38"/>
        <v>983542.96000000008</v>
      </c>
      <c r="T74" s="149">
        <f t="shared" si="38"/>
        <v>2818946.8000000003</v>
      </c>
      <c r="U74" s="149">
        <f t="shared" si="38"/>
        <v>930366.85999999987</v>
      </c>
      <c r="V74" s="149">
        <f t="shared" si="38"/>
        <v>951143.12</v>
      </c>
      <c r="W74" s="149">
        <f t="shared" si="38"/>
        <v>937436.82000000007</v>
      </c>
      <c r="X74" s="150"/>
      <c r="Y74" s="149">
        <f>+Y55+Y51+Y47+Y35+Y18</f>
        <v>1379932.59</v>
      </c>
      <c r="Z74" s="149">
        <f>+Z55+Z51+Z47+Z35+Z18</f>
        <v>8738025.2999999989</v>
      </c>
      <c r="AA74" s="159"/>
      <c r="AB74" s="156"/>
    </row>
    <row r="75" spans="1:28">
      <c r="B75" s="160"/>
      <c r="C75" s="160"/>
      <c r="D75" s="204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61"/>
      <c r="U75" s="146"/>
      <c r="V75" s="146"/>
      <c r="W75" s="146"/>
      <c r="X75" s="146"/>
      <c r="Y75" s="146"/>
      <c r="Z75" s="146"/>
    </row>
    <row r="76" spans="1:28">
      <c r="B76" s="160"/>
      <c r="C76" s="160"/>
      <c r="D76" s="204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 spans="1:28">
      <c r="B77" s="143" t="s">
        <v>74</v>
      </c>
      <c r="C77" s="197">
        <f>D77-E77</f>
        <v>-1197498.5777793443</v>
      </c>
      <c r="D77" s="197">
        <f>V77+W77+G77</f>
        <v>-259092.69777934777</v>
      </c>
      <c r="E77" s="144">
        <f>L77+P77+H77+T77</f>
        <v>938405.87999999663</v>
      </c>
      <c r="F77" s="197">
        <f>G77-U77</f>
        <v>-646887.91777934763</v>
      </c>
      <c r="G77" s="144">
        <f>G16-G74</f>
        <v>-309153.74777934793</v>
      </c>
      <c r="H77" s="149">
        <f>SUM(I77:K77)</f>
        <v>102314.25000000047</v>
      </c>
      <c r="I77" s="144">
        <f>SUM(I13+I15+I14)-I74</f>
        <v>644007.51000000024</v>
      </c>
      <c r="J77" s="144">
        <f>SUM(J13+J15+J14)-J74</f>
        <v>-194842.40999999922</v>
      </c>
      <c r="K77" s="144">
        <f>SUM(K13+K15+K14)-K74</f>
        <v>-346850.85000000056</v>
      </c>
      <c r="L77" s="144">
        <f>L16-L74</f>
        <v>386296.44999999832</v>
      </c>
      <c r="M77" s="144">
        <f>SUM(M13+M15+M14)-M74</f>
        <v>-250922.9300000011</v>
      </c>
      <c r="N77" s="144">
        <f>SUM(N13+N15+N14)-N74</f>
        <v>-436780.95000000065</v>
      </c>
      <c r="O77" s="144">
        <f>SUM(O13+O15+O14)-O74</f>
        <v>1074124.46</v>
      </c>
      <c r="P77" s="144">
        <f>P16-P74</f>
        <v>61999.959999998566</v>
      </c>
      <c r="Q77" s="144">
        <f>SUM(Q13+Q15+Q14)-Q74</f>
        <v>-116122.9300000004</v>
      </c>
      <c r="R77" s="144">
        <f>SUM(R13+R15+R14)-R74</f>
        <v>144796.05999999959</v>
      </c>
      <c r="S77" s="144">
        <f>SUM(S13+S15+S14)-S74</f>
        <v>33425.089999998803</v>
      </c>
      <c r="T77" s="144">
        <f>T16-T74</f>
        <v>387795.21999999927</v>
      </c>
      <c r="U77" s="144">
        <f>U16-U74</f>
        <v>337734.16999999969</v>
      </c>
      <c r="V77" s="144">
        <f>V16-V74</f>
        <v>77905.330000000773</v>
      </c>
      <c r="W77" s="144">
        <f>W16-W74</f>
        <v>-27844.28000000061</v>
      </c>
      <c r="X77" s="145"/>
      <c r="Y77" s="144">
        <v>-338792.37000000034</v>
      </c>
      <c r="Z77" s="144">
        <v>-1058242.6500000018</v>
      </c>
    </row>
    <row r="78" spans="1:28">
      <c r="B78" s="160"/>
      <c r="C78" s="160"/>
      <c r="D78" s="204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 spans="1:28">
      <c r="B79" s="160"/>
      <c r="C79" s="160"/>
      <c r="D79" s="204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 spans="1:28">
      <c r="B80" s="143" t="s">
        <v>75</v>
      </c>
      <c r="C80" s="197">
        <f t="shared" ref="C80:C82" si="39">D80-E80</f>
        <v>34669.949999999997</v>
      </c>
      <c r="D80" s="197">
        <f>V80+W80+G80</f>
        <v>-2632.25</v>
      </c>
      <c r="E80" s="144">
        <f>L80+P80+H80+T80</f>
        <v>-37302.199999999997</v>
      </c>
      <c r="F80" s="197">
        <f>G80-U80</f>
        <v>-1250.0300000000002</v>
      </c>
      <c r="G80" s="144">
        <v>-2000</v>
      </c>
      <c r="H80" s="144">
        <f>SUM(I80:K80)</f>
        <v>-24111.48</v>
      </c>
      <c r="I80" s="144">
        <f>'IS Feb KSA'!V93+'IS Feb USA'!V93</f>
        <v>-4519.22</v>
      </c>
      <c r="J80" s="144">
        <f>'IS Feb KSA'!W93+'IS Feb USA'!W93</f>
        <v>-6631.6799999999994</v>
      </c>
      <c r="K80" s="144">
        <f>'IS Feb KSA'!X93+'IS Feb USA'!X93</f>
        <v>-12960.58</v>
      </c>
      <c r="L80" s="144">
        <f>M80+N80+O80</f>
        <v>-9102.369999999999</v>
      </c>
      <c r="M80" s="144">
        <f>'IS Feb KSA'!Z93+'IS Feb USA'!Z93</f>
        <v>1.9999999999999997E-2</v>
      </c>
      <c r="N80" s="144">
        <f>'IS Feb KSA'!AA93+'IS Feb USA'!AA93</f>
        <v>-8374.99</v>
      </c>
      <c r="O80" s="144">
        <f>'IS Feb KSA'!AB93+'IS Feb USA'!AB93</f>
        <v>-727.4</v>
      </c>
      <c r="P80" s="144">
        <f>SUM(Q80:S80)</f>
        <v>-2706.13</v>
      </c>
      <c r="Q80" s="144">
        <f>'IS Feb KSA'!AD93+'IS Feb USA'!AD93</f>
        <v>-465.85</v>
      </c>
      <c r="R80" s="144">
        <f>'IS Feb KSA'!AE93+'IS Feb USA'!AE93</f>
        <v>-2190.3000000000002</v>
      </c>
      <c r="S80" s="144">
        <f>'IS Feb KSA'!AF93+'IS Feb USA'!AF93</f>
        <v>-49.98</v>
      </c>
      <c r="T80" s="144">
        <f>SUM(U80:W80)</f>
        <v>-1382.2199999999998</v>
      </c>
      <c r="U80" s="144">
        <f>'IS Feb KSA'!AH93+'IS Feb USA'!AH93</f>
        <v>-749.96999999999991</v>
      </c>
      <c r="V80" s="144">
        <f>'IS Feb KSA'!AI93+'IS Feb USA'!AI93</f>
        <v>-602.32999999999993</v>
      </c>
      <c r="W80" s="144">
        <f>'IS Feb KSA'!AJ93+'IS Feb USA'!AJ93</f>
        <v>-29.919999999999998</v>
      </c>
      <c r="X80" s="146"/>
      <c r="Y80" s="144">
        <v>-49317.86</v>
      </c>
      <c r="Z80" s="144">
        <v>-52218.42</v>
      </c>
    </row>
    <row r="81" spans="2:26">
      <c r="B81" s="160"/>
      <c r="C81" s="160"/>
      <c r="D81" s="204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 spans="2:26">
      <c r="B82" s="143" t="s">
        <v>76</v>
      </c>
      <c r="C82" s="197">
        <f t="shared" si="39"/>
        <v>-758.04</v>
      </c>
      <c r="D82" s="197">
        <f>V82+W82+G82</f>
        <v>0</v>
      </c>
      <c r="E82" s="144">
        <f>L82+P82+H82+T82</f>
        <v>758.04</v>
      </c>
      <c r="F82" s="197">
        <f>G82-U82</f>
        <v>-758.04</v>
      </c>
      <c r="G82" s="144">
        <v>0</v>
      </c>
      <c r="H82" s="144">
        <f>SUM(I82:K82)</f>
        <v>0</v>
      </c>
      <c r="I82" s="144">
        <f>'IS Feb KSA'!V95+'IS Feb USA'!V95</f>
        <v>0</v>
      </c>
      <c r="J82" s="144">
        <f>'IS Feb KSA'!W95+'IS Feb USA'!W95</f>
        <v>0</v>
      </c>
      <c r="K82" s="144">
        <f>'IS Feb KSA'!X95+'IS Feb USA'!X95</f>
        <v>0</v>
      </c>
      <c r="L82" s="144">
        <f>M82+N82+O82</f>
        <v>0</v>
      </c>
      <c r="M82" s="144">
        <f>'IS Feb KSA'!Z95+'IS Feb USA'!Z95</f>
        <v>0</v>
      </c>
      <c r="N82" s="144">
        <f>'IS Feb KSA'!AA95+'IS Feb USA'!AA95</f>
        <v>0</v>
      </c>
      <c r="O82" s="144">
        <f>'IS Feb KSA'!AB95+'IS Feb USA'!AB95</f>
        <v>0</v>
      </c>
      <c r="P82" s="144">
        <f>SUM(Q82:S82)</f>
        <v>0</v>
      </c>
      <c r="Q82" s="144">
        <f>'IS Feb KSA'!AD95+'IS Feb USA'!AD95</f>
        <v>0</v>
      </c>
      <c r="R82" s="144">
        <f>'IS Feb KSA'!AE95+'IS Feb USA'!AE95</f>
        <v>0</v>
      </c>
      <c r="S82" s="144">
        <f>'IS Feb KSA'!AF95+'IS Feb USA'!AF95</f>
        <v>0</v>
      </c>
      <c r="T82" s="144">
        <f>SUM(U82:W82)</f>
        <v>758.04</v>
      </c>
      <c r="U82" s="144">
        <f>'IS Feb KSA'!AH95+'IS Feb USA'!AH95</f>
        <v>758.04</v>
      </c>
      <c r="V82" s="144">
        <f>'IS Feb KSA'!AI95+'IS Feb USA'!AI95</f>
        <v>0</v>
      </c>
      <c r="W82" s="144">
        <f>'IS Feb KSA'!AJ95+'IS Feb USA'!AJ95</f>
        <v>0</v>
      </c>
      <c r="X82" s="146"/>
      <c r="Y82" s="144">
        <v>6362.26</v>
      </c>
      <c r="Z82" s="144">
        <v>6362.26</v>
      </c>
    </row>
    <row r="83" spans="2:26">
      <c r="B83" s="160"/>
      <c r="C83" s="160"/>
      <c r="D83" s="204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 spans="2:26">
      <c r="B84" s="160"/>
      <c r="C84" s="160"/>
      <c r="D84" s="204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 spans="2:26">
      <c r="B85" s="143" t="s">
        <v>77</v>
      </c>
      <c r="C85" s="197">
        <f>D85-E85</f>
        <v>-16286.219937653235</v>
      </c>
      <c r="D85" s="197">
        <f>V85+W85+G85</f>
        <v>-16286.219937653235</v>
      </c>
      <c r="E85" s="144">
        <f>L85+P85+H85+T85</f>
        <v>0</v>
      </c>
      <c r="F85" s="197">
        <f>G85-U85</f>
        <v>-16286.219937653235</v>
      </c>
      <c r="G85" s="144">
        <v>-16286.219937653235</v>
      </c>
      <c r="H85" s="144">
        <f>SUM(I85:K85)</f>
        <v>0</v>
      </c>
      <c r="I85" s="144">
        <f>'IS Feb KSA'!V98+'IS Feb USA'!V98</f>
        <v>0</v>
      </c>
      <c r="J85" s="144">
        <f>'IS Feb KSA'!W98+'IS Feb USA'!W98</f>
        <v>0</v>
      </c>
      <c r="K85" s="144">
        <f>'IS Feb KSA'!X98+'IS Feb USA'!X98</f>
        <v>0</v>
      </c>
      <c r="L85" s="144">
        <f>M85+N85+O85</f>
        <v>0</v>
      </c>
      <c r="M85" s="144">
        <f>'IS Feb KSA'!Z98+'IS Feb USA'!Z98</f>
        <v>0</v>
      </c>
      <c r="N85" s="144">
        <f>'IS Feb KSA'!AA98+'IS Feb USA'!AA98</f>
        <v>0</v>
      </c>
      <c r="O85" s="144">
        <f>'IS Feb KSA'!AB98+'IS Feb USA'!AB98</f>
        <v>0</v>
      </c>
      <c r="P85" s="144">
        <f>SUM(Q85:S85)</f>
        <v>0</v>
      </c>
      <c r="Q85" s="144">
        <f>'IS Feb KSA'!AD98+'IS Feb USA'!AD98</f>
        <v>0</v>
      </c>
      <c r="R85" s="144">
        <f>'IS Feb KSA'!AE98+'IS Feb USA'!AE98</f>
        <v>0</v>
      </c>
      <c r="S85" s="144">
        <f>'IS Feb KSA'!AF98+'IS Feb USA'!AF98</f>
        <v>0</v>
      </c>
      <c r="T85" s="144">
        <f>SUM(U85:W85)</f>
        <v>0</v>
      </c>
      <c r="U85" s="144">
        <f>'IS Feb KSA'!AH98+'IS Feb USA'!AH98</f>
        <v>0</v>
      </c>
      <c r="V85" s="144">
        <f>'IS Feb KSA'!AI98+'IS Feb USA'!AI98</f>
        <v>0</v>
      </c>
      <c r="W85" s="144">
        <f>'IS Feb KSA'!AJ98+'IS Feb USA'!AJ98</f>
        <v>0</v>
      </c>
      <c r="X85" s="145"/>
      <c r="Y85" s="144">
        <v>475000</v>
      </c>
      <c r="Z85" s="144">
        <v>-706164.6100000001</v>
      </c>
    </row>
    <row r="86" spans="2:26">
      <c r="B86" s="160"/>
      <c r="C86" s="160"/>
      <c r="D86" s="204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 spans="2:26">
      <c r="B87" s="143" t="s">
        <v>189</v>
      </c>
      <c r="C87" s="197">
        <f t="shared" ref="C87" si="40">D87-E87</f>
        <v>272550.03000000003</v>
      </c>
      <c r="D87" s="197">
        <f>V87+W87+G87</f>
        <v>-90849.95</v>
      </c>
      <c r="E87" s="144">
        <f>L87+P87+H87+T87</f>
        <v>-363399.98000000004</v>
      </c>
      <c r="F87" s="197">
        <f>G87-U87</f>
        <v>5.9999999997671694E-2</v>
      </c>
      <c r="G87" s="144">
        <f>V87</f>
        <v>-30283.31</v>
      </c>
      <c r="H87" s="144">
        <f>SUM(I87:K87)</f>
        <v>-90849.99</v>
      </c>
      <c r="I87" s="144">
        <f>'IS Feb KSA'!V100+'IS Feb USA'!V100</f>
        <v>-30283.33</v>
      </c>
      <c r="J87" s="144">
        <f>'IS Feb KSA'!W100+'IS Feb USA'!W100</f>
        <v>-30283.33</v>
      </c>
      <c r="K87" s="144">
        <f>'IS Feb KSA'!X100+'IS Feb USA'!X100</f>
        <v>-30283.33</v>
      </c>
      <c r="L87" s="144">
        <f>M87+N87+O87</f>
        <v>-90849.99</v>
      </c>
      <c r="M87" s="144">
        <f>'IS Feb KSA'!Z100+'IS Feb USA'!Z100</f>
        <v>-30283.33</v>
      </c>
      <c r="N87" s="144">
        <f>'IS Feb KSA'!AA100+'IS Feb USA'!AA100</f>
        <v>-30283.33</v>
      </c>
      <c r="O87" s="144">
        <f>'IS Feb KSA'!AB100+'IS Feb USA'!AB100</f>
        <v>-30283.33</v>
      </c>
      <c r="P87" s="144">
        <f>SUM(Q87:S87)</f>
        <v>-90849.99</v>
      </c>
      <c r="Q87" s="144">
        <f>'IS Feb KSA'!AD100+'IS Feb USA'!AD100</f>
        <v>-30283.33</v>
      </c>
      <c r="R87" s="144">
        <f>'IS Feb KSA'!AE100+'IS Feb USA'!AE100</f>
        <v>-30283.33</v>
      </c>
      <c r="S87" s="144">
        <f>'IS Feb KSA'!AF100+'IS Feb USA'!AF100</f>
        <v>-30283.33</v>
      </c>
      <c r="T87" s="144">
        <f>SUM(U87:W87)</f>
        <v>-90850.010000000009</v>
      </c>
      <c r="U87" s="144">
        <f>'IS Feb KSA'!AH100+'IS Feb USA'!AH100</f>
        <v>-30283.37</v>
      </c>
      <c r="V87" s="144">
        <f>'IS Feb KSA'!AI100+'IS Feb USA'!AI100</f>
        <v>-30283.31</v>
      </c>
      <c r="W87" s="144">
        <f>'IS Feb KSA'!AJ100+'IS Feb USA'!AJ100</f>
        <v>-30283.33</v>
      </c>
      <c r="X87" s="145"/>
      <c r="Y87" s="144">
        <v>-30283.33</v>
      </c>
      <c r="Z87" s="144">
        <v>-365252.64</v>
      </c>
    </row>
    <row r="88" spans="2:26">
      <c r="B88" s="160"/>
      <c r="C88" s="160"/>
      <c r="D88" s="204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 spans="2:26">
      <c r="B89" s="207" t="s">
        <v>79</v>
      </c>
      <c r="C89" s="197">
        <f t="shared" ref="C89" si="41">D89-E89</f>
        <v>3468246.3248888883</v>
      </c>
      <c r="D89" s="197">
        <f>V89+W89+G89</f>
        <v>-856177.29511111102</v>
      </c>
      <c r="E89" s="144">
        <f>L89+P89+H89+T89</f>
        <v>-4324423.6199999992</v>
      </c>
      <c r="F89" s="197">
        <f>G89-U89</f>
        <v>26308.804888889019</v>
      </c>
      <c r="G89" s="144">
        <f>-408894.445111111-G87-G91</f>
        <v>-360760.63511111098</v>
      </c>
      <c r="H89" s="144">
        <f>SUM(I89:K89)</f>
        <v>-1148520.8400000001</v>
      </c>
      <c r="I89" s="144">
        <f>'IS Feb KSA'!V102+'IS Feb USA'!V102</f>
        <v>-387069.45</v>
      </c>
      <c r="J89" s="144">
        <f>'IS Feb KSA'!W102+'IS Feb USA'!W102</f>
        <v>-387069.45</v>
      </c>
      <c r="K89" s="144">
        <f>'IS Feb KSA'!X102+'IS Feb USA'!X102</f>
        <v>-374381.94</v>
      </c>
      <c r="L89" s="144">
        <f>M89+N89+O89</f>
        <v>-1153152.79</v>
      </c>
      <c r="M89" s="144">
        <f>'IS Feb KSA'!Z102+'IS Feb USA'!Z102</f>
        <v>-391097.22</v>
      </c>
      <c r="N89" s="144">
        <f>'IS Feb KSA'!AA102+'IS Feb USA'!AA102</f>
        <v>-383041.67</v>
      </c>
      <c r="O89" s="144">
        <f>'IS Feb KSA'!AB102+'IS Feb USA'!AB102</f>
        <v>-379013.9</v>
      </c>
      <c r="P89" s="144">
        <f>SUM(Q89:S89)</f>
        <v>-1140263.8899999999</v>
      </c>
      <c r="Q89" s="144">
        <f>'IS Feb KSA'!AD102+'IS Feb USA'!AD102</f>
        <v>-391097.22</v>
      </c>
      <c r="R89" s="144">
        <f>'IS Feb KSA'!AE102+'IS Feb USA'!AE102</f>
        <v>-378409.72</v>
      </c>
      <c r="S89" s="144">
        <f>'IS Feb KSA'!AF102+'IS Feb USA'!AF102</f>
        <v>-370756.95</v>
      </c>
      <c r="T89" s="144">
        <f>SUM(U89:W89)</f>
        <v>-882486.1</v>
      </c>
      <c r="U89" s="144">
        <f>'IS Feb KSA'!AH102+'IS Feb USA'!AH102</f>
        <v>-387069.44</v>
      </c>
      <c r="V89" s="144">
        <f>'IS Feb KSA'!AI102+'IS Feb USA'!AI102</f>
        <v>-239250</v>
      </c>
      <c r="W89" s="144">
        <f>'IS Feb KSA'!AJ102+'IS Feb USA'!AJ102</f>
        <v>-256166.66</v>
      </c>
      <c r="Y89" s="144">
        <v>-255965.28</v>
      </c>
      <c r="Z89" s="144">
        <v>-497027.78</v>
      </c>
    </row>
    <row r="90" spans="2:26">
      <c r="B90" s="160"/>
      <c r="C90" s="160"/>
      <c r="D90" s="204"/>
      <c r="E90" s="146"/>
      <c r="F90" s="162"/>
      <c r="G90" s="162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62"/>
      <c r="T90" s="162"/>
      <c r="U90" s="162"/>
      <c r="V90" s="162"/>
      <c r="W90" s="162"/>
      <c r="X90" s="146"/>
      <c r="Y90" s="146"/>
      <c r="Z90" s="146"/>
    </row>
    <row r="91" spans="2:26">
      <c r="B91" s="143" t="s">
        <v>80</v>
      </c>
      <c r="C91" s="197">
        <f>D91-E91</f>
        <v>214368.78000000003</v>
      </c>
      <c r="D91" s="197">
        <f>V91+W91+G91</f>
        <v>-53551.5</v>
      </c>
      <c r="E91" s="144">
        <f>L91+P91+H91+T91</f>
        <v>-267920.28000000003</v>
      </c>
      <c r="F91" s="197">
        <f>G91-U91</f>
        <v>0</v>
      </c>
      <c r="G91" s="144">
        <f>V91</f>
        <v>-17850.5</v>
      </c>
      <c r="H91" s="144">
        <f>SUM(I91:K91)</f>
        <v>-66956.259999999995</v>
      </c>
      <c r="I91" s="172">
        <f>'IS Feb KSA'!V104+'IS Feb USA'!V104</f>
        <v>-39009.379999999997</v>
      </c>
      <c r="J91" s="172">
        <f>'IS Feb KSA'!W104+'IS Feb USA'!W104</f>
        <v>-27946.880000000001</v>
      </c>
      <c r="K91" s="144"/>
      <c r="L91" s="144">
        <f>M91+N91+O91</f>
        <v>-83840.639999999999</v>
      </c>
      <c r="M91" s="144">
        <f>'IS Feb KSA'!Z104+'IS Feb USA'!Z104</f>
        <v>-27946.880000000001</v>
      </c>
      <c r="N91" s="144">
        <f>'IS Feb KSA'!AA104+'IS Feb USA'!AA104</f>
        <v>-27946.880000000001</v>
      </c>
      <c r="O91" s="144">
        <f>'IS Feb KSA'!AB104+'IS Feb USA'!AB104</f>
        <v>-27946.880000000001</v>
      </c>
      <c r="P91" s="144">
        <f>SUM(Q91:S91)</f>
        <v>-63571.880000000005</v>
      </c>
      <c r="Q91" s="144">
        <f>'IS Feb KSA'!AD104+'IS Feb USA'!AD104</f>
        <v>-27946.880000000001</v>
      </c>
      <c r="R91" s="144">
        <f>'IS Feb KSA'!AE104+'IS Feb USA'!AE104</f>
        <v>-17812.5</v>
      </c>
      <c r="S91" s="144">
        <f>'IS Feb KSA'!AF104+'IS Feb USA'!AF104</f>
        <v>-17812.5</v>
      </c>
      <c r="T91" s="144">
        <f>SUM(U91:W91)</f>
        <v>-53551.5</v>
      </c>
      <c r="U91" s="144">
        <f>'IS Feb KSA'!AH104+'IS Feb USA'!AH104</f>
        <v>-17850.5</v>
      </c>
      <c r="V91" s="144">
        <f>'IS Feb KSA'!AI104+'IS Feb USA'!AI104</f>
        <v>-17850.5</v>
      </c>
      <c r="W91" s="144">
        <f>'IS Feb KSA'!AJ104+'IS Feb USA'!AJ104</f>
        <v>-17850.5</v>
      </c>
      <c r="Y91" s="172">
        <v>-17850.5</v>
      </c>
      <c r="Z91" s="144">
        <v>-69147.199999999997</v>
      </c>
    </row>
    <row r="92" spans="2:26">
      <c r="B92" s="160"/>
      <c r="C92" s="160"/>
      <c r="D92" s="204"/>
      <c r="E92" s="146"/>
      <c r="F92" s="162"/>
      <c r="G92" s="162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62"/>
      <c r="T92" s="162"/>
      <c r="U92" s="162"/>
      <c r="V92" s="162"/>
      <c r="W92" s="162"/>
      <c r="X92" s="146"/>
      <c r="Y92" s="146"/>
      <c r="Z92" s="146"/>
    </row>
    <row r="93" spans="2:26">
      <c r="B93" s="171" t="s">
        <v>82</v>
      </c>
      <c r="C93" s="197">
        <f t="shared" ref="C93" si="42">D93-E93</f>
        <v>3332.1733333333323</v>
      </c>
      <c r="D93" s="197">
        <f>V93+W93+G93</f>
        <v>-59166.666666666664</v>
      </c>
      <c r="E93" s="144">
        <f>L93+P93+H93+T93</f>
        <v>-62498.84</v>
      </c>
      <c r="F93" s="197">
        <f>G93-U93</f>
        <v>-6666.666666666667</v>
      </c>
      <c r="G93" s="144">
        <v>-6666.666666666667</v>
      </c>
      <c r="H93" s="144">
        <f>SUM(I93:K93)</f>
        <v>0</v>
      </c>
      <c r="I93" s="172">
        <f>'IS Feb KSA'!V114+'IS Feb USA'!V114</f>
        <v>0</v>
      </c>
      <c r="J93" s="172">
        <f>'IS Feb KSA'!W114+'IS Feb USA'!W114</f>
        <v>0</v>
      </c>
      <c r="K93" s="144">
        <f>'IS Feb KSA'!X114+'IS Feb USA'!X114</f>
        <v>0</v>
      </c>
      <c r="L93" s="144">
        <f>M93+N93+O93</f>
        <v>0</v>
      </c>
      <c r="M93" s="144">
        <f>'IS Feb KSA'!Z114+'IS Feb USA'!Z114</f>
        <v>0</v>
      </c>
      <c r="N93" s="144">
        <f>'IS Feb KSA'!AA114+'IS Feb USA'!AA114</f>
        <v>0</v>
      </c>
      <c r="O93" s="144">
        <f>'IS Feb KSA'!AB114+'IS Feb USA'!AB114</f>
        <v>0</v>
      </c>
      <c r="P93" s="144">
        <f>SUM(Q93:S93)</f>
        <v>-9998.84</v>
      </c>
      <c r="Q93" s="144">
        <f>'IS Feb KSA'!AD114+'IS Feb USA'!AD114</f>
        <v>0</v>
      </c>
      <c r="R93" s="144">
        <f>'IS Feb KSA'!AE114+'IS Feb USA'!AE114</f>
        <v>0</v>
      </c>
      <c r="S93" s="144">
        <f>'IS Feb KSA'!AF114+'IS Feb USA'!AF114</f>
        <v>-9998.84</v>
      </c>
      <c r="T93" s="144">
        <f>SUM(U93:W93)</f>
        <v>-52500</v>
      </c>
      <c r="U93" s="144">
        <f>'IS Feb KSA'!AH114+'IS Feb USA'!AH114</f>
        <v>0</v>
      </c>
      <c r="V93" s="144">
        <f>'IS Feb KSA'!AI114+'IS Feb USA'!AI114</f>
        <v>-52500</v>
      </c>
      <c r="W93" s="144">
        <f>'IS Feb KSA'!AJ114+'IS Feb USA'!AJ114</f>
        <v>0</v>
      </c>
      <c r="Y93" s="172">
        <v>0</v>
      </c>
      <c r="Z93" s="144">
        <v>-102500</v>
      </c>
    </row>
    <row r="94" spans="2:26">
      <c r="B94" s="160"/>
      <c r="C94" s="160"/>
      <c r="D94" s="204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 spans="2:26">
      <c r="B95" s="143" t="s">
        <v>83</v>
      </c>
      <c r="C95" s="197">
        <f>D95-E95</f>
        <v>41460.882222222215</v>
      </c>
      <c r="D95" s="197">
        <f>V95+W95+G95</f>
        <v>-7505.2977777777778</v>
      </c>
      <c r="E95" s="144">
        <f>L95+P95+H95+T95</f>
        <v>-48966.179999999993</v>
      </c>
      <c r="F95" s="197">
        <f>G95-U95</f>
        <v>-414.01777777777761</v>
      </c>
      <c r="G95" s="144">
        <v>-2777.7777777777778</v>
      </c>
      <c r="H95" s="144">
        <f>SUM(I95:K95)</f>
        <v>-7083.2999999999993</v>
      </c>
      <c r="I95" s="172">
        <f>'IS Feb KSA'!V116+'IS Feb USA'!V116</f>
        <v>-2361.1</v>
      </c>
      <c r="J95" s="172">
        <f>'IS Feb KSA'!W116+'IS Feb USA'!W116</f>
        <v>-2361.1</v>
      </c>
      <c r="K95" s="172">
        <f>'IS Feb KSA'!X116+'IS Feb USA'!X116</f>
        <v>-2361.1</v>
      </c>
      <c r="L95" s="144">
        <f>M95+N95+O95</f>
        <v>-27708.3</v>
      </c>
      <c r="M95" s="144">
        <f>'IS Feb KSA'!Z116+'IS Feb USA'!Z116</f>
        <v>-22986.100000000002</v>
      </c>
      <c r="N95" s="144">
        <f>'IS Feb KSA'!AA116+'IS Feb USA'!AA116</f>
        <v>-2361.1</v>
      </c>
      <c r="O95" s="144">
        <f>'IS Feb KSA'!AB116+'IS Feb USA'!AB116</f>
        <v>-2361.1</v>
      </c>
      <c r="P95" s="144">
        <f>SUM(Q95:S95)</f>
        <v>-7083.2999999999993</v>
      </c>
      <c r="Q95" s="144">
        <f>'IS Feb KSA'!AD116+'IS Feb USA'!AD116</f>
        <v>-2361.1</v>
      </c>
      <c r="R95" s="144">
        <f>'IS Feb KSA'!AE116+'IS Feb USA'!AE116</f>
        <v>-2361.1</v>
      </c>
      <c r="S95" s="144">
        <f>'IS Feb KSA'!AF116+'IS Feb USA'!AF116</f>
        <v>-2361.1</v>
      </c>
      <c r="T95" s="144">
        <f>SUM(U95:W95)</f>
        <v>-7091.2800000000007</v>
      </c>
      <c r="U95" s="144">
        <f>'IS Feb KSA'!AH116+'IS Feb USA'!AH116</f>
        <v>-2363.7600000000002</v>
      </c>
      <c r="V95" s="144">
        <f>'IS Feb KSA'!AI116+'IS Feb USA'!AI116</f>
        <v>-2363.7600000000002</v>
      </c>
      <c r="W95" s="144">
        <f>'IS Feb KSA'!AJ116+'IS Feb USA'!AJ116</f>
        <v>-2363.7600000000002</v>
      </c>
      <c r="X95" s="145"/>
      <c r="Y95" s="172">
        <v>-2363.7600000000002</v>
      </c>
      <c r="Z95" s="144">
        <v>-9313.5</v>
      </c>
    </row>
    <row r="96" spans="2:26">
      <c r="B96" s="160"/>
      <c r="C96" s="160"/>
      <c r="D96" s="204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 spans="2:26">
      <c r="B97" s="206" t="s">
        <v>84</v>
      </c>
      <c r="C97" s="197">
        <f t="shared" ref="C97" si="43">D97-E97</f>
        <v>0</v>
      </c>
      <c r="D97" s="197"/>
      <c r="E97" s="144">
        <f>K97+L97+P97+T97+J97+I97</f>
        <v>0</v>
      </c>
      <c r="F97" s="197">
        <f>G97-V97</f>
        <v>0</v>
      </c>
      <c r="G97" s="144"/>
      <c r="H97" s="144">
        <f>SUM(I97:K97)</f>
        <v>0</v>
      </c>
      <c r="I97" s="144">
        <v>0</v>
      </c>
      <c r="J97" s="144">
        <v>0</v>
      </c>
      <c r="K97" s="144">
        <v>0</v>
      </c>
      <c r="L97" s="144">
        <f>M97+N97+O97</f>
        <v>0</v>
      </c>
      <c r="M97" s="144">
        <f>'IS Feb KSA'!Z118+'IS Feb USA'!Z118</f>
        <v>0</v>
      </c>
      <c r="N97" s="144">
        <f>'IS Feb KSA'!AA118+'IS Feb USA'!AA118</f>
        <v>0</v>
      </c>
      <c r="O97" s="144">
        <f>'IS Feb KSA'!AB118+'IS Feb USA'!AB118</f>
        <v>0</v>
      </c>
      <c r="P97" s="144">
        <f>SUM(Q97:S97)</f>
        <v>0</v>
      </c>
      <c r="Q97" s="144">
        <f>'IS Feb KSA'!AD118+'IS Feb USA'!AD118</f>
        <v>0</v>
      </c>
      <c r="R97" s="144">
        <f>'IS Feb KSA'!AE118+'IS Feb USA'!AE118</f>
        <v>0</v>
      </c>
      <c r="S97" s="144">
        <f>'IS Feb KSA'!AF118+'IS Feb USA'!AF118</f>
        <v>0</v>
      </c>
      <c r="T97" s="144">
        <f>SUM(U97:W97)</f>
        <v>0</v>
      </c>
      <c r="U97" s="144">
        <f>'IS Feb KSA'!AH118+'IS Feb USA'!AH118</f>
        <v>0</v>
      </c>
      <c r="V97" s="144">
        <f>'IS Feb KSA'!AI118+'IS Feb USA'!AI118</f>
        <v>0</v>
      </c>
      <c r="W97" s="144">
        <f>'IS Feb KSA'!AJ118+'IS Feb USA'!AJ118</f>
        <v>0</v>
      </c>
      <c r="X97" s="145"/>
      <c r="Y97" s="144">
        <v>0</v>
      </c>
      <c r="Z97" s="144">
        <v>0</v>
      </c>
    </row>
    <row r="98" spans="2:26">
      <c r="B98" s="160"/>
      <c r="C98" s="160"/>
      <c r="D98" s="204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 spans="2:26">
      <c r="B99" s="143" t="s">
        <v>85</v>
      </c>
      <c r="C99" s="143"/>
      <c r="D99" s="197"/>
      <c r="E99" s="144">
        <f>K99+L99+P99+T99+J99+I99</f>
        <v>0</v>
      </c>
      <c r="F99" s="144"/>
      <c r="G99" s="144">
        <v>0</v>
      </c>
      <c r="H99" s="144">
        <f>SUM(I99:K99)</f>
        <v>0</v>
      </c>
      <c r="I99" s="144">
        <v>0</v>
      </c>
      <c r="J99" s="144">
        <v>0</v>
      </c>
      <c r="K99" s="144">
        <v>0</v>
      </c>
      <c r="L99" s="144">
        <f>M99+N99+O99</f>
        <v>0</v>
      </c>
      <c r="M99" s="144">
        <f>'IS Feb KSA'!Z120+'IS Feb USA'!Z120</f>
        <v>0</v>
      </c>
      <c r="N99" s="144">
        <f>'IS Feb KSA'!AA120+'IS Feb USA'!AA120</f>
        <v>0</v>
      </c>
      <c r="O99" s="144">
        <f>'IS Feb KSA'!AB120+'IS Feb USA'!AB120</f>
        <v>0</v>
      </c>
      <c r="P99" s="144">
        <f>SUM(Q99:S99)</f>
        <v>0</v>
      </c>
      <c r="Q99" s="144">
        <f>'IS Feb KSA'!AD120+'IS Feb USA'!AD120</f>
        <v>0</v>
      </c>
      <c r="R99" s="144">
        <f>'IS Feb KSA'!AE120+'IS Feb USA'!AE120</f>
        <v>0</v>
      </c>
      <c r="S99" s="144">
        <f>'IS Feb KSA'!AF120+'IS Feb USA'!AF120</f>
        <v>0</v>
      </c>
      <c r="T99" s="144">
        <f>SUM(U99:W99)</f>
        <v>0</v>
      </c>
      <c r="U99" s="144">
        <f>'IS Feb KSA'!AH120+'IS Feb USA'!AH120</f>
        <v>0</v>
      </c>
      <c r="V99" s="144">
        <f>'IS Feb KSA'!AI120+'IS Feb USA'!AI120</f>
        <v>0</v>
      </c>
      <c r="W99" s="144">
        <f>'IS Feb KSA'!AJ120+'IS Feb USA'!AJ120</f>
        <v>0</v>
      </c>
      <c r="X99" s="145"/>
      <c r="Y99" s="144">
        <v>0</v>
      </c>
      <c r="Z99" s="144">
        <v>5910.49</v>
      </c>
    </row>
    <row r="100" spans="2:26">
      <c r="B100" s="160"/>
      <c r="C100" s="160"/>
      <c r="D100" s="204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 spans="2:26">
      <c r="B101" s="148" t="s">
        <v>86</v>
      </c>
      <c r="C101" s="197">
        <f t="shared" ref="C101" si="44">D101-E101</f>
        <v>2820085.302727446</v>
      </c>
      <c r="D101" s="197">
        <f>V101+W101+G101</f>
        <v>-1345261.8772725565</v>
      </c>
      <c r="E101" s="149">
        <f>+E77+E85+E87+E97+E99+E80+E89+E93+E95+E91+E82</f>
        <v>-4165347.1800000025</v>
      </c>
      <c r="F101" s="197">
        <f>G101-U101</f>
        <v>-645954.02727255621</v>
      </c>
      <c r="G101" s="149">
        <f>+G77+G85+G87+G97+G99+G80+G89+G93+G95+G91+G82</f>
        <v>-745778.85727255652</v>
      </c>
      <c r="H101" s="149">
        <f>+H77+H85+H87+H97+H99+H80+H89+H93+H95+H91+H82</f>
        <v>-1235207.6199999996</v>
      </c>
      <c r="I101" s="149">
        <f t="shared" ref="I101:U101" si="45">+I77+I85+I87+I97+I99+I80+I89+I93+I95+I91+I82</f>
        <v>180765.03000000029</v>
      </c>
      <c r="J101" s="149">
        <f t="shared" si="45"/>
        <v>-649134.84999999916</v>
      </c>
      <c r="K101" s="149">
        <f t="shared" si="45"/>
        <v>-766837.80000000063</v>
      </c>
      <c r="L101" s="149">
        <f t="shared" si="45"/>
        <v>-978357.64000000176</v>
      </c>
      <c r="M101" s="149">
        <f t="shared" si="45"/>
        <v>-723236.44000000111</v>
      </c>
      <c r="N101" s="149">
        <f t="shared" si="45"/>
        <v>-888788.92000000062</v>
      </c>
      <c r="O101" s="149">
        <f t="shared" si="45"/>
        <v>633791.85</v>
      </c>
      <c r="P101" s="149">
        <f t="shared" si="45"/>
        <v>-1252474.0700000017</v>
      </c>
      <c r="Q101" s="149">
        <f t="shared" si="45"/>
        <v>-568277.31000000041</v>
      </c>
      <c r="R101" s="149">
        <f t="shared" si="45"/>
        <v>-286260.89000000036</v>
      </c>
      <c r="S101" s="149">
        <f t="shared" si="45"/>
        <v>-397837.61000000121</v>
      </c>
      <c r="T101" s="149">
        <f t="shared" si="45"/>
        <v>-699307.85000000068</v>
      </c>
      <c r="U101" s="149">
        <f t="shared" si="45"/>
        <v>-99824.830000000278</v>
      </c>
      <c r="V101" s="149">
        <f>+V77+V85+V87+V97+V99+V80+V89+V93+V95+V91+V82</f>
        <v>-264944.56999999925</v>
      </c>
      <c r="W101" s="149">
        <f t="shared" ref="W101:Z101" si="46">+W77+W85+W87+W97+W99+W80+W89+W93+W95+W91+W82</f>
        <v>-334538.45000000065</v>
      </c>
      <c r="X101" s="150"/>
      <c r="Y101" s="149">
        <f t="shared" si="46"/>
        <v>-213210.84000000035</v>
      </c>
      <c r="Z101" s="149">
        <f t="shared" si="46"/>
        <v>-2847594.0500000017</v>
      </c>
    </row>
    <row r="102" spans="2:26" ht="15.6">
      <c r="B102" s="163"/>
      <c r="C102" s="163"/>
      <c r="D102" s="205"/>
      <c r="E102" s="127"/>
      <c r="F102" s="164"/>
      <c r="G102" s="164"/>
      <c r="H102" s="164"/>
      <c r="I102" s="165"/>
      <c r="J102" s="165"/>
      <c r="K102" s="165"/>
      <c r="L102" s="165"/>
      <c r="M102" s="164"/>
      <c r="N102" s="164"/>
      <c r="O102" s="164"/>
      <c r="P102" s="164"/>
      <c r="Q102" s="164"/>
      <c r="R102" s="164"/>
      <c r="S102" s="164"/>
      <c r="T102" s="164"/>
      <c r="U102" s="164"/>
      <c r="V102" s="165"/>
      <c r="W102" s="165"/>
      <c r="X102" s="165"/>
      <c r="Y102" s="165"/>
      <c r="Z102" s="127"/>
    </row>
    <row r="103" spans="2:26">
      <c r="E103" s="126"/>
      <c r="G103" s="126"/>
      <c r="H103" s="127"/>
      <c r="I103" s="126"/>
      <c r="J103" s="126"/>
      <c r="K103" s="126"/>
      <c r="L103" s="166"/>
      <c r="N103" s="166"/>
      <c r="O103" s="166"/>
      <c r="W103" s="126"/>
      <c r="Y103" s="126">
        <v>-213210.83999999965</v>
      </c>
    </row>
    <row r="104" spans="2:26">
      <c r="D104" s="127"/>
      <c r="E104" s="127"/>
      <c r="F104" s="188"/>
      <c r="G104" s="208"/>
      <c r="H104" s="127"/>
      <c r="I104" s="188"/>
      <c r="J104" s="123"/>
      <c r="K104" s="123"/>
      <c r="L104" s="123"/>
      <c r="M104" s="123"/>
      <c r="N104" s="123"/>
      <c r="O104" s="123"/>
      <c r="P104" s="167"/>
      <c r="Q104" s="123"/>
      <c r="R104" s="123"/>
      <c r="S104" s="123"/>
      <c r="T104" s="167"/>
      <c r="U104" s="188"/>
      <c r="V104" s="198"/>
      <c r="W104" s="123"/>
      <c r="X104" s="167"/>
      <c r="Y104" s="188">
        <f>Y101-Y103</f>
        <v>-6.9849193096160889E-10</v>
      </c>
      <c r="Z104" s="127"/>
    </row>
    <row r="105" spans="2:26">
      <c r="E105" s="170"/>
      <c r="F105" s="127"/>
      <c r="G105" s="127"/>
      <c r="H105" s="127"/>
      <c r="I105" s="123"/>
      <c r="J105" s="123"/>
      <c r="K105" s="123"/>
      <c r="L105" s="123"/>
      <c r="T105" s="127"/>
      <c r="U105" s="127"/>
      <c r="V105" s="127"/>
      <c r="W105" s="127"/>
      <c r="Y105" s="123"/>
      <c r="Z105" s="170"/>
    </row>
    <row r="106" spans="2:26">
      <c r="E106" s="127"/>
      <c r="H106" s="127"/>
      <c r="J106" s="126"/>
      <c r="Z106" s="127"/>
    </row>
    <row r="107" spans="2:26">
      <c r="E107" s="127"/>
      <c r="H107" s="127"/>
      <c r="Z107" s="127"/>
    </row>
    <row r="108" spans="2:26">
      <c r="E108" s="127"/>
      <c r="H108" s="127"/>
      <c r="Z108" s="127"/>
    </row>
    <row r="109" spans="2:26">
      <c r="E109" s="127"/>
      <c r="H109" s="127"/>
      <c r="Z109" s="127"/>
    </row>
    <row r="110" spans="2:26">
      <c r="E110" s="127"/>
      <c r="H110" s="127"/>
      <c r="Z110" s="127"/>
    </row>
    <row r="111" spans="2:26">
      <c r="E111" s="127"/>
      <c r="H111" s="127"/>
      <c r="Z111" s="127"/>
    </row>
    <row r="112" spans="2:26">
      <c r="E112" s="127"/>
      <c r="H112" s="127"/>
      <c r="Z112" s="127"/>
    </row>
    <row r="113" spans="5:26">
      <c r="E113" s="127"/>
      <c r="H113" s="127"/>
      <c r="Z113" s="127"/>
    </row>
    <row r="114" spans="5:26">
      <c r="E114" s="127"/>
      <c r="H114" s="127"/>
      <c r="Z114" s="127"/>
    </row>
    <row r="115" spans="5:26">
      <c r="E115" s="127"/>
      <c r="H115" s="127"/>
      <c r="Z115" s="127"/>
    </row>
    <row r="116" spans="5:26">
      <c r="E116" s="127"/>
      <c r="H116" s="127"/>
      <c r="Z116" s="127"/>
    </row>
    <row r="117" spans="5:26">
      <c r="E117" s="127"/>
      <c r="H117" s="127"/>
      <c r="Z117" s="127"/>
    </row>
    <row r="118" spans="5:26">
      <c r="E118" s="127"/>
      <c r="H118" s="127"/>
      <c r="Z118" s="127"/>
    </row>
    <row r="119" spans="5:26">
      <c r="E119" s="127"/>
      <c r="H119" s="127"/>
      <c r="Z119" s="127"/>
    </row>
    <row r="120" spans="5:26">
      <c r="E120" s="127"/>
      <c r="H120" s="127"/>
      <c r="Z120" s="127"/>
    </row>
    <row r="121" spans="5:26">
      <c r="E121" s="127"/>
      <c r="H121" s="127"/>
      <c r="Z121" s="127"/>
    </row>
    <row r="122" spans="5:26">
      <c r="E122" s="127"/>
      <c r="H122" s="127"/>
      <c r="Z122" s="127"/>
    </row>
    <row r="123" spans="5:26">
      <c r="E123" s="127"/>
      <c r="H123" s="127"/>
      <c r="Z123" s="127"/>
    </row>
    <row r="124" spans="5:26">
      <c r="E124" s="127"/>
      <c r="H124" s="127"/>
      <c r="Z124" s="127"/>
    </row>
    <row r="125" spans="5:26">
      <c r="E125" s="127"/>
      <c r="H125" s="127"/>
      <c r="Z125" s="127"/>
    </row>
    <row r="126" spans="5:26">
      <c r="E126" s="127"/>
      <c r="H126" s="127"/>
      <c r="Z126" s="127"/>
    </row>
    <row r="127" spans="5:26">
      <c r="E127" s="127"/>
      <c r="H127" s="127"/>
      <c r="Z127" s="127"/>
    </row>
    <row r="128" spans="5:26">
      <c r="E128" s="127"/>
      <c r="H128" s="127"/>
      <c r="Z128" s="127"/>
    </row>
    <row r="129" spans="5:26">
      <c r="E129" s="127"/>
      <c r="H129" s="127"/>
      <c r="Z129" s="127"/>
    </row>
    <row r="130" spans="5:26">
      <c r="E130" s="127"/>
      <c r="H130" s="127"/>
      <c r="Z130" s="127"/>
    </row>
    <row r="131" spans="5:26">
      <c r="E131" s="127"/>
      <c r="H131" s="127"/>
      <c r="Z131" s="127"/>
    </row>
    <row r="132" spans="5:26">
      <c r="E132" s="127"/>
      <c r="H132" s="127"/>
      <c r="Z132" s="127"/>
    </row>
    <row r="133" spans="5:26">
      <c r="E133" s="127"/>
      <c r="H133" s="127"/>
      <c r="Z133" s="127"/>
    </row>
    <row r="134" spans="5:26">
      <c r="E134" s="127"/>
      <c r="H134" s="127"/>
      <c r="Z134" s="127"/>
    </row>
    <row r="135" spans="5:26">
      <c r="E135" s="127"/>
      <c r="H135" s="127"/>
      <c r="Z135" s="127"/>
    </row>
    <row r="136" spans="5:26">
      <c r="E136" s="127"/>
      <c r="H136" s="127"/>
      <c r="Z136" s="127"/>
    </row>
    <row r="137" spans="5:26">
      <c r="E137" s="127"/>
      <c r="H137" s="127"/>
      <c r="Z137" s="127"/>
    </row>
    <row r="138" spans="5:26">
      <c r="E138" s="127"/>
      <c r="H138" s="127"/>
      <c r="Z138" s="127"/>
    </row>
    <row r="139" spans="5:26">
      <c r="E139" s="127"/>
      <c r="H139" s="127"/>
      <c r="Z139" s="127"/>
    </row>
    <row r="140" spans="5:26">
      <c r="E140" s="127"/>
      <c r="H140" s="127"/>
      <c r="Z140" s="127"/>
    </row>
    <row r="141" spans="5:26">
      <c r="E141" s="127"/>
      <c r="H141" s="127"/>
      <c r="Z141" s="127"/>
    </row>
    <row r="142" spans="5:26">
      <c r="E142" s="127"/>
      <c r="H142" s="127"/>
      <c r="Z142" s="127"/>
    </row>
    <row r="143" spans="5:26">
      <c r="E143" s="127"/>
      <c r="H143" s="127"/>
      <c r="Z143" s="127"/>
    </row>
    <row r="144" spans="5:26">
      <c r="E144" s="127"/>
      <c r="H144" s="127"/>
      <c r="Z144" s="127"/>
    </row>
    <row r="145" spans="5:26">
      <c r="E145" s="127"/>
      <c r="H145" s="127"/>
      <c r="Z145" s="127"/>
    </row>
    <row r="146" spans="5:26">
      <c r="E146" s="127"/>
      <c r="H146" s="127"/>
      <c r="Z146" s="127"/>
    </row>
    <row r="147" spans="5:26">
      <c r="E147" s="127"/>
      <c r="H147" s="127"/>
      <c r="Z147" s="127"/>
    </row>
    <row r="148" spans="5:26">
      <c r="E148" s="127"/>
      <c r="H148" s="127"/>
      <c r="Z148" s="127"/>
    </row>
    <row r="149" spans="5:26">
      <c r="E149" s="127"/>
      <c r="H149" s="127"/>
      <c r="Z149" s="127"/>
    </row>
    <row r="150" spans="5:26">
      <c r="E150" s="127"/>
      <c r="H150" s="127"/>
      <c r="Z150" s="127"/>
    </row>
    <row r="151" spans="5:26">
      <c r="E151" s="127"/>
      <c r="H151" s="127"/>
      <c r="Z151" s="127"/>
    </row>
    <row r="152" spans="5:26">
      <c r="E152" s="127"/>
      <c r="H152" s="127"/>
      <c r="Z152" s="127"/>
    </row>
    <row r="153" spans="5:26">
      <c r="E153" s="127"/>
      <c r="H153" s="127"/>
      <c r="Z153" s="127"/>
    </row>
    <row r="154" spans="5:26">
      <c r="E154" s="127"/>
      <c r="H154" s="127"/>
      <c r="Z154" s="127"/>
    </row>
    <row r="155" spans="5:26">
      <c r="E155" s="127"/>
      <c r="H155" s="127"/>
      <c r="Z155" s="127"/>
    </row>
    <row r="156" spans="5:26">
      <c r="E156" s="127"/>
      <c r="H156" s="127"/>
      <c r="Z156" s="127"/>
    </row>
  </sheetData>
  <autoFilter ref="A7:AC101" xr:uid="{0B9D8580-E5F1-4DD1-8580-B9D507D288C5}"/>
  <mergeCells count="2">
    <mergeCell ref="I1:K1"/>
    <mergeCell ref="L1:M1"/>
  </mergeCells>
  <conditionalFormatting sqref="C10:C74">
    <cfRule type="cellIs" dxfId="50" priority="49" operator="lessThan">
      <formula>0</formula>
    </cfRule>
    <cfRule type="cellIs" dxfId="49" priority="50" operator="greaterThan">
      <formula>0</formula>
    </cfRule>
  </conditionalFormatting>
  <conditionalFormatting sqref="C77">
    <cfRule type="cellIs" dxfId="48" priority="47" operator="lessThan">
      <formula>0</formula>
    </cfRule>
    <cfRule type="cellIs" dxfId="47" priority="48" operator="greaterThan">
      <formula>0</formula>
    </cfRule>
  </conditionalFormatting>
  <conditionalFormatting sqref="C80">
    <cfRule type="cellIs" dxfId="46" priority="45" operator="lessThan">
      <formula>0</formula>
    </cfRule>
    <cfRule type="cellIs" dxfId="45" priority="46" operator="greaterThan">
      <formula>0</formula>
    </cfRule>
  </conditionalFormatting>
  <conditionalFormatting sqref="C82">
    <cfRule type="cellIs" dxfId="44" priority="1" operator="lessThan">
      <formula>0</formula>
    </cfRule>
    <cfRule type="cellIs" dxfId="43" priority="2" operator="greaterThan">
      <formula>0</formula>
    </cfRule>
  </conditionalFormatting>
  <conditionalFormatting sqref="C85">
    <cfRule type="cellIs" dxfId="42" priority="44" operator="greaterThan">
      <formula>0</formula>
    </cfRule>
    <cfRule type="cellIs" dxfId="41" priority="43" operator="lessThan">
      <formula>0</formula>
    </cfRule>
  </conditionalFormatting>
  <conditionalFormatting sqref="C87">
    <cfRule type="cellIs" dxfId="40" priority="41" operator="lessThan">
      <formula>0</formula>
    </cfRule>
    <cfRule type="cellIs" dxfId="39" priority="42" operator="greaterThan">
      <formula>0</formula>
    </cfRule>
  </conditionalFormatting>
  <conditionalFormatting sqref="C89">
    <cfRule type="cellIs" dxfId="38" priority="40" operator="greaterThan">
      <formula>0</formula>
    </cfRule>
    <cfRule type="cellIs" dxfId="37" priority="39" operator="lessThan">
      <formula>0</formula>
    </cfRule>
  </conditionalFormatting>
  <conditionalFormatting sqref="C91">
    <cfRule type="cellIs" dxfId="36" priority="38" operator="greaterThan">
      <formula>0</formula>
    </cfRule>
    <cfRule type="cellIs" dxfId="35" priority="37" operator="lessThan">
      <formula>0</formula>
    </cfRule>
  </conditionalFormatting>
  <conditionalFormatting sqref="C93">
    <cfRule type="cellIs" dxfId="34" priority="36" operator="greaterThan">
      <formula>0</formula>
    </cfRule>
    <cfRule type="cellIs" dxfId="33" priority="35" operator="lessThan">
      <formula>0</formula>
    </cfRule>
  </conditionalFormatting>
  <conditionalFormatting sqref="C95">
    <cfRule type="cellIs" dxfId="32" priority="34" operator="greaterThan">
      <formula>0</formula>
    </cfRule>
    <cfRule type="cellIs" dxfId="31" priority="33" operator="lessThan">
      <formula>0</formula>
    </cfRule>
  </conditionalFormatting>
  <conditionalFormatting sqref="C97">
    <cfRule type="cellIs" dxfId="30" priority="31" operator="lessThan">
      <formula>0</formula>
    </cfRule>
    <cfRule type="cellIs" dxfId="29" priority="32" operator="greaterThan">
      <formula>0</formula>
    </cfRule>
  </conditionalFormatting>
  <conditionalFormatting sqref="C101">
    <cfRule type="cellIs" dxfId="28" priority="30" operator="greaterThan">
      <formula>0</formula>
    </cfRule>
    <cfRule type="cellIs" dxfId="27" priority="29" operator="lessThan">
      <formula>0</formula>
    </cfRule>
  </conditionalFormatting>
  <conditionalFormatting sqref="E102:Z102">
    <cfRule type="cellIs" dxfId="26" priority="58" operator="equal">
      <formula>0</formula>
    </cfRule>
  </conditionalFormatting>
  <conditionalFormatting sqref="F10:F16">
    <cfRule type="cellIs" dxfId="25" priority="55" operator="lessThan">
      <formula>0</formula>
    </cfRule>
    <cfRule type="cellIs" dxfId="24" priority="56" operator="greaterThan">
      <formula>0</formula>
    </cfRule>
  </conditionalFormatting>
  <conditionalFormatting sqref="F18:F74">
    <cfRule type="cellIs" dxfId="23" priority="23" operator="lessThan">
      <formula>0</formula>
    </cfRule>
    <cfRule type="cellIs" dxfId="22" priority="24" operator="greaterThan">
      <formula>0</formula>
    </cfRule>
  </conditionalFormatting>
  <conditionalFormatting sqref="F77"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F80">
    <cfRule type="cellIs" dxfId="19" priority="20" operator="greaterThan">
      <formula>0</formula>
    </cfRule>
    <cfRule type="cellIs" dxfId="18" priority="19" operator="lessThan">
      <formula>0</formula>
    </cfRule>
  </conditionalFormatting>
  <conditionalFormatting sqref="F82">
    <cfRule type="cellIs" dxfId="17" priority="18" operator="greaterThan">
      <formula>0</formula>
    </cfRule>
    <cfRule type="cellIs" dxfId="16" priority="17" operator="lessThan">
      <formula>0</formula>
    </cfRule>
  </conditionalFormatting>
  <conditionalFormatting sqref="F85">
    <cfRule type="cellIs" dxfId="15" priority="16" operator="greaterThan">
      <formula>0</formula>
    </cfRule>
    <cfRule type="cellIs" dxfId="14" priority="15" operator="lessThan">
      <formula>0</formula>
    </cfRule>
  </conditionalFormatting>
  <conditionalFormatting sqref="F87">
    <cfRule type="cellIs" dxfId="13" priority="14" operator="greaterThan">
      <formula>0</formula>
    </cfRule>
    <cfRule type="cellIs" dxfId="12" priority="13" operator="lessThan">
      <formula>0</formula>
    </cfRule>
  </conditionalFormatting>
  <conditionalFormatting sqref="F89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F91">
    <cfRule type="cellIs" dxfId="9" priority="10" operator="greaterThan">
      <formula>0</formula>
    </cfRule>
    <cfRule type="cellIs" dxfId="8" priority="9" operator="lessThan">
      <formula>0</formula>
    </cfRule>
  </conditionalFormatting>
  <conditionalFormatting sqref="F93">
    <cfRule type="cellIs" dxfId="7" priority="8" operator="greaterThan">
      <formula>0</formula>
    </cfRule>
    <cfRule type="cellIs" dxfId="6" priority="7" operator="lessThan">
      <formula>0</formula>
    </cfRule>
  </conditionalFormatting>
  <conditionalFormatting sqref="F95">
    <cfRule type="cellIs" dxfId="5" priority="6" operator="greaterThan">
      <formula>0</formula>
    </cfRule>
    <cfRule type="cellIs" dxfId="4" priority="5" operator="lessThan">
      <formula>0</formula>
    </cfRule>
  </conditionalFormatting>
  <conditionalFormatting sqref="F97">
    <cfRule type="cellIs" dxfId="3" priority="51" operator="lessThan">
      <formula>0</formula>
    </cfRule>
    <cfRule type="cellIs" dxfId="2" priority="52" operator="greaterThan">
      <formula>0</formula>
    </cfRule>
  </conditionalFormatting>
  <conditionalFormatting sqref="F101">
    <cfRule type="cellIs" dxfId="1" priority="4" operator="greaterThan">
      <formula>0</formula>
    </cfRule>
    <cfRule type="cellIs" dxfId="0" priority="3" operator="lessThan">
      <formula>0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9" id="{790EBA0E-7518-4959-B732-93F782006E1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I3:I6</xm:sqref>
        </x14:conditionalFormatting>
        <x14:conditionalFormatting xmlns:xm="http://schemas.microsoft.com/office/excel/2006/main">
          <x14:cfRule type="iconSet" priority="57" id="{D3E6FB3C-2A1E-4A09-B632-DBFB3B3933E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Y3:Y6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E7CC-9E07-436C-8DD0-00AF14B4E1BE}">
  <sheetPr codeName="Sheet6"/>
  <dimension ref="A3:AG157"/>
  <sheetViews>
    <sheetView showGridLines="0" tabSelected="1" zoomScale="90" zoomScaleNormal="90" workbookViewId="0">
      <pane xSplit="2" ySplit="10" topLeftCell="M145" activePane="bottomRight" state="frozen"/>
      <selection pane="topRight" activeCell="L14" sqref="L14"/>
      <selection pane="bottomLeft" activeCell="L14" sqref="L14"/>
      <selection pane="bottomRight" activeCell="AD156" sqref="AD156"/>
    </sheetView>
  </sheetViews>
  <sheetFormatPr defaultRowHeight="14.4" outlineLevelRow="1"/>
  <cols>
    <col min="1" max="1" width="5.5546875" style="1" customWidth="1"/>
    <col min="2" max="2" width="53.44140625" customWidth="1"/>
    <col min="3" max="3" width="15.88671875" style="27" hidden="1" customWidth="1"/>
    <col min="4" max="6" width="14.5546875" style="27" hidden="1" customWidth="1"/>
    <col min="7" max="7" width="13.77734375" style="27" hidden="1" customWidth="1"/>
    <col min="8" max="8" width="15.5546875" style="27" hidden="1" customWidth="1"/>
    <col min="9" max="9" width="13.88671875" style="27" hidden="1" customWidth="1"/>
    <col min="10" max="10" width="17.5546875" style="27" hidden="1" customWidth="1"/>
    <col min="11" max="11" width="18.5546875" style="27" hidden="1" customWidth="1"/>
    <col min="12" max="12" width="15.5546875" style="27" hidden="1" customWidth="1"/>
    <col min="13" max="13" width="17.109375" style="27" customWidth="1"/>
    <col min="14" max="14" width="18.44140625" style="112" bestFit="1" customWidth="1"/>
    <col min="15" max="15" width="15.88671875" style="27" hidden="1" customWidth="1"/>
    <col min="16" max="18" width="14.5546875" style="27" hidden="1" customWidth="1"/>
    <col min="19" max="19" width="13.77734375" style="27" hidden="1" customWidth="1"/>
    <col min="20" max="20" width="15.5546875" style="27" hidden="1" customWidth="1"/>
    <col min="21" max="21" width="13.88671875" style="27" hidden="1" customWidth="1"/>
    <col min="22" max="22" width="17.5546875" style="27" hidden="1" customWidth="1"/>
    <col min="23" max="23" width="18.5546875" style="27" hidden="1" customWidth="1"/>
    <col min="24" max="24" width="15.5546875" style="27" hidden="1" customWidth="1"/>
    <col min="25" max="25" width="17.33203125" style="27" hidden="1" customWidth="1"/>
    <col min="26" max="26" width="18.44140625" style="112" hidden="1" customWidth="1"/>
    <col min="27" max="27" width="0.21875" style="27" customWidth="1"/>
    <col min="28" max="28" width="9.44140625" customWidth="1"/>
    <col min="29" max="29" width="14.5546875" customWidth="1"/>
    <col min="30" max="30" width="15.44140625" customWidth="1"/>
    <col min="31" max="31" width="11.5546875" bestFit="1" customWidth="1"/>
    <col min="33" max="33" width="11.44140625" bestFit="1" customWidth="1"/>
  </cols>
  <sheetData>
    <row r="3" spans="1:27">
      <c r="C3" s="50"/>
      <c r="O3" s="50"/>
      <c r="AA3" s="50"/>
    </row>
    <row r="4" spans="1:27">
      <c r="C4" s="50"/>
      <c r="O4" s="50"/>
      <c r="AA4" s="50"/>
    </row>
    <row r="5" spans="1:27" s="6" customFormat="1" ht="16.2" thickBot="1">
      <c r="A5" s="3"/>
      <c r="B5" s="2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6.2" thickBot="1">
      <c r="B6" s="42" t="s">
        <v>190</v>
      </c>
      <c r="C6" s="43">
        <v>46387</v>
      </c>
      <c r="D6" s="43">
        <v>46356</v>
      </c>
      <c r="E6" s="43">
        <v>46326</v>
      </c>
      <c r="F6" s="43">
        <v>46295</v>
      </c>
      <c r="G6" s="43">
        <v>46265</v>
      </c>
      <c r="H6" s="43">
        <v>46234</v>
      </c>
      <c r="I6" s="43">
        <v>46203</v>
      </c>
      <c r="J6" s="43">
        <v>46173</v>
      </c>
      <c r="K6" s="43">
        <v>46142</v>
      </c>
      <c r="L6" s="43">
        <v>46112</v>
      </c>
      <c r="M6" s="43">
        <v>46081</v>
      </c>
      <c r="N6" s="43">
        <v>46053</v>
      </c>
      <c r="O6" s="43">
        <v>46022</v>
      </c>
      <c r="P6" s="43">
        <v>45991</v>
      </c>
      <c r="Q6" s="43">
        <v>45961</v>
      </c>
      <c r="R6" s="43">
        <v>45930</v>
      </c>
      <c r="S6" s="43">
        <v>45900</v>
      </c>
      <c r="T6" s="43">
        <v>45869</v>
      </c>
      <c r="U6" s="43">
        <v>45838</v>
      </c>
      <c r="V6" s="43">
        <v>45808</v>
      </c>
      <c r="W6" s="43">
        <v>45777</v>
      </c>
      <c r="X6" s="43">
        <v>45747</v>
      </c>
      <c r="Y6" s="43">
        <v>45716</v>
      </c>
      <c r="Z6" s="43">
        <v>45688</v>
      </c>
      <c r="AA6" s="43">
        <v>45657</v>
      </c>
    </row>
    <row r="7" spans="1:27" ht="15.6">
      <c r="B7" s="7" t="s">
        <v>623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6.2" thickBot="1">
      <c r="B8" s="21" t="s">
        <v>88</v>
      </c>
      <c r="C8" s="22"/>
      <c r="D8" s="22"/>
      <c r="E8" s="38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38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15.6">
      <c r="B9" s="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s="69" customFormat="1">
      <c r="A10" s="68"/>
      <c r="B10" s="19" t="s">
        <v>89</v>
      </c>
      <c r="C10" s="48">
        <f>SUM(C11:C30)</f>
        <v>0</v>
      </c>
      <c r="D10" s="48">
        <f>SUM(D11:D31)</f>
        <v>0</v>
      </c>
      <c r="E10" s="48">
        <f>SUM(E11:E31)</f>
        <v>0</v>
      </c>
      <c r="F10" s="48">
        <f>SUM(F11:F31)</f>
        <v>0</v>
      </c>
      <c r="G10" s="48">
        <f>SUM(G11:G31)</f>
        <v>0</v>
      </c>
      <c r="H10" s="48">
        <f>SUM(H11:H30)</f>
        <v>0</v>
      </c>
      <c r="I10" s="48">
        <f>SUM(I11:I30)</f>
        <v>0</v>
      </c>
      <c r="J10" s="48">
        <f>SUM(J11:J30)</f>
        <v>0</v>
      </c>
      <c r="K10" s="48">
        <f>SUM(K11:K29)</f>
        <v>0</v>
      </c>
      <c r="L10" s="48">
        <f>SUM(L11:L29)</f>
        <v>0</v>
      </c>
      <c r="M10" s="48">
        <f>SUM(M11:M30)</f>
        <v>24730538.390000001</v>
      </c>
      <c r="N10" s="48">
        <f>SUM(N11:N30)</f>
        <v>14080610.850000001</v>
      </c>
      <c r="O10" s="48">
        <f>SUM(O11:O30)</f>
        <v>9859678.7999999989</v>
      </c>
      <c r="P10" s="48">
        <f>SUM(P11:P31)</f>
        <v>9666339.3100000005</v>
      </c>
      <c r="Q10" s="48">
        <f>SUM(Q11:Q31)</f>
        <v>17065026.48</v>
      </c>
      <c r="R10" s="48">
        <f>SUM(R11:R31)</f>
        <v>5449292.6500000004</v>
      </c>
      <c r="S10" s="48">
        <f>SUM(S11:S31)</f>
        <v>3860728.0599999996</v>
      </c>
      <c r="T10" s="48">
        <f>SUM(T11:T30)</f>
        <v>2142832.8000000007</v>
      </c>
      <c r="U10" s="48">
        <f>SUM(U11:U30)</f>
        <v>6993032.6699999999</v>
      </c>
      <c r="V10" s="48">
        <f>SUM(V11:V30)</f>
        <v>6242870.5599999996</v>
      </c>
      <c r="W10" s="48">
        <f>SUM(W11:W29)</f>
        <v>7215143.7100000009</v>
      </c>
      <c r="X10" s="48">
        <f>SUM(X11:X29)</f>
        <v>5588615.0100000007</v>
      </c>
      <c r="Y10" s="48">
        <f>SUM(Y11:Y29)</f>
        <v>12590939.640000001</v>
      </c>
      <c r="Z10" s="48">
        <f>SUM(Z11:Z29)</f>
        <v>7221443.1999999993</v>
      </c>
      <c r="AA10" s="109">
        <f>SUM(AA11:AA29)</f>
        <v>12456987.33</v>
      </c>
    </row>
    <row r="11" spans="1:27" outlineLevel="1">
      <c r="B11" s="16" t="s">
        <v>191</v>
      </c>
      <c r="C11" s="107">
        <f>'BS Feb KSA'!D11+'BS Feb USA'!D11</f>
        <v>0</v>
      </c>
      <c r="D11" s="107">
        <f>'BS Feb KSA'!E11+'BS Feb USA'!E11</f>
        <v>0</v>
      </c>
      <c r="E11" s="107">
        <f>'BS Feb KSA'!F11+'BS Feb USA'!F11</f>
        <v>0</v>
      </c>
      <c r="F11" s="107">
        <f>'BS Feb KSA'!G11+'BS Feb USA'!G11</f>
        <v>0</v>
      </c>
      <c r="G11" s="107">
        <f>'BS Feb KSA'!H11+'BS Feb USA'!H11</f>
        <v>0</v>
      </c>
      <c r="H11" s="107">
        <f>'BS Feb KSA'!I11+'BS Feb USA'!I11</f>
        <v>0</v>
      </c>
      <c r="I11" s="107">
        <f>'BS Feb KSA'!J11+'BS Feb USA'!J11</f>
        <v>0</v>
      </c>
      <c r="J11" s="107">
        <f>'BS Feb KSA'!K11+'BS Feb USA'!K11</f>
        <v>0</v>
      </c>
      <c r="K11" s="107">
        <f>'BS Feb KSA'!L11+'BS Feb USA'!L11</f>
        <v>0</v>
      </c>
      <c r="L11" s="107">
        <f>'BS Feb KSA'!M11+'BS Feb USA'!M11</f>
        <v>0</v>
      </c>
      <c r="M11" s="107">
        <f>'BS Feb KSA'!N11+'BS Feb USA'!N11</f>
        <v>0</v>
      </c>
      <c r="N11" s="107">
        <f>'BS Feb KSA'!O11+'BS Feb USA'!O11</f>
        <v>0</v>
      </c>
      <c r="O11" s="107">
        <f>'BS Feb KSA'!P11+'BS Feb USA'!P11</f>
        <v>0</v>
      </c>
      <c r="P11" s="107">
        <f>'BS Feb KSA'!Q11+'BS Feb USA'!Q11</f>
        <v>0</v>
      </c>
      <c r="Q11" s="107">
        <f>'BS Feb KSA'!R11+'BS Feb USA'!R11</f>
        <v>0</v>
      </c>
      <c r="R11" s="107">
        <f>'BS Feb KSA'!S11+'BS Feb USA'!S11</f>
        <v>0</v>
      </c>
      <c r="S11" s="107">
        <f>'BS Feb KSA'!T11+'BS Feb USA'!T11</f>
        <v>0</v>
      </c>
      <c r="T11" s="107">
        <f>'BS Feb KSA'!U11+'BS Feb USA'!U11</f>
        <v>0</v>
      </c>
      <c r="U11" s="107">
        <f>'BS Feb KSA'!V11+'BS Feb USA'!V11</f>
        <v>0</v>
      </c>
      <c r="V11" s="107">
        <f>'BS Feb KSA'!W11+'BS Feb USA'!W11</f>
        <v>0</v>
      </c>
      <c r="W11" s="107">
        <f>'BS Feb KSA'!X11+'BS Feb USA'!X11</f>
        <v>0</v>
      </c>
      <c r="X11" s="107">
        <f>'BS Feb KSA'!Y11+'BS Feb USA'!Y11</f>
        <v>0</v>
      </c>
      <c r="Y11" s="107">
        <f>'BS Feb KSA'!Z11+'BS Feb USA'!Z11</f>
        <v>0</v>
      </c>
      <c r="Z11" s="107">
        <f>'BS Feb KSA'!AA11+'BS Feb USA'!AA11</f>
        <v>0</v>
      </c>
      <c r="AA11" s="107">
        <v>0</v>
      </c>
    </row>
    <row r="12" spans="1:27" outlineLevel="1">
      <c r="B12" s="16" t="s">
        <v>192</v>
      </c>
      <c r="C12" s="107">
        <f>'BS Feb KSA'!D12+'BS Feb USA'!D12</f>
        <v>0</v>
      </c>
      <c r="D12" s="107">
        <f>'BS Feb KSA'!E12+'BS Feb USA'!E12</f>
        <v>0</v>
      </c>
      <c r="E12" s="107">
        <f>'BS Feb KSA'!F12+'BS Feb USA'!F12</f>
        <v>0</v>
      </c>
      <c r="F12" s="107">
        <f>'BS Feb KSA'!G12+'BS Feb USA'!G12</f>
        <v>0</v>
      </c>
      <c r="G12" s="107">
        <f>'BS Feb KSA'!H12+'BS Feb USA'!H12</f>
        <v>0</v>
      </c>
      <c r="H12" s="107">
        <f>'BS Feb KSA'!I12+'BS Feb USA'!I12</f>
        <v>0</v>
      </c>
      <c r="I12" s="107">
        <f>'BS Feb KSA'!J12+'BS Feb USA'!J12</f>
        <v>0</v>
      </c>
      <c r="J12" s="107">
        <f>'BS Feb KSA'!K12+'BS Feb USA'!K12</f>
        <v>0</v>
      </c>
      <c r="K12" s="107">
        <f>'BS Feb KSA'!L12+'BS Feb USA'!L12</f>
        <v>0</v>
      </c>
      <c r="L12" s="107">
        <f>'BS Feb KSA'!M12+'BS Feb USA'!M12</f>
        <v>0</v>
      </c>
      <c r="M12" s="107">
        <f>'BS Feb KSA'!N12+'BS Feb USA'!N12</f>
        <v>0</v>
      </c>
      <c r="N12" s="107">
        <f>'BS Feb KSA'!O12+'BS Feb USA'!O12</f>
        <v>0</v>
      </c>
      <c r="O12" s="107">
        <f>'BS Feb KSA'!P12+'BS Feb USA'!P12</f>
        <v>0</v>
      </c>
      <c r="P12" s="107">
        <f>'BS Feb KSA'!Q12+'BS Feb USA'!Q12</f>
        <v>0</v>
      </c>
      <c r="Q12" s="107">
        <f>'BS Feb KSA'!R12+'BS Feb USA'!R12</f>
        <v>0</v>
      </c>
      <c r="R12" s="107">
        <f>'BS Feb KSA'!S12+'BS Feb USA'!S12</f>
        <v>0</v>
      </c>
      <c r="S12" s="107">
        <f>'BS Feb KSA'!T12+'BS Feb USA'!T12</f>
        <v>0</v>
      </c>
      <c r="T12" s="107">
        <f>'BS Feb KSA'!U12+'BS Feb USA'!U12</f>
        <v>0</v>
      </c>
      <c r="U12" s="107">
        <f>'BS Feb KSA'!V12+'BS Feb USA'!V12</f>
        <v>0</v>
      </c>
      <c r="V12" s="107">
        <f>'BS Feb KSA'!W12+'BS Feb USA'!W12</f>
        <v>0</v>
      </c>
      <c r="W12" s="107">
        <f>'BS Feb KSA'!X12+'BS Feb USA'!X12</f>
        <v>140074.92000000001</v>
      </c>
      <c r="X12" s="107">
        <f>'BS Feb KSA'!Y12+'BS Feb USA'!Y12</f>
        <v>140074.92000000001</v>
      </c>
      <c r="Y12" s="107">
        <f>'BS Feb KSA'!Z12+'BS Feb USA'!Z12</f>
        <v>140074.92000000001</v>
      </c>
      <c r="Z12" s="107">
        <f>'BS Feb KSA'!AA12+'BS Feb USA'!AA12</f>
        <v>140103.67000000001</v>
      </c>
      <c r="AA12" s="107">
        <v>140103.67000000001</v>
      </c>
    </row>
    <row r="13" spans="1:27" outlineLevel="1">
      <c r="B13" s="16" t="s">
        <v>193</v>
      </c>
      <c r="C13" s="107">
        <f>'BS Feb KSA'!D13+'BS Feb USA'!D13</f>
        <v>0</v>
      </c>
      <c r="D13" s="107">
        <f>'BS Feb KSA'!E13+'BS Feb USA'!E13</f>
        <v>0</v>
      </c>
      <c r="E13" s="107">
        <f>'BS Feb KSA'!F13+'BS Feb USA'!F13</f>
        <v>0</v>
      </c>
      <c r="F13" s="107">
        <f>'BS Feb KSA'!G13+'BS Feb USA'!G13</f>
        <v>0</v>
      </c>
      <c r="G13" s="107">
        <f>'BS Feb KSA'!H13+'BS Feb USA'!H13</f>
        <v>0</v>
      </c>
      <c r="H13" s="107">
        <f>'BS Feb KSA'!I13+'BS Feb USA'!I13</f>
        <v>0</v>
      </c>
      <c r="I13" s="107">
        <f>'BS Feb KSA'!J13+'BS Feb USA'!J13</f>
        <v>0</v>
      </c>
      <c r="J13" s="107">
        <f>'BS Feb KSA'!K13+'BS Feb USA'!K13</f>
        <v>0</v>
      </c>
      <c r="K13" s="107">
        <f>'BS Feb KSA'!L13+'BS Feb USA'!L13</f>
        <v>0</v>
      </c>
      <c r="L13" s="107">
        <f>'BS Feb KSA'!M13+'BS Feb USA'!M13</f>
        <v>0</v>
      </c>
      <c r="M13" s="107">
        <f>'BS Feb KSA'!N13+'BS Feb USA'!N13</f>
        <v>0</v>
      </c>
      <c r="N13" s="107">
        <f>'BS Feb KSA'!O13+'BS Feb USA'!O13</f>
        <v>0</v>
      </c>
      <c r="O13" s="107">
        <f>'BS Feb KSA'!P13+'BS Feb USA'!P13</f>
        <v>0</v>
      </c>
      <c r="P13" s="107">
        <f>'BS Feb KSA'!Q13+'BS Feb USA'!Q13</f>
        <v>0</v>
      </c>
      <c r="Q13" s="107">
        <f>'BS Feb KSA'!R13+'BS Feb USA'!R13</f>
        <v>0</v>
      </c>
      <c r="R13" s="107">
        <f>'BS Feb KSA'!S13+'BS Feb USA'!S13</f>
        <v>0</v>
      </c>
      <c r="S13" s="107">
        <f>'BS Feb KSA'!T13+'BS Feb USA'!T13</f>
        <v>0</v>
      </c>
      <c r="T13" s="107">
        <f>'BS Feb KSA'!U13+'BS Feb USA'!U13</f>
        <v>0</v>
      </c>
      <c r="U13" s="107">
        <f>'BS Feb KSA'!V13+'BS Feb USA'!V13</f>
        <v>0</v>
      </c>
      <c r="V13" s="107">
        <f>'BS Feb KSA'!W13+'BS Feb USA'!W13</f>
        <v>0</v>
      </c>
      <c r="W13" s="107">
        <f>'BS Feb KSA'!X13+'BS Feb USA'!X13</f>
        <v>135818.26999999999</v>
      </c>
      <c r="X13" s="107">
        <f>'BS Feb KSA'!Y13+'BS Feb USA'!Y13</f>
        <v>135818.26999999999</v>
      </c>
      <c r="Y13" s="107">
        <f>'BS Feb KSA'!Z13+'BS Feb USA'!Z13</f>
        <v>166814.23000000001</v>
      </c>
      <c r="Z13" s="107">
        <f>'BS Feb KSA'!AA13+'BS Feb USA'!AA13</f>
        <v>166842.98000000001</v>
      </c>
      <c r="AA13" s="107">
        <v>166842.98000000001</v>
      </c>
    </row>
    <row r="14" spans="1:27" outlineLevel="1">
      <c r="B14" s="16" t="s">
        <v>93</v>
      </c>
      <c r="C14" s="107">
        <f>'BS Feb KSA'!D14+'BS Feb USA'!D14</f>
        <v>0</v>
      </c>
      <c r="D14" s="107">
        <f>'BS Feb KSA'!E14+'BS Feb USA'!E14</f>
        <v>0</v>
      </c>
      <c r="E14" s="107">
        <f>'BS Feb KSA'!F14+'BS Feb USA'!F14</f>
        <v>0</v>
      </c>
      <c r="F14" s="107">
        <f>'BS Feb KSA'!G14+'BS Feb USA'!G14</f>
        <v>0</v>
      </c>
      <c r="G14" s="107">
        <f>'BS Feb KSA'!H14+'BS Feb USA'!H14</f>
        <v>0</v>
      </c>
      <c r="H14" s="107">
        <f>'BS Feb KSA'!I14+'BS Feb USA'!I14</f>
        <v>0</v>
      </c>
      <c r="I14" s="107">
        <f>'BS Feb KSA'!J14+'BS Feb USA'!J14</f>
        <v>0</v>
      </c>
      <c r="J14" s="107">
        <f>'BS Feb KSA'!K14+'BS Feb USA'!K14</f>
        <v>0</v>
      </c>
      <c r="K14" s="107">
        <f>'BS Feb KSA'!L14+'BS Feb USA'!L14</f>
        <v>0</v>
      </c>
      <c r="L14" s="107">
        <f>'BS Feb KSA'!M14+'BS Feb USA'!M14</f>
        <v>0</v>
      </c>
      <c r="M14" s="107">
        <f>'BS Feb KSA'!N14+'BS Feb USA'!N14</f>
        <v>0</v>
      </c>
      <c r="N14" s="107">
        <f>'BS Feb KSA'!O14+'BS Feb USA'!O14</f>
        <v>0</v>
      </c>
      <c r="O14" s="107">
        <f>'BS Feb KSA'!P14+'BS Feb USA'!P14</f>
        <v>0</v>
      </c>
      <c r="P14" s="107">
        <f>'BS Feb KSA'!Q14+'BS Feb USA'!Q14</f>
        <v>0</v>
      </c>
      <c r="Q14" s="107">
        <f>'BS Feb KSA'!R14+'BS Feb USA'!R14</f>
        <v>0</v>
      </c>
      <c r="R14" s="107">
        <f>'BS Feb KSA'!S14+'BS Feb USA'!S14</f>
        <v>0</v>
      </c>
      <c r="S14" s="107">
        <f>'BS Feb KSA'!T14+'BS Feb USA'!T14</f>
        <v>0</v>
      </c>
      <c r="T14" s="107">
        <f>'BS Feb KSA'!U14+'BS Feb USA'!U14</f>
        <v>0</v>
      </c>
      <c r="U14" s="107">
        <f>'BS Feb KSA'!V14+'BS Feb USA'!V14</f>
        <v>0</v>
      </c>
      <c r="V14" s="107">
        <f>'BS Feb KSA'!W14+'BS Feb USA'!W14</f>
        <v>0</v>
      </c>
      <c r="W14" s="107">
        <f>'BS Feb KSA'!X14+'BS Feb USA'!X14</f>
        <v>91275.6</v>
      </c>
      <c r="X14" s="107">
        <f>'BS Feb KSA'!Y14+'BS Feb USA'!Y14</f>
        <v>91275.6</v>
      </c>
      <c r="Y14" s="107">
        <f>'BS Feb KSA'!Z14+'BS Feb USA'!Z14</f>
        <v>91275.6</v>
      </c>
      <c r="Z14" s="107">
        <f>'BS Feb KSA'!AA14+'BS Feb USA'!AA14</f>
        <v>26086.959999999999</v>
      </c>
      <c r="AA14" s="107">
        <v>30000</v>
      </c>
    </row>
    <row r="15" spans="1:27" outlineLevel="1">
      <c r="B15" s="16" t="s">
        <v>94</v>
      </c>
      <c r="C15" s="107">
        <f>'BS Feb KSA'!D15+'BS Feb USA'!D15</f>
        <v>0</v>
      </c>
      <c r="D15" s="107">
        <f>'BS Feb KSA'!E15+'BS Feb USA'!E15</f>
        <v>0</v>
      </c>
      <c r="E15" s="107">
        <f>'BS Feb KSA'!F15+'BS Feb USA'!F15</f>
        <v>0</v>
      </c>
      <c r="F15" s="107">
        <f>'BS Feb KSA'!G15+'BS Feb USA'!G15</f>
        <v>0</v>
      </c>
      <c r="G15" s="107">
        <f>'BS Feb KSA'!H15+'BS Feb USA'!H15</f>
        <v>0</v>
      </c>
      <c r="H15" s="107">
        <f>'BS Feb KSA'!I15+'BS Feb USA'!I15</f>
        <v>0</v>
      </c>
      <c r="I15" s="107">
        <f>'BS Feb KSA'!J15+'BS Feb USA'!J15</f>
        <v>0</v>
      </c>
      <c r="J15" s="107">
        <f>'BS Feb KSA'!K15+'BS Feb USA'!K15</f>
        <v>0</v>
      </c>
      <c r="K15" s="107">
        <f>'BS Feb KSA'!L15+'BS Feb USA'!L15</f>
        <v>0</v>
      </c>
      <c r="L15" s="107">
        <f>'BS Feb KSA'!M15+'BS Feb USA'!M15</f>
        <v>0</v>
      </c>
      <c r="M15" s="107">
        <f>'BS Feb KSA'!N15+'BS Feb USA'!N15</f>
        <v>0</v>
      </c>
      <c r="N15" s="107">
        <f>'BS Feb KSA'!O15+'BS Feb USA'!O15</f>
        <v>0</v>
      </c>
      <c r="O15" s="107">
        <f>'BS Feb KSA'!P15+'BS Feb USA'!P15</f>
        <v>0</v>
      </c>
      <c r="P15" s="107">
        <f>'BS Feb KSA'!Q15+'BS Feb USA'!Q15</f>
        <v>0</v>
      </c>
      <c r="Q15" s="107">
        <f>'BS Feb KSA'!R15+'BS Feb USA'!R15</f>
        <v>0</v>
      </c>
      <c r="R15" s="107">
        <f>'BS Feb KSA'!S15+'BS Feb USA'!S15</f>
        <v>0</v>
      </c>
      <c r="S15" s="107">
        <f>'BS Feb KSA'!T15+'BS Feb USA'!T15</f>
        <v>0</v>
      </c>
      <c r="T15" s="107">
        <f>'BS Feb KSA'!U15+'BS Feb USA'!U15</f>
        <v>0</v>
      </c>
      <c r="U15" s="107">
        <f>'BS Feb KSA'!V15+'BS Feb USA'!V15</f>
        <v>0</v>
      </c>
      <c r="V15" s="107">
        <f>'BS Feb KSA'!W15+'BS Feb USA'!W15</f>
        <v>0</v>
      </c>
      <c r="W15" s="107">
        <f>'BS Feb KSA'!X15+'BS Feb USA'!X15</f>
        <v>0</v>
      </c>
      <c r="X15" s="107">
        <f>'BS Feb KSA'!Y15+'BS Feb USA'!Y15</f>
        <v>0</v>
      </c>
      <c r="Y15" s="107">
        <f>'BS Feb KSA'!Z15+'BS Feb USA'!Z15</f>
        <v>0</v>
      </c>
      <c r="Z15" s="107">
        <f>'BS Feb KSA'!AA15+'BS Feb USA'!AA15</f>
        <v>0</v>
      </c>
      <c r="AA15" s="107">
        <v>0</v>
      </c>
    </row>
    <row r="16" spans="1:27" outlineLevel="1">
      <c r="B16" s="16" t="s">
        <v>95</v>
      </c>
      <c r="C16" s="107">
        <f>'BS Feb KSA'!D16+'BS Feb USA'!D16</f>
        <v>0</v>
      </c>
      <c r="D16" s="107">
        <f>'BS Feb KSA'!E16+'BS Feb USA'!E16</f>
        <v>0</v>
      </c>
      <c r="E16" s="107">
        <f>'BS Feb KSA'!F16+'BS Feb USA'!F16</f>
        <v>0</v>
      </c>
      <c r="F16" s="107">
        <f>'BS Feb KSA'!G16+'BS Feb USA'!G16</f>
        <v>0</v>
      </c>
      <c r="G16" s="107">
        <f>'BS Feb KSA'!H16+'BS Feb USA'!H16</f>
        <v>0</v>
      </c>
      <c r="H16" s="107">
        <f>'BS Feb KSA'!I16+'BS Feb USA'!I16</f>
        <v>0</v>
      </c>
      <c r="I16" s="107">
        <f>'BS Feb KSA'!J16+'BS Feb USA'!J16</f>
        <v>0</v>
      </c>
      <c r="J16" s="107">
        <f>'BS Feb KSA'!K16+'BS Feb USA'!K16</f>
        <v>0</v>
      </c>
      <c r="K16" s="107">
        <f>'BS Feb KSA'!L16+'BS Feb USA'!L16</f>
        <v>0</v>
      </c>
      <c r="L16" s="107">
        <f>'BS Feb KSA'!M16+'BS Feb USA'!M16</f>
        <v>0</v>
      </c>
      <c r="M16" s="107">
        <f>'BS Feb KSA'!N16+'BS Feb USA'!N16</f>
        <v>1597648.62</v>
      </c>
      <c r="N16" s="107">
        <f>'BS Feb KSA'!O16+'BS Feb USA'!O16</f>
        <v>843035.65</v>
      </c>
      <c r="O16" s="107">
        <f>'BS Feb KSA'!P16+'BS Feb USA'!P16</f>
        <v>477588.36</v>
      </c>
      <c r="P16" s="107">
        <f>'BS Feb KSA'!Q16+'BS Feb USA'!Q16</f>
        <v>276114.21000000002</v>
      </c>
      <c r="Q16" s="107">
        <f>'BS Feb KSA'!R16+'BS Feb USA'!R16</f>
        <v>272657.46999999997</v>
      </c>
      <c r="R16" s="107">
        <f>'BS Feb KSA'!S16+'BS Feb USA'!S16</f>
        <v>447636.35</v>
      </c>
      <c r="S16" s="107">
        <f>'BS Feb KSA'!T16+'BS Feb USA'!T16</f>
        <v>27033.82</v>
      </c>
      <c r="T16" s="107">
        <f>'BS Feb KSA'!U16+'BS Feb USA'!U16</f>
        <v>260341.61</v>
      </c>
      <c r="U16" s="107">
        <f>'BS Feb KSA'!V16+'BS Feb USA'!V16</f>
        <v>243984.07</v>
      </c>
      <c r="V16" s="107">
        <f>'BS Feb KSA'!W16+'BS Feb USA'!W16</f>
        <v>427314.42</v>
      </c>
      <c r="W16" s="107">
        <f>'BS Feb KSA'!X16+'BS Feb USA'!X16</f>
        <v>269658.08</v>
      </c>
      <c r="X16" s="107">
        <f>'BS Feb KSA'!Y16+'BS Feb USA'!Y16</f>
        <v>792735.94</v>
      </c>
      <c r="Y16" s="107">
        <f>'BS Feb KSA'!Z16+'BS Feb USA'!Z16</f>
        <v>1482647.46</v>
      </c>
      <c r="Z16" s="107">
        <f>'BS Feb KSA'!AA16+'BS Feb USA'!AA16</f>
        <v>268408.67</v>
      </c>
      <c r="AA16" s="107">
        <v>1315636.8600000001</v>
      </c>
    </row>
    <row r="17" spans="1:32" outlineLevel="1">
      <c r="B17" s="16" t="s">
        <v>96</v>
      </c>
      <c r="C17" s="107">
        <f>'BS Feb KSA'!D17+'BS Feb USA'!D17</f>
        <v>0</v>
      </c>
      <c r="D17" s="107">
        <f>'BS Feb KSA'!E17+'BS Feb USA'!E17</f>
        <v>0</v>
      </c>
      <c r="E17" s="107">
        <f>'BS Feb KSA'!F17+'BS Feb USA'!F17</f>
        <v>0</v>
      </c>
      <c r="F17" s="107">
        <f>'BS Feb KSA'!G17+'BS Feb USA'!G17</f>
        <v>0</v>
      </c>
      <c r="G17" s="107">
        <f>'BS Feb KSA'!H17+'BS Feb USA'!H17</f>
        <v>0</v>
      </c>
      <c r="H17" s="107">
        <f>'BS Feb KSA'!I17+'BS Feb USA'!I17</f>
        <v>0</v>
      </c>
      <c r="I17" s="107">
        <f>'BS Feb KSA'!J17+'BS Feb USA'!J17</f>
        <v>0</v>
      </c>
      <c r="J17" s="107">
        <f>'BS Feb KSA'!K17+'BS Feb USA'!K17</f>
        <v>0</v>
      </c>
      <c r="K17" s="107">
        <f>'BS Feb KSA'!L17+'BS Feb USA'!L17</f>
        <v>0</v>
      </c>
      <c r="L17" s="107">
        <f>'BS Feb KSA'!M17+'BS Feb USA'!M17</f>
        <v>0</v>
      </c>
      <c r="M17" s="107">
        <f>'BS Feb KSA'!N17+'BS Feb USA'!N17</f>
        <v>0</v>
      </c>
      <c r="N17" s="107">
        <f>'BS Feb KSA'!O17+'BS Feb USA'!O17</f>
        <v>0</v>
      </c>
      <c r="O17" s="107">
        <f>'BS Feb KSA'!P17+'BS Feb USA'!P17</f>
        <v>0</v>
      </c>
      <c r="P17" s="107">
        <f>'BS Feb KSA'!Q17+'BS Feb USA'!Q17</f>
        <v>0</v>
      </c>
      <c r="Q17" s="107">
        <f>'BS Feb KSA'!R17+'BS Feb USA'!R17</f>
        <v>0</v>
      </c>
      <c r="R17" s="107">
        <f>'BS Feb KSA'!S17+'BS Feb USA'!S17</f>
        <v>0</v>
      </c>
      <c r="S17" s="107">
        <f>'BS Feb KSA'!T17+'BS Feb USA'!T17</f>
        <v>0</v>
      </c>
      <c r="T17" s="107">
        <f>'BS Feb KSA'!U17+'BS Feb USA'!U17</f>
        <v>0</v>
      </c>
      <c r="U17" s="107">
        <f>'BS Feb KSA'!V17+'BS Feb USA'!V17</f>
        <v>0</v>
      </c>
      <c r="V17" s="107">
        <f>'BS Feb KSA'!W17+'BS Feb USA'!W17</f>
        <v>0</v>
      </c>
      <c r="W17" s="107">
        <f>'BS Feb KSA'!X17+'BS Feb USA'!X17</f>
        <v>0</v>
      </c>
      <c r="X17" s="107">
        <f>'BS Feb KSA'!Y17+'BS Feb USA'!Y17</f>
        <v>0</v>
      </c>
      <c r="Y17" s="107">
        <f>'BS Feb KSA'!Z17+'BS Feb USA'!Z17</f>
        <v>0</v>
      </c>
      <c r="Z17" s="107">
        <f>'BS Feb KSA'!AA17+'BS Feb USA'!AA17</f>
        <v>0</v>
      </c>
      <c r="AA17" s="107">
        <v>0</v>
      </c>
    </row>
    <row r="18" spans="1:32" outlineLevel="1">
      <c r="B18" s="16" t="s">
        <v>97</v>
      </c>
      <c r="C18" s="107">
        <f>'BS Feb KSA'!D18+'BS Feb USA'!D18</f>
        <v>0</v>
      </c>
      <c r="D18" s="107">
        <f>'BS Feb KSA'!E18+'BS Feb USA'!E18</f>
        <v>0</v>
      </c>
      <c r="E18" s="107">
        <f>'BS Feb KSA'!F18+'BS Feb USA'!F18</f>
        <v>0</v>
      </c>
      <c r="F18" s="107">
        <f>'BS Feb KSA'!G18+'BS Feb USA'!G18</f>
        <v>0</v>
      </c>
      <c r="G18" s="107">
        <f>'BS Feb KSA'!H18+'BS Feb USA'!H18</f>
        <v>0</v>
      </c>
      <c r="H18" s="107">
        <f>'BS Feb KSA'!I18+'BS Feb USA'!I18</f>
        <v>0</v>
      </c>
      <c r="I18" s="107">
        <f>'BS Feb KSA'!J18+'BS Feb USA'!J18</f>
        <v>0</v>
      </c>
      <c r="J18" s="107">
        <f>'BS Feb KSA'!K18+'BS Feb USA'!K18</f>
        <v>0</v>
      </c>
      <c r="K18" s="107">
        <f>'BS Feb KSA'!L18+'BS Feb USA'!L18</f>
        <v>0</v>
      </c>
      <c r="L18" s="107">
        <f>'BS Feb KSA'!M18+'BS Feb USA'!M18</f>
        <v>0</v>
      </c>
      <c r="M18" s="107">
        <f>'BS Feb KSA'!N18+'BS Feb USA'!N18</f>
        <v>2680.22</v>
      </c>
      <c r="N18" s="107">
        <f>'BS Feb KSA'!O18+'BS Feb USA'!O18</f>
        <v>1850.44</v>
      </c>
      <c r="O18" s="107">
        <f>'BS Feb KSA'!P18+'BS Feb USA'!P18</f>
        <v>1850.44</v>
      </c>
      <c r="P18" s="107">
        <f>'BS Feb KSA'!Q18+'BS Feb USA'!Q18</f>
        <v>1850.44</v>
      </c>
      <c r="Q18" s="107">
        <f>'BS Feb KSA'!R18+'BS Feb USA'!R18</f>
        <v>1495.53</v>
      </c>
      <c r="R18" s="107">
        <f>'BS Feb KSA'!S18+'BS Feb USA'!S18</f>
        <v>13439.92</v>
      </c>
      <c r="S18" s="107">
        <f>'BS Feb KSA'!T18+'BS Feb USA'!T18</f>
        <v>11985.57</v>
      </c>
      <c r="T18" s="107">
        <f>'BS Feb KSA'!U18+'BS Feb USA'!U18</f>
        <v>75189.77</v>
      </c>
      <c r="U18" s="107">
        <f>'BS Feb KSA'!V18+'BS Feb USA'!V18</f>
        <v>73991.63</v>
      </c>
      <c r="V18" s="107">
        <f>'BS Feb KSA'!W18+'BS Feb USA'!W18</f>
        <v>1.04</v>
      </c>
      <c r="W18" s="107">
        <f>'BS Feb KSA'!X18+'BS Feb USA'!X18</f>
        <v>216190.05</v>
      </c>
      <c r="X18" s="107">
        <f>'BS Feb KSA'!Y18+'BS Feb USA'!Y18</f>
        <v>210463.42</v>
      </c>
      <c r="Y18" s="107">
        <f>'BS Feb KSA'!Z18+'BS Feb USA'!Z18</f>
        <v>200112.41</v>
      </c>
      <c r="Z18" s="107">
        <f>'BS Feb KSA'!AA18+'BS Feb USA'!AA18</f>
        <v>295015.01</v>
      </c>
      <c r="AA18" s="107">
        <v>131821.9</v>
      </c>
    </row>
    <row r="19" spans="1:32" outlineLevel="1">
      <c r="B19" s="16" t="s">
        <v>98</v>
      </c>
      <c r="C19" s="107">
        <f>'BS Feb KSA'!D19+'BS Feb USA'!D19</f>
        <v>0</v>
      </c>
      <c r="D19" s="107">
        <f>'BS Feb KSA'!E19+'BS Feb USA'!E19</f>
        <v>0</v>
      </c>
      <c r="E19" s="107">
        <f>'BS Feb KSA'!F19+'BS Feb USA'!F19</f>
        <v>0</v>
      </c>
      <c r="F19" s="107">
        <f>'BS Feb KSA'!G19+'BS Feb USA'!G19</f>
        <v>0</v>
      </c>
      <c r="G19" s="107">
        <f>'BS Feb KSA'!H19+'BS Feb USA'!H19</f>
        <v>0</v>
      </c>
      <c r="H19" s="107">
        <f>'BS Feb KSA'!I19+'BS Feb USA'!I19</f>
        <v>0</v>
      </c>
      <c r="I19" s="107">
        <f>'BS Feb KSA'!J19+'BS Feb USA'!J19</f>
        <v>0</v>
      </c>
      <c r="J19" s="107">
        <f>'BS Feb KSA'!K19+'BS Feb USA'!K19</f>
        <v>0</v>
      </c>
      <c r="K19" s="107">
        <f>'BS Feb KSA'!L19+'BS Feb USA'!L19</f>
        <v>0</v>
      </c>
      <c r="L19" s="107">
        <f>'BS Feb KSA'!M19+'BS Feb USA'!M19</f>
        <v>0</v>
      </c>
      <c r="M19" s="107">
        <f>'BS Feb KSA'!N19+'BS Feb USA'!N19</f>
        <v>9608915.4299999997</v>
      </c>
      <c r="N19" s="107">
        <f>'BS Feb KSA'!O19+'BS Feb USA'!O19</f>
        <v>1845260.8</v>
      </c>
      <c r="O19" s="107">
        <f>'BS Feb KSA'!P19+'BS Feb USA'!P19</f>
        <v>324493.81</v>
      </c>
      <c r="P19" s="107">
        <f>'BS Feb KSA'!Q19+'BS Feb USA'!Q19</f>
        <v>1328664.48</v>
      </c>
      <c r="Q19" s="107">
        <f>'BS Feb KSA'!R19+'BS Feb USA'!R19</f>
        <v>6295570.3499999996</v>
      </c>
      <c r="R19" s="107">
        <f>'BS Feb KSA'!S19+'BS Feb USA'!S19</f>
        <v>2340058.23</v>
      </c>
      <c r="S19" s="107">
        <f>'BS Feb KSA'!T19+'BS Feb USA'!T19</f>
        <v>3289226.9</v>
      </c>
      <c r="T19" s="107">
        <f>'BS Feb KSA'!U19+'BS Feb USA'!U19</f>
        <v>1660211.74</v>
      </c>
      <c r="U19" s="107">
        <f>'BS Feb KSA'!V19+'BS Feb USA'!V19</f>
        <v>6201976.1399999997</v>
      </c>
      <c r="V19" s="107">
        <f>'BS Feb KSA'!W19+'BS Feb USA'!W19</f>
        <v>4513496.8899999997</v>
      </c>
      <c r="W19" s="107">
        <f>'BS Feb KSA'!X19+'BS Feb USA'!X19</f>
        <v>5896394.2599999998</v>
      </c>
      <c r="X19" s="107">
        <f>'BS Feb KSA'!Y19+'BS Feb USA'!Y19</f>
        <v>3318463.39</v>
      </c>
      <c r="Y19" s="107">
        <f>'BS Feb KSA'!Z19+'BS Feb USA'!Z19</f>
        <v>9175560.5999999996</v>
      </c>
      <c r="Z19" s="107">
        <f>'BS Feb KSA'!AA19+'BS Feb USA'!AA19</f>
        <v>4576535.8499999996</v>
      </c>
      <c r="AA19" s="107">
        <v>8593232.0800000001</v>
      </c>
      <c r="AD19" s="2"/>
    </row>
    <row r="20" spans="1:32" outlineLevel="1">
      <c r="B20" s="16" t="s">
        <v>99</v>
      </c>
      <c r="C20" s="107">
        <f>'BS Feb KSA'!D20+'BS Feb USA'!D20</f>
        <v>0</v>
      </c>
      <c r="D20" s="107">
        <f>'BS Feb KSA'!E20+'BS Feb USA'!E20</f>
        <v>0</v>
      </c>
      <c r="E20" s="107">
        <f>'BS Feb KSA'!F20+'BS Feb USA'!F20</f>
        <v>0</v>
      </c>
      <c r="F20" s="107">
        <f>'BS Feb KSA'!G20+'BS Feb USA'!G20</f>
        <v>0</v>
      </c>
      <c r="G20" s="107">
        <f>'BS Feb KSA'!H20+'BS Feb USA'!H20</f>
        <v>0</v>
      </c>
      <c r="H20" s="107">
        <f>'BS Feb KSA'!I20+'BS Feb USA'!I20</f>
        <v>0</v>
      </c>
      <c r="I20" s="107">
        <f>'BS Feb KSA'!J20+'BS Feb USA'!J20</f>
        <v>0</v>
      </c>
      <c r="J20" s="107">
        <f>'BS Feb KSA'!K20+'BS Feb USA'!K20</f>
        <v>0</v>
      </c>
      <c r="K20" s="107">
        <f>'BS Feb KSA'!L20+'BS Feb USA'!L20</f>
        <v>0</v>
      </c>
      <c r="L20" s="107">
        <f>'BS Feb KSA'!M20+'BS Feb USA'!M20</f>
        <v>0</v>
      </c>
      <c r="M20" s="107">
        <f>'BS Feb KSA'!N20+'BS Feb USA'!N20</f>
        <v>706</v>
      </c>
      <c r="N20" s="107">
        <f>'BS Feb KSA'!O20+'BS Feb USA'!O20</f>
        <v>706</v>
      </c>
      <c r="O20" s="107">
        <f>'BS Feb KSA'!P20+'BS Feb USA'!P20</f>
        <v>706</v>
      </c>
      <c r="P20" s="107">
        <f>'BS Feb KSA'!Q20+'BS Feb USA'!Q20</f>
        <v>706</v>
      </c>
      <c r="Q20" s="107">
        <f>'BS Feb KSA'!R20+'BS Feb USA'!R20</f>
        <v>706</v>
      </c>
      <c r="R20" s="107">
        <f>'BS Feb KSA'!S20+'BS Feb USA'!S20</f>
        <v>706</v>
      </c>
      <c r="S20" s="107">
        <f>'BS Feb KSA'!T20+'BS Feb USA'!T20</f>
        <v>706</v>
      </c>
      <c r="T20" s="107">
        <f>'BS Feb KSA'!U20+'BS Feb USA'!U20</f>
        <v>706</v>
      </c>
      <c r="U20" s="107">
        <f>'BS Feb KSA'!V20+'BS Feb USA'!V20</f>
        <v>706</v>
      </c>
      <c r="V20" s="107">
        <f>'BS Feb KSA'!W20+'BS Feb USA'!W20</f>
        <v>706</v>
      </c>
      <c r="W20" s="107">
        <f>'BS Feb KSA'!X20+'BS Feb USA'!X20</f>
        <v>706</v>
      </c>
      <c r="X20" s="107">
        <f>'BS Feb KSA'!Y20+'BS Feb USA'!Y20</f>
        <v>706</v>
      </c>
      <c r="Y20" s="107">
        <f>'BS Feb KSA'!Z20+'BS Feb USA'!Z20</f>
        <v>706</v>
      </c>
      <c r="Z20" s="107">
        <f>'BS Feb KSA'!AA20+'BS Feb USA'!AA20</f>
        <v>106</v>
      </c>
      <c r="AA20" s="107">
        <v>6</v>
      </c>
      <c r="AD20" s="2"/>
    </row>
    <row r="21" spans="1:32" outlineLevel="1">
      <c r="B21" s="16" t="s">
        <v>194</v>
      </c>
      <c r="C21" s="107">
        <f>'BS Feb KSA'!D21+'BS Feb USA'!D21</f>
        <v>0</v>
      </c>
      <c r="D21" s="107">
        <f>'BS Feb KSA'!E21+'BS Feb USA'!E21</f>
        <v>0</v>
      </c>
      <c r="E21" s="107">
        <f>'BS Feb KSA'!F21+'BS Feb USA'!F21</f>
        <v>0</v>
      </c>
      <c r="F21" s="107">
        <f>'BS Feb KSA'!G21+'BS Feb USA'!G21</f>
        <v>0</v>
      </c>
      <c r="G21" s="107">
        <f>'BS Feb KSA'!H21+'BS Feb USA'!H21</f>
        <v>0</v>
      </c>
      <c r="H21" s="247">
        <f>'BS Feb KSA'!I21+'BS Feb USA'!I21</f>
        <v>0</v>
      </c>
      <c r="I21" s="107">
        <f>'BS Feb KSA'!J21+'BS Feb USA'!J21</f>
        <v>0</v>
      </c>
      <c r="J21" s="107">
        <f>'BS Feb KSA'!K21+'BS Feb USA'!K21</f>
        <v>0</v>
      </c>
      <c r="K21" s="107">
        <f>'BS Feb KSA'!L21+'BS Feb USA'!L21</f>
        <v>0</v>
      </c>
      <c r="L21" s="107">
        <f>'BS Feb KSA'!M21+'BS Feb USA'!M21</f>
        <v>0</v>
      </c>
      <c r="M21" s="107">
        <f>'BS Feb KSA'!N21+'BS Feb USA'!N21</f>
        <v>130.47999999999999</v>
      </c>
      <c r="N21" s="107">
        <f>'BS Feb KSA'!O21+'BS Feb USA'!O21</f>
        <v>130.47999999999999</v>
      </c>
      <c r="O21" s="107">
        <f>'BS Feb KSA'!P21+'BS Feb USA'!P21</f>
        <v>130.47999999999999</v>
      </c>
      <c r="P21" s="107">
        <f>'BS Feb KSA'!Q21+'BS Feb USA'!Q21</f>
        <v>130.47999999999999</v>
      </c>
      <c r="Q21" s="107">
        <f>'BS Feb KSA'!R21+'BS Feb USA'!R21</f>
        <v>130.47999999999999</v>
      </c>
      <c r="R21" s="107">
        <f>'BS Feb KSA'!S21+'BS Feb USA'!S21</f>
        <v>130.47999999999999</v>
      </c>
      <c r="S21" s="107">
        <f>'BS Feb KSA'!T21+'BS Feb USA'!T21</f>
        <v>130.47999999999999</v>
      </c>
      <c r="T21" s="247">
        <f>'BS Feb KSA'!U21+'BS Feb USA'!U21</f>
        <v>130.47999999999999</v>
      </c>
      <c r="U21" s="107">
        <f>'BS Feb KSA'!V21+'BS Feb USA'!V21</f>
        <v>130.47999999999999</v>
      </c>
      <c r="V21" s="107">
        <f>'BS Feb KSA'!W21+'BS Feb USA'!W21</f>
        <v>130.47999999999999</v>
      </c>
      <c r="W21" s="107">
        <f>'BS Feb KSA'!X21+'BS Feb USA'!X21</f>
        <v>130.47999999999999</v>
      </c>
      <c r="X21" s="107">
        <f>'BS Feb KSA'!Y21+'BS Feb USA'!Y21</f>
        <v>130.47999999999999</v>
      </c>
      <c r="Y21" s="107">
        <f>'BS Feb KSA'!Z21+'BS Feb USA'!Z21</f>
        <v>130.47999999999999</v>
      </c>
      <c r="Z21" s="107">
        <f>'BS Feb KSA'!AA21+'BS Feb USA'!AA21</f>
        <v>130.47999999999999</v>
      </c>
      <c r="AA21" s="107">
        <v>30.48</v>
      </c>
      <c r="AD21" s="2"/>
    </row>
    <row r="22" spans="1:32" outlineLevel="1">
      <c r="B22" s="16" t="s">
        <v>610</v>
      </c>
      <c r="C22" s="107">
        <f>'BS Feb KSA'!D22+'BS Feb USA'!D22</f>
        <v>0</v>
      </c>
      <c r="D22" s="107">
        <f>'BS Feb KSA'!E22+'BS Feb USA'!E22</f>
        <v>0</v>
      </c>
      <c r="E22" s="107">
        <f>'BS Feb KSA'!F22+'BS Feb USA'!F22</f>
        <v>0</v>
      </c>
      <c r="F22" s="107">
        <f>'BS Feb KSA'!G22+'BS Feb USA'!G22</f>
        <v>0</v>
      </c>
      <c r="G22" s="107">
        <f>'BS Feb KSA'!H22+'BS Feb USA'!H22</f>
        <v>0</v>
      </c>
      <c r="H22" s="247">
        <f>'BS Feb KSA'!I22+'BS Feb USA'!I22</f>
        <v>0</v>
      </c>
      <c r="I22" s="107">
        <f>'BS Feb KSA'!J22+'BS Feb USA'!J22</f>
        <v>0</v>
      </c>
      <c r="J22" s="107">
        <f>'BS Feb KSA'!K22+'BS Feb USA'!K22</f>
        <v>0</v>
      </c>
      <c r="K22" s="107">
        <f>'BS Feb KSA'!L22+'BS Feb USA'!L22</f>
        <v>0</v>
      </c>
      <c r="L22" s="107">
        <f>'BS Feb KSA'!M22+'BS Feb USA'!M22</f>
        <v>0</v>
      </c>
      <c r="M22" s="107">
        <f>'BS Feb KSA'!N22+'BS Feb USA'!N22</f>
        <v>9333530.5899999999</v>
      </c>
      <c r="N22" s="107">
        <f>'BS Feb KSA'!O22+'BS Feb USA'!O22</f>
        <v>6837833.1900000004</v>
      </c>
      <c r="O22" s="107">
        <f>'BS Feb KSA'!P22+'BS Feb USA'!P22</f>
        <v>161737.04</v>
      </c>
      <c r="P22" s="107">
        <f>'BS Feb KSA'!Q22+'BS Feb USA'!Q22</f>
        <v>642122.4</v>
      </c>
      <c r="Q22" s="107">
        <f>'BS Feb KSA'!R22+'BS Feb USA'!R22</f>
        <v>2001328.52</v>
      </c>
      <c r="R22" s="107">
        <f>'BS Feb KSA'!S22+'BS Feb USA'!S22</f>
        <v>749992.23</v>
      </c>
      <c r="S22" s="107">
        <f>'BS Feb KSA'!T22+'BS Feb USA'!T22</f>
        <v>100</v>
      </c>
      <c r="T22" s="247">
        <f>'BS Feb KSA'!U22+'BS Feb USA'!U22</f>
        <v>100</v>
      </c>
      <c r="U22" s="107">
        <f>'BS Feb KSA'!V22+'BS Feb USA'!V22</f>
        <v>100</v>
      </c>
      <c r="V22" s="107">
        <f>'BS Feb KSA'!W22+'BS Feb USA'!W22</f>
        <v>0</v>
      </c>
      <c r="W22" s="107">
        <f>'BS Feb KSA'!X22+'BS Feb USA'!X22</f>
        <v>0</v>
      </c>
      <c r="X22" s="107">
        <f>'BS Feb KSA'!Y22+'BS Feb USA'!Y22</f>
        <v>0</v>
      </c>
      <c r="Y22" s="107">
        <f>'BS Feb KSA'!Z22+'BS Feb USA'!Z22</f>
        <v>0</v>
      </c>
      <c r="Z22" s="107">
        <f>'BS Feb KSA'!AA22+'BS Feb USA'!AA22</f>
        <v>0</v>
      </c>
      <c r="AA22" s="45"/>
      <c r="AB22" s="45"/>
      <c r="AC22" s="45"/>
      <c r="AE22" s="54"/>
      <c r="AF22" s="2"/>
    </row>
    <row r="23" spans="1:32" outlineLevel="1">
      <c r="B23" s="16" t="s">
        <v>611</v>
      </c>
      <c r="C23" s="107">
        <f>'BS Feb KSA'!D23+'BS Feb USA'!D23</f>
        <v>0</v>
      </c>
      <c r="D23" s="107">
        <f>'BS Feb KSA'!E23+'BS Feb USA'!E23</f>
        <v>0</v>
      </c>
      <c r="E23" s="107">
        <f>'BS Feb KSA'!F23+'BS Feb USA'!F23</f>
        <v>0</v>
      </c>
      <c r="F23" s="107">
        <f>'BS Feb KSA'!G23+'BS Feb USA'!G23</f>
        <v>0</v>
      </c>
      <c r="G23" s="107">
        <f>'BS Feb KSA'!H23+'BS Feb USA'!H23</f>
        <v>0</v>
      </c>
      <c r="H23" s="247">
        <f>'BS Feb KSA'!I23+'BS Feb USA'!I23</f>
        <v>0</v>
      </c>
      <c r="I23" s="107">
        <f>'BS Feb KSA'!J23+'BS Feb USA'!J23</f>
        <v>0</v>
      </c>
      <c r="J23" s="107">
        <f>'BS Feb KSA'!K23+'BS Feb USA'!K23</f>
        <v>0</v>
      </c>
      <c r="K23" s="107">
        <f>'BS Feb KSA'!L23+'BS Feb USA'!L23</f>
        <v>0</v>
      </c>
      <c r="L23" s="107">
        <f>'BS Feb KSA'!M23+'BS Feb USA'!M23</f>
        <v>0</v>
      </c>
      <c r="M23" s="107">
        <f>'BS Feb KSA'!N23+'BS Feb USA'!N23</f>
        <v>449991.95</v>
      </c>
      <c r="N23" s="107">
        <f>'BS Feb KSA'!O23+'BS Feb USA'!O23</f>
        <v>449991.95</v>
      </c>
      <c r="O23" s="107">
        <f>'BS Feb KSA'!P23+'BS Feb USA'!P23</f>
        <v>2250000</v>
      </c>
      <c r="P23" s="107">
        <f>'BS Feb KSA'!Q23+'BS Feb USA'!Q23</f>
        <v>0</v>
      </c>
      <c r="Q23" s="107">
        <f>'BS Feb KSA'!R23+'BS Feb USA'!R23</f>
        <v>0</v>
      </c>
      <c r="R23" s="107">
        <f>'BS Feb KSA'!S23+'BS Feb USA'!S23</f>
        <v>0</v>
      </c>
      <c r="S23" s="107">
        <f>'BS Feb KSA'!T23+'BS Feb USA'!T23</f>
        <v>0</v>
      </c>
      <c r="T23" s="247">
        <f>'BS Feb KSA'!U23+'BS Feb USA'!U23</f>
        <v>0</v>
      </c>
      <c r="U23" s="107">
        <f>'BS Feb KSA'!V23+'BS Feb USA'!V23</f>
        <v>0</v>
      </c>
      <c r="V23" s="107">
        <f>'BS Feb KSA'!W23+'BS Feb USA'!W23</f>
        <v>0</v>
      </c>
      <c r="W23" s="107">
        <f>'BS Feb KSA'!X23+'BS Feb USA'!X23</f>
        <v>0</v>
      </c>
      <c r="X23" s="107">
        <f>'BS Feb KSA'!Y23+'BS Feb USA'!Y23</f>
        <v>0</v>
      </c>
      <c r="Y23" s="107">
        <f>'BS Feb KSA'!Z23+'BS Feb USA'!Z23</f>
        <v>0</v>
      </c>
      <c r="Z23" s="107">
        <f>'BS Feb KSA'!AA23+'BS Feb USA'!AA23</f>
        <v>0</v>
      </c>
      <c r="AA23" s="45"/>
      <c r="AB23" s="45"/>
      <c r="AC23" s="45"/>
      <c r="AE23" s="54"/>
      <c r="AF23" s="2"/>
    </row>
    <row r="24" spans="1:32" outlineLevel="1">
      <c r="B24" s="16" t="s">
        <v>101</v>
      </c>
      <c r="C24" s="107">
        <f>'BS Feb KSA'!D24+'BS Feb USA'!D24</f>
        <v>0</v>
      </c>
      <c r="D24" s="107">
        <f>'BS Feb KSA'!E24+'BS Feb USA'!E24</f>
        <v>0</v>
      </c>
      <c r="E24" s="107">
        <f>'BS Feb KSA'!F24+'BS Feb USA'!F24</f>
        <v>0</v>
      </c>
      <c r="F24" s="107">
        <f>'BS Feb KSA'!G24+'BS Feb USA'!G24</f>
        <v>0</v>
      </c>
      <c r="G24" s="107">
        <f>'BS Feb KSA'!H24+'BS Feb USA'!H24</f>
        <v>0</v>
      </c>
      <c r="H24" s="107">
        <f>'BS Feb KSA'!I24+'BS Feb USA'!I24</f>
        <v>0</v>
      </c>
      <c r="I24" s="107">
        <f>'BS Feb KSA'!J24+'BS Feb USA'!J24</f>
        <v>0</v>
      </c>
      <c r="J24" s="107">
        <f>'BS Feb KSA'!K24+'BS Feb USA'!K24</f>
        <v>0</v>
      </c>
      <c r="K24" s="107">
        <f>'BS Feb KSA'!L24+'BS Feb USA'!L24</f>
        <v>0</v>
      </c>
      <c r="L24" s="107">
        <f>'BS Feb KSA'!M24+'BS Feb USA'!M24</f>
        <v>0</v>
      </c>
      <c r="M24" s="107">
        <f>'BS Feb KSA'!N24+'BS Feb USA'!N24</f>
        <v>3615947.25</v>
      </c>
      <c r="N24" s="107">
        <f>'BS Feb KSA'!O24+'BS Feb USA'!O24</f>
        <v>3972174.14</v>
      </c>
      <c r="O24" s="107">
        <f>'BS Feb KSA'!P24+'BS Feb USA'!P24</f>
        <v>4665832.38</v>
      </c>
      <c r="P24" s="107">
        <f>'BS Feb KSA'!Q24+'BS Feb USA'!Q24</f>
        <v>7232496.4299999997</v>
      </c>
      <c r="Q24" s="107">
        <f>'BS Feb KSA'!R24+'BS Feb USA'!R24</f>
        <v>8332218.6699999999</v>
      </c>
      <c r="R24" s="107">
        <f>'BS Feb KSA'!S24+'BS Feb USA'!S24</f>
        <v>1698141.53</v>
      </c>
      <c r="S24" s="107">
        <f>'BS Feb KSA'!T24+'BS Feb USA'!T24</f>
        <v>157288.17000000001</v>
      </c>
      <c r="T24" s="107">
        <f>'BS Feb KSA'!U24+'BS Feb USA'!U24</f>
        <v>71680.740000000005</v>
      </c>
      <c r="U24" s="107">
        <f>'BS Feb KSA'!V24+'BS Feb USA'!V24</f>
        <v>374733.33</v>
      </c>
      <c r="V24" s="107">
        <f>'BS Feb KSA'!W24+'BS Feb USA'!W24</f>
        <v>207571.61</v>
      </c>
      <c r="W24" s="107">
        <f>'BS Feb KSA'!X24+'BS Feb USA'!X24</f>
        <v>387020.37</v>
      </c>
      <c r="X24" s="107">
        <f>'BS Feb KSA'!Y24+'BS Feb USA'!Y24</f>
        <v>825153.17</v>
      </c>
      <c r="Y24" s="107">
        <f>'BS Feb KSA'!Z24+'BS Feb USA'!Z24</f>
        <v>1283941.1200000001</v>
      </c>
      <c r="Z24" s="107">
        <f>'BS Feb KSA'!AA24+'BS Feb USA'!AA24</f>
        <v>1685710.64</v>
      </c>
      <c r="AA24" s="107">
        <v>2008252.44</v>
      </c>
      <c r="AD24" s="2"/>
    </row>
    <row r="25" spans="1:32" outlineLevel="1">
      <c r="B25" s="16" t="s">
        <v>214</v>
      </c>
      <c r="C25" s="107">
        <f>'BS Feb KSA'!D25+'BS Feb USA'!D25</f>
        <v>0</v>
      </c>
      <c r="D25" s="107">
        <f>'BS Feb KSA'!E25+'BS Feb USA'!E25</f>
        <v>0</v>
      </c>
      <c r="E25" s="107">
        <f>'BS Feb KSA'!F25+'BS Feb USA'!F25</f>
        <v>0</v>
      </c>
      <c r="F25" s="107">
        <f>'BS Feb KSA'!G25+'BS Feb USA'!G25</f>
        <v>0</v>
      </c>
      <c r="G25" s="107">
        <f>'BS Feb KSA'!H25+'BS Feb USA'!H25</f>
        <v>0</v>
      </c>
      <c r="H25" s="107">
        <f>'BS Feb KSA'!I25+'BS Feb USA'!I25</f>
        <v>0</v>
      </c>
      <c r="I25" s="107">
        <f>'BS Feb KSA'!J25+'BS Feb USA'!J25</f>
        <v>0</v>
      </c>
      <c r="J25" s="107">
        <f>'BS Feb KSA'!K25+'BS Feb USA'!K25</f>
        <v>0</v>
      </c>
      <c r="K25" s="107">
        <f>'BS Feb KSA'!L25+'BS Feb USA'!L25</f>
        <v>0</v>
      </c>
      <c r="L25" s="107">
        <f>'BS Feb KSA'!M25+'BS Feb USA'!M25</f>
        <v>0</v>
      </c>
      <c r="M25" s="107">
        <f>'BS Feb KSA'!N25+'BS Feb USA'!N25</f>
        <v>37094.800000000003</v>
      </c>
      <c r="N25" s="107">
        <f>'BS Feb KSA'!O25+'BS Feb USA'!O25</f>
        <v>37094.800000000003</v>
      </c>
      <c r="O25" s="107">
        <f>'BS Feb KSA'!P25+'BS Feb USA'!P25</f>
        <v>37094.800000000003</v>
      </c>
      <c r="P25" s="107">
        <f>'BS Feb KSA'!Q25+'BS Feb USA'!Q25</f>
        <v>37094.800000000003</v>
      </c>
      <c r="Q25" s="107">
        <f>'BS Feb KSA'!R25+'BS Feb USA'!R25</f>
        <v>37094.800000000003</v>
      </c>
      <c r="R25" s="107">
        <f>'BS Feb KSA'!S25+'BS Feb USA'!S25</f>
        <v>37094.800000000003</v>
      </c>
      <c r="S25" s="107">
        <f>'BS Feb KSA'!T25+'BS Feb USA'!T25</f>
        <v>37094.800000000003</v>
      </c>
      <c r="T25" s="107">
        <f>'BS Feb KSA'!U25+'BS Feb USA'!U25</f>
        <v>37094.800000000003</v>
      </c>
      <c r="U25" s="107">
        <f>'BS Feb KSA'!V25+'BS Feb USA'!V25</f>
        <v>37094.800000000003</v>
      </c>
      <c r="V25" s="107">
        <f>'BS Feb KSA'!W25+'BS Feb USA'!W25</f>
        <v>37094.800000000003</v>
      </c>
      <c r="W25" s="107">
        <f>'BS Feb KSA'!X25+'BS Feb USA'!X25</f>
        <v>37094.800000000003</v>
      </c>
      <c r="X25" s="107">
        <f>'BS Feb KSA'!Y25+'BS Feb USA'!Y25</f>
        <v>37094.800000000003</v>
      </c>
      <c r="Y25" s="107">
        <f>'BS Feb KSA'!Z25+'BS Feb USA'!Z25</f>
        <v>37094.800000000003</v>
      </c>
      <c r="Z25" s="107">
        <f>'BS Feb KSA'!AA25+'BS Feb USA'!AA25</f>
        <v>37094.800000000003</v>
      </c>
      <c r="AA25" s="107">
        <v>37094.800000000003</v>
      </c>
      <c r="AD25" s="2"/>
    </row>
    <row r="26" spans="1:32" outlineLevel="1">
      <c r="B26" s="16" t="s">
        <v>103</v>
      </c>
      <c r="C26" s="107">
        <f>'BS Feb KSA'!D26+'BS Feb USA'!D26</f>
        <v>0</v>
      </c>
      <c r="D26" s="107">
        <f>'BS Feb KSA'!E26+'BS Feb USA'!E26</f>
        <v>0</v>
      </c>
      <c r="E26" s="107">
        <f>'BS Feb KSA'!F26+'BS Feb USA'!F26</f>
        <v>0</v>
      </c>
      <c r="F26" s="107">
        <f>'BS Feb KSA'!G26+'BS Feb USA'!G26</f>
        <v>0</v>
      </c>
      <c r="G26" s="107">
        <f>'BS Feb KSA'!H26+'BS Feb USA'!H26</f>
        <v>0</v>
      </c>
      <c r="H26" s="107">
        <f>'BS Feb KSA'!I26+'BS Feb USA'!I26</f>
        <v>0</v>
      </c>
      <c r="I26" s="107">
        <f>'BS Feb KSA'!J26+'BS Feb USA'!J26</f>
        <v>0</v>
      </c>
      <c r="J26" s="107">
        <f>'BS Feb KSA'!K26+'BS Feb USA'!K26</f>
        <v>0</v>
      </c>
      <c r="K26" s="107">
        <f>'BS Feb KSA'!L26+'BS Feb USA'!L26</f>
        <v>0</v>
      </c>
      <c r="L26" s="107">
        <f>'BS Feb KSA'!M26+'BS Feb USA'!M26</f>
        <v>0</v>
      </c>
      <c r="M26" s="107">
        <f>'BS Feb KSA'!N26+'BS Feb USA'!N26</f>
        <v>7822.62</v>
      </c>
      <c r="N26" s="107">
        <f>'BS Feb KSA'!O26+'BS Feb USA'!O26</f>
        <v>7822.62</v>
      </c>
      <c r="O26" s="107">
        <f>'BS Feb KSA'!P26+'BS Feb USA'!P26</f>
        <v>7822.62</v>
      </c>
      <c r="P26" s="107">
        <f>'BS Feb KSA'!Q26+'BS Feb USA'!Q26</f>
        <v>7822.62</v>
      </c>
      <c r="Q26" s="107">
        <f>'BS Feb KSA'!R26+'BS Feb USA'!R26</f>
        <v>7822.62</v>
      </c>
      <c r="R26" s="107">
        <f>'BS Feb KSA'!S26+'BS Feb USA'!S26</f>
        <v>7822.62</v>
      </c>
      <c r="S26" s="107">
        <f>'BS Feb KSA'!T26+'BS Feb USA'!T26</f>
        <v>7822.62</v>
      </c>
      <c r="T26" s="107">
        <f>'BS Feb KSA'!U26+'BS Feb USA'!U26</f>
        <v>7822.62</v>
      </c>
      <c r="U26" s="107">
        <f>'BS Feb KSA'!V26+'BS Feb USA'!V26</f>
        <v>7822.62</v>
      </c>
      <c r="V26" s="107">
        <f>'BS Feb KSA'!W26+'BS Feb USA'!W26</f>
        <v>7822.62</v>
      </c>
      <c r="W26" s="107">
        <f>'BS Feb KSA'!X26+'BS Feb USA'!X26</f>
        <v>7822.62</v>
      </c>
      <c r="X26" s="107">
        <f>'BS Feb KSA'!Y26+'BS Feb USA'!Y26</f>
        <v>7822.62</v>
      </c>
      <c r="Y26" s="107">
        <f>'BS Feb KSA'!Z26+'BS Feb USA'!Z26</f>
        <v>7822.62</v>
      </c>
      <c r="Z26" s="107">
        <f>'BS Feb KSA'!AA26+'BS Feb USA'!AA26</f>
        <v>7822.62</v>
      </c>
      <c r="AA26" s="107">
        <v>7822.62</v>
      </c>
      <c r="AD26" s="2"/>
    </row>
    <row r="27" spans="1:32" outlineLevel="1">
      <c r="B27" s="16" t="s">
        <v>104</v>
      </c>
      <c r="C27" s="107">
        <f>'BS Feb KSA'!D27+'BS Feb USA'!D27</f>
        <v>0</v>
      </c>
      <c r="D27" s="107">
        <f>'BS Feb KSA'!E27+'BS Feb USA'!E27</f>
        <v>0</v>
      </c>
      <c r="E27" s="107">
        <f>'BS Feb KSA'!F27+'BS Feb USA'!F27</f>
        <v>0</v>
      </c>
      <c r="F27" s="107">
        <f>'BS Feb KSA'!G27+'BS Feb USA'!G27</f>
        <v>0</v>
      </c>
      <c r="G27" s="107">
        <f>'BS Feb KSA'!H27+'BS Feb USA'!H27</f>
        <v>0</v>
      </c>
      <c r="H27" s="107">
        <f>'BS Feb KSA'!I27+'BS Feb USA'!I27</f>
        <v>0</v>
      </c>
      <c r="I27" s="107">
        <f>'BS Feb KSA'!J27+'BS Feb USA'!J27</f>
        <v>0</v>
      </c>
      <c r="J27" s="107">
        <f>'BS Feb KSA'!K27+'BS Feb USA'!K27</f>
        <v>0</v>
      </c>
      <c r="K27" s="107">
        <f>'BS Feb KSA'!L27+'BS Feb USA'!L27</f>
        <v>0</v>
      </c>
      <c r="L27" s="107">
        <f>'BS Feb KSA'!M27+'BS Feb USA'!M27</f>
        <v>0</v>
      </c>
      <c r="M27" s="107">
        <f>'BS Feb KSA'!N27+'BS Feb USA'!N27</f>
        <v>-3233.66</v>
      </c>
      <c r="N27" s="107">
        <f>'BS Feb KSA'!O27+'BS Feb USA'!O27</f>
        <v>5088.47</v>
      </c>
      <c r="O27" s="107">
        <f>'BS Feb KSA'!P27+'BS Feb USA'!P27</f>
        <v>19073.71</v>
      </c>
      <c r="P27" s="107">
        <f>'BS Feb KSA'!Q27+'BS Feb USA'!Q27</f>
        <v>22604.65</v>
      </c>
      <c r="Q27" s="107">
        <f>'BS Feb KSA'!R27+'BS Feb USA'!R27</f>
        <v>13409.11</v>
      </c>
      <c r="R27" s="107">
        <f>'BS Feb KSA'!S27+'BS Feb USA'!S27</f>
        <v>22387.23</v>
      </c>
      <c r="S27" s="107">
        <f>'BS Feb KSA'!T27+'BS Feb USA'!T27</f>
        <v>15814.78</v>
      </c>
      <c r="T27" s="107">
        <f>'BS Feb KSA'!U27+'BS Feb USA'!U27</f>
        <v>20975.45</v>
      </c>
      <c r="U27" s="107">
        <f>'BS Feb KSA'!V27+'BS Feb USA'!V27</f>
        <v>41534</v>
      </c>
      <c r="V27" s="107">
        <f>'BS Feb KSA'!W27+'BS Feb USA'!W27</f>
        <v>37494.58</v>
      </c>
      <c r="W27" s="107">
        <f>'BS Feb KSA'!X27+'BS Feb USA'!X27</f>
        <v>31308.32</v>
      </c>
      <c r="X27" s="107">
        <f>'BS Feb KSA'!Y27+'BS Feb USA'!Y27</f>
        <v>25000</v>
      </c>
      <c r="Y27" s="107">
        <f>'BS Feb KSA'!Z27+'BS Feb USA'!Z27</f>
        <v>0</v>
      </c>
      <c r="Z27" s="107">
        <f>'BS Feb KSA'!AA27+'BS Feb USA'!AA27</f>
        <v>0</v>
      </c>
      <c r="AA27" s="107"/>
      <c r="AD27" s="2"/>
    </row>
    <row r="28" spans="1:32" outlineLevel="1">
      <c r="B28" s="16" t="s">
        <v>596</v>
      </c>
      <c r="C28" s="107">
        <f>'BS Feb KSA'!D28+'BS Feb USA'!D28</f>
        <v>0</v>
      </c>
      <c r="D28" s="107">
        <f>'BS Feb KSA'!E28+'BS Feb USA'!E28</f>
        <v>0</v>
      </c>
      <c r="E28" s="107">
        <f>'BS Feb KSA'!F28+'BS Feb USA'!F28</f>
        <v>0</v>
      </c>
      <c r="F28" s="107">
        <f>'BS Feb KSA'!G28+'BS Feb USA'!G28</f>
        <v>0</v>
      </c>
      <c r="G28" s="107">
        <f>'BS Feb KSA'!H28+'BS Feb USA'!H28</f>
        <v>0</v>
      </c>
      <c r="H28" s="107">
        <f>'BS Feb KSA'!I28+'BS Feb USA'!I28</f>
        <v>0</v>
      </c>
      <c r="I28" s="107">
        <f>'BS Feb KSA'!J28+'BS Feb USA'!J28</f>
        <v>0</v>
      </c>
      <c r="J28" s="107">
        <f>'BS Feb KSA'!K28+'BS Feb USA'!K28</f>
        <v>0</v>
      </c>
      <c r="K28" s="107">
        <f>'BS Feb KSA'!L28+'BS Feb USA'!L28</f>
        <v>0</v>
      </c>
      <c r="L28" s="107">
        <f>'BS Feb KSA'!M28+'BS Feb USA'!M28</f>
        <v>0</v>
      </c>
      <c r="M28" s="107">
        <f>'BS Feb KSA'!N28+'BS Feb USA'!N28</f>
        <v>104755.43</v>
      </c>
      <c r="N28" s="107">
        <f>'BS Feb KSA'!O28+'BS Feb USA'!O28</f>
        <v>104755.43</v>
      </c>
      <c r="O28" s="107">
        <f>'BS Feb KSA'!P28+'BS Feb USA'!P28</f>
        <v>104755.43</v>
      </c>
      <c r="P28" s="107">
        <f>'BS Feb KSA'!Q28+'BS Feb USA'!Q28</f>
        <v>104755.43</v>
      </c>
      <c r="Q28" s="107">
        <f>'BS Feb KSA'!R28+'BS Feb USA'!R28</f>
        <v>104755.43</v>
      </c>
      <c r="R28" s="107">
        <f>'BS Feb KSA'!S28+'BS Feb USA'!S28</f>
        <v>104755.43</v>
      </c>
      <c r="S28" s="107">
        <f>'BS Feb KSA'!T28+'BS Feb USA'!T28</f>
        <v>276809.23</v>
      </c>
      <c r="T28" s="107">
        <f>'BS Feb KSA'!U28+'BS Feb USA'!U28</f>
        <v>0</v>
      </c>
      <c r="U28" s="107">
        <f>'BS Feb KSA'!V28+'BS Feb USA'!V28</f>
        <v>0</v>
      </c>
      <c r="V28" s="107">
        <f>'BS Feb KSA'!W28+'BS Feb USA'!W28</f>
        <v>0</v>
      </c>
      <c r="W28" s="107">
        <f>'BS Feb KSA'!X28+'BS Feb USA'!X28</f>
        <v>0</v>
      </c>
      <c r="X28" s="107">
        <f>'BS Feb KSA'!Y28+'BS Feb USA'!Y28</f>
        <v>0</v>
      </c>
      <c r="Y28" s="107">
        <f>'BS Feb KSA'!Z28+'BS Feb USA'!Z28</f>
        <v>0</v>
      </c>
      <c r="Z28" s="107">
        <f>'BS Feb KSA'!AA28+'BS Feb USA'!AA28</f>
        <v>0</v>
      </c>
      <c r="AA28" s="107"/>
      <c r="AD28" s="2"/>
    </row>
    <row r="29" spans="1:32" outlineLevel="1">
      <c r="B29" s="16" t="s">
        <v>105</v>
      </c>
      <c r="C29" s="107">
        <f>'BS Feb KSA'!D29+'BS Feb USA'!D29</f>
        <v>0</v>
      </c>
      <c r="D29" s="107">
        <f>'BS Feb KSA'!E29+'BS Feb USA'!E29</f>
        <v>0</v>
      </c>
      <c r="E29" s="107">
        <f>'BS Feb KSA'!F29+'BS Feb USA'!F29</f>
        <v>0</v>
      </c>
      <c r="F29" s="107">
        <f>'BS Feb KSA'!G29+'BS Feb USA'!G29</f>
        <v>0</v>
      </c>
      <c r="G29" s="107">
        <f>'BS Feb KSA'!H29+'BS Feb USA'!H29</f>
        <v>0</v>
      </c>
      <c r="H29" s="107">
        <f>'BS Feb KSA'!I29+'BS Feb USA'!I29</f>
        <v>0</v>
      </c>
      <c r="I29" s="107">
        <f>'BS Feb KSA'!J29+'BS Feb USA'!J29</f>
        <v>0</v>
      </c>
      <c r="J29" s="107">
        <f>'BS Feb KSA'!K29+'BS Feb USA'!K29</f>
        <v>0</v>
      </c>
      <c r="K29" s="107">
        <f>'BS Feb KSA'!L29+'BS Feb USA'!L29</f>
        <v>0</v>
      </c>
      <c r="L29" s="107">
        <f>'BS Feb KSA'!M29+'BS Feb USA'!M29</f>
        <v>0</v>
      </c>
      <c r="M29" s="107">
        <f>'BS Feb KSA'!N29+'BS Feb USA'!N29</f>
        <v>10841.71</v>
      </c>
      <c r="N29" s="107">
        <f>'BS Feb KSA'!O29+'BS Feb USA'!O29</f>
        <v>11186.71</v>
      </c>
      <c r="O29" s="107">
        <f>'BS Feb KSA'!P29+'BS Feb USA'!P29</f>
        <v>17506.71</v>
      </c>
      <c r="P29" s="107">
        <f>'BS Feb KSA'!Q29+'BS Feb USA'!Q29</f>
        <v>20969.21</v>
      </c>
      <c r="Q29" s="107">
        <f>'BS Feb KSA'!R29+'BS Feb USA'!R29</f>
        <v>6863.71</v>
      </c>
      <c r="R29" s="107">
        <f>'BS Feb KSA'!S29+'BS Feb USA'!S29</f>
        <v>36154.71</v>
      </c>
      <c r="S29" s="107">
        <f>'BS Feb KSA'!T29+'BS Feb USA'!T29</f>
        <v>36715.69</v>
      </c>
      <c r="T29" s="107">
        <f>'BS Feb KSA'!U29+'BS Feb USA'!U29</f>
        <v>8579.6</v>
      </c>
      <c r="U29" s="107">
        <f>'BS Feb KSA'!V29+'BS Feb USA'!V29</f>
        <v>10959.6</v>
      </c>
      <c r="V29" s="107">
        <f>'BS Feb KSA'!W29+'BS Feb USA'!W29</f>
        <v>2491.77</v>
      </c>
      <c r="W29" s="107">
        <f>'BS Feb KSA'!X29+'BS Feb USA'!X29</f>
        <v>1649.94</v>
      </c>
      <c r="X29" s="107">
        <f>'BS Feb KSA'!Y29+'BS Feb USA'!Y29</f>
        <v>3876.4</v>
      </c>
      <c r="Y29" s="107">
        <f>'BS Feb KSA'!Z29+'BS Feb USA'!Z29</f>
        <v>4759.3999999999996</v>
      </c>
      <c r="Z29" s="107">
        <f>'BS Feb KSA'!AA29+'BS Feb USA'!AA29</f>
        <v>17585.52</v>
      </c>
      <c r="AA29" s="107">
        <v>26143.5</v>
      </c>
      <c r="AD29" s="2"/>
    </row>
    <row r="30" spans="1:32" outlineLevel="1">
      <c r="B30" s="16" t="s">
        <v>106</v>
      </c>
      <c r="C30" s="107">
        <f>'BS Feb KSA'!D30+'BS Feb USA'!D30</f>
        <v>0</v>
      </c>
      <c r="D30" s="107">
        <f>'BS Feb KSA'!E30+'BS Feb USA'!E30</f>
        <v>0</v>
      </c>
      <c r="E30" s="107">
        <f>'BS Feb KSA'!F30+'BS Feb USA'!F30</f>
        <v>0</v>
      </c>
      <c r="F30" s="107">
        <f>'BS Feb KSA'!G30+'BS Feb USA'!G30</f>
        <v>0</v>
      </c>
      <c r="G30" s="107">
        <f>'BS Feb KSA'!H30+'BS Feb USA'!H30</f>
        <v>0</v>
      </c>
      <c r="H30" s="247">
        <f>'BS Feb KSA'!I30+'BS Feb USA'!I30</f>
        <v>0</v>
      </c>
      <c r="I30" s="107">
        <f>'BS Feb KSA'!J30+'BS Feb USA'!J30</f>
        <v>0</v>
      </c>
      <c r="J30" s="107">
        <f>'BS Feb KSA'!K30+'BS Feb USA'!K31</f>
        <v>0</v>
      </c>
      <c r="K30" s="107">
        <f>'BS Feb KSA'!L30+'BS Feb USA'!L31</f>
        <v>0</v>
      </c>
      <c r="L30" s="107">
        <f>'BS Feb KSA'!M30+'BS Feb USA'!M31</f>
        <v>0</v>
      </c>
      <c r="M30" s="107">
        <f>'BS Feb KSA'!N30+'BS Feb USA'!N31</f>
        <v>-36293.050000000003</v>
      </c>
      <c r="N30" s="107">
        <f>'BS Feb KSA'!O30+'BS Feb USA'!O31</f>
        <v>-36319.83</v>
      </c>
      <c r="O30" s="107">
        <f>'BS Feb KSA'!P30+'BS Feb USA'!P30</f>
        <v>1791087.02</v>
      </c>
      <c r="P30" s="107">
        <f>'BS Feb KSA'!Q30+'BS Feb USA'!Q30</f>
        <v>-8991.84</v>
      </c>
      <c r="Q30" s="107">
        <f>'BS Feb KSA'!R30+'BS Feb USA'!R30</f>
        <v>-9026.2099999999991</v>
      </c>
      <c r="R30" s="107">
        <f>'BS Feb KSA'!S30+'BS Feb USA'!S30</f>
        <v>-9026.8799999999992</v>
      </c>
      <c r="S30" s="107">
        <f>'BS Feb KSA'!T30+'BS Feb USA'!T30</f>
        <v>0</v>
      </c>
      <c r="T30" s="247">
        <f>'BS Feb KSA'!U30+'BS Feb USA'!U30</f>
        <v>-0.01</v>
      </c>
      <c r="U30" s="107">
        <f>'BS Feb KSA'!V30+'BS Feb USA'!V30</f>
        <v>0</v>
      </c>
      <c r="V30" s="107">
        <f>'BS Feb KSA'!W30+'BS Feb USA'!W31</f>
        <v>1008746.35</v>
      </c>
      <c r="W30" s="107">
        <f>'BS Feb KSA'!X30+'BS Feb USA'!X31</f>
        <v>0</v>
      </c>
      <c r="X30" s="107">
        <f>'BS Feb KSA'!Y30+'BS Feb USA'!Y31</f>
        <v>0</v>
      </c>
      <c r="Y30" s="107">
        <f>'BS Feb KSA'!Z30+'BS Feb USA'!Z31</f>
        <v>0</v>
      </c>
      <c r="Z30" s="107">
        <f>'BS Feb KSA'!AA30+'BS Feb USA'!AA31</f>
        <v>0</v>
      </c>
      <c r="AA30" s="107"/>
      <c r="AD30" s="2"/>
    </row>
    <row r="31" spans="1:32" ht="15">
      <c r="B31" s="25"/>
      <c r="C31" s="46"/>
      <c r="D31" s="46"/>
      <c r="E31" s="46"/>
      <c r="F31" s="46"/>
      <c r="G31" s="46"/>
      <c r="H31" s="46"/>
      <c r="I31" s="46"/>
      <c r="J31" s="107"/>
      <c r="K31" s="45"/>
      <c r="L31" s="46"/>
      <c r="M31" s="46"/>
      <c r="N31" s="108"/>
      <c r="O31" s="46"/>
      <c r="P31" s="46"/>
      <c r="Q31" s="46"/>
      <c r="R31" s="46"/>
      <c r="S31" s="46"/>
      <c r="T31" s="46"/>
      <c r="U31" s="46"/>
      <c r="V31" s="107"/>
      <c r="W31" s="45"/>
      <c r="X31" s="46"/>
      <c r="Y31" s="46"/>
      <c r="Z31" s="108"/>
      <c r="AA31" s="46"/>
    </row>
    <row r="32" spans="1:32" s="69" customFormat="1">
      <c r="A32" s="68"/>
      <c r="B32" s="19" t="s">
        <v>107</v>
      </c>
      <c r="C32" s="48">
        <f t="shared" ref="C32:K32" si="0">SUM(C33:C34)</f>
        <v>0</v>
      </c>
      <c r="D32" s="48">
        <f t="shared" si="0"/>
        <v>0</v>
      </c>
      <c r="E32" s="48">
        <f t="shared" si="0"/>
        <v>0</v>
      </c>
      <c r="F32" s="48">
        <f t="shared" si="0"/>
        <v>0</v>
      </c>
      <c r="G32" s="48">
        <f t="shared" si="0"/>
        <v>0</v>
      </c>
      <c r="H32" s="48">
        <f t="shared" si="0"/>
        <v>0</v>
      </c>
      <c r="I32" s="48">
        <f t="shared" si="0"/>
        <v>0</v>
      </c>
      <c r="J32" s="48">
        <f t="shared" si="0"/>
        <v>0</v>
      </c>
      <c r="K32" s="48">
        <f t="shared" si="0"/>
        <v>0</v>
      </c>
      <c r="L32" s="48">
        <f t="shared" ref="L32:M32" si="1">SUM(L33:L34)</f>
        <v>0</v>
      </c>
      <c r="M32" s="48">
        <f t="shared" si="1"/>
        <v>79691886.25</v>
      </c>
      <c r="N32" s="48">
        <f t="shared" ref="N32:W32" si="2">SUM(N33:N34)</f>
        <v>78024030.260000005</v>
      </c>
      <c r="O32" s="48">
        <f t="shared" si="2"/>
        <v>73055219.459999993</v>
      </c>
      <c r="P32" s="48">
        <f t="shared" si="2"/>
        <v>66956065.279999994</v>
      </c>
      <c r="Q32" s="48">
        <f t="shared" si="2"/>
        <v>60022332.039999999</v>
      </c>
      <c r="R32" s="48">
        <f t="shared" si="2"/>
        <v>57483398.909999996</v>
      </c>
      <c r="S32" s="48">
        <f t="shared" si="2"/>
        <v>58928423.469999999</v>
      </c>
      <c r="T32" s="48">
        <f t="shared" si="2"/>
        <v>61930297.699999996</v>
      </c>
      <c r="U32" s="48">
        <f t="shared" si="2"/>
        <v>53435255.939999998</v>
      </c>
      <c r="V32" s="48">
        <f t="shared" si="2"/>
        <v>54529562.920000002</v>
      </c>
      <c r="W32" s="48">
        <f t="shared" si="2"/>
        <v>54439068.18</v>
      </c>
      <c r="X32" s="48">
        <f t="shared" ref="X32:Z32" si="3">SUM(X33:X34)</f>
        <v>55612240.43</v>
      </c>
      <c r="Y32" s="48">
        <f t="shared" si="3"/>
        <v>48475745.350000001</v>
      </c>
      <c r="Z32" s="48">
        <f t="shared" si="3"/>
        <v>41571832.979999997</v>
      </c>
      <c r="AA32" s="109">
        <f t="shared" ref="AA32" si="4">SUM(AA33:AA34)</f>
        <v>39178410.07</v>
      </c>
    </row>
    <row r="33" spans="1:27" outlineLevel="1">
      <c r="B33" s="16" t="s">
        <v>108</v>
      </c>
      <c r="C33" s="107">
        <f>'BS Feb KSA'!D33+'BS Feb USA'!D33</f>
        <v>0</v>
      </c>
      <c r="D33" s="107">
        <f>'BS Feb KSA'!E33+'BS Feb USA'!E33</f>
        <v>0</v>
      </c>
      <c r="E33" s="107">
        <f>'BS Feb KSA'!F33+'BS Feb USA'!F33</f>
        <v>0</v>
      </c>
      <c r="F33" s="107">
        <f>'BS Feb KSA'!G33+'BS Feb USA'!G33</f>
        <v>0</v>
      </c>
      <c r="G33" s="107">
        <f>'BS Feb KSA'!H33+'BS Feb USA'!H33</f>
        <v>0</v>
      </c>
      <c r="H33" s="107">
        <f>'BS Feb KSA'!I33+'BS Feb USA'!I33</f>
        <v>0</v>
      </c>
      <c r="I33" s="107">
        <f>'BS Feb KSA'!J33+'BS Feb USA'!J33</f>
        <v>0</v>
      </c>
      <c r="J33" s="107">
        <f>'BS Feb KSA'!K33+'BS Feb USA'!K33</f>
        <v>0</v>
      </c>
      <c r="K33" s="107">
        <f>'BS Feb KSA'!L33+'BS Feb USA'!L33</f>
        <v>0</v>
      </c>
      <c r="L33" s="107">
        <f>'BS Feb KSA'!M33+'BS Feb USA'!M33</f>
        <v>0</v>
      </c>
      <c r="M33" s="107">
        <f>'BS Feb KSA'!N33+'BS Feb USA'!N33</f>
        <v>80843930.5</v>
      </c>
      <c r="N33" s="107">
        <f>'BS Feb KSA'!O33+'BS Feb USA'!O33</f>
        <v>79176074.510000005</v>
      </c>
      <c r="O33" s="107">
        <f>'BS Feb KSA'!P33+'BS Feb USA'!P33</f>
        <v>74207263.709999993</v>
      </c>
      <c r="P33" s="107">
        <f>'BS Feb KSA'!Q33+'BS Feb USA'!Q33</f>
        <v>67634652.909999996</v>
      </c>
      <c r="Q33" s="107">
        <f>'BS Feb KSA'!R33+'BS Feb USA'!R33</f>
        <v>60700919.670000002</v>
      </c>
      <c r="R33" s="107">
        <f>'BS Feb KSA'!S33+'BS Feb USA'!S33</f>
        <v>58161986.539999999</v>
      </c>
      <c r="S33" s="107">
        <f>'BS Feb KSA'!T33+'BS Feb USA'!T33</f>
        <v>60295259.5</v>
      </c>
      <c r="T33" s="107">
        <f>'BS Feb KSA'!U33+'BS Feb USA'!U33</f>
        <v>63272133.729999997</v>
      </c>
      <c r="U33" s="107">
        <f>'BS Feb KSA'!V33+'BS Feb USA'!V33</f>
        <v>53991264.939999998</v>
      </c>
      <c r="V33" s="107">
        <f>'BS Feb KSA'!W33+'BS Feb USA'!W33</f>
        <v>55060571.920000002</v>
      </c>
      <c r="W33" s="107">
        <f>'BS Feb KSA'!X33+'BS Feb USA'!X33</f>
        <v>54945077.18</v>
      </c>
      <c r="X33" s="107">
        <f>'BS Feb KSA'!Y33+'BS Feb USA'!Y33</f>
        <v>56093249.43</v>
      </c>
      <c r="Y33" s="107">
        <f>'BS Feb KSA'!Z33+'BS Feb USA'!Z33</f>
        <v>48931754.350000001</v>
      </c>
      <c r="Z33" s="107">
        <f>'BS Feb KSA'!AA33+'BS Feb USA'!AA33</f>
        <v>42002841.979999997</v>
      </c>
      <c r="AA33" s="107">
        <v>39584419.07</v>
      </c>
    </row>
    <row r="34" spans="1:27" outlineLevel="1">
      <c r="B34" s="16" t="s">
        <v>109</v>
      </c>
      <c r="C34" s="107">
        <f>'BS Feb KSA'!D34+'BS Feb USA'!D34</f>
        <v>0</v>
      </c>
      <c r="D34" s="107">
        <f>'BS Feb KSA'!E34+'BS Feb USA'!E34</f>
        <v>0</v>
      </c>
      <c r="E34" s="107">
        <f>'BS Feb KSA'!F34+'BS Feb USA'!F34</f>
        <v>0</v>
      </c>
      <c r="F34" s="107">
        <f>'BS Feb KSA'!G34+'BS Feb USA'!G34</f>
        <v>0</v>
      </c>
      <c r="G34" s="107">
        <f>'BS Feb KSA'!H34+'BS Feb USA'!H34</f>
        <v>0</v>
      </c>
      <c r="H34" s="107">
        <f>'BS Feb KSA'!I34+'BS Feb USA'!I34</f>
        <v>0</v>
      </c>
      <c r="I34" s="107">
        <f>'BS Feb KSA'!J34+'BS Feb USA'!J34</f>
        <v>0</v>
      </c>
      <c r="J34" s="107">
        <f>'BS Feb KSA'!K34+'BS Feb USA'!K34</f>
        <v>0</v>
      </c>
      <c r="K34" s="107">
        <f>'BS Feb KSA'!L34+'BS Feb USA'!L34</f>
        <v>0</v>
      </c>
      <c r="L34" s="107">
        <f>'BS Feb KSA'!M34+'BS Feb USA'!M34</f>
        <v>0</v>
      </c>
      <c r="M34" s="107">
        <f>'BS Feb KSA'!N34+'BS Feb USA'!N34</f>
        <v>-1152044.25</v>
      </c>
      <c r="N34" s="107">
        <f>'BS Feb KSA'!O34+'BS Feb USA'!O34</f>
        <v>-1152044.25</v>
      </c>
      <c r="O34" s="107">
        <f>'BS Feb KSA'!P34+'BS Feb USA'!P34</f>
        <v>-1152044.25</v>
      </c>
      <c r="P34" s="107">
        <f>'BS Feb KSA'!Q34+'BS Feb USA'!Q34</f>
        <v>-678587.63</v>
      </c>
      <c r="Q34" s="107">
        <f>'BS Feb KSA'!R34+'BS Feb USA'!R34</f>
        <v>-678587.63</v>
      </c>
      <c r="R34" s="107">
        <f>'BS Feb KSA'!S34+'BS Feb USA'!S34</f>
        <v>-678587.63</v>
      </c>
      <c r="S34" s="107">
        <f>'BS Feb KSA'!T34+'BS Feb USA'!T34</f>
        <v>-1366836.03</v>
      </c>
      <c r="T34" s="107">
        <f>'BS Feb KSA'!U34+'BS Feb USA'!U34</f>
        <v>-1341836.03</v>
      </c>
      <c r="U34" s="107">
        <f>'BS Feb KSA'!V34+'BS Feb USA'!V34</f>
        <v>-556009</v>
      </c>
      <c r="V34" s="107">
        <f>'BS Feb KSA'!W34+'BS Feb USA'!W34</f>
        <v>-531009</v>
      </c>
      <c r="W34" s="107">
        <f>'BS Feb KSA'!X34+'BS Feb USA'!X34</f>
        <v>-506009</v>
      </c>
      <c r="X34" s="107">
        <f>'BS Feb KSA'!Y34+'BS Feb USA'!Y34</f>
        <v>-481009</v>
      </c>
      <c r="Y34" s="107">
        <f>'BS Feb KSA'!Z34+'BS Feb USA'!Z34</f>
        <v>-456009</v>
      </c>
      <c r="Z34" s="107">
        <f>'BS Feb KSA'!AA34+'BS Feb USA'!AA34</f>
        <v>-431009</v>
      </c>
      <c r="AA34" s="45">
        <v>-406009</v>
      </c>
    </row>
    <row r="35" spans="1:27" ht="15">
      <c r="B35" s="25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108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108"/>
      <c r="AA35" s="46"/>
    </row>
    <row r="36" spans="1:27" s="69" customFormat="1">
      <c r="A36" s="68"/>
      <c r="B36" s="19" t="s">
        <v>110</v>
      </c>
      <c r="C36" s="48">
        <f t="shared" ref="C36:J36" si="5">SUM(C37:C51)</f>
        <v>0</v>
      </c>
      <c r="D36" s="48">
        <f t="shared" si="5"/>
        <v>0</v>
      </c>
      <c r="E36" s="48">
        <f t="shared" si="5"/>
        <v>0</v>
      </c>
      <c r="F36" s="48">
        <f t="shared" si="5"/>
        <v>0</v>
      </c>
      <c r="G36" s="48">
        <f t="shared" si="5"/>
        <v>0</v>
      </c>
      <c r="H36" s="48">
        <f t="shared" si="5"/>
        <v>0</v>
      </c>
      <c r="I36" s="48">
        <f t="shared" si="5"/>
        <v>0</v>
      </c>
      <c r="J36" s="48">
        <f t="shared" si="5"/>
        <v>0</v>
      </c>
      <c r="K36" s="48">
        <f>SUM(K37:K53)</f>
        <v>0</v>
      </c>
      <c r="L36" s="48">
        <f>SUM(L37:L53)</f>
        <v>0</v>
      </c>
      <c r="M36" s="48">
        <f t="shared" ref="M36:V36" si="6">SUM(M37:M51)</f>
        <v>19206715.559999999</v>
      </c>
      <c r="N36" s="48">
        <f t="shared" si="6"/>
        <v>14246575.240000002</v>
      </c>
      <c r="O36" s="48">
        <f t="shared" si="6"/>
        <v>16939902.780000001</v>
      </c>
      <c r="P36" s="48">
        <f t="shared" si="6"/>
        <v>13668359.129999999</v>
      </c>
      <c r="Q36" s="48">
        <f t="shared" si="6"/>
        <v>12910766.129999999</v>
      </c>
      <c r="R36" s="48">
        <f t="shared" si="6"/>
        <v>13171091.140000001</v>
      </c>
      <c r="S36" s="48">
        <f t="shared" si="6"/>
        <v>9313400.9800000004</v>
      </c>
      <c r="T36" s="48">
        <f t="shared" si="6"/>
        <v>9159158.6800000016</v>
      </c>
      <c r="U36" s="48">
        <f t="shared" si="6"/>
        <v>8118961.7199999997</v>
      </c>
      <c r="V36" s="48">
        <f t="shared" si="6"/>
        <v>5202187.4499999993</v>
      </c>
      <c r="W36" s="48">
        <f>SUM(W37:W53)</f>
        <v>3791217.5999999992</v>
      </c>
      <c r="X36" s="48">
        <f>SUM(X37:X53)</f>
        <v>1631148.19</v>
      </c>
      <c r="Y36" s="48">
        <f>SUM(Y37:Y53)</f>
        <v>1915055.77</v>
      </c>
      <c r="Z36" s="48">
        <f>SUM(Z37:Z52)</f>
        <v>3358429.59</v>
      </c>
      <c r="AA36" s="48">
        <f>SUM(AA37:AA52)</f>
        <v>1394850.19</v>
      </c>
    </row>
    <row r="37" spans="1:27" outlineLevel="1">
      <c r="A37" s="26"/>
      <c r="B37" s="16" t="s">
        <v>111</v>
      </c>
      <c r="C37" s="107">
        <f>'BS Feb KSA'!D37+'BS Feb USA'!D37</f>
        <v>0</v>
      </c>
      <c r="D37" s="107">
        <f>'BS Feb KSA'!E37+'BS Feb USA'!E37</f>
        <v>0</v>
      </c>
      <c r="E37" s="107">
        <f>'BS Feb KSA'!F37+'BS Feb USA'!F37</f>
        <v>0</v>
      </c>
      <c r="F37" s="107">
        <f>'BS Feb KSA'!G37+'BS Feb USA'!G37</f>
        <v>0</v>
      </c>
      <c r="G37" s="107">
        <f>'BS Feb KSA'!H37+'BS Feb USA'!H37</f>
        <v>0</v>
      </c>
      <c r="H37" s="107">
        <f>'BS Feb KSA'!I37+'BS Feb USA'!I37</f>
        <v>0</v>
      </c>
      <c r="I37" s="107">
        <f>'BS Feb KSA'!J37+'BS Feb USA'!J37</f>
        <v>0</v>
      </c>
      <c r="J37" s="107">
        <f>'BS Feb KSA'!K37+'BS Feb USA'!K37</f>
        <v>0</v>
      </c>
      <c r="K37" s="107">
        <f>'BS Feb KSA'!L37+'BS Feb USA'!L37</f>
        <v>0</v>
      </c>
      <c r="L37" s="107">
        <f>'BS Feb KSA'!M37+'BS Feb USA'!M37</f>
        <v>0</v>
      </c>
      <c r="M37" s="107">
        <f>'BS Feb KSA'!N37+'BS Feb USA'!N37</f>
        <v>15925680.289999999</v>
      </c>
      <c r="N37" s="107">
        <f>'BS Feb KSA'!O37+'BS Feb USA'!O37</f>
        <v>12539611.380000001</v>
      </c>
      <c r="O37" s="107">
        <f>'BS Feb KSA'!P37+'BS Feb USA'!P37</f>
        <v>12629040.02</v>
      </c>
      <c r="P37" s="107">
        <f>'BS Feb KSA'!Q37+'BS Feb USA'!Q37</f>
        <v>11912368.699999999</v>
      </c>
      <c r="Q37" s="107">
        <f>'BS Feb KSA'!R37+'BS Feb USA'!R37</f>
        <v>11075859.24</v>
      </c>
      <c r="R37" s="107">
        <f>'BS Feb KSA'!S37+'BS Feb USA'!S37</f>
        <v>11332315.9</v>
      </c>
      <c r="S37" s="107">
        <f>'BS Feb KSA'!T37+'BS Feb USA'!T37</f>
        <v>7411466.8600000003</v>
      </c>
      <c r="T37" s="107">
        <f>'BS Feb KSA'!U37+'BS Feb USA'!U37</f>
        <v>7284763.8399999999</v>
      </c>
      <c r="U37" s="107">
        <f>'BS Feb KSA'!V37+'BS Feb USA'!V37</f>
        <v>6372603.1100000003</v>
      </c>
      <c r="V37" s="107">
        <f>'BS Feb KSA'!W37+'BS Feb USA'!W37</f>
        <v>3515144.34</v>
      </c>
      <c r="W37" s="107">
        <f>'BS Feb KSA'!X37+'BS Feb USA'!X37</f>
        <v>2040088.94</v>
      </c>
      <c r="X37" s="107">
        <f>'BS Feb KSA'!Y37+'BS Feb USA'!Y37</f>
        <v>0</v>
      </c>
      <c r="Y37" s="107">
        <f>'BS Feb KSA'!Z37+'BS Feb USA'!Z37</f>
        <v>0</v>
      </c>
      <c r="Z37" s="107">
        <f>'BS Feb KSA'!AA37+'BS Feb USA'!AA37</f>
        <v>0</v>
      </c>
      <c r="AA37" s="107">
        <v>0</v>
      </c>
    </row>
    <row r="38" spans="1:27" outlineLevel="1">
      <c r="A38" s="26"/>
      <c r="B38" s="16" t="s">
        <v>112</v>
      </c>
      <c r="C38" s="107">
        <f>'BS Feb KSA'!D38+'BS Feb USA'!D38</f>
        <v>0</v>
      </c>
      <c r="D38" s="107">
        <f>'BS Feb KSA'!E38+'BS Feb USA'!E38</f>
        <v>0</v>
      </c>
      <c r="E38" s="107">
        <f>'BS Feb KSA'!F38+'BS Feb USA'!F38</f>
        <v>0</v>
      </c>
      <c r="F38" s="107">
        <f>'BS Feb KSA'!G38+'BS Feb USA'!G38</f>
        <v>0</v>
      </c>
      <c r="G38" s="107">
        <f>'BS Feb KSA'!H38+'BS Feb USA'!H38</f>
        <v>0</v>
      </c>
      <c r="H38" s="107">
        <f>'BS Feb KSA'!I38+'BS Feb USA'!I38</f>
        <v>0</v>
      </c>
      <c r="I38" s="107">
        <f>'BS Feb KSA'!J38+'BS Feb USA'!J38</f>
        <v>0</v>
      </c>
      <c r="J38" s="107">
        <f>'BS Feb KSA'!K38+'BS Feb USA'!K38</f>
        <v>0</v>
      </c>
      <c r="K38" s="107">
        <f>'BS Feb KSA'!L38+'BS Feb USA'!L38</f>
        <v>0</v>
      </c>
      <c r="L38" s="107">
        <f>'BS Feb KSA'!M38+'BS Feb USA'!M38</f>
        <v>0</v>
      </c>
      <c r="M38" s="107">
        <f>'BS Feb KSA'!N38+'BS Feb USA'!N38</f>
        <v>10416.67</v>
      </c>
      <c r="N38" s="107">
        <f>'BS Feb KSA'!O38+'BS Feb USA'!O38</f>
        <v>0</v>
      </c>
      <c r="O38" s="107">
        <f>'BS Feb KSA'!P38+'BS Feb USA'!P38</f>
        <v>0</v>
      </c>
      <c r="P38" s="107">
        <f>'BS Feb KSA'!Q38+'BS Feb USA'!Q38</f>
        <v>0</v>
      </c>
      <c r="Q38" s="107">
        <f>'BS Feb KSA'!R38+'BS Feb USA'!R38</f>
        <v>0</v>
      </c>
      <c r="R38" s="107">
        <f>'BS Feb KSA'!S38+'BS Feb USA'!S38</f>
        <v>0</v>
      </c>
      <c r="S38" s="107">
        <f>'BS Feb KSA'!T38+'BS Feb USA'!T38</f>
        <v>0</v>
      </c>
      <c r="T38" s="107">
        <f>'BS Feb KSA'!U38+'BS Feb USA'!U38</f>
        <v>10666.69</v>
      </c>
      <c r="U38" s="107">
        <f>'BS Feb KSA'!V38+'BS Feb USA'!V38</f>
        <v>12800.02</v>
      </c>
      <c r="V38" s="107">
        <f>'BS Feb KSA'!W38+'BS Feb USA'!W38</f>
        <v>2133.35</v>
      </c>
      <c r="W38" s="107">
        <f>'BS Feb KSA'!X38+'BS Feb USA'!X38</f>
        <v>4266.68</v>
      </c>
      <c r="X38" s="107">
        <f>'BS Feb KSA'!Y38+'BS Feb USA'!Y38</f>
        <v>6400.01</v>
      </c>
      <c r="Y38" s="107">
        <f>'BS Feb KSA'!Z38+'BS Feb USA'!Z38</f>
        <v>8533.34</v>
      </c>
      <c r="Z38" s="107">
        <f>'BS Feb KSA'!AA38+'BS Feb USA'!AA38</f>
        <v>10666.67</v>
      </c>
      <c r="AA38" s="107">
        <v>0</v>
      </c>
    </row>
    <row r="39" spans="1:27" outlineLevel="1">
      <c r="A39" s="26"/>
      <c r="B39" s="16" t="s">
        <v>113</v>
      </c>
      <c r="C39" s="107">
        <f>'BS Feb KSA'!D39+'BS Feb USA'!D39</f>
        <v>0</v>
      </c>
      <c r="D39" s="107">
        <f>'BS Feb KSA'!E39+'BS Feb USA'!E39</f>
        <v>0</v>
      </c>
      <c r="E39" s="107">
        <f>'BS Feb KSA'!F39+'BS Feb USA'!F39</f>
        <v>0</v>
      </c>
      <c r="F39" s="107">
        <f>'BS Feb KSA'!G39+'BS Feb USA'!G39</f>
        <v>0</v>
      </c>
      <c r="G39" s="107">
        <f>'BS Feb KSA'!H39+'BS Feb USA'!H39</f>
        <v>0</v>
      </c>
      <c r="H39" s="107">
        <f>'BS Feb KSA'!I39+'BS Feb USA'!I39</f>
        <v>0</v>
      </c>
      <c r="I39" s="107">
        <f>'BS Feb KSA'!J39+'BS Feb USA'!J39</f>
        <v>0</v>
      </c>
      <c r="J39" s="107">
        <f>'BS Feb KSA'!K39+'BS Feb USA'!K39</f>
        <v>0</v>
      </c>
      <c r="K39" s="107">
        <f>'BS Feb KSA'!L39+'BS Feb USA'!L39</f>
        <v>0</v>
      </c>
      <c r="L39" s="107">
        <f>'BS Feb KSA'!M39+'BS Feb USA'!M39</f>
        <v>0</v>
      </c>
      <c r="M39" s="107">
        <f>'BS Feb KSA'!N39+'BS Feb USA'!N39</f>
        <v>72783.12</v>
      </c>
      <c r="N39" s="107">
        <f>'BS Feb KSA'!O39+'BS Feb USA'!O39</f>
        <v>75144.22</v>
      </c>
      <c r="O39" s="107">
        <f>'BS Feb KSA'!P39+'BS Feb USA'!P39</f>
        <v>77505.320000000007</v>
      </c>
      <c r="P39" s="107">
        <f>'BS Feb KSA'!Q39+'BS Feb USA'!Q39</f>
        <v>79866.42</v>
      </c>
      <c r="Q39" s="107">
        <f>'BS Feb KSA'!R39+'BS Feb USA'!R39</f>
        <v>82227.51999999999</v>
      </c>
      <c r="R39" s="107">
        <f>'BS Feb KSA'!S39+'BS Feb USA'!S39</f>
        <v>84588.62</v>
      </c>
      <c r="S39" s="107">
        <f>'BS Feb KSA'!T39+'BS Feb USA'!T39</f>
        <v>86949.72</v>
      </c>
      <c r="T39" s="107">
        <f>'BS Feb KSA'!U39+'BS Feb USA'!U39</f>
        <v>89310.82</v>
      </c>
      <c r="U39" s="107">
        <f>'BS Feb KSA'!V39+'BS Feb USA'!V39</f>
        <v>91671.92</v>
      </c>
      <c r="V39" s="107">
        <f>'BS Feb KSA'!W39+'BS Feb USA'!W39</f>
        <v>94033.02</v>
      </c>
      <c r="W39" s="107">
        <f>'BS Feb KSA'!X39+'BS Feb USA'!X39</f>
        <v>96394.12</v>
      </c>
      <c r="X39" s="107">
        <f>'BS Feb KSA'!Y39+'BS Feb USA'!Y39</f>
        <v>98755.22</v>
      </c>
      <c r="Y39" s="107">
        <f>'BS Feb KSA'!Z39+'BS Feb USA'!Z39</f>
        <v>101118.98</v>
      </c>
      <c r="Z39" s="107">
        <f>'BS Feb KSA'!AA39+'BS Feb USA'!AA39</f>
        <v>103482.73999999999</v>
      </c>
      <c r="AA39" s="107">
        <v>105846.5</v>
      </c>
    </row>
    <row r="40" spans="1:27" outlineLevel="1">
      <c r="A40" s="26"/>
      <c r="B40" s="16" t="s">
        <v>114</v>
      </c>
      <c r="C40" s="107">
        <f>'BS Feb KSA'!D40+'BS Feb USA'!D40</f>
        <v>0</v>
      </c>
      <c r="D40" s="107">
        <f>'BS Feb KSA'!E40+'BS Feb USA'!E40</f>
        <v>0</v>
      </c>
      <c r="E40" s="107">
        <f>'BS Feb KSA'!F40+'BS Feb USA'!F40</f>
        <v>0</v>
      </c>
      <c r="F40" s="107">
        <f>'BS Feb KSA'!G40+'BS Feb USA'!G40</f>
        <v>0</v>
      </c>
      <c r="G40" s="107">
        <f>'BS Feb KSA'!H40+'BS Feb USA'!H40</f>
        <v>0</v>
      </c>
      <c r="H40" s="107">
        <f>'BS Feb KSA'!I40+'BS Feb USA'!I40</f>
        <v>0</v>
      </c>
      <c r="I40" s="107">
        <f>'BS Feb KSA'!J40+'BS Feb USA'!J40</f>
        <v>0</v>
      </c>
      <c r="J40" s="107">
        <f>'BS Feb KSA'!K40+'BS Feb USA'!K40</f>
        <v>0</v>
      </c>
      <c r="K40" s="107">
        <f>'BS Feb KSA'!L40+'BS Feb USA'!L40</f>
        <v>0</v>
      </c>
      <c r="L40" s="107">
        <f>'BS Feb KSA'!M40+'BS Feb USA'!M40</f>
        <v>0</v>
      </c>
      <c r="M40" s="107">
        <f>'BS Feb KSA'!N40+'BS Feb USA'!N40</f>
        <v>9110.02</v>
      </c>
      <c r="N40" s="107">
        <f>'BS Feb KSA'!O40+'BS Feb USA'!O40</f>
        <v>16878.349999999999</v>
      </c>
      <c r="O40" s="107">
        <f>'BS Feb KSA'!P40+'BS Feb USA'!P40</f>
        <v>24646.68</v>
      </c>
      <c r="P40" s="107">
        <f>'BS Feb KSA'!Q40+'BS Feb USA'!Q40</f>
        <v>4915.01</v>
      </c>
      <c r="Q40" s="107">
        <f>'BS Feb KSA'!R40+'BS Feb USA'!R40</f>
        <v>7683.34</v>
      </c>
      <c r="R40" s="107">
        <f>'BS Feb KSA'!S40+'BS Feb USA'!S40</f>
        <v>10451.67</v>
      </c>
      <c r="S40" s="107">
        <f>'BS Feb KSA'!T40+'BS Feb USA'!T40</f>
        <v>10000</v>
      </c>
      <c r="T40" s="107">
        <f>'BS Feb KSA'!U40+'BS Feb USA'!U40</f>
        <v>12500</v>
      </c>
      <c r="U40" s="107">
        <f>'BS Feb KSA'!V40+'BS Feb USA'!V40</f>
        <v>0</v>
      </c>
      <c r="V40" s="107">
        <f>'BS Feb KSA'!W40+'BS Feb USA'!W40</f>
        <v>5416.65</v>
      </c>
      <c r="W40" s="107">
        <f>'BS Feb KSA'!X40+'BS Feb USA'!X40</f>
        <v>10833.32</v>
      </c>
      <c r="X40" s="107">
        <f>'BS Feb KSA'!Y40+'BS Feb USA'!Y40</f>
        <v>16249.99</v>
      </c>
      <c r="Y40" s="107">
        <f>'BS Feb KSA'!Z40+'BS Feb USA'!Z40</f>
        <v>21666.66</v>
      </c>
      <c r="Z40" s="107">
        <f>'BS Feb KSA'!AA40+'BS Feb USA'!AA40</f>
        <v>27083.33</v>
      </c>
      <c r="AA40" s="107">
        <v>32500</v>
      </c>
    </row>
    <row r="41" spans="1:27" outlineLevel="1">
      <c r="A41" s="26"/>
      <c r="B41" s="16" t="s">
        <v>115</v>
      </c>
      <c r="C41" s="107">
        <f>'BS Feb KSA'!D41+'BS Feb USA'!D41</f>
        <v>0</v>
      </c>
      <c r="D41" s="107">
        <f>'BS Feb KSA'!E41+'BS Feb USA'!E41</f>
        <v>0</v>
      </c>
      <c r="E41" s="107">
        <f>'BS Feb KSA'!F41+'BS Feb USA'!F41</f>
        <v>0</v>
      </c>
      <c r="F41" s="107">
        <f>'BS Feb KSA'!G41+'BS Feb USA'!G41</f>
        <v>0</v>
      </c>
      <c r="G41" s="107">
        <f>'BS Feb KSA'!H41+'BS Feb USA'!H41</f>
        <v>0</v>
      </c>
      <c r="H41" s="107">
        <f>'BS Feb KSA'!I41+'BS Feb USA'!I41</f>
        <v>0</v>
      </c>
      <c r="I41" s="107">
        <f>'BS Feb KSA'!J41+'BS Feb USA'!J41</f>
        <v>0</v>
      </c>
      <c r="J41" s="107">
        <f>'BS Feb KSA'!K41+'BS Feb USA'!K41</f>
        <v>0</v>
      </c>
      <c r="K41" s="107">
        <f>'BS Feb KSA'!L41+'BS Feb USA'!L41</f>
        <v>0</v>
      </c>
      <c r="L41" s="107">
        <f>'BS Feb KSA'!M41+'BS Feb USA'!M41</f>
        <v>0</v>
      </c>
      <c r="M41" s="107">
        <f>'BS Feb KSA'!N41+'BS Feb USA'!N41</f>
        <v>85595.77</v>
      </c>
      <c r="N41" s="107">
        <f>'BS Feb KSA'!O41+'BS Feb USA'!O41</f>
        <v>68858.02</v>
      </c>
      <c r="O41" s="107">
        <f>'BS Feb KSA'!P41+'BS Feb USA'!P41</f>
        <v>60959.69</v>
      </c>
      <c r="P41" s="107">
        <f>'BS Feb KSA'!Q41+'BS Feb USA'!Q41</f>
        <v>69509.83</v>
      </c>
      <c r="Q41" s="107">
        <f>'BS Feb KSA'!R41+'BS Feb USA'!R41</f>
        <v>69311.319999999992</v>
      </c>
      <c r="R41" s="107">
        <f>'BS Feb KSA'!S41+'BS Feb USA'!S41</f>
        <v>82470.990000000005</v>
      </c>
      <c r="S41" s="107">
        <f>'BS Feb KSA'!T41+'BS Feb USA'!T41</f>
        <v>63465.68</v>
      </c>
      <c r="T41" s="107">
        <f>'BS Feb KSA'!U41+'BS Feb USA'!U41</f>
        <v>62691.37</v>
      </c>
      <c r="U41" s="107">
        <f>'BS Feb KSA'!V41+'BS Feb USA'!V41</f>
        <v>66867.81</v>
      </c>
      <c r="V41" s="107">
        <f>'BS Feb KSA'!W41+'BS Feb USA'!W41</f>
        <v>51981.75</v>
      </c>
      <c r="W41" s="107">
        <f>'BS Feb KSA'!X41+'BS Feb USA'!X41</f>
        <v>56145.69</v>
      </c>
      <c r="X41" s="107">
        <f>'BS Feb KSA'!Y41+'BS Feb USA'!Y41</f>
        <v>65174.630000000005</v>
      </c>
      <c r="Y41" s="107">
        <f>'BS Feb KSA'!Z41+'BS Feb USA'!Z41</f>
        <v>66609.16</v>
      </c>
      <c r="Z41" s="107">
        <f>'BS Feb KSA'!AA41+'BS Feb USA'!AA41</f>
        <v>75579.31</v>
      </c>
      <c r="AA41" s="107">
        <v>86253.890000000014</v>
      </c>
    </row>
    <row r="42" spans="1:27" outlineLevel="1">
      <c r="A42" s="26"/>
      <c r="B42" s="16" t="s">
        <v>116</v>
      </c>
      <c r="C42" s="107">
        <f>'BS Feb KSA'!D42+'BS Feb USA'!D42</f>
        <v>0</v>
      </c>
      <c r="D42" s="107">
        <f>'BS Feb KSA'!E42+'BS Feb USA'!E42</f>
        <v>0</v>
      </c>
      <c r="E42" s="107">
        <f>'BS Feb KSA'!F42+'BS Feb USA'!F42</f>
        <v>0</v>
      </c>
      <c r="F42" s="107">
        <f>'BS Feb KSA'!G42+'BS Feb USA'!G42</f>
        <v>0</v>
      </c>
      <c r="G42" s="107">
        <f>'BS Feb KSA'!H42+'BS Feb USA'!H42</f>
        <v>0</v>
      </c>
      <c r="H42" s="107">
        <f>'BS Feb KSA'!I42+'BS Feb USA'!I42</f>
        <v>0</v>
      </c>
      <c r="I42" s="107">
        <f>'BS Feb KSA'!J42+'BS Feb USA'!J42</f>
        <v>0</v>
      </c>
      <c r="J42" s="107">
        <f>'BS Feb KSA'!K42+'BS Feb USA'!K42</f>
        <v>0</v>
      </c>
      <c r="K42" s="107">
        <f>'BS Feb KSA'!L42+'BS Feb USA'!L42</f>
        <v>0</v>
      </c>
      <c r="L42" s="107">
        <f>'BS Feb KSA'!M42+'BS Feb USA'!M42</f>
        <v>0</v>
      </c>
      <c r="M42" s="107">
        <f>'BS Feb KSA'!N42+'BS Feb USA'!N42</f>
        <v>24684.44</v>
      </c>
      <c r="N42" s="107">
        <f>'BS Feb KSA'!O42+'BS Feb USA'!O42</f>
        <v>0</v>
      </c>
      <c r="O42" s="107">
        <f>'BS Feb KSA'!P42+'BS Feb USA'!P42</f>
        <v>0</v>
      </c>
      <c r="P42" s="107">
        <f>'BS Feb KSA'!Q42+'BS Feb USA'!Q42</f>
        <v>0</v>
      </c>
      <c r="Q42" s="107">
        <f>'BS Feb KSA'!R42+'BS Feb USA'!R42</f>
        <v>24097.51</v>
      </c>
      <c r="R42" s="107">
        <f>'BS Feb KSA'!S42+'BS Feb USA'!S42</f>
        <v>48195.01</v>
      </c>
      <c r="S42" s="107">
        <f>'BS Feb KSA'!T42+'BS Feb USA'!T42</f>
        <v>72292.509999999995</v>
      </c>
      <c r="T42" s="107">
        <f>'BS Feb KSA'!U42+'BS Feb USA'!U42</f>
        <v>96390.01</v>
      </c>
      <c r="U42" s="107">
        <f>'BS Feb KSA'!V42+'BS Feb USA'!V42</f>
        <v>5062.51</v>
      </c>
      <c r="V42" s="107">
        <f>'BS Feb KSA'!W42+'BS Feb USA'!W42</f>
        <v>6075.01</v>
      </c>
      <c r="W42" s="107">
        <f>'BS Feb KSA'!X42+'BS Feb USA'!X42</f>
        <v>30172.51</v>
      </c>
      <c r="X42" s="107">
        <f>'BS Feb KSA'!Y42+'BS Feb USA'!Y42</f>
        <v>54270.01</v>
      </c>
      <c r="Y42" s="107">
        <f>'BS Feb KSA'!Z42+'BS Feb USA'!Z42</f>
        <v>78367.509999999995</v>
      </c>
      <c r="Z42" s="107">
        <f>'BS Feb KSA'!AA42+'BS Feb USA'!AA42</f>
        <v>102465.01</v>
      </c>
      <c r="AA42" s="107">
        <v>126562.51</v>
      </c>
    </row>
    <row r="43" spans="1:27" outlineLevel="1">
      <c r="A43" s="26"/>
      <c r="B43" s="16" t="s">
        <v>117</v>
      </c>
      <c r="C43" s="107">
        <f>'BS Feb KSA'!D43+'BS Feb USA'!D43</f>
        <v>0</v>
      </c>
      <c r="D43" s="107">
        <f>'BS Feb KSA'!E43+'BS Feb USA'!E43</f>
        <v>0</v>
      </c>
      <c r="E43" s="107">
        <f>'BS Feb KSA'!F43+'BS Feb USA'!F43</f>
        <v>0</v>
      </c>
      <c r="F43" s="107">
        <f>'BS Feb KSA'!G43+'BS Feb USA'!G43</f>
        <v>0</v>
      </c>
      <c r="G43" s="107">
        <f>'BS Feb KSA'!H43+'BS Feb USA'!H43</f>
        <v>0</v>
      </c>
      <c r="H43" s="107">
        <f>'BS Feb KSA'!I43+'BS Feb USA'!I43</f>
        <v>0</v>
      </c>
      <c r="I43" s="107">
        <f>'BS Feb KSA'!J43+'BS Feb USA'!J43</f>
        <v>0</v>
      </c>
      <c r="J43" s="107">
        <f>'BS Feb KSA'!K43+'BS Feb USA'!K43</f>
        <v>0</v>
      </c>
      <c r="K43" s="107">
        <f>'BS Feb KSA'!L43+'BS Feb USA'!L43</f>
        <v>0</v>
      </c>
      <c r="L43" s="107">
        <f>'BS Feb KSA'!M43+'BS Feb USA'!M43</f>
        <v>0</v>
      </c>
      <c r="M43" s="107">
        <f>'BS Feb KSA'!N43+'BS Feb USA'!N43</f>
        <v>35507.18</v>
      </c>
      <c r="N43" s="107">
        <f>'BS Feb KSA'!O43+'BS Feb USA'!O43</f>
        <v>68863.92</v>
      </c>
      <c r="O43" s="107">
        <f>'BS Feb KSA'!P43+'BS Feb USA'!P43</f>
        <v>83719.16</v>
      </c>
      <c r="P43" s="107">
        <f>'BS Feb KSA'!Q43+'BS Feb USA'!Q43</f>
        <v>118514.85</v>
      </c>
      <c r="Q43" s="107">
        <f>'BS Feb KSA'!R43+'BS Feb USA'!R43</f>
        <v>153310.54</v>
      </c>
      <c r="R43" s="107">
        <f>'BS Feb KSA'!S43+'BS Feb USA'!S43</f>
        <v>175630.91999999998</v>
      </c>
      <c r="S43" s="107">
        <f>'BS Feb KSA'!T43+'BS Feb USA'!T43</f>
        <v>203325.38</v>
      </c>
      <c r="T43" s="107">
        <f>'BS Feb KSA'!U43+'BS Feb USA'!U43</f>
        <v>209081.69</v>
      </c>
      <c r="U43" s="107">
        <f>'BS Feb KSA'!V43+'BS Feb USA'!V43</f>
        <v>229404.57</v>
      </c>
      <c r="V43" s="107">
        <f>'BS Feb KSA'!W43+'BS Feb USA'!W43</f>
        <v>223920.5</v>
      </c>
      <c r="W43" s="107">
        <f>'BS Feb KSA'!X43+'BS Feb USA'!X43</f>
        <v>200776.71</v>
      </c>
      <c r="X43" s="107">
        <f>'BS Feb KSA'!Y43+'BS Feb USA'!Y43</f>
        <v>14748.22</v>
      </c>
      <c r="Y43" s="107">
        <f>'BS Feb KSA'!Z43+'BS Feb USA'!Z43</f>
        <v>34020.67</v>
      </c>
      <c r="Z43" s="107">
        <f>'BS Feb KSA'!AA43+'BS Feb USA'!AA43</f>
        <v>47371.18</v>
      </c>
      <c r="AA43" s="107">
        <v>81571.679999999993</v>
      </c>
    </row>
    <row r="44" spans="1:27" outlineLevel="1">
      <c r="A44" s="26"/>
      <c r="B44" s="16" t="s">
        <v>599</v>
      </c>
      <c r="C44" s="107">
        <f>'BS Feb KSA'!D44+'BS Feb USA'!D44</f>
        <v>0</v>
      </c>
      <c r="D44" s="107">
        <f>'BS Feb KSA'!E44+'BS Feb USA'!E44</f>
        <v>0</v>
      </c>
      <c r="E44" s="107">
        <f>'BS Feb KSA'!F44+'BS Feb USA'!F44</f>
        <v>0</v>
      </c>
      <c r="F44" s="107">
        <f>'BS Feb KSA'!G44+'BS Feb USA'!G44</f>
        <v>0</v>
      </c>
      <c r="G44" s="107"/>
      <c r="H44" s="107"/>
      <c r="I44" s="107"/>
      <c r="J44" s="107"/>
      <c r="K44" s="107"/>
      <c r="L44" s="107"/>
      <c r="M44" s="107">
        <f>'BS Feb KSA'!N44+'BS Feb USA'!N44</f>
        <v>45708.43</v>
      </c>
      <c r="N44" s="107">
        <f>'BS Feb KSA'!O44+'BS Feb USA'!O44</f>
        <v>53291.74</v>
      </c>
      <c r="O44" s="107">
        <f>'BS Feb KSA'!P44+'BS Feb USA'!P44</f>
        <v>41475.050000000003</v>
      </c>
      <c r="P44" s="107">
        <f>'BS Feb KSA'!Q44+'BS Feb USA'!Q44</f>
        <v>36125.03</v>
      </c>
      <c r="Q44" s="107">
        <f>'BS Feb KSA'!R44+'BS Feb USA'!R44</f>
        <v>22666.68</v>
      </c>
      <c r="R44" s="107">
        <f>'BS Feb KSA'!S44+'BS Feb USA'!S44</f>
        <v>7791.67</v>
      </c>
      <c r="S44" s="107"/>
      <c r="T44" s="107"/>
      <c r="U44" s="107"/>
      <c r="V44" s="107"/>
      <c r="W44" s="107"/>
      <c r="X44" s="107"/>
      <c r="Y44" s="107"/>
      <c r="Z44" s="107"/>
      <c r="AA44" s="107"/>
    </row>
    <row r="45" spans="1:27" outlineLevel="1">
      <c r="A45" s="26"/>
      <c r="B45" s="16" t="s">
        <v>118</v>
      </c>
      <c r="C45" s="107">
        <f>'BS Feb KSA'!D45+'BS Feb USA'!D45</f>
        <v>0</v>
      </c>
      <c r="D45" s="107">
        <f>'BS Feb KSA'!E45+'BS Feb USA'!E45</f>
        <v>0</v>
      </c>
      <c r="E45" s="107">
        <f>'BS Feb KSA'!F45+'BS Feb USA'!F45</f>
        <v>0</v>
      </c>
      <c r="F45" s="107">
        <f>'BS Feb KSA'!G45+'BS Feb USA'!G45</f>
        <v>0</v>
      </c>
      <c r="G45" s="107">
        <f>'BS Feb KSA'!H45+'BS Feb USA'!H45</f>
        <v>0</v>
      </c>
      <c r="H45" s="107">
        <f>'BS Feb KSA'!I45+'BS Feb USA'!I45</f>
        <v>0</v>
      </c>
      <c r="I45" s="107">
        <f>'BS Feb KSA'!J45+'BS Feb USA'!J45</f>
        <v>0</v>
      </c>
      <c r="J45" s="107">
        <f>'BS Feb KSA'!K45+'BS Feb USA'!K45</f>
        <v>0</v>
      </c>
      <c r="K45" s="107">
        <f>'BS Feb KSA'!L45+'BS Feb USA'!L45</f>
        <v>0</v>
      </c>
      <c r="L45" s="107">
        <f>'BS Feb KSA'!M45+'BS Feb USA'!M45</f>
        <v>0</v>
      </c>
      <c r="M45" s="107">
        <f>'BS Feb KSA'!N45+'BS Feb USA'!N45</f>
        <v>79997</v>
      </c>
      <c r="N45" s="107">
        <f>'BS Feb KSA'!O45+'BS Feb USA'!O45</f>
        <v>79997</v>
      </c>
      <c r="O45" s="107">
        <f>'BS Feb KSA'!P45+'BS Feb USA'!P45</f>
        <v>79997</v>
      </c>
      <c r="P45" s="107">
        <f>'BS Feb KSA'!Q45+'BS Feb USA'!Q45</f>
        <v>79997</v>
      </c>
      <c r="Q45" s="107">
        <f>'BS Feb KSA'!R45+'BS Feb USA'!R45</f>
        <v>79997</v>
      </c>
      <c r="R45" s="107">
        <f>'BS Feb KSA'!S45+'BS Feb USA'!S45</f>
        <v>79997</v>
      </c>
      <c r="S45" s="107">
        <f>'BS Feb KSA'!T45+'BS Feb USA'!T45</f>
        <v>79997</v>
      </c>
      <c r="T45" s="107">
        <f>'BS Feb KSA'!U45+'BS Feb USA'!U45</f>
        <v>79997</v>
      </c>
      <c r="U45" s="107">
        <f>'BS Feb KSA'!V45+'BS Feb USA'!V45</f>
        <v>79997</v>
      </c>
      <c r="V45" s="107">
        <f>'BS Feb KSA'!W45+'BS Feb USA'!W45</f>
        <v>75160</v>
      </c>
      <c r="W45" s="107">
        <f>'BS Feb KSA'!X45+'BS Feb USA'!X45</f>
        <v>75160</v>
      </c>
      <c r="X45" s="107">
        <f>'BS Feb KSA'!Y45+'BS Feb USA'!Y45</f>
        <v>75160</v>
      </c>
      <c r="Y45" s="107">
        <f>'BS Feb KSA'!Z45+'BS Feb USA'!Z45</f>
        <v>290785</v>
      </c>
      <c r="Z45" s="107">
        <f>'BS Feb KSA'!AA45+'BS Feb USA'!AA45</f>
        <v>75160</v>
      </c>
      <c r="AA45" s="107">
        <v>37580</v>
      </c>
    </row>
    <row r="46" spans="1:27" outlineLevel="1">
      <c r="A46" s="26"/>
      <c r="B46" s="16" t="s">
        <v>119</v>
      </c>
      <c r="C46" s="107">
        <f>'BS Feb KSA'!D46+'BS Feb USA'!D46</f>
        <v>0</v>
      </c>
      <c r="D46" s="107">
        <f>'BS Feb KSA'!E46+'BS Feb USA'!E46</f>
        <v>0</v>
      </c>
      <c r="E46" s="107">
        <f>'BS Feb KSA'!F46+'BS Feb USA'!F46</f>
        <v>0</v>
      </c>
      <c r="F46" s="107">
        <f>'BS Feb KSA'!G46+'BS Feb USA'!G46</f>
        <v>0</v>
      </c>
      <c r="G46" s="107">
        <f>'BS Feb KSA'!H46+'BS Feb USA'!H46</f>
        <v>0</v>
      </c>
      <c r="H46" s="107">
        <f>'BS Feb KSA'!I46+'BS Feb USA'!I46</f>
        <v>0</v>
      </c>
      <c r="I46" s="107">
        <f>'BS Feb KSA'!J46+'BS Feb USA'!J46</f>
        <v>0</v>
      </c>
      <c r="J46" s="107">
        <f>'BS Feb KSA'!K46+'BS Feb USA'!K46</f>
        <v>0</v>
      </c>
      <c r="K46" s="107">
        <f>'BS Feb KSA'!L46+'BS Feb USA'!L46</f>
        <v>0</v>
      </c>
      <c r="L46" s="107">
        <f>'BS Feb KSA'!M46+'BS Feb USA'!M46</f>
        <v>0</v>
      </c>
      <c r="M46" s="107">
        <f>'BS Feb KSA'!N46+'BS Feb USA'!N46</f>
        <v>240765.98</v>
      </c>
      <c r="N46" s="107">
        <f>'BS Feb KSA'!O46+'BS Feb USA'!O46</f>
        <v>179657.65</v>
      </c>
      <c r="O46" s="107">
        <f>'BS Feb KSA'!P46+'BS Feb USA'!P46</f>
        <v>156249.32</v>
      </c>
      <c r="P46" s="107">
        <f>'BS Feb KSA'!Q46+'BS Feb USA'!Q46</f>
        <v>159024.34</v>
      </c>
      <c r="Q46" s="107">
        <f>'BS Feb KSA'!R46+'BS Feb USA'!R46</f>
        <v>197075.03</v>
      </c>
      <c r="R46" s="107">
        <f>'BS Feb KSA'!S46+'BS Feb USA'!S46</f>
        <v>157861.41</v>
      </c>
      <c r="S46" s="107">
        <f>'BS Feb KSA'!T46+'BS Feb USA'!T46</f>
        <v>195865.88</v>
      </c>
      <c r="T46" s="107">
        <f>'BS Feb KSA'!U46+'BS Feb USA'!U46</f>
        <v>152588.85999999999</v>
      </c>
      <c r="U46" s="107">
        <f>'BS Feb KSA'!V46+'BS Feb USA'!V46</f>
        <v>106807.82</v>
      </c>
      <c r="V46" s="107">
        <f>'BS Feb KSA'!W46+'BS Feb USA'!W46</f>
        <v>74575.87</v>
      </c>
      <c r="W46" s="107">
        <f>'BS Feb KSA'!X46+'BS Feb USA'!X46</f>
        <v>95688.5</v>
      </c>
      <c r="X46" s="107">
        <f>'BS Feb KSA'!Y46+'BS Feb USA'!Y46</f>
        <v>116972.13</v>
      </c>
      <c r="Y46" s="107">
        <f>'BS Feb KSA'!Z46+'BS Feb USA'!Z46</f>
        <v>133805.47</v>
      </c>
      <c r="Z46" s="107">
        <f>'BS Feb KSA'!AA46+'BS Feb USA'!AA46</f>
        <v>134197.37</v>
      </c>
      <c r="AA46" s="107">
        <v>150941.43</v>
      </c>
    </row>
    <row r="47" spans="1:27" outlineLevel="1">
      <c r="A47" s="26"/>
      <c r="B47" s="16" t="s">
        <v>120</v>
      </c>
      <c r="C47" s="107">
        <f>'BS Feb KSA'!D47+'BS Feb USA'!D47</f>
        <v>0</v>
      </c>
      <c r="D47" s="107">
        <f>'BS Feb KSA'!E47+'BS Feb USA'!E47</f>
        <v>0</v>
      </c>
      <c r="E47" s="107">
        <f>'BS Feb KSA'!F47+'BS Feb USA'!F47</f>
        <v>0</v>
      </c>
      <c r="F47" s="107">
        <f>'BS Feb KSA'!G47+'BS Feb USA'!G47</f>
        <v>0</v>
      </c>
      <c r="G47" s="107">
        <f>'BS Feb KSA'!H47+'BS Feb USA'!H47</f>
        <v>0</v>
      </c>
      <c r="H47" s="107">
        <f>'BS Feb KSA'!I47+'BS Feb USA'!I47</f>
        <v>0</v>
      </c>
      <c r="I47" s="107">
        <f>'BS Feb KSA'!J47+'BS Feb USA'!J47</f>
        <v>0</v>
      </c>
      <c r="J47" s="107">
        <f>'BS Feb KSA'!K47+'BS Feb USA'!K47</f>
        <v>0</v>
      </c>
      <c r="K47" s="107">
        <f>'BS Feb KSA'!L47+'BS Feb USA'!L47</f>
        <v>0</v>
      </c>
      <c r="L47" s="107">
        <f>'BS Feb KSA'!M47+'BS Feb USA'!M47</f>
        <v>0</v>
      </c>
      <c r="M47" s="107">
        <f>'BS Feb KSA'!N47+'BS Feb USA'!N47</f>
        <v>11446</v>
      </c>
      <c r="N47" s="107">
        <f>'BS Feb KSA'!O47+'BS Feb USA'!O47</f>
        <v>11446</v>
      </c>
      <c r="O47" s="107">
        <f>'BS Feb KSA'!P47+'BS Feb USA'!P47</f>
        <v>11446</v>
      </c>
      <c r="P47" s="107">
        <f>'BS Feb KSA'!Q47+'BS Feb USA'!Q47</f>
        <v>11446</v>
      </c>
      <c r="Q47" s="107">
        <f>'BS Feb KSA'!R47+'BS Feb USA'!R47</f>
        <v>11446</v>
      </c>
      <c r="R47" s="107">
        <f>'BS Feb KSA'!S47+'BS Feb USA'!S47</f>
        <v>11446</v>
      </c>
      <c r="S47" s="107">
        <f>'BS Feb KSA'!T47+'BS Feb USA'!T47</f>
        <v>11446</v>
      </c>
      <c r="T47" s="107">
        <f>'BS Feb KSA'!U47+'BS Feb USA'!U47</f>
        <v>2000</v>
      </c>
      <c r="U47" s="107">
        <f>'BS Feb KSA'!V47+'BS Feb USA'!V47</f>
        <v>2000</v>
      </c>
      <c r="V47" s="107">
        <f>'BS Feb KSA'!W47+'BS Feb USA'!W47</f>
        <v>2000</v>
      </c>
      <c r="W47" s="107">
        <f>'BS Feb KSA'!X47+'BS Feb USA'!X47</f>
        <v>2000</v>
      </c>
      <c r="X47" s="107">
        <f>'BS Feb KSA'!Y47+'BS Feb USA'!Y47</f>
        <v>2000</v>
      </c>
      <c r="Y47" s="107">
        <f>'BS Feb KSA'!Z47+'BS Feb USA'!Z47</f>
        <v>2000</v>
      </c>
      <c r="Z47" s="107">
        <f>'BS Feb KSA'!AA47+'BS Feb USA'!AA47</f>
        <v>2000</v>
      </c>
      <c r="AA47" s="107">
        <v>2000</v>
      </c>
    </row>
    <row r="48" spans="1:27" outlineLevel="1">
      <c r="A48" s="26"/>
      <c r="B48" s="16" t="s">
        <v>121</v>
      </c>
      <c r="C48" s="107">
        <f>'BS Feb KSA'!D48+'BS Feb USA'!D48</f>
        <v>0</v>
      </c>
      <c r="D48" s="107">
        <f>'BS Feb KSA'!E48+'BS Feb USA'!E48</f>
        <v>0</v>
      </c>
      <c r="E48" s="107">
        <f>'BS Feb KSA'!F48+'BS Feb USA'!F48</f>
        <v>0</v>
      </c>
      <c r="F48" s="107">
        <f>'BS Feb KSA'!G48+'BS Feb USA'!G48</f>
        <v>0</v>
      </c>
      <c r="G48" s="107">
        <f>'BS Feb KSA'!H48+'BS Feb USA'!H48</f>
        <v>0</v>
      </c>
      <c r="H48" s="107">
        <f>'BS Feb KSA'!I48+'BS Feb USA'!I48</f>
        <v>0</v>
      </c>
      <c r="I48" s="107">
        <f>'BS Feb KSA'!J48+'BS Feb USA'!J48</f>
        <v>0</v>
      </c>
      <c r="J48" s="107">
        <f>'BS Feb KSA'!K48+'BS Feb USA'!K48</f>
        <v>0</v>
      </c>
      <c r="K48" s="107">
        <f>'BS Feb KSA'!L48+'BS Feb USA'!L48</f>
        <v>0</v>
      </c>
      <c r="L48" s="107">
        <f>'BS Feb KSA'!M48+'BS Feb USA'!M48</f>
        <v>0</v>
      </c>
      <c r="M48" s="107">
        <f>'BS Feb KSA'!N48+'BS Feb USA'!N48</f>
        <v>29076.959999999999</v>
      </c>
      <c r="N48" s="107">
        <f>'BS Feb KSA'!O48+'BS Feb USA'!O48</f>
        <v>29076.959999999999</v>
      </c>
      <c r="O48" s="107">
        <f>'BS Feb KSA'!P48+'BS Feb USA'!P48</f>
        <v>39246.959999999999</v>
      </c>
      <c r="P48" s="107">
        <f>'BS Feb KSA'!Q48+'BS Feb USA'!Q48</f>
        <v>61746.96</v>
      </c>
      <c r="Q48" s="107">
        <f>'BS Feb KSA'!R48+'BS Feb USA'!R48</f>
        <v>52246.96</v>
      </c>
      <c r="R48" s="107">
        <f>'BS Feb KSA'!S48+'BS Feb USA'!S48</f>
        <v>45496.959999999999</v>
      </c>
      <c r="S48" s="107">
        <f>'BS Feb KSA'!T48+'BS Feb USA'!T48</f>
        <v>43746.96</v>
      </c>
      <c r="T48" s="107">
        <f>'BS Feb KSA'!U48+'BS Feb USA'!U48</f>
        <v>35418.400000000001</v>
      </c>
      <c r="U48" s="107">
        <f>'BS Feb KSA'!V48+'BS Feb USA'!V48</f>
        <v>27996.959999999999</v>
      </c>
      <c r="V48" s="107">
        <f>'BS Feb KSA'!W48+'BS Feb USA'!W48</f>
        <v>27996.959999999999</v>
      </c>
      <c r="W48" s="107">
        <f>'BS Feb KSA'!X48+'BS Feb USA'!X48</f>
        <v>27996.959999999999</v>
      </c>
      <c r="X48" s="107">
        <f>'BS Feb KSA'!Y48+'BS Feb USA'!Y48</f>
        <v>29723.81</v>
      </c>
      <c r="Y48" s="107">
        <f>'BS Feb KSA'!Z48+'BS Feb USA'!Z48</f>
        <v>26454.81</v>
      </c>
      <c r="Z48" s="107">
        <f>'BS Feb KSA'!AA48+'BS Feb USA'!AA48</f>
        <v>9354.81</v>
      </c>
      <c r="AA48" s="107">
        <v>0</v>
      </c>
    </row>
    <row r="49" spans="1:33" outlineLevel="1">
      <c r="A49" s="26"/>
      <c r="B49" s="16" t="s">
        <v>196</v>
      </c>
      <c r="C49" s="107">
        <f>'BS Feb KSA'!D49+'BS Feb USA'!D49</f>
        <v>0</v>
      </c>
      <c r="D49" s="107">
        <f>'BS Feb KSA'!E49+'BS Feb USA'!E49</f>
        <v>0</v>
      </c>
      <c r="E49" s="107">
        <f>'BS Feb KSA'!F49+'BS Feb USA'!F49</f>
        <v>0</v>
      </c>
      <c r="F49" s="107">
        <f>'BS Feb KSA'!G49+'BS Feb USA'!G49</f>
        <v>0</v>
      </c>
      <c r="G49" s="107">
        <f>'BS Feb KSA'!H49+'BS Feb USA'!H49</f>
        <v>0</v>
      </c>
      <c r="H49" s="107">
        <f>'BS Feb KSA'!I49+'BS Feb USA'!I49</f>
        <v>0</v>
      </c>
      <c r="I49" s="107">
        <f>'BS Feb KSA'!J49+'BS Feb USA'!J49</f>
        <v>0</v>
      </c>
      <c r="J49" s="107">
        <f>'BS Feb KSA'!K49+'BS Feb USA'!K49</f>
        <v>0</v>
      </c>
      <c r="K49" s="107">
        <f>'BS Feb KSA'!L49+'BS Feb USA'!L49</f>
        <v>0</v>
      </c>
      <c r="L49" s="107">
        <f>'BS Feb KSA'!M49+'BS Feb USA'!M49</f>
        <v>0</v>
      </c>
      <c r="M49" s="107">
        <f>'BS Feb KSA'!N49+'BS Feb USA'!N49</f>
        <v>0</v>
      </c>
      <c r="N49" s="107">
        <f>'BS Feb KSA'!O49+'BS Feb USA'!O49</f>
        <v>0</v>
      </c>
      <c r="O49" s="107">
        <f>'BS Feb KSA'!P49+'BS Feb USA'!P49</f>
        <v>0</v>
      </c>
      <c r="P49" s="107">
        <f>'BS Feb KSA'!Q49+'BS Feb USA'!Q49</f>
        <v>11094.99</v>
      </c>
      <c r="Q49" s="107">
        <f>'BS Feb KSA'!R49+'BS Feb USA'!R49</f>
        <v>11094.99</v>
      </c>
      <c r="R49" s="107">
        <f>'BS Feb KSA'!S49+'BS Feb USA'!S49</f>
        <v>11094.99</v>
      </c>
      <c r="S49" s="107">
        <f>'BS Feb KSA'!T49+'BS Feb USA'!T49</f>
        <v>11094.99</v>
      </c>
      <c r="T49" s="107">
        <f>'BS Feb KSA'!U49+'BS Feb USA'!U49</f>
        <v>0</v>
      </c>
      <c r="U49" s="107">
        <f>'BS Feb KSA'!V49+'BS Feb USA'!V49</f>
        <v>0</v>
      </c>
      <c r="V49" s="107">
        <f>'BS Feb KSA'!W49+'BS Feb USA'!W49</f>
        <v>0</v>
      </c>
      <c r="W49" s="107">
        <f>'BS Feb KSA'!X49+'BS Feb USA'!X49</f>
        <v>0</v>
      </c>
      <c r="X49" s="107">
        <f>'BS Feb KSA'!Y49+'BS Feb USA'!Y49</f>
        <v>0</v>
      </c>
      <c r="Y49" s="107">
        <f>'BS Feb KSA'!Z49+'BS Feb USA'!Z49</f>
        <v>0</v>
      </c>
      <c r="Z49" s="107">
        <f>'BS Feb KSA'!AA49+'BS Feb USA'!AA49</f>
        <v>0</v>
      </c>
      <c r="AA49" s="107">
        <v>0</v>
      </c>
    </row>
    <row r="50" spans="1:33" outlineLevel="1">
      <c r="A50" s="26"/>
      <c r="B50" s="16" t="s">
        <v>123</v>
      </c>
      <c r="C50" s="107">
        <f>'BS Feb KSA'!D50+'BS Feb USA'!D50</f>
        <v>0</v>
      </c>
      <c r="D50" s="107">
        <f>'BS Feb KSA'!E50+'BS Feb USA'!E50</f>
        <v>0</v>
      </c>
      <c r="E50" s="107">
        <f>'BS Feb KSA'!F50+'BS Feb USA'!F50</f>
        <v>0</v>
      </c>
      <c r="F50" s="107">
        <f>'BS Feb KSA'!G50+'BS Feb USA'!G50</f>
        <v>0</v>
      </c>
      <c r="G50" s="107">
        <f>'BS Feb KSA'!H50+'BS Feb USA'!H50</f>
        <v>0</v>
      </c>
      <c r="H50" s="107">
        <f>'BS Feb KSA'!I50+'BS Feb USA'!I50</f>
        <v>0</v>
      </c>
      <c r="I50" s="107">
        <f>'BS Feb KSA'!J50+'BS Feb USA'!J50</f>
        <v>0</v>
      </c>
      <c r="J50" s="107">
        <f>'BS Feb KSA'!K50+'BS Feb USA'!K50</f>
        <v>0</v>
      </c>
      <c r="K50" s="107">
        <f>'BS Feb KSA'!L50+'BS Feb USA'!L50</f>
        <v>0</v>
      </c>
      <c r="L50" s="107">
        <f>'BS Feb KSA'!M50+'BS Feb USA'!M50</f>
        <v>0</v>
      </c>
      <c r="M50" s="107">
        <f>'BS Feb KSA'!N50+'BS Feb USA'!N50</f>
        <v>1512193.7</v>
      </c>
      <c r="N50" s="107">
        <f>'BS Feb KSA'!O50+'BS Feb USA'!O50</f>
        <v>0</v>
      </c>
      <c r="O50" s="107">
        <f>'BS Feb KSA'!P50+'BS Feb USA'!P50</f>
        <v>2611867.58</v>
      </c>
      <c r="P50" s="107">
        <f>'BS Feb KSA'!Q50+'BS Feb USA'!Q50</f>
        <v>0</v>
      </c>
      <c r="Q50" s="107">
        <f>'BS Feb KSA'!R50+'BS Feb USA'!R50</f>
        <v>0</v>
      </c>
      <c r="R50" s="107">
        <f>'BS Feb KSA'!S50+'BS Feb USA'!S50</f>
        <v>0</v>
      </c>
      <c r="S50" s="107">
        <f>'BS Feb KSA'!T50+'BS Feb USA'!T50</f>
        <v>0</v>
      </c>
      <c r="T50" s="107">
        <f>'BS Feb KSA'!U50+'BS Feb USA'!U50</f>
        <v>0</v>
      </c>
      <c r="U50" s="107">
        <f>'BS Feb KSA'!V50+'BS Feb USA'!V50</f>
        <v>0</v>
      </c>
      <c r="V50" s="107">
        <f>'BS Feb KSA'!W50+'BS Feb USA'!W50</f>
        <v>0</v>
      </c>
      <c r="W50" s="107">
        <f>'BS Feb KSA'!X50+'BS Feb USA'!X50</f>
        <v>27944.17</v>
      </c>
      <c r="X50" s="107">
        <f>'BS Feb KSA'!Y50+'BS Feb USA'!Y50</f>
        <v>27944.17</v>
      </c>
      <c r="Y50" s="107">
        <f>'BS Feb KSA'!Z50+'BS Feb USA'!Z50</f>
        <v>27944.17</v>
      </c>
      <c r="Z50" s="107">
        <f>'BS Feb KSA'!AA50+'BS Feb USA'!AA50</f>
        <v>27944.17</v>
      </c>
      <c r="AA50" s="107">
        <v>28469.18</v>
      </c>
    </row>
    <row r="51" spans="1:33" outlineLevel="1">
      <c r="A51" s="26"/>
      <c r="B51" s="16" t="s">
        <v>124</v>
      </c>
      <c r="C51" s="107">
        <f>'BS Feb KSA'!D51+'BS Feb USA'!D51</f>
        <v>0</v>
      </c>
      <c r="D51" s="107">
        <f>'BS Feb KSA'!E51+'BS Feb USA'!E51</f>
        <v>0</v>
      </c>
      <c r="E51" s="107">
        <f>'BS Feb KSA'!F51+'BS Feb USA'!F51</f>
        <v>0</v>
      </c>
      <c r="F51" s="107">
        <f>'BS Feb KSA'!G51+'BS Feb USA'!G51</f>
        <v>0</v>
      </c>
      <c r="G51" s="107">
        <f>'BS Feb KSA'!H51+'BS Feb USA'!H51</f>
        <v>0</v>
      </c>
      <c r="H51" s="107">
        <f>'BS Feb KSA'!I51+'BS Feb USA'!I51</f>
        <v>0</v>
      </c>
      <c r="I51" s="107">
        <f>'BS Feb KSA'!J51+'BS Feb USA'!J51</f>
        <v>0</v>
      </c>
      <c r="J51" s="107">
        <f>'BS Feb KSA'!K51+'BS Feb USA'!K51</f>
        <v>0</v>
      </c>
      <c r="K51" s="107">
        <f>'BS Feb KSA'!L51+'BS Feb USA'!L51</f>
        <v>0</v>
      </c>
      <c r="L51" s="107">
        <f>'BS Feb KSA'!M51+'BS Feb USA'!M51</f>
        <v>0</v>
      </c>
      <c r="M51" s="107">
        <f>'BS Feb KSA'!N51+'BS Feb USA'!N51</f>
        <v>1123750</v>
      </c>
      <c r="N51" s="107">
        <f>'BS Feb KSA'!O51+'BS Feb USA'!O51</f>
        <v>1123750</v>
      </c>
      <c r="O51" s="107">
        <f>'BS Feb KSA'!P51+'BS Feb USA'!P51</f>
        <v>1123750</v>
      </c>
      <c r="P51" s="107">
        <f>'BS Feb KSA'!Q51+'BS Feb USA'!Q51</f>
        <v>1123750</v>
      </c>
      <c r="Q51" s="107">
        <f>'BS Feb KSA'!R51+'BS Feb USA'!R51</f>
        <v>1123750</v>
      </c>
      <c r="R51" s="107">
        <f>'BS Feb KSA'!S51+'BS Feb USA'!S51</f>
        <v>1123750</v>
      </c>
      <c r="S51" s="107">
        <f>'BS Feb KSA'!T51+'BS Feb USA'!T51</f>
        <v>1123750</v>
      </c>
      <c r="T51" s="107">
        <f>'BS Feb KSA'!U51+'BS Feb USA'!U51</f>
        <v>1123750</v>
      </c>
      <c r="U51" s="107">
        <f>'BS Feb KSA'!V51+'BS Feb USA'!V51</f>
        <v>1123750</v>
      </c>
      <c r="V51" s="107">
        <f>'BS Feb KSA'!W51+'BS Feb USA'!W51</f>
        <v>1123750</v>
      </c>
      <c r="W51" s="107">
        <f>'BS Feb KSA'!X51+'BS Feb USA'!X51</f>
        <v>1123750</v>
      </c>
      <c r="X51" s="107">
        <f>'BS Feb KSA'!Y51+'BS Feb USA'!Y51</f>
        <v>1123750</v>
      </c>
      <c r="Y51" s="107">
        <f>'BS Feb KSA'!Z51+'BS Feb USA'!Z51</f>
        <v>1123750</v>
      </c>
      <c r="Z51" s="107">
        <f>'BS Feb KSA'!AA51+'BS Feb USA'!AA51</f>
        <v>743125</v>
      </c>
      <c r="AA51" s="107">
        <v>743125</v>
      </c>
    </row>
    <row r="52" spans="1:33" outlineLevel="1">
      <c r="A52" s="26"/>
      <c r="B52" s="16" t="s">
        <v>125</v>
      </c>
      <c r="C52" s="45"/>
      <c r="D52" s="45"/>
      <c r="E52" s="107">
        <f>'BS Feb KSA'!F52+'BS Feb USA'!F52</f>
        <v>0</v>
      </c>
      <c r="F52" s="45"/>
      <c r="G52" s="107">
        <f>'BS Feb KSA'!H52+'BS Feb USA'!H52</f>
        <v>0</v>
      </c>
      <c r="H52" s="45"/>
      <c r="I52" s="45"/>
      <c r="J52" s="107">
        <f>'BS Feb KSA'!K52+'BS Feb USA'!K52</f>
        <v>0</v>
      </c>
      <c r="K52" s="107">
        <f>'BS Feb KSA'!L52+'BS Feb USA'!L52</f>
        <v>0</v>
      </c>
      <c r="L52" s="107">
        <f>'BS Feb KSA'!M52+'BS Feb USA'!M52</f>
        <v>0</v>
      </c>
      <c r="M52" s="107">
        <f>'BS Feb KSA'!N52+'BS Feb USA'!N52</f>
        <v>0</v>
      </c>
      <c r="N52" s="107">
        <f>'BS Feb KSA'!O52+'BS Feb USA'!O52</f>
        <v>0</v>
      </c>
      <c r="O52" s="45"/>
      <c r="P52" s="45"/>
      <c r="Q52" s="107">
        <f>'BS Feb KSA'!R52+'BS Feb USA'!R52</f>
        <v>0</v>
      </c>
      <c r="R52" s="45"/>
      <c r="S52" s="107">
        <f>'BS Feb KSA'!T52+'BS Feb USA'!T52</f>
        <v>0</v>
      </c>
      <c r="T52" s="45"/>
      <c r="U52" s="45"/>
      <c r="V52" s="107">
        <f>'BS Feb KSA'!W52+'BS Feb USA'!W52</f>
        <v>0</v>
      </c>
      <c r="W52" s="107">
        <f>'BS Feb KSA'!X52+'BS Feb USA'!X52</f>
        <v>0</v>
      </c>
      <c r="X52" s="107">
        <f>'BS Feb KSA'!Y52+'BS Feb USA'!Y52</f>
        <v>0</v>
      </c>
      <c r="Y52" s="107">
        <f>'BS Feb KSA'!Z52+'BS Feb USA'!Z52</f>
        <v>0</v>
      </c>
      <c r="Z52" s="107">
        <f>'BS Feb KSA'!AA52+'BS Feb USA'!AA52</f>
        <v>2000000</v>
      </c>
      <c r="AA52" s="45"/>
      <c r="AB52" s="45"/>
      <c r="AC52" s="45"/>
    </row>
    <row r="53" spans="1:33" ht="15">
      <c r="B53" s="25"/>
      <c r="C53" s="46"/>
      <c r="D53" s="46"/>
      <c r="E53" s="46"/>
      <c r="F53" s="46"/>
      <c r="G53" s="46"/>
      <c r="H53" s="46"/>
      <c r="I53" s="46"/>
      <c r="J53" s="46"/>
      <c r="K53" s="45">
        <f>'BS Feb KSA'!L52+'BS Feb USA'!L53</f>
        <v>0</v>
      </c>
      <c r="L53" s="46"/>
      <c r="M53" s="46"/>
      <c r="N53" s="108"/>
      <c r="O53" s="46"/>
      <c r="P53" s="46"/>
      <c r="Q53" s="46"/>
      <c r="R53" s="46"/>
      <c r="S53" s="46"/>
      <c r="T53" s="46"/>
      <c r="U53" s="46"/>
      <c r="V53" s="46"/>
      <c r="W53" s="45">
        <f>'BS Feb KSA'!X52+'BS Feb USA'!X53</f>
        <v>0</v>
      </c>
      <c r="X53" s="46"/>
      <c r="Y53" s="46"/>
      <c r="Z53" s="108"/>
      <c r="AA53" s="46"/>
    </row>
    <row r="54" spans="1:33">
      <c r="B54" s="19" t="s">
        <v>126</v>
      </c>
      <c r="C54" s="48">
        <f t="shared" ref="C54:M54" si="7">+C36+C10+C32</f>
        <v>0</v>
      </c>
      <c r="D54" s="48">
        <f t="shared" si="7"/>
        <v>0</v>
      </c>
      <c r="E54" s="48">
        <f t="shared" si="7"/>
        <v>0</v>
      </c>
      <c r="F54" s="48">
        <f t="shared" si="7"/>
        <v>0</v>
      </c>
      <c r="G54" s="48">
        <f t="shared" si="7"/>
        <v>0</v>
      </c>
      <c r="H54" s="48">
        <f t="shared" si="7"/>
        <v>0</v>
      </c>
      <c r="I54" s="48">
        <f t="shared" si="7"/>
        <v>0</v>
      </c>
      <c r="J54" s="48">
        <f t="shared" si="7"/>
        <v>0</v>
      </c>
      <c r="K54" s="48">
        <f t="shared" si="7"/>
        <v>0</v>
      </c>
      <c r="L54" s="48">
        <f t="shared" si="7"/>
        <v>0</v>
      </c>
      <c r="M54" s="48">
        <f t="shared" si="7"/>
        <v>123629140.2</v>
      </c>
      <c r="N54" s="48">
        <f t="shared" ref="N54:AA54" si="8">+N36+N10+N32</f>
        <v>106351216.35000001</v>
      </c>
      <c r="O54" s="48">
        <f t="shared" si="8"/>
        <v>99854801.039999992</v>
      </c>
      <c r="P54" s="48">
        <f t="shared" si="8"/>
        <v>90290763.719999999</v>
      </c>
      <c r="Q54" s="48">
        <f t="shared" si="8"/>
        <v>89998124.650000006</v>
      </c>
      <c r="R54" s="48">
        <f t="shared" si="8"/>
        <v>76103782.699999988</v>
      </c>
      <c r="S54" s="48">
        <f t="shared" si="8"/>
        <v>72102552.50999999</v>
      </c>
      <c r="T54" s="48">
        <f t="shared" si="8"/>
        <v>73232289.179999992</v>
      </c>
      <c r="U54" s="48">
        <f t="shared" si="8"/>
        <v>68547250.329999998</v>
      </c>
      <c r="V54" s="48">
        <f t="shared" si="8"/>
        <v>65974620.93</v>
      </c>
      <c r="W54" s="48">
        <f t="shared" si="8"/>
        <v>65445429.490000002</v>
      </c>
      <c r="X54" s="48">
        <f t="shared" si="8"/>
        <v>62832003.630000003</v>
      </c>
      <c r="Y54" s="48">
        <f t="shared" si="8"/>
        <v>62981740.760000005</v>
      </c>
      <c r="Z54" s="48">
        <f t="shared" si="8"/>
        <v>52151705.769999996</v>
      </c>
      <c r="AA54" s="109">
        <f t="shared" si="8"/>
        <v>53030247.590000004</v>
      </c>
    </row>
    <row r="55" spans="1:33" ht="15">
      <c r="B55" s="25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108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108"/>
      <c r="AA55" s="46"/>
    </row>
    <row r="56" spans="1:33" ht="15">
      <c r="B56" s="25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108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108"/>
      <c r="AA56" s="46"/>
    </row>
    <row r="57" spans="1:33" s="69" customFormat="1">
      <c r="A57" s="68"/>
      <c r="B57" s="19" t="s">
        <v>127</v>
      </c>
      <c r="C57" s="48">
        <f>SUM(C58:C70)</f>
        <v>0</v>
      </c>
      <c r="D57" s="48">
        <f>SUM(D58:D70)</f>
        <v>0</v>
      </c>
      <c r="E57" s="48">
        <f>SUM(E58:E70)</f>
        <v>0</v>
      </c>
      <c r="F57" s="48">
        <f>SUM(F58:F70)</f>
        <v>0</v>
      </c>
      <c r="G57" s="48">
        <f>SUM(G58:G70)</f>
        <v>0</v>
      </c>
      <c r="H57" s="48">
        <f t="shared" ref="H57:L57" si="9">SUM(H58:H70)</f>
        <v>0</v>
      </c>
      <c r="I57" s="48">
        <f t="shared" si="9"/>
        <v>0</v>
      </c>
      <c r="J57" s="48">
        <f t="shared" si="9"/>
        <v>0</v>
      </c>
      <c r="K57" s="48">
        <f t="shared" si="9"/>
        <v>0</v>
      </c>
      <c r="L57" s="48">
        <f t="shared" si="9"/>
        <v>0</v>
      </c>
      <c r="M57" s="48">
        <f t="shared" ref="M57:S57" si="10">SUM(M58:M70)</f>
        <v>456415.56</v>
      </c>
      <c r="N57" s="48">
        <f t="shared" si="10"/>
        <v>462486.60000000003</v>
      </c>
      <c r="O57" s="48">
        <f t="shared" si="10"/>
        <v>468028.79000000004</v>
      </c>
      <c r="P57" s="48">
        <f t="shared" si="10"/>
        <v>474910.67</v>
      </c>
      <c r="Q57" s="48">
        <f t="shared" si="10"/>
        <v>454186.45999999996</v>
      </c>
      <c r="R57" s="48">
        <f t="shared" si="10"/>
        <v>432055.98000000004</v>
      </c>
      <c r="S57" s="48">
        <f t="shared" si="10"/>
        <v>430059.49</v>
      </c>
      <c r="T57" s="48">
        <f t="shared" ref="T57:Y57" si="11">SUM(T58:T70)</f>
        <v>418912.51</v>
      </c>
      <c r="U57" s="48">
        <f t="shared" si="11"/>
        <v>421675.50999999995</v>
      </c>
      <c r="V57" s="48">
        <f t="shared" si="11"/>
        <v>412974.26999999996</v>
      </c>
      <c r="W57" s="48">
        <f t="shared" si="11"/>
        <v>419471.5</v>
      </c>
      <c r="X57" s="48">
        <f t="shared" si="11"/>
        <v>351017.85</v>
      </c>
      <c r="Y57" s="48">
        <f t="shared" si="11"/>
        <v>339555.05</v>
      </c>
      <c r="Z57" s="48">
        <f>SUM(Z58:Z70)</f>
        <v>267304.08999999997</v>
      </c>
      <c r="AA57" s="48">
        <f>SUM(AA58:AA70)</f>
        <v>219131.08000000002</v>
      </c>
    </row>
    <row r="58" spans="1:33" outlineLevel="1">
      <c r="B58" s="16" t="s">
        <v>128</v>
      </c>
      <c r="C58" s="107">
        <f>'BS Feb KSA'!D58+'BS Feb USA'!D58</f>
        <v>0</v>
      </c>
      <c r="D58" s="107">
        <f>'BS Feb KSA'!E58+'BS Feb USA'!E58</f>
        <v>0</v>
      </c>
      <c r="E58" s="107">
        <f>'BS Feb KSA'!F58+'BS Feb USA'!F58</f>
        <v>0</v>
      </c>
      <c r="F58" s="107">
        <f>'BS Feb KSA'!G58+'BS Feb USA'!G58</f>
        <v>0</v>
      </c>
      <c r="G58" s="107">
        <f>'BS Feb KSA'!H58+'BS Feb USA'!H58</f>
        <v>0</v>
      </c>
      <c r="H58" s="107">
        <f>'BS Feb KSA'!I58+'BS Feb USA'!I58</f>
        <v>0</v>
      </c>
      <c r="I58" s="107">
        <f>'BS Feb KSA'!J58+'BS Feb USA'!J58</f>
        <v>0</v>
      </c>
      <c r="J58" s="107">
        <f>'BS Feb KSA'!K58+'BS Feb USA'!K58</f>
        <v>0</v>
      </c>
      <c r="K58" s="107">
        <f>'BS Feb KSA'!L58+'BS Feb USA'!L58</f>
        <v>0</v>
      </c>
      <c r="L58" s="107">
        <f>'BS Feb KSA'!M58+'BS Feb USA'!M58</f>
        <v>0</v>
      </c>
      <c r="M58" s="107">
        <f>'BS Feb KSA'!N58+'BS Feb USA'!N58</f>
        <v>-46474.29</v>
      </c>
      <c r="N58" s="107">
        <f>'BS Feb KSA'!O58+'BS Feb USA'!O58</f>
        <v>-44669.33</v>
      </c>
      <c r="O58" s="107">
        <f>'BS Feb KSA'!P58+'BS Feb USA'!P58</f>
        <v>-42864.37</v>
      </c>
      <c r="P58" s="107">
        <f>'BS Feb KSA'!Q58+'BS Feb USA'!Q58</f>
        <v>-41059.410000000003</v>
      </c>
      <c r="Q58" s="107">
        <f>'BS Feb KSA'!R58+'BS Feb USA'!R58</f>
        <v>-39254.449999999997</v>
      </c>
      <c r="R58" s="107">
        <f>'BS Feb KSA'!S58+'BS Feb USA'!S58</f>
        <v>-37449.49</v>
      </c>
      <c r="S58" s="107">
        <f>'BS Feb KSA'!T58+'BS Feb USA'!T58</f>
        <v>-35923.69</v>
      </c>
      <c r="T58" s="107">
        <f>'BS Feb KSA'!U58+'BS Feb USA'!U58</f>
        <v>-34320.6</v>
      </c>
      <c r="U58" s="107">
        <f>'BS Feb KSA'!V58+'BS Feb USA'!V58</f>
        <v>-32783.910000000003</v>
      </c>
      <c r="V58" s="107">
        <f>'BS Feb KSA'!W58+'BS Feb USA'!W58</f>
        <v>-31247.22</v>
      </c>
      <c r="W58" s="107">
        <f>'BS Feb KSA'!X58+'BS Feb USA'!X58</f>
        <v>-29710.53</v>
      </c>
      <c r="X58" s="107">
        <f>'BS Feb KSA'!Y58+'BS Feb USA'!Y58</f>
        <v>-28173.84</v>
      </c>
      <c r="Y58" s="107">
        <f>'BS Feb KSA'!Z58+'BS Feb USA'!Z58</f>
        <v>-26637.15</v>
      </c>
      <c r="Z58" s="107">
        <f>'BS Feb KSA'!AA58+'BS Feb USA'!AA58</f>
        <v>-25239.35</v>
      </c>
      <c r="AA58" s="107">
        <v>-23841.55</v>
      </c>
      <c r="AE58" s="31"/>
      <c r="AF58" s="31"/>
      <c r="AG58" s="31"/>
    </row>
    <row r="59" spans="1:33" outlineLevel="1">
      <c r="B59" s="16" t="s">
        <v>129</v>
      </c>
      <c r="C59" s="107">
        <f>'BS Feb KSA'!D59+'BS Feb USA'!D59</f>
        <v>0</v>
      </c>
      <c r="D59" s="107">
        <f>'BS Feb KSA'!E59+'BS Feb USA'!E59</f>
        <v>0</v>
      </c>
      <c r="E59" s="107">
        <f>'BS Feb KSA'!F59+'BS Feb USA'!F59</f>
        <v>0</v>
      </c>
      <c r="F59" s="107">
        <f>'BS Feb KSA'!G59+'BS Feb USA'!G59</f>
        <v>0</v>
      </c>
      <c r="G59" s="107">
        <f>'BS Feb KSA'!H59+'BS Feb USA'!H59</f>
        <v>0</v>
      </c>
      <c r="H59" s="107">
        <f>'BS Feb KSA'!I59+'BS Feb USA'!I59</f>
        <v>0</v>
      </c>
      <c r="I59" s="107">
        <f>'BS Feb KSA'!J59+'BS Feb USA'!J59</f>
        <v>0</v>
      </c>
      <c r="J59" s="107">
        <f>'BS Feb KSA'!K59+'BS Feb USA'!K59</f>
        <v>0</v>
      </c>
      <c r="K59" s="107">
        <f>'BS Feb KSA'!L59+'BS Feb USA'!L59</f>
        <v>0</v>
      </c>
      <c r="L59" s="107">
        <f>'BS Feb KSA'!M59+'BS Feb USA'!M59</f>
        <v>0</v>
      </c>
      <c r="M59" s="107">
        <f>'BS Feb KSA'!N59+'BS Feb USA'!N59</f>
        <v>-15273.13</v>
      </c>
      <c r="N59" s="107">
        <f>'BS Feb KSA'!O59+'BS Feb USA'!O59</f>
        <v>-14469.51</v>
      </c>
      <c r="O59" s="107">
        <f>'BS Feb KSA'!P59+'BS Feb USA'!P59</f>
        <v>-13665.89</v>
      </c>
      <c r="P59" s="107">
        <f>'BS Feb KSA'!Q59+'BS Feb USA'!Q59</f>
        <v>-12862.27</v>
      </c>
      <c r="Q59" s="107">
        <f>'BS Feb KSA'!R59+'BS Feb USA'!R59</f>
        <v>-12058.65</v>
      </c>
      <c r="R59" s="107">
        <f>'BS Feb KSA'!S59+'BS Feb USA'!S59</f>
        <v>-11255.03</v>
      </c>
      <c r="S59" s="107">
        <f>'BS Feb KSA'!T59+'BS Feb USA'!T59</f>
        <v>-10451.41</v>
      </c>
      <c r="T59" s="107">
        <f>'BS Feb KSA'!U59+'BS Feb USA'!U59</f>
        <v>-9647.7900000000009</v>
      </c>
      <c r="U59" s="107">
        <f>'BS Feb KSA'!V59+'BS Feb USA'!V59</f>
        <v>-8844.17</v>
      </c>
      <c r="V59" s="107">
        <f>'BS Feb KSA'!W59+'BS Feb USA'!W59</f>
        <v>-8040.55</v>
      </c>
      <c r="W59" s="107">
        <f>'BS Feb KSA'!X59+'BS Feb USA'!X59</f>
        <v>-7236.93</v>
      </c>
      <c r="X59" s="107">
        <f>'BS Feb KSA'!Y59+'BS Feb USA'!Y59</f>
        <v>-6433.31</v>
      </c>
      <c r="Y59" s="107">
        <f>'BS Feb KSA'!Z59+'BS Feb USA'!Z59</f>
        <v>-5629.69</v>
      </c>
      <c r="Z59" s="107">
        <f>'BS Feb KSA'!AA59+'BS Feb USA'!AA59</f>
        <v>-4826.07</v>
      </c>
      <c r="AA59" s="107">
        <v>-4022.45</v>
      </c>
      <c r="AE59" s="31"/>
      <c r="AF59" s="31"/>
      <c r="AG59" s="31"/>
    </row>
    <row r="60" spans="1:33" outlineLevel="1">
      <c r="B60" s="16" t="s">
        <v>130</v>
      </c>
      <c r="C60" s="107">
        <f>'BS Feb KSA'!D60+'BS Feb USA'!D60</f>
        <v>0</v>
      </c>
      <c r="D60" s="107">
        <f>'BS Feb KSA'!E60+'BS Feb USA'!E60</f>
        <v>0</v>
      </c>
      <c r="E60" s="107">
        <f>'BS Feb KSA'!F60+'BS Feb USA'!F60</f>
        <v>0</v>
      </c>
      <c r="F60" s="107">
        <f>'BS Feb KSA'!G60+'BS Feb USA'!G60</f>
        <v>0</v>
      </c>
      <c r="G60" s="107">
        <f>'BS Feb KSA'!H60+'BS Feb USA'!H60</f>
        <v>0</v>
      </c>
      <c r="H60" s="107">
        <f>'BS Feb KSA'!I60+'BS Feb USA'!I60</f>
        <v>0</v>
      </c>
      <c r="I60" s="107">
        <f>'BS Feb KSA'!J60+'BS Feb USA'!J60</f>
        <v>0</v>
      </c>
      <c r="J60" s="107">
        <f>'BS Feb KSA'!K60+'BS Feb USA'!K60</f>
        <v>0</v>
      </c>
      <c r="K60" s="107">
        <f>'BS Feb KSA'!L60+'BS Feb USA'!L60</f>
        <v>0</v>
      </c>
      <c r="L60" s="107">
        <f>'BS Feb KSA'!M60+'BS Feb USA'!M60</f>
        <v>0</v>
      </c>
      <c r="M60" s="107">
        <f>'BS Feb KSA'!N60+'BS Feb USA'!N60</f>
        <v>-172447.19</v>
      </c>
      <c r="N60" s="107">
        <f>'BS Feb KSA'!O60+'BS Feb USA'!O60</f>
        <v>-165953.03</v>
      </c>
      <c r="O60" s="107">
        <f>'BS Feb KSA'!P60+'BS Feb USA'!P60</f>
        <v>-166735.72</v>
      </c>
      <c r="P60" s="107">
        <f>'BS Feb KSA'!Q60+'BS Feb USA'!Q60</f>
        <v>-158353.5</v>
      </c>
      <c r="Q60" s="107">
        <f>'BS Feb KSA'!R60+'BS Feb USA'!R60</f>
        <v>-150250.26</v>
      </c>
      <c r="R60" s="107">
        <f>'BS Feb KSA'!S60+'BS Feb USA'!S60</f>
        <v>-143403.37</v>
      </c>
      <c r="S60" s="107">
        <f>'BS Feb KSA'!T60+'BS Feb USA'!T60</f>
        <v>-137235.57999999999</v>
      </c>
      <c r="T60" s="107">
        <f>'BS Feb KSA'!U60+'BS Feb USA'!U60</f>
        <v>-131366.54</v>
      </c>
      <c r="U60" s="107">
        <f>'BS Feb KSA'!V60+'BS Feb USA'!V60</f>
        <v>-126172.76000000001</v>
      </c>
      <c r="V60" s="107">
        <f>'BS Feb KSA'!W60+'BS Feb USA'!W60</f>
        <v>-120642.74</v>
      </c>
      <c r="W60" s="107">
        <f>'BS Feb KSA'!X60+'BS Feb USA'!X60</f>
        <v>-115485.81999999999</v>
      </c>
      <c r="X60" s="107">
        <f>'BS Feb KSA'!Y60+'BS Feb USA'!Y60</f>
        <v>-109724.55</v>
      </c>
      <c r="Y60" s="107">
        <f>'BS Feb KSA'!Z60+'BS Feb USA'!Z60</f>
        <v>-105477.96</v>
      </c>
      <c r="Z60" s="107">
        <f>'BS Feb KSA'!AA60+'BS Feb USA'!AA60</f>
        <v>-100067.76</v>
      </c>
      <c r="AA60" s="107">
        <v>-94657.76</v>
      </c>
      <c r="AE60" s="31"/>
      <c r="AF60" s="31"/>
      <c r="AG60" s="31"/>
    </row>
    <row r="61" spans="1:33" outlineLevel="1">
      <c r="B61" s="16" t="s">
        <v>588</v>
      </c>
      <c r="C61" s="107">
        <f>'BS Feb KSA'!D61+'BS Feb USA'!D61</f>
        <v>0</v>
      </c>
      <c r="D61" s="107">
        <f>'BS Feb KSA'!E61+'BS Feb USA'!E61</f>
        <v>0</v>
      </c>
      <c r="E61" s="107">
        <f>'BS Feb KSA'!F61+'BS Feb USA'!F61</f>
        <v>0</v>
      </c>
      <c r="F61" s="107">
        <f>'BS Feb KSA'!G61+'BS Feb USA'!G61</f>
        <v>0</v>
      </c>
      <c r="G61" s="107">
        <f>'BS Feb KSA'!H61+'BS Feb USA'!H61</f>
        <v>0</v>
      </c>
      <c r="H61" s="107">
        <f>'BS Feb KSA'!I61+'BS Feb USA'!I61</f>
        <v>0</v>
      </c>
      <c r="I61" s="107">
        <f>'BS Feb KSA'!J61+'BS Feb USA'!J61</f>
        <v>0</v>
      </c>
      <c r="J61" s="107">
        <f>'BS Feb KSA'!K61+'BS Feb USA'!K61</f>
        <v>0</v>
      </c>
      <c r="K61" s="107">
        <f>'BS Feb KSA'!L61+'BS Feb USA'!L61</f>
        <v>0</v>
      </c>
      <c r="L61" s="107">
        <f>'BS Feb KSA'!M61+'BS Feb USA'!M61</f>
        <v>0</v>
      </c>
      <c r="M61" s="107">
        <f>'BS Feb KSA'!N61+'BS Feb USA'!N61</f>
        <v>-29730.400000000001</v>
      </c>
      <c r="N61" s="107">
        <f>'BS Feb KSA'!O61+'BS Feb USA'!O61</f>
        <v>-26014.1</v>
      </c>
      <c r="O61" s="107">
        <f>'BS Feb KSA'!P61+'BS Feb USA'!P61</f>
        <v>-22297.8</v>
      </c>
      <c r="P61" s="107">
        <f>'BS Feb KSA'!Q61+'BS Feb USA'!Q61</f>
        <v>-18581.5</v>
      </c>
      <c r="Q61" s="107">
        <f>'BS Feb KSA'!R61+'BS Feb USA'!R61</f>
        <v>-14865.2</v>
      </c>
      <c r="R61" s="107">
        <f>'BS Feb KSA'!S61+'BS Feb USA'!S61</f>
        <v>-11148.9</v>
      </c>
      <c r="S61" s="107">
        <f>'BS Feb KSA'!T61+'BS Feb USA'!T61</f>
        <v>-7432.6</v>
      </c>
      <c r="T61" s="107">
        <f>'BS Feb KSA'!U61+'BS Feb USA'!U61</f>
        <v>-3716.3</v>
      </c>
      <c r="U61" s="107">
        <f>'BS Feb KSA'!V61+'BS Feb USA'!V61</f>
        <v>0</v>
      </c>
      <c r="V61" s="107">
        <f>'BS Feb KSA'!W61+'BS Feb USA'!W61</f>
        <v>0</v>
      </c>
      <c r="W61" s="107">
        <f>'BS Feb KSA'!X61+'BS Feb USA'!X61</f>
        <v>0</v>
      </c>
      <c r="X61" s="107">
        <f>'BS Feb KSA'!Y61+'BS Feb USA'!Y61</f>
        <v>0</v>
      </c>
      <c r="Y61" s="107">
        <f>'BS Feb KSA'!Z61+'BS Feb USA'!Z61</f>
        <v>0</v>
      </c>
      <c r="Z61" s="107">
        <f>'BS Feb KSA'!AA61+'BS Feb USA'!AA61</f>
        <v>0</v>
      </c>
      <c r="AA61" s="107"/>
      <c r="AE61" s="31"/>
      <c r="AF61" s="31"/>
      <c r="AG61" s="31"/>
    </row>
    <row r="62" spans="1:33" outlineLevel="1">
      <c r="B62" s="16" t="s">
        <v>215</v>
      </c>
      <c r="C62" s="107">
        <f>'BS Feb KSA'!D62+'BS Feb USA'!D62</f>
        <v>0</v>
      </c>
      <c r="D62" s="107">
        <f>'BS Feb KSA'!E62+'BS Feb USA'!E62</f>
        <v>0</v>
      </c>
      <c r="E62" s="107">
        <f>'BS Feb KSA'!F62+'BS Feb USA'!F62</f>
        <v>0</v>
      </c>
      <c r="F62" s="107">
        <f>'BS Feb KSA'!G62+'BS Feb USA'!G62</f>
        <v>0</v>
      </c>
      <c r="G62" s="107">
        <f>'BS Feb KSA'!H62+'BS Feb USA'!H62</f>
        <v>0</v>
      </c>
      <c r="H62" s="107">
        <f>'BS Feb KSA'!I62+'BS Feb USA'!I62</f>
        <v>0</v>
      </c>
      <c r="I62" s="107">
        <f>'BS Feb KSA'!J62+'BS Feb USA'!J62</f>
        <v>0</v>
      </c>
      <c r="J62" s="107">
        <f>'BS Feb KSA'!K62+'BS Feb USA'!K62</f>
        <v>0</v>
      </c>
      <c r="K62" s="107">
        <f>'BS Feb KSA'!L62+'BS Feb USA'!L62</f>
        <v>0</v>
      </c>
      <c r="L62" s="107">
        <f>'BS Feb KSA'!M62+'BS Feb USA'!M62</f>
        <v>0</v>
      </c>
      <c r="M62" s="107">
        <f>'BS Feb KSA'!N62+'BS Feb USA'!N62</f>
        <v>2068.06</v>
      </c>
      <c r="N62" s="107">
        <f>'BS Feb KSA'!O62+'BS Feb USA'!O62</f>
        <v>2068.06</v>
      </c>
      <c r="O62" s="107">
        <f>'BS Feb KSA'!P62+'BS Feb USA'!P62</f>
        <v>2068.06</v>
      </c>
      <c r="P62" s="107">
        <f>'BS Feb KSA'!Q62+'BS Feb USA'!Q62</f>
        <v>2068.06</v>
      </c>
      <c r="Q62" s="107">
        <f>'BS Feb KSA'!R62+'BS Feb USA'!R62</f>
        <v>2068.06</v>
      </c>
      <c r="R62" s="107">
        <f>'BS Feb KSA'!S62+'BS Feb USA'!S62</f>
        <v>2068.06</v>
      </c>
      <c r="S62" s="107">
        <f>'BS Feb KSA'!T62+'BS Feb USA'!T62</f>
        <v>2068.06</v>
      </c>
      <c r="T62" s="107">
        <f>'BS Feb KSA'!U62+'BS Feb USA'!U62</f>
        <v>2068.06</v>
      </c>
      <c r="U62" s="107">
        <f>'BS Feb KSA'!V62+'BS Feb USA'!V62</f>
        <v>2068.06</v>
      </c>
      <c r="V62" s="107">
        <f>'BS Feb KSA'!W62+'BS Feb USA'!W62</f>
        <v>2068.06</v>
      </c>
      <c r="W62" s="107">
        <f>'BS Feb KSA'!X62+'BS Feb USA'!X62</f>
        <v>2068.06</v>
      </c>
      <c r="X62" s="107">
        <f>'BS Feb KSA'!Y62+'BS Feb USA'!Y62</f>
        <v>2068.06</v>
      </c>
      <c r="Y62" s="107">
        <f>'BS Feb KSA'!Z62+'BS Feb USA'!Z62</f>
        <v>2068.06</v>
      </c>
      <c r="Z62" s="107">
        <f>'BS Feb KSA'!AA62+'BS Feb USA'!AA62</f>
        <v>2068.06</v>
      </c>
      <c r="AA62" s="107">
        <v>0</v>
      </c>
      <c r="AE62" s="31"/>
      <c r="AF62" s="31"/>
      <c r="AG62" s="31"/>
    </row>
    <row r="63" spans="1:33" outlineLevel="1">
      <c r="B63" s="16" t="s">
        <v>132</v>
      </c>
      <c r="C63" s="107">
        <f>'BS Feb KSA'!D63+'BS Feb USA'!D63</f>
        <v>0</v>
      </c>
      <c r="D63" s="107">
        <f>'BS Feb KSA'!E63+'BS Feb USA'!E63</f>
        <v>0</v>
      </c>
      <c r="E63" s="107">
        <f>'BS Feb KSA'!F63+'BS Feb USA'!F63</f>
        <v>0</v>
      </c>
      <c r="F63" s="107">
        <f>'BS Feb KSA'!G63+'BS Feb USA'!G63</f>
        <v>0</v>
      </c>
      <c r="G63" s="107">
        <f>'BS Feb KSA'!H63+'BS Feb USA'!H63</f>
        <v>0</v>
      </c>
      <c r="H63" s="107">
        <f>'BS Feb KSA'!I63+'BS Feb USA'!I63</f>
        <v>0</v>
      </c>
      <c r="I63" s="107">
        <f>'BS Feb KSA'!J63+'BS Feb USA'!J63</f>
        <v>0</v>
      </c>
      <c r="J63" s="107">
        <f>'BS Feb KSA'!K63+'BS Feb USA'!K63</f>
        <v>0</v>
      </c>
      <c r="K63" s="107">
        <f>'BS Feb KSA'!L63+'BS Feb USA'!L63</f>
        <v>0</v>
      </c>
      <c r="L63" s="107">
        <f>'BS Feb KSA'!M63+'BS Feb USA'!M63</f>
        <v>0</v>
      </c>
      <c r="M63" s="107">
        <f>'BS Feb KSA'!N63+'BS Feb USA'!N63</f>
        <v>66911.100000000006</v>
      </c>
      <c r="N63" s="107">
        <f>'BS Feb KSA'!O63+'BS Feb USA'!O63</f>
        <v>66911.100000000006</v>
      </c>
      <c r="O63" s="107">
        <f>'BS Feb KSA'!P63+'BS Feb USA'!P63</f>
        <v>66911.100000000006</v>
      </c>
      <c r="P63" s="107">
        <f>'BS Feb KSA'!Q63+'BS Feb USA'!Q63</f>
        <v>66911.100000000006</v>
      </c>
      <c r="Q63" s="107">
        <f>'BS Feb KSA'!R63+'BS Feb USA'!R63</f>
        <v>66911.100000000006</v>
      </c>
      <c r="R63" s="107">
        <f>'BS Feb KSA'!S63+'BS Feb USA'!S63</f>
        <v>56861.1</v>
      </c>
      <c r="S63" s="107">
        <f>'BS Feb KSA'!T63+'BS Feb USA'!T63</f>
        <v>56861.1</v>
      </c>
      <c r="T63" s="107">
        <f>'BS Feb KSA'!U63+'BS Feb USA'!U63</f>
        <v>55320.87</v>
      </c>
      <c r="U63" s="107">
        <f>'BS Feb KSA'!V63+'BS Feb USA'!V63</f>
        <v>55320.87</v>
      </c>
      <c r="V63" s="107">
        <f>'BS Feb KSA'!W63+'BS Feb USA'!W63</f>
        <v>55320.87</v>
      </c>
      <c r="W63" s="107">
        <f>'BS Feb KSA'!X63+'BS Feb USA'!X63</f>
        <v>55320.87</v>
      </c>
      <c r="X63" s="107">
        <f>'BS Feb KSA'!Y63+'BS Feb USA'!Y63</f>
        <v>55320.87</v>
      </c>
      <c r="Y63" s="107">
        <f>'BS Feb KSA'!Z63+'BS Feb USA'!Z63</f>
        <v>50320.87</v>
      </c>
      <c r="Z63" s="107">
        <f>'BS Feb KSA'!AA63+'BS Feb USA'!AA63</f>
        <v>50320.87</v>
      </c>
      <c r="AA63" s="107">
        <v>47320.87</v>
      </c>
      <c r="AE63" s="31"/>
      <c r="AF63" s="31"/>
      <c r="AG63" s="31"/>
    </row>
    <row r="64" spans="1:33" outlineLevel="1">
      <c r="B64" s="16" t="s">
        <v>133</v>
      </c>
      <c r="C64" s="107">
        <f>'BS Feb KSA'!D64+'BS Feb USA'!D64</f>
        <v>0</v>
      </c>
      <c r="D64" s="107">
        <f>'BS Feb KSA'!E64+'BS Feb USA'!E64</f>
        <v>0</v>
      </c>
      <c r="E64" s="107">
        <f>'BS Feb KSA'!F64+'BS Feb USA'!F64</f>
        <v>0</v>
      </c>
      <c r="F64" s="107">
        <f>'BS Feb KSA'!G64+'BS Feb USA'!G64</f>
        <v>0</v>
      </c>
      <c r="G64" s="107">
        <f>'BS Feb KSA'!H64+'BS Feb USA'!H64</f>
        <v>0</v>
      </c>
      <c r="H64" s="107">
        <f>'BS Feb KSA'!I64+'BS Feb USA'!I64</f>
        <v>0</v>
      </c>
      <c r="I64" s="107">
        <f>'BS Feb KSA'!J64+'BS Feb USA'!J64</f>
        <v>0</v>
      </c>
      <c r="J64" s="107">
        <f>'BS Feb KSA'!K64+'BS Feb USA'!K64</f>
        <v>0</v>
      </c>
      <c r="K64" s="107">
        <f>'BS Feb KSA'!L64+'BS Feb USA'!L64</f>
        <v>0</v>
      </c>
      <c r="L64" s="107">
        <f>'BS Feb KSA'!M64+'BS Feb USA'!M64</f>
        <v>0</v>
      </c>
      <c r="M64" s="107">
        <f>'BS Feb KSA'!N64+'BS Feb USA'!N64</f>
        <v>48217.39</v>
      </c>
      <c r="N64" s="107">
        <f>'BS Feb KSA'!O64+'BS Feb USA'!O64</f>
        <v>48217.39</v>
      </c>
      <c r="O64" s="107">
        <f>'BS Feb KSA'!P64+'BS Feb USA'!P64</f>
        <v>48217.39</v>
      </c>
      <c r="P64" s="107">
        <f>'BS Feb KSA'!Q64+'BS Feb USA'!Q64</f>
        <v>48217.39</v>
      </c>
      <c r="Q64" s="107">
        <f>'BS Feb KSA'!R64+'BS Feb USA'!R64</f>
        <v>48217.39</v>
      </c>
      <c r="R64" s="107">
        <f>'BS Feb KSA'!S64+'BS Feb USA'!S64</f>
        <v>48217.39</v>
      </c>
      <c r="S64" s="107">
        <f>'BS Feb KSA'!T64+'BS Feb USA'!T64</f>
        <v>48217.39</v>
      </c>
      <c r="T64" s="107">
        <f>'BS Feb KSA'!U64+'BS Feb USA'!U64</f>
        <v>48217.39</v>
      </c>
      <c r="U64" s="107">
        <f>'BS Feb KSA'!V64+'BS Feb USA'!V64</f>
        <v>48217.39</v>
      </c>
      <c r="V64" s="107">
        <f>'BS Feb KSA'!W64+'BS Feb USA'!W64</f>
        <v>48217.39</v>
      </c>
      <c r="W64" s="107">
        <f>'BS Feb KSA'!X64+'BS Feb USA'!X64</f>
        <v>48217.39</v>
      </c>
      <c r="X64" s="107">
        <f>'BS Feb KSA'!Y64+'BS Feb USA'!Y64</f>
        <v>48217.39</v>
      </c>
      <c r="Y64" s="107">
        <f>'BS Feb KSA'!Z64+'BS Feb USA'!Z64</f>
        <v>48217.39</v>
      </c>
      <c r="Z64" s="107">
        <f>'BS Feb KSA'!AA64+'BS Feb USA'!AA64</f>
        <v>48217.39</v>
      </c>
      <c r="AA64" s="107">
        <v>48217.39</v>
      </c>
      <c r="AE64" s="31"/>
      <c r="AF64" s="31"/>
      <c r="AG64" s="31"/>
    </row>
    <row r="65" spans="1:33" outlineLevel="1">
      <c r="B65" s="16" t="s">
        <v>587</v>
      </c>
      <c r="C65" s="107">
        <f>'BS Feb KSA'!D65+'BS Feb USA'!D65</f>
        <v>0</v>
      </c>
      <c r="D65" s="107">
        <f>'BS Feb KSA'!E65+'BS Feb USA'!E65</f>
        <v>0</v>
      </c>
      <c r="E65" s="107">
        <f>'BS Feb KSA'!F65+'BS Feb USA'!F65</f>
        <v>0</v>
      </c>
      <c r="F65" s="107">
        <f>'BS Feb KSA'!G65+'BS Feb USA'!G65</f>
        <v>0</v>
      </c>
      <c r="G65" s="107">
        <f>'BS Feb KSA'!H65+'BS Feb USA'!H65</f>
        <v>0</v>
      </c>
      <c r="H65" s="107">
        <f>'BS Feb KSA'!I65+'BS Feb USA'!I65</f>
        <v>0</v>
      </c>
      <c r="I65" s="107">
        <f>'BS Feb KSA'!J65+'BS Feb USA'!J65</f>
        <v>0</v>
      </c>
      <c r="J65" s="107">
        <f>'BS Feb KSA'!K65+'BS Feb USA'!K65</f>
        <v>0</v>
      </c>
      <c r="K65" s="107">
        <f>'BS Feb KSA'!L65+'BS Feb USA'!L65</f>
        <v>0</v>
      </c>
      <c r="L65" s="107">
        <f>'BS Feb KSA'!M65+'BS Feb USA'!M65</f>
        <v>0</v>
      </c>
      <c r="M65" s="107">
        <f>'BS Feb KSA'!N65+'BS Feb USA'!N65</f>
        <v>178382.44</v>
      </c>
      <c r="N65" s="107">
        <f>'BS Feb KSA'!O65+'BS Feb USA'!O65</f>
        <v>178382.44</v>
      </c>
      <c r="O65" s="107">
        <f>'BS Feb KSA'!P65+'BS Feb USA'!P65</f>
        <v>178382.44</v>
      </c>
      <c r="P65" s="107">
        <f>'BS Feb KSA'!Q65+'BS Feb USA'!Q65</f>
        <v>178382.44</v>
      </c>
      <c r="Q65" s="107">
        <f>'BS Feb KSA'!R65+'BS Feb USA'!R65</f>
        <v>178382.44</v>
      </c>
      <c r="R65" s="107">
        <f>'BS Feb KSA'!S65+'BS Feb USA'!S65</f>
        <v>178382.44</v>
      </c>
      <c r="S65" s="107">
        <f>'BS Feb KSA'!T65+'BS Feb USA'!T65</f>
        <v>178382.44</v>
      </c>
      <c r="T65" s="107">
        <f>'BS Feb KSA'!U65+'BS Feb USA'!U65</f>
        <v>178382.44</v>
      </c>
      <c r="U65" s="107">
        <f>'BS Feb KSA'!V65+'BS Feb USA'!V65</f>
        <v>0</v>
      </c>
      <c r="V65" s="107">
        <f>'BS Feb KSA'!W65+'BS Feb USA'!W65</f>
        <v>0</v>
      </c>
      <c r="W65" s="107">
        <f>'BS Feb KSA'!X65+'BS Feb USA'!X65</f>
        <v>0</v>
      </c>
      <c r="X65" s="107">
        <f>'BS Feb KSA'!Y65+'BS Feb USA'!Y65</f>
        <v>0</v>
      </c>
      <c r="Y65" s="107">
        <f>'BS Feb KSA'!Z65+'BS Feb USA'!Z65</f>
        <v>0</v>
      </c>
      <c r="Z65" s="107">
        <f>'BS Feb KSA'!AA65+'BS Feb USA'!AA65</f>
        <v>0</v>
      </c>
      <c r="AA65" s="107"/>
      <c r="AE65" s="31"/>
      <c r="AF65" s="31"/>
      <c r="AG65" s="31"/>
    </row>
    <row r="66" spans="1:33" outlineLevel="1">
      <c r="B66" s="16" t="s">
        <v>134</v>
      </c>
      <c r="C66" s="107">
        <f>'BS Feb KSA'!D66+'BS Feb USA'!D66</f>
        <v>0</v>
      </c>
      <c r="D66" s="107">
        <f>'BS Feb KSA'!E66+'BS Feb USA'!E66</f>
        <v>0</v>
      </c>
      <c r="E66" s="107">
        <f>'BS Feb KSA'!F66+'BS Feb USA'!F66</f>
        <v>0</v>
      </c>
      <c r="F66" s="107">
        <f>'BS Feb KSA'!G66+'BS Feb USA'!G66</f>
        <v>0</v>
      </c>
      <c r="G66" s="107">
        <f>'BS Feb KSA'!H66+'BS Feb USA'!H66</f>
        <v>0</v>
      </c>
      <c r="H66" s="107">
        <f>'BS Feb KSA'!I66+'BS Feb USA'!I66</f>
        <v>0</v>
      </c>
      <c r="I66" s="107">
        <f>'BS Feb KSA'!J66+'BS Feb USA'!J66</f>
        <v>0</v>
      </c>
      <c r="J66" s="107">
        <f>'BS Feb KSA'!K66+'BS Feb USA'!K66</f>
        <v>0</v>
      </c>
      <c r="K66" s="107"/>
      <c r="L66" s="107"/>
      <c r="M66" s="107">
        <f>'BS Feb KSA'!N66+'BS Feb USA'!N66</f>
        <v>1000</v>
      </c>
      <c r="N66" s="107">
        <f>'BS Feb KSA'!O66+'BS Feb USA'!O66</f>
        <v>1000</v>
      </c>
      <c r="O66" s="107">
        <f>'BS Feb KSA'!P66+'BS Feb USA'!P66</f>
        <v>1000</v>
      </c>
      <c r="P66" s="107">
        <f>'BS Feb KSA'!Q66+'BS Feb USA'!Q66</f>
        <v>1000</v>
      </c>
      <c r="Q66" s="107">
        <f>'BS Feb KSA'!R66+'BS Feb USA'!R66</f>
        <v>1000</v>
      </c>
      <c r="R66" s="107">
        <f>'BS Feb KSA'!S66+'BS Feb USA'!S66</f>
        <v>1000</v>
      </c>
      <c r="S66" s="107">
        <f>'BS Feb KSA'!T66+'BS Feb USA'!T66</f>
        <v>1000</v>
      </c>
      <c r="T66" s="107">
        <f>'BS Feb KSA'!U66+'BS Feb USA'!U66</f>
        <v>1000</v>
      </c>
      <c r="U66" s="107">
        <f>'BS Feb KSA'!V66+'BS Feb USA'!V66</f>
        <v>1000</v>
      </c>
      <c r="V66" s="107">
        <f>'BS Feb KSA'!W66+'BS Feb USA'!W66</f>
        <v>1000</v>
      </c>
      <c r="W66" s="107"/>
      <c r="X66" s="107"/>
      <c r="Y66" s="107"/>
      <c r="Z66" s="107"/>
      <c r="AA66" s="107"/>
      <c r="AE66" s="31"/>
      <c r="AF66" s="31"/>
      <c r="AG66" s="31"/>
    </row>
    <row r="67" spans="1:33">
      <c r="B67" s="16" t="s">
        <v>135</v>
      </c>
      <c r="C67" s="107">
        <f>'BS Feb KSA'!D67+'BS Feb USA'!D67</f>
        <v>0</v>
      </c>
      <c r="D67" s="107">
        <f>'BS Feb KSA'!E67+'BS Feb USA'!E67</f>
        <v>0</v>
      </c>
      <c r="E67" s="107">
        <f>'BS Feb KSA'!F67+'BS Feb USA'!F67</f>
        <v>0</v>
      </c>
      <c r="F67" s="107">
        <f>'BS Feb KSA'!G67+'BS Feb USA'!G67</f>
        <v>0</v>
      </c>
      <c r="G67" s="107">
        <f>'BS Feb KSA'!H67+'BS Feb USA'!H67</f>
        <v>0</v>
      </c>
      <c r="H67" s="107">
        <f>'BS Feb KSA'!I67+'BS Feb USA'!I67</f>
        <v>0</v>
      </c>
      <c r="I67" s="107">
        <f>'BS Feb KSA'!J67+'BS Feb USA'!J67</f>
        <v>0</v>
      </c>
      <c r="J67" s="107">
        <f>'BS Feb KSA'!K67+'BS Feb USA'!K67</f>
        <v>0</v>
      </c>
      <c r="K67" s="107">
        <f>'BS Feb KSA'!L67+'BS Feb USA'!L67</f>
        <v>0</v>
      </c>
      <c r="L67" s="107">
        <f>'BS Feb KSA'!M67+'BS Feb USA'!M67</f>
        <v>0</v>
      </c>
      <c r="M67" s="107">
        <f>'BS Feb KSA'!N67+'BS Feb USA'!N67</f>
        <v>295416.58</v>
      </c>
      <c r="N67" s="107">
        <f>'BS Feb KSA'!O67+'BS Feb USA'!O67</f>
        <v>288668.58</v>
      </c>
      <c r="O67" s="107">
        <f>'BS Feb KSA'!P67+'BS Feb USA'!P67</f>
        <v>288668.58</v>
      </c>
      <c r="P67" s="107">
        <f>'BS Feb KSA'!Q67+'BS Feb USA'!Q67</f>
        <v>280843.36</v>
      </c>
      <c r="Q67" s="107">
        <f>'BS Feb KSA'!R67+'BS Feb USA'!R67</f>
        <v>250691.03</v>
      </c>
      <c r="R67" s="107">
        <f>'BS Feb KSA'!S67+'BS Feb USA'!S67</f>
        <v>230438.78</v>
      </c>
      <c r="S67" s="107">
        <f>'BS Feb KSA'!T67+'BS Feb USA'!T67</f>
        <v>221228.78</v>
      </c>
      <c r="T67" s="107">
        <f>'BS Feb KSA'!U67+'BS Feb USA'!U67</f>
        <v>204629.97999999998</v>
      </c>
      <c r="U67" s="107">
        <f>'BS Feb KSA'!V67+'BS Feb USA'!V67</f>
        <v>203502.59</v>
      </c>
      <c r="V67" s="107">
        <f>'BS Feb KSA'!W67+'BS Feb USA'!W67</f>
        <v>192752.72</v>
      </c>
      <c r="W67" s="107">
        <f>'BS Feb KSA'!X67+'BS Feb USA'!X67</f>
        <v>192752.72</v>
      </c>
      <c r="X67" s="107">
        <f>'BS Feb KSA'!Y67+'BS Feb USA'!Y67</f>
        <v>169316.84</v>
      </c>
      <c r="Y67" s="107">
        <f>'BS Feb KSA'!Z67+'BS Feb USA'!Z67</f>
        <v>156267.13999999998</v>
      </c>
      <c r="Z67" s="107">
        <f>'BS Feb KSA'!AA67+'BS Feb USA'!AA67</f>
        <v>156267.13999999998</v>
      </c>
      <c r="AA67" s="107">
        <v>154746.26</v>
      </c>
      <c r="AE67" s="31"/>
      <c r="AF67" s="31"/>
      <c r="AG67" s="31"/>
    </row>
    <row r="68" spans="1:33">
      <c r="B68" s="16" t="s">
        <v>594</v>
      </c>
      <c r="C68" s="107">
        <f>'BS Feb KSA'!D68+'BS Feb USA'!D68</f>
        <v>0</v>
      </c>
      <c r="D68" s="107">
        <f>'BS Feb KSA'!E68+'BS Feb USA'!E68</f>
        <v>0</v>
      </c>
      <c r="E68" s="107">
        <f>'BS Feb KSA'!F68+'BS Feb USA'!F68</f>
        <v>0</v>
      </c>
      <c r="F68" s="107">
        <f>'BS Feb KSA'!G68+'BS Feb USA'!G68</f>
        <v>0</v>
      </c>
      <c r="G68" s="107">
        <f>'BS Feb KSA'!H68+'BS Feb USA'!H68</f>
        <v>0</v>
      </c>
      <c r="H68" s="107">
        <f>'BS Feb KSA'!I68+'BS Feb USA'!I68</f>
        <v>0</v>
      </c>
      <c r="I68" s="107">
        <f>'BS Feb KSA'!J68+'BS Feb USA'!J68</f>
        <v>0</v>
      </c>
      <c r="J68" s="107">
        <f>'BS Feb KSA'!K68+'BS Feb USA'!K68</f>
        <v>0</v>
      </c>
      <c r="K68" s="107">
        <f>'BS Feb KSA'!L68+'BS Feb USA'!L68</f>
        <v>0</v>
      </c>
      <c r="L68" s="107">
        <f>'BS Feb KSA'!M68+'BS Feb USA'!M68</f>
        <v>0</v>
      </c>
      <c r="M68" s="107">
        <f>'BS Feb KSA'!N68+'BS Feb USA'!N68</f>
        <v>128345</v>
      </c>
      <c r="N68" s="107">
        <f>'BS Feb KSA'!O68+'BS Feb USA'!O68</f>
        <v>128345</v>
      </c>
      <c r="O68" s="107">
        <f>'BS Feb KSA'!P68+'BS Feb USA'!P68</f>
        <v>128345</v>
      </c>
      <c r="P68" s="107">
        <f>'BS Feb KSA'!Q68+'BS Feb USA'!Q68</f>
        <v>128345</v>
      </c>
      <c r="Q68" s="107">
        <f>'BS Feb KSA'!R68+'BS Feb USA'!R68</f>
        <v>123345</v>
      </c>
      <c r="R68" s="107">
        <f>'BS Feb KSA'!S68+'BS Feb USA'!S68</f>
        <v>118345</v>
      </c>
      <c r="S68" s="107">
        <f>'BS Feb KSA'!T68+'BS Feb USA'!T68</f>
        <v>113345</v>
      </c>
      <c r="T68" s="107">
        <f>'BS Feb KSA'!U68+'BS Feb USA'!U68</f>
        <v>108345</v>
      </c>
      <c r="U68" s="107">
        <f>'BS Feb KSA'!V68+'BS Feb USA'!V68</f>
        <v>103345</v>
      </c>
      <c r="V68" s="107">
        <f>'BS Feb KSA'!W68+'BS Feb USA'!W68</f>
        <v>103345</v>
      </c>
      <c r="W68" s="107">
        <f>'BS Feb KSA'!X68+'BS Feb USA'!X68</f>
        <v>103345</v>
      </c>
      <c r="X68" s="107">
        <f>'BS Feb KSA'!Y68+'BS Feb USA'!Y68</f>
        <v>58249</v>
      </c>
      <c r="Y68" s="107">
        <f>'BS Feb KSA'!Z68+'BS Feb USA'!Z68</f>
        <v>58249</v>
      </c>
      <c r="Z68" s="107">
        <f>'BS Feb KSA'!AA68+'BS Feb USA'!AA68</f>
        <v>0</v>
      </c>
      <c r="AA68" s="107"/>
      <c r="AE68" s="31"/>
      <c r="AF68" s="31"/>
      <c r="AG68" s="31"/>
    </row>
    <row r="69" spans="1:33">
      <c r="B69" s="16" t="s">
        <v>136</v>
      </c>
      <c r="C69" s="107">
        <f>'BS Feb KSA'!D69+'BS Feb USA'!D69</f>
        <v>0</v>
      </c>
      <c r="D69" s="107"/>
      <c r="E69" s="107">
        <f>'BS Feb KSA'!F69+'BS Feb USA'!F69</f>
        <v>0</v>
      </c>
      <c r="F69" s="107">
        <f>'BS Feb KSA'!G69+'BS Feb USA'!G69</f>
        <v>0</v>
      </c>
      <c r="G69" s="107">
        <f>'BS Feb KSA'!H69+'BS Feb USA'!H69</f>
        <v>0</v>
      </c>
      <c r="H69" s="107">
        <f>'BS Feb KSA'!I69+'BS Feb USA'!I69</f>
        <v>0</v>
      </c>
      <c r="I69" s="107">
        <f>'BS Feb KSA'!J69+'BS Feb USA'!J69</f>
        <v>0</v>
      </c>
      <c r="J69" s="107">
        <f>'BS Feb KSA'!K69+'BS Feb USA'!K69</f>
        <v>0</v>
      </c>
      <c r="K69" s="107">
        <f>'BS Feb KSA'!L69+'BS Feb USA'!L69</f>
        <v>0</v>
      </c>
      <c r="L69" s="107">
        <f>'BS Feb KSA'!M69+'BS Feb USA'!M69</f>
        <v>0</v>
      </c>
      <c r="M69" s="107">
        <f>'BS Feb KSA'!N69+'BS Feb USA'!N69</f>
        <v>0</v>
      </c>
      <c r="N69" s="107">
        <f>'BS Feb KSA'!O69+'BS Feb USA'!O69</f>
        <v>0</v>
      </c>
      <c r="O69" s="107">
        <f>'BS Feb KSA'!P69+'BS Feb USA'!P69</f>
        <v>0</v>
      </c>
      <c r="P69" s="107"/>
      <c r="Q69" s="107">
        <f>'BS Feb KSA'!R69+'BS Feb USA'!R69</f>
        <v>0</v>
      </c>
      <c r="R69" s="107">
        <f>'BS Feb KSA'!S69+'BS Feb USA'!S69</f>
        <v>0</v>
      </c>
      <c r="S69" s="107">
        <f>'BS Feb KSA'!T69+'BS Feb USA'!T69</f>
        <v>0</v>
      </c>
      <c r="T69" s="107">
        <f>'BS Feb KSA'!U69+'BS Feb USA'!U69</f>
        <v>0</v>
      </c>
      <c r="U69" s="107">
        <f>'BS Feb KSA'!V69+'BS Feb USA'!V69</f>
        <v>176022.44</v>
      </c>
      <c r="V69" s="107">
        <f>'BS Feb KSA'!W69+'BS Feb USA'!W69</f>
        <v>170200.74</v>
      </c>
      <c r="W69" s="107">
        <f>'BS Feb KSA'!X69+'BS Feb USA'!X69</f>
        <v>170200.74</v>
      </c>
      <c r="X69" s="107">
        <f>'BS Feb KSA'!Y69+'BS Feb USA'!Y69</f>
        <v>162177.39000000001</v>
      </c>
      <c r="Y69" s="107">
        <f>'BS Feb KSA'!Z69+'BS Feb USA'!Z69</f>
        <v>162177.39000000001</v>
      </c>
      <c r="Z69" s="107">
        <f>'BS Feb KSA'!AA69+'BS Feb USA'!AA69</f>
        <v>140563.81</v>
      </c>
      <c r="AA69" s="107">
        <v>91368.320000000007</v>
      </c>
    </row>
    <row r="70" spans="1:33">
      <c r="B70" s="16" t="s">
        <v>137</v>
      </c>
      <c r="C70" s="107">
        <f>'BS Feb KSA'!D70+'BS Feb USA'!D70</f>
        <v>0</v>
      </c>
      <c r="D70" s="107"/>
      <c r="E70" s="107">
        <f>'BS Feb KSA'!F70+'BS Feb USA'!F70</f>
        <v>0</v>
      </c>
      <c r="F70" s="107">
        <f>'BS Feb KSA'!G70+'BS Feb USA'!G70</f>
        <v>0</v>
      </c>
      <c r="G70" s="107">
        <f>'BS Feb KSA'!H70+'BS Feb USA'!H70</f>
        <v>0</v>
      </c>
      <c r="H70" s="107">
        <f>'BS Feb KSA'!I70+'BS Feb USA'!I70</f>
        <v>0</v>
      </c>
      <c r="I70" s="107">
        <f>'BS Feb KSA'!J70+'BS Feb USA'!J70</f>
        <v>0</v>
      </c>
      <c r="J70" s="107">
        <f>'BS Feb KSA'!K70+'BS Feb USA'!K70</f>
        <v>0</v>
      </c>
      <c r="K70" s="107">
        <f>'BS Feb KSA'!L70+'BS Feb USA'!L70</f>
        <v>0</v>
      </c>
      <c r="L70" s="107">
        <f>'BS Feb KSA'!M70+'BS Feb USA'!M70</f>
        <v>0</v>
      </c>
      <c r="M70" s="107">
        <f>'BS Feb KSA'!N70+'BS Feb USA'!N70</f>
        <v>0</v>
      </c>
      <c r="N70" s="107">
        <f>'BS Feb KSA'!O70+'BS Feb USA'!O70</f>
        <v>0</v>
      </c>
      <c r="O70" s="107">
        <f>'BS Feb KSA'!P70+'BS Feb USA'!P70</f>
        <v>0</v>
      </c>
      <c r="P70" s="107"/>
      <c r="Q70" s="107">
        <f>'BS Feb KSA'!R70+'BS Feb USA'!R70</f>
        <v>0</v>
      </c>
      <c r="R70" s="107">
        <f>'BS Feb KSA'!S70+'BS Feb USA'!S70</f>
        <v>0</v>
      </c>
      <c r="S70" s="107">
        <f>'BS Feb KSA'!T70+'BS Feb USA'!T70</f>
        <v>0</v>
      </c>
      <c r="T70" s="107">
        <f>'BS Feb KSA'!U70+'BS Feb USA'!U70</f>
        <v>0</v>
      </c>
      <c r="U70" s="107">
        <f>'BS Feb KSA'!V70+'BS Feb USA'!V70</f>
        <v>0</v>
      </c>
      <c r="V70" s="107">
        <f>'BS Feb KSA'!W70+'BS Feb USA'!W70</f>
        <v>0</v>
      </c>
      <c r="W70" s="107">
        <f>'BS Feb KSA'!X70+'BS Feb USA'!X70</f>
        <v>0</v>
      </c>
      <c r="X70" s="107">
        <f>'BS Feb KSA'!Y70+'BS Feb USA'!Y70</f>
        <v>0</v>
      </c>
      <c r="Y70" s="107">
        <f>'BS Feb KSA'!Z70+'BS Feb USA'!Z70</f>
        <v>0</v>
      </c>
      <c r="Z70" s="107">
        <f>'BS Feb KSA'!AA70+'BS Feb USA'!AA70</f>
        <v>0</v>
      </c>
      <c r="AA70" s="107"/>
    </row>
    <row r="71" spans="1:33" s="69" customFormat="1">
      <c r="A71" s="68"/>
      <c r="B71" s="19" t="s">
        <v>216</v>
      </c>
      <c r="C71" s="48">
        <f>SUM(C72:C79)</f>
        <v>0</v>
      </c>
      <c r="D71" s="48">
        <f>SUM(D72:D79)</f>
        <v>0</v>
      </c>
      <c r="E71" s="48">
        <f>SUM(E72:E79)</f>
        <v>0</v>
      </c>
      <c r="F71" s="48">
        <f>SUM(F72:F79)</f>
        <v>0</v>
      </c>
      <c r="G71" s="48">
        <f>SUM(G72:G79)</f>
        <v>0</v>
      </c>
      <c r="H71" s="48">
        <f>SUM(H72:H78)</f>
        <v>0</v>
      </c>
      <c r="I71" s="48">
        <f>SUM(I72:I78)</f>
        <v>0</v>
      </c>
      <c r="J71" s="48">
        <f>SUM(J72:J78)</f>
        <v>0</v>
      </c>
      <c r="K71" s="48">
        <f>SUM(K72:K78)</f>
        <v>0</v>
      </c>
      <c r="L71" s="48">
        <f>SUM(L72:L79)</f>
        <v>0</v>
      </c>
      <c r="M71" s="48">
        <f t="shared" ref="M71:S71" si="12">SUM(M72:M79)</f>
        <v>564460.49</v>
      </c>
      <c r="N71" s="48">
        <f t="shared" si="12"/>
        <v>564460.49</v>
      </c>
      <c r="O71" s="48">
        <f t="shared" si="12"/>
        <v>277135.24</v>
      </c>
      <c r="P71" s="48">
        <f t="shared" si="12"/>
        <v>266983.95999999996</v>
      </c>
      <c r="Q71" s="48">
        <f t="shared" si="12"/>
        <v>265001.43999999994</v>
      </c>
      <c r="R71" s="48">
        <f t="shared" si="12"/>
        <v>76097.960000000006</v>
      </c>
      <c r="S71" s="48">
        <f t="shared" si="12"/>
        <v>70418.149999999994</v>
      </c>
      <c r="T71" s="48">
        <f>SUM(T72:T78)</f>
        <v>68218.149999999994</v>
      </c>
      <c r="U71" s="48">
        <f>SUM(U72:U78)</f>
        <v>28218.149999999998</v>
      </c>
      <c r="V71" s="48">
        <f>SUM(V72:V78)</f>
        <v>24963.989999999998</v>
      </c>
      <c r="W71" s="48">
        <f>SUM(W72:W78)</f>
        <v>16913.990000000002</v>
      </c>
      <c r="X71" s="48">
        <f>SUM(X72:X79)</f>
        <v>12879.289999999999</v>
      </c>
      <c r="Y71" s="48">
        <f t="shared" ref="Y71:Z71" si="13">SUM(Y72:Y75)</f>
        <v>12845.539999999999</v>
      </c>
      <c r="Z71" s="48">
        <f t="shared" si="13"/>
        <v>12845.539999999999</v>
      </c>
      <c r="AA71" s="48">
        <f t="shared" ref="AA71" si="14">SUM(AA72:AA75)</f>
        <v>8378.32</v>
      </c>
    </row>
    <row r="72" spans="1:33">
      <c r="B72" s="16" t="s">
        <v>139</v>
      </c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 spans="1:33">
      <c r="B73" s="16" t="s">
        <v>140</v>
      </c>
      <c r="C73" s="107">
        <f>'BS Feb KSA'!D73+'BS Feb USA'!D73</f>
        <v>0</v>
      </c>
      <c r="D73" s="107">
        <f>'BS Feb KSA'!E73+'BS Feb USA'!E73</f>
        <v>0</v>
      </c>
      <c r="E73" s="107">
        <f>'BS Feb KSA'!F73+'BS Feb USA'!F73</f>
        <v>0</v>
      </c>
      <c r="F73" s="107">
        <f>'BS Feb KSA'!G73+'BS Feb USA'!G73</f>
        <v>0</v>
      </c>
      <c r="G73" s="107">
        <f>'BS Feb KSA'!H73+'BS Feb USA'!H73</f>
        <v>0</v>
      </c>
      <c r="H73" s="107">
        <f>'BS Feb KSA'!I73+'BS Feb USA'!I73</f>
        <v>0</v>
      </c>
      <c r="I73" s="107">
        <f>'BS Feb KSA'!J73+'BS Feb USA'!J73</f>
        <v>0</v>
      </c>
      <c r="J73" s="107">
        <f>'BS Feb KSA'!K73+'BS Feb USA'!K73</f>
        <v>0</v>
      </c>
      <c r="K73" s="107">
        <f>'BS Feb KSA'!L73+'BS Feb USA'!L73</f>
        <v>0</v>
      </c>
      <c r="L73" s="107">
        <f>'BS Feb KSA'!M73+'BS Feb USA'!M73</f>
        <v>0</v>
      </c>
      <c r="M73" s="107">
        <f>'BS Feb KSA'!N73+'BS Feb USA'!N73</f>
        <v>2728.2999999999997</v>
      </c>
      <c r="N73" s="107">
        <f>'BS Feb KSA'!O73+'BS Feb USA'!O73</f>
        <v>2728.2999999999997</v>
      </c>
      <c r="O73" s="107">
        <f>'BS Feb KSA'!P73+'BS Feb USA'!P73</f>
        <v>2728.2999999999997</v>
      </c>
      <c r="P73" s="107">
        <f>'BS Feb KSA'!Q73+'BS Feb USA'!Q73</f>
        <v>2728.2999999999997</v>
      </c>
      <c r="Q73" s="107">
        <f>'BS Feb KSA'!R73+'BS Feb USA'!R73</f>
        <v>2728.2999999999997</v>
      </c>
      <c r="R73" s="107">
        <f>'BS Feb KSA'!S73+'BS Feb USA'!S73</f>
        <v>2728.2999999999997</v>
      </c>
      <c r="S73" s="107">
        <f>'BS Feb KSA'!T73+'BS Feb USA'!T73</f>
        <v>2728.2999999999997</v>
      </c>
      <c r="T73" s="107">
        <f>'BS Feb KSA'!U73+'BS Feb USA'!U73</f>
        <v>2728.2999999999997</v>
      </c>
      <c r="U73" s="107">
        <f>'BS Feb KSA'!V73+'BS Feb USA'!V73</f>
        <v>2728.2999999999997</v>
      </c>
      <c r="V73" s="107">
        <f>'BS Feb KSA'!W73+'BS Feb USA'!W73</f>
        <v>2728.2999999999997</v>
      </c>
      <c r="W73" s="107">
        <f>'BS Feb KSA'!X73+'BS Feb USA'!X73</f>
        <v>2728.2999999999997</v>
      </c>
      <c r="X73" s="107">
        <f>'BS Feb KSA'!Y73+'BS Feb USA'!Y73</f>
        <v>2728.2999999999997</v>
      </c>
      <c r="Y73" s="107">
        <f>'BS Feb KSA'!Z73+'BS Feb USA'!Z73</f>
        <v>2728.2999999999997</v>
      </c>
      <c r="Z73" s="107">
        <f>'BS Feb KSA'!AA73+'BS Feb USA'!AA73</f>
        <v>2728.2999999999997</v>
      </c>
      <c r="AA73" s="107">
        <v>2728.2999999999997</v>
      </c>
    </row>
    <row r="74" spans="1:33">
      <c r="B74" s="16" t="s">
        <v>141</v>
      </c>
      <c r="C74" s="107">
        <v>0</v>
      </c>
      <c r="D74" s="107"/>
      <c r="E74" s="107"/>
      <c r="F74" s="107">
        <v>0</v>
      </c>
      <c r="G74" s="107">
        <v>0</v>
      </c>
      <c r="H74" s="107">
        <v>0</v>
      </c>
      <c r="I74" s="107"/>
      <c r="J74" s="107"/>
      <c r="K74" s="107"/>
      <c r="L74" s="107">
        <v>0</v>
      </c>
      <c r="M74" s="107">
        <v>0</v>
      </c>
      <c r="N74" s="107">
        <v>0</v>
      </c>
      <c r="O74" s="107">
        <v>0</v>
      </c>
      <c r="P74" s="107"/>
      <c r="Q74" s="107"/>
      <c r="R74" s="107">
        <v>0</v>
      </c>
      <c r="S74" s="107">
        <v>0</v>
      </c>
      <c r="T74" s="107">
        <v>0</v>
      </c>
      <c r="U74" s="107"/>
      <c r="V74" s="107"/>
      <c r="W74" s="107"/>
      <c r="X74" s="107">
        <v>0</v>
      </c>
      <c r="Y74" s="107">
        <v>0</v>
      </c>
      <c r="Z74" s="107"/>
      <c r="AA74" s="107">
        <v>0</v>
      </c>
    </row>
    <row r="75" spans="1:33">
      <c r="B75" s="16" t="s">
        <v>142</v>
      </c>
      <c r="C75" s="107">
        <f>'BS Feb KSA'!D75+'BS Feb USA'!D75</f>
        <v>0</v>
      </c>
      <c r="D75" s="107">
        <f>'BS Feb KSA'!E75+'BS Feb USA'!E75</f>
        <v>0</v>
      </c>
      <c r="E75" s="107">
        <f>'BS Feb KSA'!F75+'BS Feb USA'!F75</f>
        <v>0</v>
      </c>
      <c r="F75" s="107">
        <f>'BS Feb KSA'!G75+'BS Feb USA'!G75</f>
        <v>0</v>
      </c>
      <c r="G75" s="107">
        <f>'BS Feb KSA'!H75+'BS Feb USA'!H75</f>
        <v>0</v>
      </c>
      <c r="H75" s="107">
        <f>'BS Feb KSA'!I75+'BS Feb USA'!I75</f>
        <v>0</v>
      </c>
      <c r="I75" s="107">
        <f>'BS Feb KSA'!J75+'BS Feb USA'!J75</f>
        <v>0</v>
      </c>
      <c r="J75" s="107">
        <f>'BS Feb KSA'!K75+'BS Feb USA'!K75</f>
        <v>0</v>
      </c>
      <c r="K75" s="107">
        <f>'BS Feb KSA'!L75+'BS Feb USA'!L75</f>
        <v>0</v>
      </c>
      <c r="L75" s="107">
        <f>'BS Feb KSA'!M75+'BS Feb USA'!M75</f>
        <v>0</v>
      </c>
      <c r="M75" s="107">
        <f>'BS Feb KSA'!N75+'BS Feb USA'!N75</f>
        <v>30842.42</v>
      </c>
      <c r="N75" s="107">
        <f>'BS Feb KSA'!O75+'BS Feb USA'!O75</f>
        <v>30842.42</v>
      </c>
      <c r="O75" s="107">
        <f>'BS Feb KSA'!P75+'BS Feb USA'!P75</f>
        <v>30842.42</v>
      </c>
      <c r="P75" s="107">
        <f>'BS Feb KSA'!Q75+'BS Feb USA'!Q75</f>
        <v>29017.42</v>
      </c>
      <c r="Q75" s="107">
        <f>'BS Feb KSA'!R75+'BS Feb USA'!R75</f>
        <v>29017.42</v>
      </c>
      <c r="R75" s="107">
        <f>'BS Feb KSA'!S75+'BS Feb USA'!S75</f>
        <v>25201.94</v>
      </c>
      <c r="S75" s="107">
        <f>'BS Feb KSA'!T75+'BS Feb USA'!T75</f>
        <v>25201.94</v>
      </c>
      <c r="T75" s="107">
        <f>'BS Feb KSA'!U75+'BS Feb USA'!U75</f>
        <v>25201.94</v>
      </c>
      <c r="U75" s="107">
        <f>'BS Feb KSA'!V75+'BS Feb USA'!V75</f>
        <v>25201.94</v>
      </c>
      <c r="V75" s="107">
        <f>'BS Feb KSA'!W75+'BS Feb USA'!W75</f>
        <v>22201.94</v>
      </c>
      <c r="W75" s="107">
        <f>'BS Feb KSA'!X75+'BS Feb USA'!X75</f>
        <v>14151.94</v>
      </c>
      <c r="X75" s="107">
        <f>'BS Feb KSA'!Y75+'BS Feb USA'!Y75</f>
        <v>10117.24</v>
      </c>
      <c r="Y75" s="107">
        <f>'BS Feb KSA'!Z75+'BS Feb USA'!Z75</f>
        <v>10117.24</v>
      </c>
      <c r="Z75" s="107">
        <f>'BS Feb KSA'!AA75+'BS Feb USA'!AA75</f>
        <v>10117.24</v>
      </c>
      <c r="AA75" s="107">
        <v>5650.02</v>
      </c>
    </row>
    <row r="76" spans="1:33">
      <c r="B76" s="16" t="s">
        <v>598</v>
      </c>
      <c r="C76" s="107">
        <f>'BS Feb KSA'!D76+'BS Feb USA'!D76</f>
        <v>0</v>
      </c>
      <c r="D76" s="107">
        <f>'BS Feb KSA'!E76+'BS Feb USA'!E76</f>
        <v>0</v>
      </c>
      <c r="E76" s="107">
        <f>'BS Feb KSA'!F76+'BS Feb USA'!F76</f>
        <v>0</v>
      </c>
      <c r="F76" s="107">
        <f>'BS Feb KSA'!G76+'BS Feb USA'!G76</f>
        <v>0</v>
      </c>
      <c r="G76" s="107"/>
      <c r="H76" s="107"/>
      <c r="I76" s="107"/>
      <c r="J76" s="107"/>
      <c r="K76" s="107"/>
      <c r="L76" s="107"/>
      <c r="M76" s="107">
        <f>'BS Feb KSA'!N76+'BS Feb USA'!N76</f>
        <v>476421.35</v>
      </c>
      <c r="N76" s="107">
        <f>'BS Feb KSA'!O76+'BS Feb USA'!O76</f>
        <v>476421.35</v>
      </c>
      <c r="O76" s="107">
        <f>'BS Feb KSA'!P76+'BS Feb USA'!P76</f>
        <v>189096.1</v>
      </c>
      <c r="P76" s="107">
        <f>'BS Feb KSA'!Q76+'BS Feb USA'!Q76</f>
        <v>189096.1</v>
      </c>
      <c r="Q76" s="107">
        <f>'BS Feb KSA'!R76+'BS Feb USA'!R76</f>
        <v>187113.58</v>
      </c>
      <c r="R76" s="107">
        <f>'BS Feb KSA'!S76+'BS Feb USA'!S76</f>
        <v>2025.58</v>
      </c>
      <c r="S76" s="107"/>
      <c r="T76" s="107"/>
      <c r="U76" s="107"/>
      <c r="V76" s="107"/>
      <c r="W76" s="107"/>
      <c r="X76" s="107"/>
      <c r="Y76" s="107"/>
      <c r="Z76" s="107"/>
      <c r="AA76" s="107"/>
    </row>
    <row r="77" spans="1:33">
      <c r="B77" s="16" t="s">
        <v>589</v>
      </c>
      <c r="C77" s="107">
        <f>'BS Feb KSA'!D77+'BS Feb USA'!D77</f>
        <v>0</v>
      </c>
      <c r="D77" s="107">
        <f>'BS Feb KSA'!E77+'BS Feb USA'!E77</f>
        <v>0</v>
      </c>
      <c r="E77" s="107">
        <f>'BS Feb KSA'!F77+'BS Feb USA'!F77</f>
        <v>0</v>
      </c>
      <c r="F77" s="107">
        <f>'BS Feb KSA'!G77+'BS Feb USA'!G77</f>
        <v>0</v>
      </c>
      <c r="G77" s="107">
        <f>'BS Feb KSA'!H77+'BS Feb USA'!H77</f>
        <v>0</v>
      </c>
      <c r="H77" s="107">
        <f>'BS Feb KSA'!I77+'BS Feb USA'!I77</f>
        <v>0</v>
      </c>
      <c r="I77" s="107"/>
      <c r="J77" s="107"/>
      <c r="K77" s="107"/>
      <c r="L77" s="107"/>
      <c r="M77" s="107">
        <f>'BS Feb KSA'!N77+'BS Feb USA'!N77</f>
        <v>54180.51</v>
      </c>
      <c r="N77" s="107">
        <f>'BS Feb KSA'!O77+'BS Feb USA'!O77</f>
        <v>54180.51</v>
      </c>
      <c r="O77" s="107">
        <f>'BS Feb KSA'!P77+'BS Feb USA'!P77</f>
        <v>54180.51</v>
      </c>
      <c r="P77" s="107">
        <f>'BS Feb KSA'!Q77+'BS Feb USA'!Q77</f>
        <v>45854.23</v>
      </c>
      <c r="Q77" s="107">
        <f>'BS Feb KSA'!R77+'BS Feb USA'!R77</f>
        <v>45854.23</v>
      </c>
      <c r="R77" s="107">
        <f>'BS Feb KSA'!S77+'BS Feb USA'!S77</f>
        <v>45854.23</v>
      </c>
      <c r="S77" s="107">
        <f>'BS Feb KSA'!T77+'BS Feb USA'!T77</f>
        <v>42200</v>
      </c>
      <c r="T77" s="107">
        <f>'BS Feb KSA'!U77+'BS Feb USA'!U77</f>
        <v>40000</v>
      </c>
      <c r="U77" s="107"/>
      <c r="V77" s="107"/>
      <c r="W77" s="107"/>
      <c r="X77" s="107"/>
      <c r="Y77" s="107"/>
      <c r="Z77" s="107"/>
      <c r="AA77" s="107"/>
    </row>
    <row r="78" spans="1:33">
      <c r="B78" s="16" t="s">
        <v>143</v>
      </c>
      <c r="C78" s="107">
        <f>'BS Feb KSA'!D78+'BS Feb USA'!D78</f>
        <v>0</v>
      </c>
      <c r="D78" s="107">
        <f>'BS Feb KSA'!E78+'BS Feb USA'!E78</f>
        <v>0</v>
      </c>
      <c r="E78" s="107">
        <f>'BS Feb KSA'!F78+'BS Feb USA'!F78</f>
        <v>0</v>
      </c>
      <c r="F78" s="107">
        <f>'BS Feb KSA'!G78+'BS Feb USA'!G78</f>
        <v>0</v>
      </c>
      <c r="G78" s="107">
        <f>'BS Feb KSA'!H78+'BS Feb USA'!H78</f>
        <v>0</v>
      </c>
      <c r="H78" s="107">
        <f>'BS Feb KSA'!I78+'BS Feb USA'!I78</f>
        <v>0</v>
      </c>
      <c r="I78" s="107">
        <f>'BS Feb KSA'!J78+'BS Feb USA'!J78</f>
        <v>0</v>
      </c>
      <c r="J78" s="107">
        <f>'BS Feb KSA'!K78+'BS Feb USA'!K78</f>
        <v>0</v>
      </c>
      <c r="K78" s="107">
        <f>'BS Feb KSA'!L78+'BS Feb USA'!L78</f>
        <v>0</v>
      </c>
      <c r="L78" s="107">
        <f>'BS Feb KSA'!M78+'BS Feb USA'!M78</f>
        <v>0</v>
      </c>
      <c r="M78" s="107">
        <f>'BS Feb KSA'!N78+'BS Feb USA'!N78</f>
        <v>287.90999999999997</v>
      </c>
      <c r="N78" s="107">
        <f>'BS Feb KSA'!O78+'BS Feb USA'!O78</f>
        <v>287.90999999999997</v>
      </c>
      <c r="O78" s="107">
        <f>'BS Feb KSA'!P78+'BS Feb USA'!P78</f>
        <v>287.90999999999997</v>
      </c>
      <c r="P78" s="107">
        <f>'BS Feb KSA'!Q78+'BS Feb USA'!Q78</f>
        <v>287.90999999999997</v>
      </c>
      <c r="Q78" s="107">
        <f>'BS Feb KSA'!R78+'BS Feb USA'!R78</f>
        <v>287.90999999999997</v>
      </c>
      <c r="R78" s="107">
        <f>'BS Feb KSA'!S78+'BS Feb USA'!S78</f>
        <v>287.90999999999997</v>
      </c>
      <c r="S78" s="107">
        <f>'BS Feb KSA'!T78+'BS Feb USA'!T78</f>
        <v>287.90999999999997</v>
      </c>
      <c r="T78" s="107">
        <f>'BS Feb KSA'!U78+'BS Feb USA'!U78</f>
        <v>287.90999999999997</v>
      </c>
      <c r="U78" s="107">
        <f>'BS Feb KSA'!V78+'BS Feb USA'!V78</f>
        <v>287.90999999999997</v>
      </c>
      <c r="V78" s="107">
        <f>'BS Feb KSA'!W78+'BS Feb USA'!W78</f>
        <v>33.75</v>
      </c>
      <c r="W78" s="107">
        <f>'BS Feb KSA'!X78+'BS Feb USA'!X78</f>
        <v>33.75</v>
      </c>
      <c r="X78" s="107">
        <f>'BS Feb KSA'!Y78+'BS Feb USA'!Y78</f>
        <v>33.75</v>
      </c>
      <c r="Y78" s="107">
        <f>'BS Feb KSA'!Z78+'BS Feb USA'!Z78</f>
        <v>0</v>
      </c>
      <c r="Z78" s="107">
        <f>'BS Feb KSA'!AA78+'BS Feb USA'!AA78</f>
        <v>0</v>
      </c>
      <c r="AA78" s="107"/>
    </row>
    <row r="79" spans="1:33" ht="15">
      <c r="B79" s="25"/>
      <c r="C79" s="46"/>
      <c r="D79" s="46"/>
      <c r="E79" s="46"/>
      <c r="F79" s="46"/>
      <c r="G79" s="46"/>
      <c r="H79" s="46"/>
      <c r="I79" s="46"/>
      <c r="J79" s="46"/>
      <c r="K79" s="46"/>
      <c r="L79" s="46" t="s">
        <v>217</v>
      </c>
      <c r="M79" s="46"/>
      <c r="N79" s="108"/>
      <c r="O79" s="46"/>
      <c r="P79" s="46"/>
      <c r="Q79" s="46"/>
      <c r="R79" s="46"/>
      <c r="S79" s="46"/>
      <c r="T79" s="46"/>
      <c r="U79" s="46"/>
      <c r="V79" s="46"/>
      <c r="W79" s="46"/>
      <c r="X79" s="46" t="s">
        <v>217</v>
      </c>
      <c r="Y79" s="46"/>
      <c r="Z79" s="108"/>
      <c r="AA79" s="46"/>
    </row>
    <row r="80" spans="1:33" s="69" customFormat="1">
      <c r="A80" s="68"/>
      <c r="B80" s="19" t="s">
        <v>144</v>
      </c>
      <c r="C80" s="48">
        <f>SUM(C81:C82)</f>
        <v>0</v>
      </c>
      <c r="D80" s="48">
        <f t="shared" ref="D80:G80" si="15">SUM(D81:D82)</f>
        <v>0</v>
      </c>
      <c r="E80" s="48">
        <f t="shared" si="15"/>
        <v>0</v>
      </c>
      <c r="F80" s="48">
        <f t="shared" si="15"/>
        <v>0</v>
      </c>
      <c r="G80" s="48">
        <f t="shared" si="15"/>
        <v>0</v>
      </c>
      <c r="H80" s="48">
        <f>SUM(H81:H82)</f>
        <v>0</v>
      </c>
      <c r="I80" s="48">
        <f t="shared" ref="I80:J80" si="16">SUM(I81:I82)</f>
        <v>0</v>
      </c>
      <c r="J80" s="48">
        <f t="shared" si="16"/>
        <v>0</v>
      </c>
      <c r="K80" s="48">
        <f>SUM(K81:K82)</f>
        <v>0</v>
      </c>
      <c r="L80" s="48">
        <f t="shared" ref="L80:N80" si="17">SUM(L81:L82)</f>
        <v>0</v>
      </c>
      <c r="M80" s="48">
        <f t="shared" si="17"/>
        <v>3720.42</v>
      </c>
      <c r="N80" s="48">
        <f t="shared" si="17"/>
        <v>3720.42</v>
      </c>
      <c r="O80" s="48">
        <f>SUM(O81:O82)</f>
        <v>3720.42</v>
      </c>
      <c r="P80" s="48">
        <f t="shared" ref="P80:Z80" si="18">SUM(P81:P82)</f>
        <v>3720.42</v>
      </c>
      <c r="Q80" s="48">
        <f t="shared" si="18"/>
        <v>3720.42</v>
      </c>
      <c r="R80" s="48">
        <f t="shared" si="18"/>
        <v>3720.42</v>
      </c>
      <c r="S80" s="48">
        <f t="shared" si="18"/>
        <v>3720.42</v>
      </c>
      <c r="T80" s="48">
        <f>SUM(T81:T82)</f>
        <v>3720.42</v>
      </c>
      <c r="U80" s="48">
        <f t="shared" si="18"/>
        <v>3720.42</v>
      </c>
      <c r="V80" s="48">
        <f t="shared" si="18"/>
        <v>3720.42</v>
      </c>
      <c r="W80" s="48">
        <f>SUM(W81:W82)</f>
        <v>3720.42</v>
      </c>
      <c r="X80" s="48">
        <f t="shared" si="18"/>
        <v>3720.42</v>
      </c>
      <c r="Y80" s="48">
        <f t="shared" si="18"/>
        <v>3720.42</v>
      </c>
      <c r="Z80" s="48">
        <f t="shared" si="18"/>
        <v>3720.42</v>
      </c>
      <c r="AA80" s="48">
        <f t="shared" ref="AA80" si="19">SUM(AA81:AA82)</f>
        <v>3720.42</v>
      </c>
    </row>
    <row r="81" spans="1:31">
      <c r="B81" s="16" t="s">
        <v>145</v>
      </c>
      <c r="C81" s="107">
        <f>'BS Feb KSA'!D81+'BS Feb USA'!D81</f>
        <v>0</v>
      </c>
      <c r="D81" s="107">
        <f>'BS Feb KSA'!E81+'BS Feb USA'!E81</f>
        <v>0</v>
      </c>
      <c r="E81" s="107">
        <f>'BS Feb KSA'!F81+'BS Feb USA'!F81</f>
        <v>0</v>
      </c>
      <c r="F81" s="107">
        <f>'BS Feb KSA'!G81+'BS Feb USA'!G81</f>
        <v>0</v>
      </c>
      <c r="G81" s="107">
        <f>'BS Feb KSA'!H81+'BS Feb USA'!H81</f>
        <v>0</v>
      </c>
      <c r="H81" s="107">
        <f>'BS Feb KSA'!I81+'BS Feb USA'!I81</f>
        <v>0</v>
      </c>
      <c r="I81" s="107">
        <f>'BS Feb KSA'!J81+'BS Feb USA'!J81</f>
        <v>0</v>
      </c>
      <c r="J81" s="107">
        <f>'BS Feb KSA'!K81+'BS Feb USA'!K81</f>
        <v>0</v>
      </c>
      <c r="K81" s="107">
        <f>'BS Feb KSA'!L81+'BS Feb USA'!L81</f>
        <v>0</v>
      </c>
      <c r="L81" s="107">
        <f>'BS Feb KSA'!M81+'BS Feb USA'!M81</f>
        <v>0</v>
      </c>
      <c r="M81" s="107">
        <f>'BS Feb KSA'!N81+'BS Feb USA'!N81</f>
        <v>3720.42</v>
      </c>
      <c r="N81" s="107">
        <f>'BS Feb KSA'!O81+'BS Feb USA'!O81</f>
        <v>3720.42</v>
      </c>
      <c r="O81" s="107">
        <f>'BS Feb KSA'!P81+'BS Feb USA'!P81</f>
        <v>3720.42</v>
      </c>
      <c r="P81" s="107">
        <f>'BS Feb KSA'!Q81+'BS Feb USA'!Q81</f>
        <v>3720.42</v>
      </c>
      <c r="Q81" s="107">
        <f>'BS Feb KSA'!R81+'BS Feb USA'!R81</f>
        <v>3720.42</v>
      </c>
      <c r="R81" s="107">
        <f>'BS Feb KSA'!S81+'BS Feb USA'!S81</f>
        <v>3720.42</v>
      </c>
      <c r="S81" s="107">
        <f>'BS Feb KSA'!T81+'BS Feb USA'!T81</f>
        <v>3720.42</v>
      </c>
      <c r="T81" s="107">
        <f>'BS Feb KSA'!U81+'BS Feb USA'!U81</f>
        <v>3720.42</v>
      </c>
      <c r="U81" s="107">
        <f>'BS Feb KSA'!V81+'BS Feb USA'!V81</f>
        <v>3720.42</v>
      </c>
      <c r="V81" s="107">
        <f>'BS Feb KSA'!W81+'BS Feb USA'!W81</f>
        <v>3720.42</v>
      </c>
      <c r="W81" s="107">
        <f>'BS Feb KSA'!X81+'BS Feb USA'!X81</f>
        <v>3720.42</v>
      </c>
      <c r="X81" s="107">
        <f>'BS Feb KSA'!Y81+'BS Feb USA'!Y81</f>
        <v>3720.42</v>
      </c>
      <c r="Y81" s="107">
        <f>'BS Feb KSA'!Z81+'BS Feb USA'!Z81</f>
        <v>3720.42</v>
      </c>
      <c r="Z81" s="107">
        <f>'BS Feb KSA'!AA81+'BS Feb USA'!AA81</f>
        <v>3720.42</v>
      </c>
      <c r="AA81" s="107">
        <v>3720.42</v>
      </c>
    </row>
    <row r="82" spans="1:31" ht="15">
      <c r="B82" s="25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 spans="1:31" ht="15">
      <c r="B83" s="25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 spans="1:31">
      <c r="B84" s="19" t="s">
        <v>146</v>
      </c>
      <c r="C84" s="48">
        <f t="shared" ref="C84:N84" si="20">+C71+C57+C80</f>
        <v>0</v>
      </c>
      <c r="D84" s="48">
        <f t="shared" si="20"/>
        <v>0</v>
      </c>
      <c r="E84" s="48">
        <f t="shared" si="20"/>
        <v>0</v>
      </c>
      <c r="F84" s="48">
        <f t="shared" si="20"/>
        <v>0</v>
      </c>
      <c r="G84" s="48">
        <f t="shared" si="20"/>
        <v>0</v>
      </c>
      <c r="H84" s="48">
        <f t="shared" si="20"/>
        <v>0</v>
      </c>
      <c r="I84" s="48">
        <f t="shared" si="20"/>
        <v>0</v>
      </c>
      <c r="J84" s="48">
        <f t="shared" si="20"/>
        <v>0</v>
      </c>
      <c r="K84" s="48">
        <f t="shared" si="20"/>
        <v>0</v>
      </c>
      <c r="L84" s="48">
        <f t="shared" si="20"/>
        <v>0</v>
      </c>
      <c r="M84" s="48">
        <f t="shared" si="20"/>
        <v>1024596.4700000001</v>
      </c>
      <c r="N84" s="48">
        <f t="shared" si="20"/>
        <v>1030667.5100000001</v>
      </c>
      <c r="O84" s="48">
        <f t="shared" ref="O84:AA84" si="21">+O71+O57+O80</f>
        <v>748884.45000000007</v>
      </c>
      <c r="P84" s="48">
        <f t="shared" si="21"/>
        <v>745615.04999999993</v>
      </c>
      <c r="Q84" s="48">
        <f t="shared" si="21"/>
        <v>722908.32</v>
      </c>
      <c r="R84" s="48">
        <f t="shared" si="21"/>
        <v>511874.36000000004</v>
      </c>
      <c r="S84" s="48">
        <f t="shared" si="21"/>
        <v>504198.06</v>
      </c>
      <c r="T84" s="48">
        <f t="shared" si="21"/>
        <v>490851.08</v>
      </c>
      <c r="U84" s="48">
        <f t="shared" si="21"/>
        <v>453614.07999999996</v>
      </c>
      <c r="V84" s="48">
        <f t="shared" si="21"/>
        <v>441658.67999999993</v>
      </c>
      <c r="W84" s="48">
        <f t="shared" si="21"/>
        <v>440105.91</v>
      </c>
      <c r="X84" s="48">
        <f t="shared" si="21"/>
        <v>367617.55999999994</v>
      </c>
      <c r="Y84" s="48">
        <f t="shared" si="21"/>
        <v>356121.00999999995</v>
      </c>
      <c r="Z84" s="48">
        <f t="shared" si="21"/>
        <v>283870.04999999993</v>
      </c>
      <c r="AA84" s="48">
        <f t="shared" si="21"/>
        <v>231229.82000000004</v>
      </c>
      <c r="AE84" s="54"/>
    </row>
    <row r="85" spans="1:31" ht="15">
      <c r="B85" s="25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108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108"/>
      <c r="AA85" s="46"/>
    </row>
    <row r="86" spans="1:31" ht="15">
      <c r="B86" s="25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108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108"/>
      <c r="AA86" s="46"/>
    </row>
    <row r="87" spans="1:31">
      <c r="B87" s="19" t="s">
        <v>147</v>
      </c>
      <c r="C87" s="48">
        <f t="shared" ref="C87:N87" si="22">+C84+C54</f>
        <v>0</v>
      </c>
      <c r="D87" s="48">
        <f t="shared" si="22"/>
        <v>0</v>
      </c>
      <c r="E87" s="48">
        <f t="shared" si="22"/>
        <v>0</v>
      </c>
      <c r="F87" s="48">
        <f t="shared" si="22"/>
        <v>0</v>
      </c>
      <c r="G87" s="48">
        <f t="shared" si="22"/>
        <v>0</v>
      </c>
      <c r="H87" s="48">
        <f t="shared" si="22"/>
        <v>0</v>
      </c>
      <c r="I87" s="48">
        <f t="shared" si="22"/>
        <v>0</v>
      </c>
      <c r="J87" s="48">
        <f t="shared" si="22"/>
        <v>0</v>
      </c>
      <c r="K87" s="48">
        <f t="shared" si="22"/>
        <v>0</v>
      </c>
      <c r="L87" s="48">
        <f t="shared" si="22"/>
        <v>0</v>
      </c>
      <c r="M87" s="48">
        <f t="shared" si="22"/>
        <v>124653736.67</v>
      </c>
      <c r="N87" s="109">
        <f t="shared" si="22"/>
        <v>107381883.86000001</v>
      </c>
      <c r="O87" s="48">
        <f t="shared" ref="O87:AA87" si="23">+O84+O54</f>
        <v>100603685.48999999</v>
      </c>
      <c r="P87" s="48">
        <f t="shared" si="23"/>
        <v>91036378.769999996</v>
      </c>
      <c r="Q87" s="48">
        <f t="shared" si="23"/>
        <v>90721032.969999999</v>
      </c>
      <c r="R87" s="48">
        <f t="shared" si="23"/>
        <v>76615657.059999987</v>
      </c>
      <c r="S87" s="48">
        <f t="shared" si="23"/>
        <v>72606750.569999993</v>
      </c>
      <c r="T87" s="48">
        <f t="shared" si="23"/>
        <v>73723140.25999999</v>
      </c>
      <c r="U87" s="48">
        <f t="shared" si="23"/>
        <v>69000864.409999996</v>
      </c>
      <c r="V87" s="48">
        <f t="shared" si="23"/>
        <v>66416279.609999999</v>
      </c>
      <c r="W87" s="48">
        <f t="shared" si="23"/>
        <v>65885535.399999999</v>
      </c>
      <c r="X87" s="48">
        <f t="shared" si="23"/>
        <v>63199621.190000005</v>
      </c>
      <c r="Y87" s="48">
        <f t="shared" si="23"/>
        <v>63337861.770000003</v>
      </c>
      <c r="Z87" s="109">
        <f t="shared" si="23"/>
        <v>52435575.819999993</v>
      </c>
      <c r="AA87" s="109">
        <f t="shared" si="23"/>
        <v>53261477.410000004</v>
      </c>
      <c r="AC87" s="238"/>
      <c r="AE87" s="238"/>
    </row>
    <row r="88" spans="1:31">
      <c r="B88" s="253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254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254"/>
      <c r="AA88" s="254"/>
      <c r="AC88" s="238"/>
      <c r="AE88" s="238"/>
    </row>
    <row r="89" spans="1:31" ht="15">
      <c r="B89" s="25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108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108"/>
      <c r="AA89" s="46"/>
    </row>
    <row r="90" spans="1:31" ht="16.2" thickBot="1">
      <c r="B90" s="28" t="s">
        <v>148</v>
      </c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110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0"/>
      <c r="AA90" s="51"/>
    </row>
    <row r="91" spans="1:31" ht="15.6">
      <c r="B91" s="29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108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108"/>
      <c r="AA91" s="46"/>
    </row>
    <row r="92" spans="1:31" s="69" customFormat="1">
      <c r="A92" s="68"/>
      <c r="B92" s="19" t="s">
        <v>149</v>
      </c>
      <c r="C92" s="48">
        <f t="shared" ref="C92:Z92" si="24">SUM(C93:C113)</f>
        <v>0</v>
      </c>
      <c r="D92" s="48">
        <f t="shared" si="24"/>
        <v>0</v>
      </c>
      <c r="E92" s="48">
        <f t="shared" si="24"/>
        <v>0</v>
      </c>
      <c r="F92" s="48">
        <f t="shared" si="24"/>
        <v>0</v>
      </c>
      <c r="G92" s="48">
        <f t="shared" si="24"/>
        <v>0</v>
      </c>
      <c r="H92" s="48">
        <f t="shared" si="24"/>
        <v>0</v>
      </c>
      <c r="I92" s="48">
        <f t="shared" si="24"/>
        <v>0</v>
      </c>
      <c r="J92" s="48">
        <f t="shared" si="24"/>
        <v>0</v>
      </c>
      <c r="K92" s="48">
        <f t="shared" si="24"/>
        <v>0</v>
      </c>
      <c r="L92" s="48">
        <f t="shared" si="24"/>
        <v>0</v>
      </c>
      <c r="M92" s="48">
        <f t="shared" si="24"/>
        <v>19634382.940000001</v>
      </c>
      <c r="N92" s="48">
        <f t="shared" si="24"/>
        <v>12537650.620000001</v>
      </c>
      <c r="O92" s="48">
        <f t="shared" si="24"/>
        <v>15434157.379999999</v>
      </c>
      <c r="P92" s="48">
        <f t="shared" si="24"/>
        <v>12776499.610000001</v>
      </c>
      <c r="Q92" s="48">
        <f t="shared" si="24"/>
        <v>11162921.860000001</v>
      </c>
      <c r="R92" s="48">
        <f t="shared" si="24"/>
        <v>11068871.780000001</v>
      </c>
      <c r="S92" s="48">
        <f t="shared" si="24"/>
        <v>8017241.7299999995</v>
      </c>
      <c r="T92" s="48">
        <f t="shared" si="24"/>
        <v>8121996.3799999999</v>
      </c>
      <c r="U92" s="48">
        <f t="shared" si="24"/>
        <v>6860981.6699999999</v>
      </c>
      <c r="V92" s="48">
        <f t="shared" si="24"/>
        <v>3643150.2300000004</v>
      </c>
      <c r="W92" s="48">
        <f t="shared" si="24"/>
        <v>3468365.57</v>
      </c>
      <c r="X92" s="48">
        <f t="shared" si="24"/>
        <v>1830664.19</v>
      </c>
      <c r="Y92" s="48">
        <f t="shared" si="24"/>
        <v>1870612.5199999998</v>
      </c>
      <c r="Z92" s="48">
        <f t="shared" si="24"/>
        <v>1206069.49</v>
      </c>
      <c r="AA92" s="109">
        <f>SUM(AA93:AA112)</f>
        <v>1683798.0599999998</v>
      </c>
      <c r="AC92" s="71"/>
    </row>
    <row r="93" spans="1:31" outlineLevel="1">
      <c r="B93" s="16" t="s">
        <v>150</v>
      </c>
      <c r="C93" s="107">
        <f>'BS Feb KSA'!D93+'BS Feb USA'!D93</f>
        <v>0</v>
      </c>
      <c r="D93" s="107">
        <f>'BS Feb KSA'!E93+'BS Feb USA'!E93</f>
        <v>0</v>
      </c>
      <c r="E93" s="107">
        <f>'BS Feb KSA'!F93+'BS Feb USA'!F93</f>
        <v>0</v>
      </c>
      <c r="F93" s="107">
        <f>'BS Feb KSA'!G93+'BS Feb USA'!G93</f>
        <v>0</v>
      </c>
      <c r="G93" s="107">
        <f>'BS Feb KSA'!H93+'BS Feb USA'!H93</f>
        <v>0</v>
      </c>
      <c r="H93" s="107">
        <f>'BS Feb KSA'!I93+'BS Feb USA'!I93</f>
        <v>0</v>
      </c>
      <c r="I93" s="107">
        <f>'BS Feb KSA'!J93+'BS Feb USA'!J93</f>
        <v>0</v>
      </c>
      <c r="J93" s="107">
        <f>'BS Feb KSA'!K93+'BS Feb USA'!K93</f>
        <v>0</v>
      </c>
      <c r="K93" s="107">
        <f>'BS Feb KSA'!L93+'BS Feb USA'!L93</f>
        <v>0</v>
      </c>
      <c r="L93" s="107">
        <f>'BS Feb KSA'!M93+'BS Feb USA'!M93</f>
        <v>0</v>
      </c>
      <c r="M93" s="107">
        <f>'BS Feb KSA'!N93+'BS Feb USA'!N93</f>
        <v>5902.9</v>
      </c>
      <c r="N93" s="107">
        <f>'BS Feb KSA'!O93+'BS Feb USA'!O93</f>
        <v>5902.9</v>
      </c>
      <c r="O93" s="107">
        <f>'BS Feb KSA'!P93+'BS Feb USA'!P93</f>
        <v>5902.9</v>
      </c>
      <c r="P93" s="107">
        <f>'BS Feb KSA'!Q93+'BS Feb USA'!Q93</f>
        <v>5902.9</v>
      </c>
      <c r="Q93" s="107">
        <f>'BS Feb KSA'!R93+'BS Feb USA'!R93</f>
        <v>5902.9</v>
      </c>
      <c r="R93" s="107">
        <f>'BS Feb KSA'!S93+'BS Feb USA'!S93</f>
        <v>5902.9</v>
      </c>
      <c r="S93" s="107">
        <f>'BS Feb KSA'!T93+'BS Feb USA'!T93</f>
        <v>5902.9</v>
      </c>
      <c r="T93" s="107">
        <f>'BS Feb KSA'!U93+'BS Feb USA'!U93</f>
        <v>5902.9</v>
      </c>
      <c r="U93" s="107">
        <f>'BS Feb KSA'!V93+'BS Feb USA'!V93</f>
        <v>5902.9</v>
      </c>
      <c r="V93" s="107">
        <f>'BS Feb KSA'!W93+'BS Feb USA'!W93</f>
        <v>5902.9</v>
      </c>
      <c r="W93" s="107">
        <f>'BS Feb KSA'!X93+'BS Feb USA'!X93</f>
        <v>45000</v>
      </c>
      <c r="X93" s="107">
        <f>'BS Feb KSA'!Y93+'BS Feb USA'!Y93</f>
        <v>45000</v>
      </c>
      <c r="Y93" s="107">
        <f>'BS Feb KSA'!Z93+'BS Feb USA'!Z93</f>
        <v>45000</v>
      </c>
      <c r="Z93" s="107">
        <f>'BS Feb KSA'!AA93+'BS Feb USA'!AA93</f>
        <v>45000</v>
      </c>
      <c r="AA93" s="107">
        <v>0</v>
      </c>
      <c r="AC93" s="2"/>
    </row>
    <row r="94" spans="1:31" outlineLevel="1">
      <c r="B94" s="16" t="s">
        <v>151</v>
      </c>
      <c r="C94" s="107">
        <f>'BS Feb KSA'!D94+'BS Feb USA'!D94</f>
        <v>0</v>
      </c>
      <c r="D94" s="107">
        <f>'BS Feb KSA'!E94+'BS Feb USA'!E94</f>
        <v>0</v>
      </c>
      <c r="E94" s="107">
        <f>'BS Feb KSA'!F94+'BS Feb USA'!F94</f>
        <v>0</v>
      </c>
      <c r="F94" s="107">
        <f>'BS Feb KSA'!G94+'BS Feb USA'!G94</f>
        <v>0</v>
      </c>
      <c r="G94" s="107">
        <f>'BS Feb KSA'!H94+'BS Feb USA'!H94</f>
        <v>0</v>
      </c>
      <c r="H94" s="107">
        <f>'BS Feb KSA'!I94+'BS Feb USA'!I94</f>
        <v>0</v>
      </c>
      <c r="I94" s="107">
        <f>'BS Feb KSA'!J94+'BS Feb USA'!J94</f>
        <v>0</v>
      </c>
      <c r="J94" s="107">
        <f>'BS Feb KSA'!K94+'BS Feb USA'!K94</f>
        <v>0</v>
      </c>
      <c r="K94" s="107">
        <f>'BS Feb KSA'!L94+'BS Feb USA'!L94</f>
        <v>0</v>
      </c>
      <c r="L94" s="107">
        <f>'BS Feb KSA'!M94+'BS Feb USA'!M94</f>
        <v>0</v>
      </c>
      <c r="M94" s="107">
        <f>'BS Feb KSA'!N94+'BS Feb USA'!N94</f>
        <v>0</v>
      </c>
      <c r="N94" s="107">
        <f>'BS Feb KSA'!O94+'BS Feb USA'!O94</f>
        <v>0</v>
      </c>
      <c r="O94" s="107">
        <f>'BS Feb KSA'!P94+'BS Feb USA'!P94</f>
        <v>0</v>
      </c>
      <c r="P94" s="107">
        <f>'BS Feb KSA'!Q94+'BS Feb USA'!Q94</f>
        <v>0</v>
      </c>
      <c r="Q94" s="107">
        <f>'BS Feb KSA'!R94+'BS Feb USA'!R94</f>
        <v>0</v>
      </c>
      <c r="R94" s="107">
        <f>'BS Feb KSA'!S94+'BS Feb USA'!S94</f>
        <v>0</v>
      </c>
      <c r="S94" s="107">
        <f>'BS Feb KSA'!T94+'BS Feb USA'!T94</f>
        <v>0</v>
      </c>
      <c r="T94" s="107">
        <f>'BS Feb KSA'!U94+'BS Feb USA'!U94</f>
        <v>0</v>
      </c>
      <c r="U94" s="107">
        <f>'BS Feb KSA'!V94+'BS Feb USA'!V94</f>
        <v>0</v>
      </c>
      <c r="V94" s="107">
        <f>'BS Feb KSA'!W94+'BS Feb USA'!W94</f>
        <v>158987.5</v>
      </c>
      <c r="W94" s="107">
        <f>'BS Feb KSA'!X94+'BS Feb USA'!X94</f>
        <v>158987.5</v>
      </c>
      <c r="X94" s="107">
        <f>'BS Feb KSA'!Y94+'BS Feb USA'!Y94</f>
        <v>158987.5</v>
      </c>
      <c r="Y94" s="107">
        <f>'BS Feb KSA'!Z94+'BS Feb USA'!Z94</f>
        <v>158987.5</v>
      </c>
      <c r="Z94" s="107">
        <f>'BS Feb KSA'!AA94+'BS Feb USA'!AA94</f>
        <v>158987.5</v>
      </c>
      <c r="AA94" s="107">
        <v>158987.5</v>
      </c>
      <c r="AC94" s="2"/>
    </row>
    <row r="95" spans="1:31" outlineLevel="1">
      <c r="B95" s="16" t="s">
        <v>152</v>
      </c>
      <c r="C95" s="107">
        <f>'BS Feb KSA'!D95+'BS Feb USA'!D95</f>
        <v>0</v>
      </c>
      <c r="D95" s="107">
        <f>'BS Feb KSA'!E95+'BS Feb USA'!E95</f>
        <v>0</v>
      </c>
      <c r="E95" s="107">
        <f>'BS Feb KSA'!F95+'BS Feb USA'!F95</f>
        <v>0</v>
      </c>
      <c r="F95" s="107">
        <f>'BS Feb KSA'!G95+'BS Feb USA'!G95</f>
        <v>0</v>
      </c>
      <c r="G95" s="107">
        <f>'BS Feb KSA'!H95+'BS Feb USA'!H95</f>
        <v>0</v>
      </c>
      <c r="H95" s="107">
        <f>'BS Feb KSA'!I95+'BS Feb USA'!I95</f>
        <v>0</v>
      </c>
      <c r="I95" s="107">
        <f>'BS Feb KSA'!J95+'BS Feb USA'!J95</f>
        <v>0</v>
      </c>
      <c r="J95" s="107">
        <f>'BS Feb KSA'!K95+'BS Feb USA'!K95</f>
        <v>0</v>
      </c>
      <c r="K95" s="107">
        <f>'BS Feb KSA'!L95+'BS Feb USA'!L95</f>
        <v>0</v>
      </c>
      <c r="L95" s="107">
        <f>'BS Feb KSA'!M95+'BS Feb USA'!M95</f>
        <v>0</v>
      </c>
      <c r="M95" s="107">
        <f>'BS Feb KSA'!N95+'BS Feb USA'!N95</f>
        <v>124965.1</v>
      </c>
      <c r="N95" s="107">
        <f>'BS Feb KSA'!O95+'BS Feb USA'!O95</f>
        <v>99228.03</v>
      </c>
      <c r="O95" s="107">
        <f>'BS Feb KSA'!P95+'BS Feb USA'!P95</f>
        <v>72389.990000000005</v>
      </c>
      <c r="P95" s="107">
        <f>'BS Feb KSA'!Q95+'BS Feb USA'!Q95</f>
        <v>105974.99</v>
      </c>
      <c r="Q95" s="107">
        <f>'BS Feb KSA'!R95+'BS Feb USA'!R95</f>
        <v>45674.99</v>
      </c>
      <c r="R95" s="107">
        <f>'BS Feb KSA'!S95+'BS Feb USA'!S95</f>
        <v>60021.38</v>
      </c>
      <c r="S95" s="107">
        <f>'BS Feb KSA'!T95+'BS Feb USA'!T95</f>
        <v>34696.129999999997</v>
      </c>
      <c r="T95" s="107">
        <f>'BS Feb KSA'!U95+'BS Feb USA'!U95</f>
        <v>48387.75</v>
      </c>
      <c r="U95" s="107">
        <f>'BS Feb KSA'!V95+'BS Feb USA'!V95</f>
        <v>65402.03</v>
      </c>
      <c r="V95" s="107">
        <f>'BS Feb KSA'!W95+'BS Feb USA'!W95</f>
        <v>40975.01</v>
      </c>
      <c r="W95" s="107">
        <f>'BS Feb KSA'!X95+'BS Feb USA'!X95</f>
        <v>0</v>
      </c>
      <c r="X95" s="107">
        <f>'BS Feb KSA'!Y95+'BS Feb USA'!Y95</f>
        <v>0</v>
      </c>
      <c r="Y95" s="107">
        <f>'BS Feb KSA'!Z95+'BS Feb USA'!Z95</f>
        <v>0</v>
      </c>
      <c r="Z95" s="107">
        <f>'BS Feb KSA'!AA95+'BS Feb USA'!AA95</f>
        <v>0</v>
      </c>
      <c r="AA95" s="107"/>
      <c r="AC95" s="2"/>
    </row>
    <row r="96" spans="1:31" outlineLevel="1">
      <c r="B96" s="16" t="s">
        <v>153</v>
      </c>
      <c r="C96" s="107">
        <f>'BS Feb KSA'!D96+'BS Feb USA'!D96</f>
        <v>0</v>
      </c>
      <c r="D96" s="107">
        <f>'BS Feb KSA'!E96+'BS Feb USA'!E96</f>
        <v>0</v>
      </c>
      <c r="E96" s="107">
        <f>'BS Feb KSA'!F96+'BS Feb USA'!F96</f>
        <v>0</v>
      </c>
      <c r="F96" s="107">
        <f>'BS Feb KSA'!G96+'BS Feb USA'!G96</f>
        <v>0</v>
      </c>
      <c r="G96" s="107">
        <f>'BS Feb KSA'!H96+'BS Feb USA'!H96</f>
        <v>0</v>
      </c>
      <c r="H96" s="107">
        <f>'BS Feb KSA'!I96+'BS Feb USA'!I96</f>
        <v>0</v>
      </c>
      <c r="I96" s="107">
        <f>'BS Feb KSA'!J96+'BS Feb USA'!J96</f>
        <v>0</v>
      </c>
      <c r="J96" s="107">
        <f>'BS Feb KSA'!K96+'BS Feb USA'!K96</f>
        <v>0</v>
      </c>
      <c r="K96" s="107">
        <f>'BS Feb KSA'!L96+'BS Feb USA'!L96</f>
        <v>0</v>
      </c>
      <c r="L96" s="107">
        <f>'BS Feb KSA'!M96+'BS Feb USA'!M96</f>
        <v>0</v>
      </c>
      <c r="M96" s="107">
        <f>'BS Feb KSA'!N96+'BS Feb USA'!N96</f>
        <v>129261.1</v>
      </c>
      <c r="N96" s="107">
        <f>'BS Feb KSA'!O96+'BS Feb USA'!O96</f>
        <v>283428.66000000003</v>
      </c>
      <c r="O96" s="107">
        <f>'BS Feb KSA'!P96+'BS Feb USA'!P96</f>
        <v>271935.41000000003</v>
      </c>
      <c r="P96" s="107">
        <f>'BS Feb KSA'!Q96+'BS Feb USA'!Q96</f>
        <v>193897.54</v>
      </c>
      <c r="Q96" s="107">
        <f>'BS Feb KSA'!R96+'BS Feb USA'!R96</f>
        <v>233470.26</v>
      </c>
      <c r="R96" s="107">
        <f>'BS Feb KSA'!S96+'BS Feb USA'!S96</f>
        <v>204247.95</v>
      </c>
      <c r="S96" s="107">
        <f>'BS Feb KSA'!T96+'BS Feb USA'!T96</f>
        <v>100165.03</v>
      </c>
      <c r="T96" s="107">
        <f>'BS Feb KSA'!U96+'BS Feb USA'!U96</f>
        <v>128246.38</v>
      </c>
      <c r="U96" s="107">
        <f>'BS Feb KSA'!V96+'BS Feb USA'!V96</f>
        <v>184136.27</v>
      </c>
      <c r="V96" s="107">
        <f>'BS Feb KSA'!W96+'BS Feb USA'!W96</f>
        <v>160778.26999999999</v>
      </c>
      <c r="W96" s="107">
        <f>'BS Feb KSA'!X96+'BS Feb USA'!X96</f>
        <v>269132.01999999996</v>
      </c>
      <c r="X96" s="107">
        <f>'BS Feb KSA'!Y96+'BS Feb USA'!Y96</f>
        <v>182694.27</v>
      </c>
      <c r="Y96" s="107">
        <f>'BS Feb KSA'!Z96+'BS Feb USA'!Z96</f>
        <v>186226.96</v>
      </c>
      <c r="Z96" s="107">
        <f>'BS Feb KSA'!AA96+'BS Feb USA'!AA96</f>
        <v>182694.27</v>
      </c>
      <c r="AA96" s="107">
        <v>139840</v>
      </c>
      <c r="AC96" s="2"/>
    </row>
    <row r="97" spans="2:31" outlineLevel="1">
      <c r="B97" s="16" t="s">
        <v>154</v>
      </c>
      <c r="C97" s="107">
        <f>'BS Feb KSA'!D97+'BS Feb USA'!D97</f>
        <v>0</v>
      </c>
      <c r="D97" s="107">
        <f>'BS Feb KSA'!E97+'BS Feb USA'!E97</f>
        <v>0</v>
      </c>
      <c r="E97" s="107">
        <f>'BS Feb KSA'!F97+'BS Feb USA'!F97</f>
        <v>0</v>
      </c>
      <c r="F97" s="107">
        <f>'BS Feb KSA'!G97+'BS Feb USA'!G97</f>
        <v>0</v>
      </c>
      <c r="G97" s="107">
        <f>'BS Feb KSA'!H97+'BS Feb USA'!H97</f>
        <v>0</v>
      </c>
      <c r="H97" s="107">
        <f>'BS Feb KSA'!I97+'BS Feb USA'!I97</f>
        <v>0</v>
      </c>
      <c r="I97" s="107">
        <f>'BS Feb KSA'!J97+'BS Feb USA'!J97</f>
        <v>0</v>
      </c>
      <c r="J97" s="107">
        <f>'BS Feb KSA'!K97+'BS Feb USA'!K97</f>
        <v>0</v>
      </c>
      <c r="K97" s="107">
        <f>'BS Feb KSA'!L97+'BS Feb USA'!L97</f>
        <v>0</v>
      </c>
      <c r="L97" s="107">
        <f>'BS Feb KSA'!M97+'BS Feb USA'!M97</f>
        <v>0</v>
      </c>
      <c r="M97" s="107">
        <f>'BS Feb KSA'!N97+'BS Feb USA'!N97</f>
        <v>13725.11</v>
      </c>
      <c r="N97" s="107">
        <f>'BS Feb KSA'!O97+'BS Feb USA'!O97</f>
        <v>13724.88</v>
      </c>
      <c r="O97" s="107">
        <f>'BS Feb KSA'!P97+'BS Feb USA'!P97</f>
        <v>13723.45</v>
      </c>
      <c r="P97" s="107">
        <f>'BS Feb KSA'!Q97+'BS Feb USA'!Q97</f>
        <v>13720.72</v>
      </c>
      <c r="Q97" s="107">
        <f>'BS Feb KSA'!R97+'BS Feb USA'!R97</f>
        <v>13717.4</v>
      </c>
      <c r="R97" s="107">
        <f>'BS Feb KSA'!S97+'BS Feb USA'!S97</f>
        <v>12329.04</v>
      </c>
      <c r="S97" s="107">
        <f>'BS Feb KSA'!T97+'BS Feb USA'!T97</f>
        <v>262324.38</v>
      </c>
      <c r="T97" s="107">
        <f>'BS Feb KSA'!U97+'BS Feb USA'!U97</f>
        <v>12324.64</v>
      </c>
      <c r="U97" s="107">
        <f>'BS Feb KSA'!V97+'BS Feb USA'!V97</f>
        <v>12270.48</v>
      </c>
      <c r="V97" s="107">
        <f>'BS Feb KSA'!W97+'BS Feb USA'!W97</f>
        <v>10547.36</v>
      </c>
      <c r="W97" s="107">
        <f>'BS Feb KSA'!X97+'BS Feb USA'!X97</f>
        <v>10546.47</v>
      </c>
      <c r="X97" s="107">
        <f>'BS Feb KSA'!Y97+'BS Feb USA'!Y97</f>
        <v>10544.82</v>
      </c>
      <c r="Y97" s="107">
        <f>'BS Feb KSA'!Z97+'BS Feb USA'!Z97</f>
        <v>10543.5</v>
      </c>
      <c r="Z97" s="107">
        <f>'BS Feb KSA'!AA97+'BS Feb USA'!AA97</f>
        <v>-100.96</v>
      </c>
      <c r="AA97" s="107">
        <v>1373.79</v>
      </c>
      <c r="AC97" s="2"/>
    </row>
    <row r="98" spans="2:31" outlineLevel="1">
      <c r="B98" s="16" t="s">
        <v>155</v>
      </c>
      <c r="C98" s="107">
        <f>'BS Feb KSA'!D98+'BS Feb USA'!D98</f>
        <v>0</v>
      </c>
      <c r="D98" s="107">
        <f>'BS Feb KSA'!E98+'BS Feb USA'!E98</f>
        <v>0</v>
      </c>
      <c r="E98" s="107">
        <f>'BS Feb KSA'!F98+'BS Feb USA'!F98</f>
        <v>0</v>
      </c>
      <c r="F98" s="107">
        <f>'BS Feb KSA'!G98+'BS Feb USA'!G98</f>
        <v>0</v>
      </c>
      <c r="G98" s="107">
        <f>'BS Feb KSA'!H98+'BS Feb USA'!H98</f>
        <v>0</v>
      </c>
      <c r="H98" s="107">
        <f>'BS Feb KSA'!I98+'BS Feb USA'!I98</f>
        <v>0</v>
      </c>
      <c r="I98" s="107">
        <f>'BS Feb KSA'!J98+'BS Feb USA'!J98</f>
        <v>0</v>
      </c>
      <c r="J98" s="107">
        <f>'BS Feb KSA'!K98+'BS Feb USA'!K98</f>
        <v>0</v>
      </c>
      <c r="K98" s="107">
        <f>'BS Feb KSA'!L98+'BS Feb USA'!L98</f>
        <v>0</v>
      </c>
      <c r="L98" s="107">
        <f>'BS Feb KSA'!M98+'BS Feb USA'!M98</f>
        <v>0</v>
      </c>
      <c r="M98" s="107">
        <f>'BS Feb KSA'!N98+'BS Feb USA'!N98</f>
        <v>0</v>
      </c>
      <c r="N98" s="107">
        <f>'BS Feb KSA'!O98+'BS Feb USA'!O98</f>
        <v>0</v>
      </c>
      <c r="O98" s="107">
        <f>'BS Feb KSA'!P98+'BS Feb USA'!P98</f>
        <v>0</v>
      </c>
      <c r="P98" s="107">
        <f>'BS Feb KSA'!Q98+'BS Feb USA'!Q98</f>
        <v>0</v>
      </c>
      <c r="Q98" s="107">
        <f>'BS Feb KSA'!R98+'BS Feb USA'!R98</f>
        <v>0</v>
      </c>
      <c r="R98" s="107">
        <f>'BS Feb KSA'!S98+'BS Feb USA'!S98</f>
        <v>0</v>
      </c>
      <c r="S98" s="107">
        <f>'BS Feb KSA'!T98+'BS Feb USA'!T98</f>
        <v>0</v>
      </c>
      <c r="T98" s="107">
        <f>'BS Feb KSA'!U98+'BS Feb USA'!U98</f>
        <v>0</v>
      </c>
      <c r="U98" s="107">
        <f>'BS Feb KSA'!V98+'BS Feb USA'!V98</f>
        <v>0</v>
      </c>
      <c r="V98" s="107">
        <f>'BS Feb KSA'!W98+'BS Feb USA'!W98</f>
        <v>0</v>
      </c>
      <c r="W98" s="107">
        <f>'BS Feb KSA'!X98+'BS Feb USA'!X98</f>
        <v>0</v>
      </c>
      <c r="X98" s="107">
        <f>'BS Feb KSA'!Y98+'BS Feb USA'!Y98</f>
        <v>0</v>
      </c>
      <c r="Y98" s="107">
        <f>'BS Feb KSA'!Z98+'BS Feb USA'!Z98</f>
        <v>0</v>
      </c>
      <c r="Z98" s="107">
        <f>'BS Feb KSA'!AA98+'BS Feb USA'!AA98</f>
        <v>0</v>
      </c>
      <c r="AA98" s="107">
        <v>0</v>
      </c>
    </row>
    <row r="99" spans="2:31" outlineLevel="1">
      <c r="B99" s="16" t="s">
        <v>156</v>
      </c>
      <c r="C99" s="107">
        <f>'BS Feb KSA'!D99+'BS Feb USA'!D99</f>
        <v>0</v>
      </c>
      <c r="D99" s="107">
        <f>'BS Feb KSA'!E99+'BS Feb USA'!E99</f>
        <v>0</v>
      </c>
      <c r="E99" s="107">
        <f>'BS Feb KSA'!F99+'BS Feb USA'!F99</f>
        <v>0</v>
      </c>
      <c r="F99" s="107">
        <f>'BS Feb KSA'!G99+'BS Feb USA'!G99</f>
        <v>0</v>
      </c>
      <c r="G99" s="107">
        <f>'BS Feb KSA'!H99+'BS Feb USA'!H99</f>
        <v>0</v>
      </c>
      <c r="H99" s="107">
        <f>'BS Feb KSA'!I99+'BS Feb USA'!I99</f>
        <v>0</v>
      </c>
      <c r="I99" s="107">
        <f>'BS Feb KSA'!J99+'BS Feb USA'!J99</f>
        <v>0</v>
      </c>
      <c r="J99" s="107">
        <f>'BS Feb KSA'!K99+'BS Feb USA'!K99</f>
        <v>0</v>
      </c>
      <c r="K99" s="107">
        <f>'BS Feb KSA'!L99+'BS Feb USA'!L99</f>
        <v>0</v>
      </c>
      <c r="L99" s="107">
        <f>'BS Feb KSA'!M99+'BS Feb USA'!M99</f>
        <v>0</v>
      </c>
      <c r="M99" s="107">
        <f>'BS Feb KSA'!N99+'BS Feb USA'!N99</f>
        <v>4700</v>
      </c>
      <c r="N99" s="107">
        <f>'BS Feb KSA'!O99+'BS Feb USA'!O99</f>
        <v>4700</v>
      </c>
      <c r="O99" s="107">
        <f>'BS Feb KSA'!P99+'BS Feb USA'!P99</f>
        <v>4000</v>
      </c>
      <c r="P99" s="107">
        <f>'BS Feb KSA'!Q99+'BS Feb USA'!Q99</f>
        <v>0</v>
      </c>
      <c r="Q99" s="107">
        <f>'BS Feb KSA'!R99+'BS Feb USA'!R99</f>
        <v>5409.68</v>
      </c>
      <c r="R99" s="107">
        <f>'BS Feb KSA'!S99+'BS Feb USA'!S99</f>
        <v>4700</v>
      </c>
      <c r="S99" s="107">
        <f>'BS Feb KSA'!T99+'BS Feb USA'!T99</f>
        <v>4700</v>
      </c>
      <c r="T99" s="107">
        <f>'BS Feb KSA'!U99+'BS Feb USA'!U99</f>
        <v>4200</v>
      </c>
      <c r="U99" s="107">
        <f>'BS Feb KSA'!V99+'BS Feb USA'!V99</f>
        <v>4200</v>
      </c>
      <c r="V99" s="107">
        <f>'BS Feb KSA'!W99+'BS Feb USA'!W99</f>
        <v>0</v>
      </c>
      <c r="W99" s="107">
        <f>'BS Feb KSA'!X99+'BS Feb USA'!X99</f>
        <v>0</v>
      </c>
      <c r="X99" s="107">
        <f>'BS Feb KSA'!Y99+'BS Feb USA'!Y99</f>
        <v>0</v>
      </c>
      <c r="Y99" s="107">
        <f>'BS Feb KSA'!Z99+'BS Feb USA'!Z99</f>
        <v>4900</v>
      </c>
      <c r="Z99" s="107">
        <f>'BS Feb KSA'!AA99+'BS Feb USA'!AA99</f>
        <v>0</v>
      </c>
      <c r="AA99" s="107">
        <v>0</v>
      </c>
    </row>
    <row r="100" spans="2:31" outlineLevel="1">
      <c r="B100" s="16" t="s">
        <v>157</v>
      </c>
      <c r="C100" s="107">
        <f>'BS Feb KSA'!D100+'BS Feb USA'!D100</f>
        <v>0</v>
      </c>
      <c r="D100" s="107">
        <f>'BS Feb KSA'!E100+'BS Feb USA'!E100</f>
        <v>0</v>
      </c>
      <c r="E100" s="107">
        <f>'BS Feb KSA'!F100+'BS Feb USA'!F100</f>
        <v>0</v>
      </c>
      <c r="F100" s="107">
        <f>'BS Feb KSA'!G100+'BS Feb USA'!G100</f>
        <v>0</v>
      </c>
      <c r="G100" s="107">
        <f>'BS Feb KSA'!H100+'BS Feb USA'!H100</f>
        <v>0</v>
      </c>
      <c r="H100" s="107">
        <f>'BS Feb KSA'!I100+'BS Feb USA'!I100</f>
        <v>0</v>
      </c>
      <c r="I100" s="107">
        <f>'BS Feb KSA'!J100+'BS Feb USA'!J100</f>
        <v>0</v>
      </c>
      <c r="J100" s="107">
        <f>'BS Feb KSA'!K100+'BS Feb USA'!K100</f>
        <v>0</v>
      </c>
      <c r="K100" s="107">
        <f>'BS Feb KSA'!L100+'BS Feb USA'!L100</f>
        <v>0</v>
      </c>
      <c r="L100" s="107">
        <f>'BS Feb KSA'!M100+'BS Feb USA'!M100</f>
        <v>0</v>
      </c>
      <c r="M100" s="107">
        <f>'BS Feb KSA'!N100+'BS Feb USA'!N100</f>
        <v>1019882.83</v>
      </c>
      <c r="N100" s="107">
        <f>'BS Feb KSA'!O100+'BS Feb USA'!O100</f>
        <v>1077281.1599999999</v>
      </c>
      <c r="O100" s="107">
        <f>'BS Feb KSA'!P100+'BS Feb USA'!P100</f>
        <v>57047.14</v>
      </c>
      <c r="P100" s="107">
        <f>'BS Feb KSA'!Q100+'BS Feb USA'!Q100</f>
        <v>259886.38</v>
      </c>
      <c r="Q100" s="107">
        <f>'BS Feb KSA'!R100+'BS Feb USA'!R100</f>
        <v>57026.5</v>
      </c>
      <c r="R100" s="107">
        <f>'BS Feb KSA'!S100+'BS Feb USA'!S100</f>
        <v>82345.77</v>
      </c>
      <c r="S100" s="107">
        <f>'BS Feb KSA'!T100+'BS Feb USA'!T100</f>
        <v>709595.53</v>
      </c>
      <c r="T100" s="107">
        <f>'BS Feb KSA'!U100+'BS Feb USA'!U100</f>
        <v>94951.09</v>
      </c>
      <c r="U100" s="107">
        <f>'BS Feb KSA'!V100+'BS Feb USA'!V100</f>
        <v>185549.69</v>
      </c>
      <c r="V100" s="107">
        <f>'BS Feb KSA'!W100+'BS Feb USA'!W100</f>
        <v>282007.45</v>
      </c>
      <c r="W100" s="107">
        <f>'BS Feb KSA'!X100+'BS Feb USA'!X100</f>
        <v>246996.89</v>
      </c>
      <c r="X100" s="107">
        <f>'BS Feb KSA'!Y100+'BS Feb USA'!Y100</f>
        <v>565016.32999999996</v>
      </c>
      <c r="Y100" s="107">
        <f>'BS Feb KSA'!Z100+'BS Feb USA'!Z100</f>
        <v>566378.49</v>
      </c>
      <c r="Z100" s="107">
        <f>'BS Feb KSA'!AA100+'BS Feb USA'!AA100</f>
        <v>337658.79</v>
      </c>
      <c r="AA100" s="107">
        <v>877017.06</v>
      </c>
    </row>
    <row r="101" spans="2:31" outlineLevel="1">
      <c r="B101" s="16" t="s">
        <v>158</v>
      </c>
      <c r="C101" s="107">
        <f>'BS Feb KSA'!D101+'BS Feb USA'!D101</f>
        <v>0</v>
      </c>
      <c r="D101" s="107">
        <f>'BS Feb KSA'!E101+'BS Feb USA'!E101</f>
        <v>0</v>
      </c>
      <c r="E101" s="107">
        <f>'BS Feb KSA'!F101+'BS Feb USA'!F101</f>
        <v>0</v>
      </c>
      <c r="F101" s="107">
        <f>'BS Feb KSA'!G101+'BS Feb USA'!G101</f>
        <v>0</v>
      </c>
      <c r="G101" s="107">
        <f>'BS Feb KSA'!H101+'BS Feb USA'!H101</f>
        <v>0</v>
      </c>
      <c r="H101" s="107">
        <f>'BS Feb KSA'!I101+'BS Feb USA'!I101</f>
        <v>0</v>
      </c>
      <c r="I101" s="107">
        <f>'BS Feb KSA'!J101+'BS Feb USA'!J101</f>
        <v>0</v>
      </c>
      <c r="J101" s="107">
        <f>'BS Feb KSA'!K101+'BS Feb USA'!K101</f>
        <v>0</v>
      </c>
      <c r="K101" s="107">
        <f>'BS Feb KSA'!L101+'BS Feb USA'!L101</f>
        <v>0</v>
      </c>
      <c r="L101" s="107">
        <f>'BS Feb KSA'!M101+'BS Feb USA'!M101</f>
        <v>0</v>
      </c>
      <c r="M101" s="107">
        <f>'BS Feb KSA'!N101+'BS Feb USA'!N101</f>
        <v>0</v>
      </c>
      <c r="N101" s="107">
        <f>'BS Feb KSA'!O101+'BS Feb USA'!O101</f>
        <v>0</v>
      </c>
      <c r="O101" s="107">
        <f>'BS Feb KSA'!P101+'BS Feb USA'!P101</f>
        <v>0</v>
      </c>
      <c r="P101" s="107">
        <f>'BS Feb KSA'!Q101+'BS Feb USA'!Q101</f>
        <v>0</v>
      </c>
      <c r="Q101" s="107">
        <f>'BS Feb KSA'!R101+'BS Feb USA'!R101</f>
        <v>0</v>
      </c>
      <c r="R101" s="107">
        <f>'BS Feb KSA'!S101+'BS Feb USA'!S101</f>
        <v>0</v>
      </c>
      <c r="S101" s="107">
        <f>'BS Feb KSA'!T101+'BS Feb USA'!T101</f>
        <v>0</v>
      </c>
      <c r="T101" s="107">
        <f>'BS Feb KSA'!U101+'BS Feb USA'!U101</f>
        <v>0</v>
      </c>
      <c r="U101" s="107">
        <f>'BS Feb KSA'!V101+'BS Feb USA'!V101</f>
        <v>0</v>
      </c>
      <c r="V101" s="107">
        <f>'BS Feb KSA'!W101+'BS Feb USA'!W101</f>
        <v>0</v>
      </c>
      <c r="W101" s="107">
        <f>'BS Feb KSA'!X101+'BS Feb USA'!X101</f>
        <v>0</v>
      </c>
      <c r="X101" s="107">
        <f>'BS Feb KSA'!Y101+'BS Feb USA'!Y101</f>
        <v>0</v>
      </c>
      <c r="Y101" s="107">
        <f>'BS Feb KSA'!Z101+'BS Feb USA'!Z101</f>
        <v>0</v>
      </c>
      <c r="Z101" s="107">
        <f>'BS Feb KSA'!AA101+'BS Feb USA'!AA101</f>
        <v>0</v>
      </c>
      <c r="AA101" s="107">
        <v>25866.83</v>
      </c>
    </row>
    <row r="102" spans="2:31" outlineLevel="1">
      <c r="B102" s="16" t="s">
        <v>159</v>
      </c>
      <c r="C102" s="107">
        <f>'BS Feb KSA'!D102+'BS Feb USA'!D102</f>
        <v>0</v>
      </c>
      <c r="D102" s="107">
        <f>'BS Feb KSA'!E102+'BS Feb USA'!E102</f>
        <v>0</v>
      </c>
      <c r="E102" s="107">
        <f>'BS Feb KSA'!F102+'BS Feb USA'!F102</f>
        <v>0</v>
      </c>
      <c r="F102" s="107">
        <f>'BS Feb KSA'!G102+'BS Feb USA'!G102</f>
        <v>0</v>
      </c>
      <c r="G102" s="107">
        <f>'BS Feb KSA'!H102+'BS Feb USA'!H102</f>
        <v>0</v>
      </c>
      <c r="H102" s="107">
        <f>'BS Feb KSA'!I102+'BS Feb USA'!I102</f>
        <v>0</v>
      </c>
      <c r="I102" s="107">
        <f>'BS Feb KSA'!J102+'BS Feb USA'!J102</f>
        <v>0</v>
      </c>
      <c r="J102" s="107">
        <f>'BS Feb KSA'!K102+'BS Feb USA'!K102</f>
        <v>0</v>
      </c>
      <c r="K102" s="107">
        <f>'BS Feb KSA'!L102+'BS Feb USA'!L102</f>
        <v>0</v>
      </c>
      <c r="L102" s="107">
        <f>'BS Feb KSA'!M102+'BS Feb USA'!M102</f>
        <v>0</v>
      </c>
      <c r="M102" s="107">
        <f>'BS Feb KSA'!N102+'BS Feb USA'!N102</f>
        <v>1.78</v>
      </c>
      <c r="N102" s="107">
        <f>'BS Feb KSA'!O102+'BS Feb USA'!O102</f>
        <v>149172</v>
      </c>
      <c r="O102" s="107">
        <f>'BS Feb KSA'!P102+'BS Feb USA'!P102</f>
        <v>1.45</v>
      </c>
      <c r="P102" s="107">
        <f>'BS Feb KSA'!Q102+'BS Feb USA'!Q102</f>
        <v>566220.41</v>
      </c>
      <c r="Q102" s="107">
        <f>'BS Feb KSA'!R102+'BS Feb USA'!R102</f>
        <v>314646.46000000002</v>
      </c>
      <c r="R102" s="107">
        <f>'BS Feb KSA'!S102+'BS Feb USA'!S102</f>
        <v>521945.53</v>
      </c>
      <c r="S102" s="107">
        <f>'BS Feb KSA'!T102+'BS Feb USA'!T102</f>
        <v>143546.60999999999</v>
      </c>
      <c r="T102" s="107">
        <f>'BS Feb KSA'!U102+'BS Feb USA'!U102</f>
        <v>538204.98</v>
      </c>
      <c r="U102" s="107">
        <f>'BS Feb KSA'!V102+'BS Feb USA'!V102</f>
        <v>623802.37</v>
      </c>
      <c r="V102" s="107">
        <f>'BS Feb KSA'!W102+'BS Feb USA'!W102</f>
        <v>296852.7</v>
      </c>
      <c r="W102" s="107">
        <f>'BS Feb KSA'!X102+'BS Feb USA'!X102</f>
        <v>422673.48</v>
      </c>
      <c r="X102" s="107">
        <f>'BS Feb KSA'!Y102+'BS Feb USA'!Y102</f>
        <v>572259.43999999994</v>
      </c>
      <c r="Y102" s="107">
        <f>'BS Feb KSA'!Z102+'BS Feb USA'!Z102</f>
        <v>506512.24</v>
      </c>
      <c r="Z102" s="107">
        <f>'BS Feb KSA'!AA102+'BS Feb USA'!AA102</f>
        <v>158790.34</v>
      </c>
      <c r="AA102" s="107">
        <v>129870.78</v>
      </c>
    </row>
    <row r="103" spans="2:31" outlineLevel="1">
      <c r="B103" s="16" t="s">
        <v>160</v>
      </c>
      <c r="C103" s="107">
        <f>'BS Feb KSA'!D103+'BS Feb USA'!D103</f>
        <v>0</v>
      </c>
      <c r="D103" s="107">
        <f>'BS Feb KSA'!E103+'BS Feb USA'!E103</f>
        <v>0</v>
      </c>
      <c r="E103" s="107">
        <f>'BS Feb KSA'!F103+'BS Feb USA'!F103</f>
        <v>0</v>
      </c>
      <c r="F103" s="107">
        <f>'BS Feb KSA'!G103+'BS Feb USA'!G103</f>
        <v>0</v>
      </c>
      <c r="G103" s="107">
        <f>'BS Feb KSA'!H103+'BS Feb USA'!H103</f>
        <v>0</v>
      </c>
      <c r="H103" s="107">
        <f>'BS Feb KSA'!I103+'BS Feb USA'!I103</f>
        <v>0</v>
      </c>
      <c r="I103" s="107">
        <f>'BS Feb KSA'!J103+'BS Feb USA'!J103</f>
        <v>0</v>
      </c>
      <c r="J103" s="107">
        <f>'BS Feb KSA'!K103+'BS Feb USA'!K103</f>
        <v>0</v>
      </c>
      <c r="K103" s="107">
        <f>'BS Feb KSA'!L103+'BS Feb USA'!L103</f>
        <v>0</v>
      </c>
      <c r="L103" s="107">
        <f>'BS Feb KSA'!M103+'BS Feb USA'!M103</f>
        <v>0</v>
      </c>
      <c r="M103" s="107">
        <f>'BS Feb KSA'!N103+'BS Feb USA'!N103</f>
        <v>117028.14</v>
      </c>
      <c r="N103" s="107">
        <f>'BS Feb KSA'!O103+'BS Feb USA'!O103</f>
        <v>78018.759999999995</v>
      </c>
      <c r="O103" s="107">
        <f>'BS Feb KSA'!P103+'BS Feb USA'!P103</f>
        <v>39009.379999999997</v>
      </c>
      <c r="P103" s="107">
        <f>'BS Feb KSA'!Q103+'BS Feb USA'!Q103</f>
        <v>0</v>
      </c>
      <c r="Q103" s="107">
        <f>'BS Feb KSA'!R103+'BS Feb USA'!R103</f>
        <v>139734.39999999999</v>
      </c>
      <c r="R103" s="107">
        <f>'BS Feb KSA'!S103+'BS Feb USA'!S103</f>
        <v>111787.52</v>
      </c>
      <c r="S103" s="107">
        <f>'BS Feb KSA'!T103+'BS Feb USA'!T103</f>
        <v>83840.639999999999</v>
      </c>
      <c r="T103" s="107">
        <f>'BS Feb KSA'!U103+'BS Feb USA'!U103</f>
        <v>55893.760000000002</v>
      </c>
      <c r="U103" s="107">
        <f>'BS Feb KSA'!V103+'BS Feb USA'!V103</f>
        <v>27946.880000000001</v>
      </c>
      <c r="V103" s="107">
        <f>'BS Feb KSA'!W103+'BS Feb USA'!W103</f>
        <v>9954</v>
      </c>
      <c r="W103" s="107">
        <f>'BS Feb KSA'!X103+'BS Feb USA'!X103</f>
        <v>155506.77000000002</v>
      </c>
      <c r="X103" s="107">
        <f>'BS Feb KSA'!Y103+'BS Feb USA'!Y103</f>
        <v>137694.27000000002</v>
      </c>
      <c r="Y103" s="107">
        <f>'BS Feb KSA'!Z103+'BS Feb USA'!Z103</f>
        <v>119843.77</v>
      </c>
      <c r="Z103" s="107">
        <f>'BS Feb KSA'!AA103+'BS Feb USA'!AA103</f>
        <v>101993.27</v>
      </c>
      <c r="AA103" s="107">
        <v>137644.4</v>
      </c>
    </row>
    <row r="104" spans="2:31" outlineLevel="1">
      <c r="B104" s="16" t="s">
        <v>161</v>
      </c>
      <c r="C104" s="107">
        <f>'BS Feb KSA'!D104+'BS Feb USA'!D104</f>
        <v>0</v>
      </c>
      <c r="D104" s="107">
        <f>'BS Feb KSA'!E104+'BS Feb USA'!E104</f>
        <v>0</v>
      </c>
      <c r="E104" s="107">
        <f>'BS Feb KSA'!F104+'BS Feb USA'!F104</f>
        <v>0</v>
      </c>
      <c r="F104" s="107">
        <f>'BS Feb KSA'!G104+'BS Feb USA'!G104</f>
        <v>0</v>
      </c>
      <c r="G104" s="107">
        <f>'BS Feb KSA'!H104+'BS Feb USA'!H104</f>
        <v>0</v>
      </c>
      <c r="H104" s="107">
        <f>'BS Feb KSA'!I104+'BS Feb USA'!I104</f>
        <v>0</v>
      </c>
      <c r="I104" s="107">
        <f>'BS Feb KSA'!J104+'BS Feb USA'!J104</f>
        <v>0</v>
      </c>
      <c r="J104" s="107">
        <f>'BS Feb KSA'!K104+'BS Feb USA'!K104</f>
        <v>0</v>
      </c>
      <c r="K104" s="107">
        <f>'BS Feb KSA'!L104+'BS Feb USA'!L104</f>
        <v>0</v>
      </c>
      <c r="L104" s="107">
        <f>'BS Feb KSA'!M104+'BS Feb USA'!M104</f>
        <v>0</v>
      </c>
      <c r="M104" s="107">
        <f>'BS Feb KSA'!N104+'BS Feb USA'!N104</f>
        <v>0</v>
      </c>
      <c r="N104" s="107">
        <f>'BS Feb KSA'!O104+'BS Feb USA'!O104</f>
        <v>0</v>
      </c>
      <c r="O104" s="107">
        <f>'BS Feb KSA'!P104+'BS Feb USA'!P104</f>
        <v>0</v>
      </c>
      <c r="P104" s="107">
        <f>'BS Feb KSA'!Q104+'BS Feb USA'!Q104</f>
        <v>0</v>
      </c>
      <c r="Q104" s="107">
        <f>'BS Feb KSA'!R104+'BS Feb USA'!R104</f>
        <v>0</v>
      </c>
      <c r="R104" s="107">
        <f>'BS Feb KSA'!S104+'BS Feb USA'!S104</f>
        <v>0</v>
      </c>
      <c r="S104" s="107">
        <f>'BS Feb KSA'!T104+'BS Feb USA'!T104</f>
        <v>0</v>
      </c>
      <c r="T104" s="107">
        <f>'BS Feb KSA'!U104+'BS Feb USA'!U104</f>
        <v>0</v>
      </c>
      <c r="U104" s="107">
        <f>'BS Feb KSA'!V104+'BS Feb USA'!V104</f>
        <v>0</v>
      </c>
      <c r="V104" s="107">
        <f>'BS Feb KSA'!W104+'BS Feb USA'!W104</f>
        <v>0</v>
      </c>
      <c r="W104" s="107">
        <f>'BS Feb KSA'!X104+'BS Feb USA'!X104</f>
        <v>0</v>
      </c>
      <c r="X104" s="107">
        <f>'BS Feb KSA'!Y104+'BS Feb USA'!Y104</f>
        <v>0</v>
      </c>
      <c r="Y104" s="107">
        <f>'BS Feb KSA'!Z104+'BS Feb USA'!Z104</f>
        <v>0</v>
      </c>
      <c r="Z104" s="107">
        <f>'BS Feb KSA'!AA104+'BS Feb USA'!AA104</f>
        <v>0</v>
      </c>
      <c r="AA104" s="107">
        <v>0</v>
      </c>
    </row>
    <row r="105" spans="2:31" outlineLevel="1">
      <c r="B105" s="16" t="s">
        <v>612</v>
      </c>
      <c r="C105" s="107">
        <f>'BS Feb KSA'!D105+'BS Feb USA'!D105</f>
        <v>0</v>
      </c>
      <c r="D105" s="107">
        <f>'BS Feb KSA'!E105+'BS Feb USA'!E105</f>
        <v>0</v>
      </c>
      <c r="E105" s="107">
        <f>'BS Feb KSA'!F105+'BS Feb USA'!F105</f>
        <v>0</v>
      </c>
      <c r="F105" s="107">
        <f>'BS Feb KSA'!G105+'BS Feb USA'!G105</f>
        <v>0</v>
      </c>
      <c r="G105" s="107">
        <f>'BS Feb KSA'!H105+'BS Feb USA'!H105</f>
        <v>0</v>
      </c>
      <c r="H105" s="107">
        <f>'BS Feb KSA'!I105+'BS Feb USA'!I105</f>
        <v>0</v>
      </c>
      <c r="I105" s="107">
        <f>'BS Feb KSA'!J105+'BS Feb USA'!J105</f>
        <v>0</v>
      </c>
      <c r="J105" s="107">
        <f>'BS Feb KSA'!K105+'BS Feb USA'!K105</f>
        <v>0</v>
      </c>
      <c r="K105" s="107">
        <f>'BS Feb KSA'!L105+'BS Feb USA'!L105</f>
        <v>0</v>
      </c>
      <c r="L105" s="107">
        <f>'BS Feb KSA'!M105+'BS Feb USA'!M105</f>
        <v>0</v>
      </c>
      <c r="M105" s="107">
        <f>'BS Feb KSA'!N105+'BS Feb USA'!N105</f>
        <v>0</v>
      </c>
      <c r="N105" s="107">
        <f>'BS Feb KSA'!O105+'BS Feb USA'!O105</f>
        <v>0</v>
      </c>
      <c r="O105" s="107">
        <f>'BS Feb KSA'!P105+'BS Feb USA'!P105</f>
        <v>7350</v>
      </c>
      <c r="P105" s="107">
        <f>'BS Feb KSA'!Q105+'BS Feb USA'!Q105</f>
        <v>0</v>
      </c>
      <c r="Q105" s="107">
        <f>'BS Feb KSA'!R105+'BS Feb USA'!R105</f>
        <v>0</v>
      </c>
      <c r="R105" s="107">
        <f>'BS Feb KSA'!S105+'BS Feb USA'!S105</f>
        <v>0</v>
      </c>
      <c r="S105" s="107">
        <f>'BS Feb KSA'!T105+'BS Feb USA'!T105</f>
        <v>0</v>
      </c>
      <c r="T105" s="107">
        <f>'BS Feb KSA'!U105+'BS Feb USA'!U105</f>
        <v>0</v>
      </c>
      <c r="U105" s="107">
        <f>'BS Feb KSA'!V105+'BS Feb USA'!V105</f>
        <v>0</v>
      </c>
      <c r="V105" s="107">
        <f>'BS Feb KSA'!W105+'BS Feb USA'!W105</f>
        <v>0</v>
      </c>
      <c r="W105" s="107">
        <f>'BS Feb KSA'!X105+'BS Feb USA'!X105</f>
        <v>0</v>
      </c>
      <c r="X105" s="107">
        <f>'BS Feb KSA'!Y105+'BS Feb USA'!Y105</f>
        <v>0</v>
      </c>
      <c r="Y105" s="107">
        <f>'BS Feb KSA'!Z105+'BS Feb USA'!Z105</f>
        <v>0</v>
      </c>
      <c r="Z105" s="107">
        <f>'BS Feb KSA'!AA105+'BS Feb USA'!AA105</f>
        <v>0</v>
      </c>
      <c r="AA105" s="45"/>
      <c r="AB105" s="45"/>
      <c r="AC105" s="45"/>
      <c r="AE105" s="54"/>
    </row>
    <row r="106" spans="2:31" outlineLevel="1">
      <c r="B106" s="16" t="s">
        <v>162</v>
      </c>
      <c r="C106" s="107">
        <f>'BS Feb KSA'!D106+'BS Feb USA'!D106</f>
        <v>0</v>
      </c>
      <c r="D106" s="107">
        <f>'BS Feb KSA'!E106+'BS Feb USA'!E106</f>
        <v>0</v>
      </c>
      <c r="E106" s="107">
        <f>'BS Feb KSA'!F106+'BS Feb USA'!F106</f>
        <v>0</v>
      </c>
      <c r="F106" s="107">
        <f>'BS Feb KSA'!G106+'BS Feb USA'!G106</f>
        <v>0</v>
      </c>
      <c r="G106" s="107">
        <f>'BS Feb KSA'!H106+'BS Feb USA'!H106</f>
        <v>0</v>
      </c>
      <c r="H106" s="107">
        <f>'BS Feb KSA'!I106+'BS Feb USA'!I106</f>
        <v>0</v>
      </c>
      <c r="I106" s="107">
        <f>'BS Feb KSA'!J106+'BS Feb USA'!J106</f>
        <v>0</v>
      </c>
      <c r="J106" s="107">
        <f>'BS Feb KSA'!K106+'BS Feb USA'!K106</f>
        <v>0</v>
      </c>
      <c r="K106" s="107">
        <f>'BS Feb KSA'!L106+'BS Feb USA'!L106</f>
        <v>0</v>
      </c>
      <c r="L106" s="107">
        <f>'BS Feb KSA'!M106+'BS Feb USA'!M106</f>
        <v>0</v>
      </c>
      <c r="M106" s="107">
        <f>'BS Feb KSA'!N106+'BS Feb USA'!N106</f>
        <v>264025.03999999998</v>
      </c>
      <c r="N106" s="107">
        <f>'BS Feb KSA'!O106+'BS Feb USA'!O106</f>
        <v>264025.03999999998</v>
      </c>
      <c r="O106" s="107">
        <f>'BS Feb KSA'!P106+'BS Feb USA'!P106</f>
        <v>264025.03999999998</v>
      </c>
      <c r="P106" s="107">
        <f>'BS Feb KSA'!Q106+'BS Feb USA'!Q106</f>
        <v>5857.26</v>
      </c>
      <c r="Q106" s="107">
        <f>'BS Feb KSA'!R106+'BS Feb USA'!R106</f>
        <v>10798.26</v>
      </c>
      <c r="R106" s="107">
        <f>'BS Feb KSA'!S106+'BS Feb USA'!S106</f>
        <v>16746.96</v>
      </c>
      <c r="S106" s="107">
        <f>'BS Feb KSA'!T106+'BS Feb USA'!T106</f>
        <v>16746.96</v>
      </c>
      <c r="T106" s="107">
        <f>'BS Feb KSA'!U106+'BS Feb USA'!U106</f>
        <v>28646.959999999999</v>
      </c>
      <c r="U106" s="107">
        <f>'BS Feb KSA'!V106+'BS Feb USA'!V106</f>
        <v>41530.959999999999</v>
      </c>
      <c r="V106" s="107">
        <f>'BS Feb KSA'!W106+'BS Feb USA'!W106</f>
        <v>44774.96</v>
      </c>
      <c r="W106" s="107">
        <f>'BS Feb KSA'!X106+'BS Feb USA'!X106</f>
        <v>44774.96</v>
      </c>
      <c r="X106" s="107">
        <f>'BS Feb KSA'!Y106+'BS Feb USA'!Y106</f>
        <v>44774.96</v>
      </c>
      <c r="Y106" s="107">
        <f>'BS Feb KSA'!Z106+'BS Feb USA'!Z106</f>
        <v>47874.96</v>
      </c>
      <c r="Z106" s="107">
        <f>'BS Feb KSA'!AA106+'BS Feb USA'!AA106</f>
        <v>47874.96</v>
      </c>
      <c r="AA106" s="107">
        <v>47874.96</v>
      </c>
    </row>
    <row r="107" spans="2:31" outlineLevel="1">
      <c r="B107" s="16" t="s">
        <v>163</v>
      </c>
      <c r="C107" s="107">
        <f>'BS Feb KSA'!D107+'BS Feb USA'!D107</f>
        <v>0</v>
      </c>
      <c r="D107" s="107">
        <f>'BS Feb KSA'!E107+'BS Feb USA'!E107</f>
        <v>0</v>
      </c>
      <c r="E107" s="107">
        <f>'BS Feb KSA'!F107+'BS Feb USA'!F107</f>
        <v>0</v>
      </c>
      <c r="F107" s="107">
        <f>'BS Feb KSA'!G107+'BS Feb USA'!G107</f>
        <v>0</v>
      </c>
      <c r="G107" s="107">
        <f>'BS Feb KSA'!H107+'BS Feb USA'!H107</f>
        <v>0</v>
      </c>
      <c r="H107" s="107">
        <f>'BS Feb KSA'!I107+'BS Feb USA'!I107</f>
        <v>0</v>
      </c>
      <c r="I107" s="107">
        <f>'BS Feb KSA'!J107+'BS Feb USA'!J107</f>
        <v>0</v>
      </c>
      <c r="J107" s="107">
        <f>'BS Feb KSA'!K107+'BS Feb USA'!K107</f>
        <v>0</v>
      </c>
      <c r="K107" s="107">
        <f>'BS Feb KSA'!L107+'BS Feb USA'!L107</f>
        <v>0</v>
      </c>
      <c r="L107" s="107">
        <f>'BS Feb KSA'!M107+'BS Feb USA'!M107</f>
        <v>0</v>
      </c>
      <c r="M107" s="107">
        <f>'BS Feb KSA'!N107+'BS Feb USA'!N107</f>
        <v>683940.8</v>
      </c>
      <c r="N107" s="107">
        <f>'BS Feb KSA'!O107+'BS Feb USA'!O107</f>
        <v>98999.959999999992</v>
      </c>
      <c r="O107" s="107">
        <f>'BS Feb KSA'!P107+'BS Feb USA'!P107</f>
        <v>55787.92</v>
      </c>
      <c r="P107" s="107">
        <f>'BS Feb KSA'!Q107+'BS Feb USA'!Q107</f>
        <v>146045.84</v>
      </c>
      <c r="Q107" s="107">
        <f>'BS Feb KSA'!R107+'BS Feb USA'!R107</f>
        <v>76264.049999999988</v>
      </c>
      <c r="R107" s="107">
        <f>'BS Feb KSA'!S107+'BS Feb USA'!S107</f>
        <v>48389.33</v>
      </c>
      <c r="S107" s="107">
        <f>'BS Feb KSA'!T107+'BS Feb USA'!T107</f>
        <v>17659.7</v>
      </c>
      <c r="T107" s="107">
        <f>'BS Feb KSA'!U107+'BS Feb USA'!U107</f>
        <v>86297.670000000013</v>
      </c>
      <c r="U107" s="107">
        <f>'BS Feb KSA'!V107+'BS Feb USA'!V107</f>
        <v>125535.8</v>
      </c>
      <c r="V107" s="107">
        <f>'BS Feb KSA'!W107+'BS Feb USA'!W107</f>
        <v>96873.91</v>
      </c>
      <c r="W107" s="107">
        <f>'BS Feb KSA'!X107+'BS Feb USA'!X107</f>
        <v>45625.58</v>
      </c>
      <c r="X107" s="107">
        <f>'BS Feb KSA'!Y107+'BS Feb USA'!Y107</f>
        <v>19414.54</v>
      </c>
      <c r="Y107" s="107">
        <f>'BS Feb KSA'!Z107+'BS Feb USA'!Z107</f>
        <v>93631.56</v>
      </c>
      <c r="Z107" s="107">
        <f>'BS Feb KSA'!AA107+'BS Feb USA'!AA107</f>
        <v>40034.370000000003</v>
      </c>
      <c r="AA107" s="107">
        <v>31872.44</v>
      </c>
    </row>
    <row r="108" spans="2:31" outlineLevel="1">
      <c r="B108" s="16" t="s">
        <v>164</v>
      </c>
      <c r="C108" s="107">
        <f>'BS Feb KSA'!D108+'BS Feb USA'!D108</f>
        <v>0</v>
      </c>
      <c r="D108" s="107">
        <f>'BS Feb KSA'!E108+'BS Feb USA'!E108</f>
        <v>0</v>
      </c>
      <c r="E108" s="107">
        <f>'BS Feb KSA'!F108+'BS Feb USA'!F108</f>
        <v>0</v>
      </c>
      <c r="F108" s="107">
        <f>'BS Feb KSA'!G108+'BS Feb USA'!G108</f>
        <v>0</v>
      </c>
      <c r="G108" s="107">
        <f>'BS Feb KSA'!H108+'BS Feb USA'!H108</f>
        <v>0</v>
      </c>
      <c r="H108" s="107">
        <f>'BS Feb KSA'!I108+'BS Feb USA'!I108</f>
        <v>0</v>
      </c>
      <c r="I108" s="107">
        <f>'BS Feb KSA'!J108+'BS Feb USA'!J108</f>
        <v>0</v>
      </c>
      <c r="J108" s="107">
        <f>'BS Feb KSA'!K108+'BS Feb USA'!K108</f>
        <v>0</v>
      </c>
      <c r="K108" s="107">
        <f>'BS Feb KSA'!L108+'BS Feb USA'!L108</f>
        <v>0</v>
      </c>
      <c r="L108" s="107">
        <f>'BS Feb KSA'!M108+'BS Feb USA'!M108</f>
        <v>0</v>
      </c>
      <c r="M108" s="107">
        <f>'BS Feb KSA'!N108+'BS Feb USA'!N108</f>
        <v>14784289.710000001</v>
      </c>
      <c r="N108" s="107">
        <f>'BS Feb KSA'!O108+'BS Feb USA'!O108</f>
        <v>10439671.890000001</v>
      </c>
      <c r="O108" s="107">
        <f>'BS Feb KSA'!P108+'BS Feb USA'!P108</f>
        <v>11582143.859999999</v>
      </c>
      <c r="P108" s="107">
        <f>'BS Feb KSA'!Q108+'BS Feb USA'!Q108</f>
        <v>11451308.33</v>
      </c>
      <c r="Q108" s="107">
        <f>'BS Feb KSA'!R108+'BS Feb USA'!R108</f>
        <v>10231117.65</v>
      </c>
      <c r="R108" s="107">
        <f>'BS Feb KSA'!S108+'BS Feb USA'!S108</f>
        <v>9971471.7300000004</v>
      </c>
      <c r="S108" s="107">
        <f>'BS Feb KSA'!T108+'BS Feb USA'!T108</f>
        <v>6609166.6299999999</v>
      </c>
      <c r="T108" s="107">
        <f>'BS Feb KSA'!U108+'BS Feb USA'!U108</f>
        <v>7097296.8200000003</v>
      </c>
      <c r="U108" s="107">
        <f>'BS Feb KSA'!V108+'BS Feb USA'!V108</f>
        <v>5564391.4800000004</v>
      </c>
      <c r="V108" s="107">
        <f>'BS Feb KSA'!W108+'BS Feb USA'!W108</f>
        <v>2516415.7200000002</v>
      </c>
      <c r="W108" s="107">
        <f>'BS Feb KSA'!X108+'BS Feb USA'!X108</f>
        <v>1977692.64</v>
      </c>
      <c r="X108" s="107">
        <f>'BS Feb KSA'!Y108+'BS Feb USA'!Y108</f>
        <v>0</v>
      </c>
      <c r="Y108" s="107">
        <f>'BS Feb KSA'!Z108+'BS Feb USA'!Z108</f>
        <v>0</v>
      </c>
      <c r="Z108" s="107">
        <f>'BS Feb KSA'!AA108+'BS Feb USA'!AA108</f>
        <v>0</v>
      </c>
      <c r="AA108" s="45"/>
      <c r="AB108" s="45"/>
    </row>
    <row r="109" spans="2:31" outlineLevel="1">
      <c r="B109" s="16" t="s">
        <v>165</v>
      </c>
      <c r="C109" s="107">
        <f>'BS Feb KSA'!D109+'BS Feb USA'!D109</f>
        <v>0</v>
      </c>
      <c r="D109" s="107">
        <f>'BS Feb KSA'!E109+'BS Feb USA'!E109</f>
        <v>0</v>
      </c>
      <c r="E109" s="107">
        <f>'BS Feb KSA'!F109+'BS Feb USA'!F109</f>
        <v>0</v>
      </c>
      <c r="F109" s="107">
        <f>'BS Feb KSA'!G109+'BS Feb USA'!G109</f>
        <v>0</v>
      </c>
      <c r="G109" s="107">
        <f>'BS Feb KSA'!H109+'BS Feb USA'!H109</f>
        <v>0</v>
      </c>
      <c r="H109" s="107">
        <f>'BS Feb KSA'!I109+'BS Feb USA'!I109</f>
        <v>0</v>
      </c>
      <c r="I109" s="107">
        <f>'BS Feb KSA'!J109+'BS Feb USA'!J109</f>
        <v>0</v>
      </c>
      <c r="J109" s="107">
        <f>'BS Feb KSA'!K109+'BS Feb USA'!K109</f>
        <v>0</v>
      </c>
      <c r="K109" s="107">
        <f>'BS Feb KSA'!L109+'BS Feb USA'!L109</f>
        <v>0</v>
      </c>
      <c r="L109" s="107">
        <f>'BS Feb KSA'!M109+'BS Feb USA'!M109</f>
        <v>0</v>
      </c>
      <c r="M109" s="107">
        <f>'BS Feb KSA'!N109+'BS Feb USA'!N109</f>
        <v>2463674.94</v>
      </c>
      <c r="N109" s="107">
        <f>'BS Feb KSA'!O109+'BS Feb USA'!O109</f>
        <v>0</v>
      </c>
      <c r="O109" s="107">
        <f>'BS Feb KSA'!P109+'BS Feb USA'!P109</f>
        <v>3039744.24</v>
      </c>
      <c r="P109" s="107">
        <f>'BS Feb KSA'!Q109+'BS Feb USA'!Q109</f>
        <v>0</v>
      </c>
      <c r="Q109" s="107">
        <f>'BS Feb KSA'!R109+'BS Feb USA'!R109</f>
        <v>0</v>
      </c>
      <c r="R109" s="107">
        <f>'BS Feb KSA'!S109+'BS Feb USA'!S109</f>
        <v>0</v>
      </c>
      <c r="S109" s="107">
        <f>'BS Feb KSA'!T109+'BS Feb USA'!T109</f>
        <v>0</v>
      </c>
      <c r="T109" s="107">
        <f>'BS Feb KSA'!U109+'BS Feb USA'!U109</f>
        <v>0</v>
      </c>
      <c r="U109" s="107">
        <f>'BS Feb KSA'!V109+'BS Feb USA'!V109</f>
        <v>0</v>
      </c>
      <c r="V109" s="107">
        <f>'BS Feb KSA'!W109+'BS Feb USA'!W109</f>
        <v>0</v>
      </c>
      <c r="W109" s="107">
        <f>'BS Feb KSA'!X109+'BS Feb USA'!X109</f>
        <v>73342.559999999998</v>
      </c>
      <c r="X109" s="107">
        <f>'BS Feb KSA'!Y109+'BS Feb USA'!Y109</f>
        <v>73342.559999999998</v>
      </c>
      <c r="Y109" s="107">
        <f>'BS Feb KSA'!Z109+'BS Feb USA'!Z109</f>
        <v>73342.45</v>
      </c>
      <c r="Z109" s="107">
        <f>'BS Feb KSA'!AA109+'BS Feb USA'!AA109</f>
        <v>73342.41</v>
      </c>
      <c r="AA109" s="107">
        <v>73342.41</v>
      </c>
    </row>
    <row r="110" spans="2:31" outlineLevel="1">
      <c r="B110" s="16" t="s">
        <v>166</v>
      </c>
      <c r="C110" s="107">
        <f>'BS Feb KSA'!D110+'BS Feb USA'!D110</f>
        <v>0</v>
      </c>
      <c r="D110" s="107">
        <f>'BS Feb KSA'!E110+'BS Feb USA'!E110</f>
        <v>0</v>
      </c>
      <c r="E110" s="107">
        <f>'BS Feb KSA'!F110+'BS Feb USA'!F110</f>
        <v>0</v>
      </c>
      <c r="F110" s="107">
        <f>'BS Feb KSA'!G110+'BS Feb USA'!G110</f>
        <v>0</v>
      </c>
      <c r="G110" s="107">
        <f>'BS Feb KSA'!H110+'BS Feb USA'!H110</f>
        <v>0</v>
      </c>
      <c r="H110" s="107">
        <f>'BS Feb KSA'!I110+'BS Feb USA'!I110</f>
        <v>0</v>
      </c>
      <c r="I110" s="107">
        <f>'BS Feb KSA'!J110+'BS Feb USA'!J110</f>
        <v>0</v>
      </c>
      <c r="J110" s="107">
        <f>'BS Feb KSA'!K110+'BS Feb USA'!K110</f>
        <v>0</v>
      </c>
      <c r="K110" s="107">
        <f>'BS Feb KSA'!L110+'BS Feb USA'!L110</f>
        <v>0</v>
      </c>
      <c r="L110" s="107">
        <f>'BS Feb KSA'!M110+'BS Feb USA'!M110</f>
        <v>0</v>
      </c>
      <c r="M110" s="107">
        <f>'BS Feb KSA'!N110+'BS Feb USA'!N110</f>
        <v>22974.49</v>
      </c>
      <c r="N110" s="107">
        <f>'BS Feb KSA'!O110+'BS Feb USA'!O110</f>
        <v>23486.34</v>
      </c>
      <c r="O110" s="107">
        <f>'BS Feb KSA'!P110+'BS Feb USA'!P110</f>
        <v>21085.599999999999</v>
      </c>
      <c r="P110" s="107">
        <f>'BS Feb KSA'!Q110+'BS Feb USA'!Q110</f>
        <v>27674.240000000002</v>
      </c>
      <c r="Q110" s="107">
        <f>'BS Feb KSA'!R110+'BS Feb USA'!R110</f>
        <v>29148.31</v>
      </c>
      <c r="R110" s="107">
        <f>'BS Feb KSA'!S110+'BS Feb USA'!S110</f>
        <v>28972.67</v>
      </c>
      <c r="S110" s="107">
        <f>'BS Feb KSA'!T110+'BS Feb USA'!T110</f>
        <v>28886.22</v>
      </c>
      <c r="T110" s="107">
        <f>'BS Feb KSA'!U110+'BS Feb USA'!U110</f>
        <v>21632.43</v>
      </c>
      <c r="U110" s="107">
        <f>'BS Feb KSA'!V110+'BS Feb USA'!V110</f>
        <v>20301.810000000001</v>
      </c>
      <c r="V110" s="107">
        <f>'BS Feb KSA'!W110+'BS Feb USA'!W110</f>
        <v>19069.45</v>
      </c>
      <c r="W110" s="107">
        <f>'BS Feb KSA'!X110+'BS Feb USA'!X110</f>
        <v>18075.7</v>
      </c>
      <c r="X110" s="107">
        <f>'BS Feb KSA'!Y110+'BS Feb USA'!Y110</f>
        <v>20924.5</v>
      </c>
      <c r="Y110" s="107">
        <f>'BS Feb KSA'!Z110+'BS Feb USA'!Z110</f>
        <v>26421.63</v>
      </c>
      <c r="Z110" s="107">
        <f>'BS Feb KSA'!AA110+'BS Feb USA'!AA110</f>
        <v>28845.08</v>
      </c>
      <c r="AA110" s="107">
        <v>29169.43</v>
      </c>
    </row>
    <row r="111" spans="2:31" outlineLevel="1">
      <c r="B111" s="16" t="s">
        <v>167</v>
      </c>
      <c r="C111" s="107">
        <f>'BS Feb KSA'!D111+'BS Feb USA'!D111</f>
        <v>0</v>
      </c>
      <c r="D111" s="107">
        <f>'BS Feb KSA'!E111+'BS Feb USA'!E111</f>
        <v>0</v>
      </c>
      <c r="E111" s="107">
        <f>'BS Feb KSA'!F111+'BS Feb USA'!F111</f>
        <v>0</v>
      </c>
      <c r="F111" s="107">
        <f>'BS Feb KSA'!G111+'BS Feb USA'!G111</f>
        <v>0</v>
      </c>
      <c r="G111" s="107">
        <f>'BS Feb KSA'!H111+'BS Feb USA'!H111</f>
        <v>0</v>
      </c>
      <c r="H111" s="107">
        <f>'BS Feb KSA'!I111+'BS Feb USA'!I111</f>
        <v>0</v>
      </c>
      <c r="I111" s="107">
        <f>'BS Feb KSA'!J111+'BS Feb USA'!J111</f>
        <v>0</v>
      </c>
      <c r="J111" s="107">
        <f>'BS Feb KSA'!K111+'BS Feb USA'!K111</f>
        <v>0</v>
      </c>
      <c r="K111" s="107">
        <f>'BS Feb KSA'!L111+'BS Feb USA'!L111</f>
        <v>0</v>
      </c>
      <c r="L111" s="107">
        <f>'BS Feb KSA'!M111+'BS Feb USA'!M111</f>
        <v>0</v>
      </c>
      <c r="M111" s="107">
        <f>'BS Feb KSA'!N111+'BS Feb USA'!N111</f>
        <v>11</v>
      </c>
      <c r="N111" s="107">
        <f>'BS Feb KSA'!O111+'BS Feb USA'!O111</f>
        <v>11</v>
      </c>
      <c r="O111" s="107">
        <f>'BS Feb KSA'!P111+'BS Feb USA'!P111</f>
        <v>11</v>
      </c>
      <c r="P111" s="107">
        <f>'BS Feb KSA'!Q111+'BS Feb USA'!Q111</f>
        <v>11</v>
      </c>
      <c r="Q111" s="107">
        <f>'BS Feb KSA'!R111+'BS Feb USA'!R111</f>
        <v>11</v>
      </c>
      <c r="R111" s="107">
        <f>'BS Feb KSA'!S111+'BS Feb USA'!S111</f>
        <v>11</v>
      </c>
      <c r="S111" s="107">
        <f>'BS Feb KSA'!T111+'BS Feb USA'!T111</f>
        <v>11</v>
      </c>
      <c r="T111" s="107">
        <f>'BS Feb KSA'!U111+'BS Feb USA'!U111</f>
        <v>11</v>
      </c>
      <c r="U111" s="107">
        <f>'BS Feb KSA'!V111+'BS Feb USA'!V111</f>
        <v>11</v>
      </c>
      <c r="V111" s="107">
        <f>'BS Feb KSA'!W111+'BS Feb USA'!W111</f>
        <v>11</v>
      </c>
      <c r="W111" s="107">
        <f>'BS Feb KSA'!X111+'BS Feb USA'!X111</f>
        <v>11</v>
      </c>
      <c r="X111" s="107">
        <f>'BS Feb KSA'!Y111+'BS Feb USA'!Y111</f>
        <v>11</v>
      </c>
      <c r="Y111" s="107">
        <f>'BS Feb KSA'!Z111+'BS Feb USA'!Z111</f>
        <v>11</v>
      </c>
      <c r="Z111" s="107">
        <f>'BS Feb KSA'!AA111+'BS Feb USA'!AA111</f>
        <v>11</v>
      </c>
      <c r="AA111" s="107"/>
    </row>
    <row r="112" spans="2:31" outlineLevel="1">
      <c r="B112" s="16" t="s">
        <v>168</v>
      </c>
      <c r="C112" s="107">
        <f>'BS Feb KSA'!D112+'BS Feb USA'!D112</f>
        <v>0</v>
      </c>
      <c r="D112" s="107">
        <f>'BS Feb KSA'!E112+'BS Feb USA'!E112</f>
        <v>0</v>
      </c>
      <c r="E112" s="107">
        <f>'BS Feb KSA'!F112+'BS Feb USA'!F112</f>
        <v>0</v>
      </c>
      <c r="F112" s="107">
        <f>'BS Feb KSA'!G112+'BS Feb USA'!G112</f>
        <v>0</v>
      </c>
      <c r="G112" s="107">
        <f>'BS Feb KSA'!H112+'BS Feb USA'!H112</f>
        <v>0</v>
      </c>
      <c r="H112" s="107">
        <f>'BS Feb KSA'!I112+'BS Feb USA'!I112</f>
        <v>0</v>
      </c>
      <c r="I112" s="107">
        <f>'BS Feb KSA'!J112+'BS Feb USA'!J112</f>
        <v>0</v>
      </c>
      <c r="J112" s="107">
        <f>'BS Feb KSA'!K112+'BS Feb USA'!K112</f>
        <v>0</v>
      </c>
      <c r="K112" s="107">
        <f>'BS Feb KSA'!L112+'BS Feb USA'!L112</f>
        <v>0</v>
      </c>
      <c r="L112" s="107">
        <f>'BS Feb KSA'!M112+'BS Feb USA'!M112</f>
        <v>0</v>
      </c>
      <c r="M112" s="107">
        <f>'BS Feb KSA'!N112+'BS Feb USA'!N112</f>
        <v>0</v>
      </c>
      <c r="N112" s="107">
        <f>'BS Feb KSA'!O112+'BS Feb USA'!O112</f>
        <v>0</v>
      </c>
      <c r="O112" s="107">
        <f>'BS Feb KSA'!P112+'BS Feb USA'!P112</f>
        <v>0</v>
      </c>
      <c r="P112" s="107">
        <f>'BS Feb KSA'!Q112+'BS Feb USA'!Q112</f>
        <v>0</v>
      </c>
      <c r="Q112" s="107">
        <f>'BS Feb KSA'!R112+'BS Feb USA'!R112</f>
        <v>0</v>
      </c>
      <c r="R112" s="107">
        <f>'BS Feb KSA'!S112+'BS Feb USA'!S112</f>
        <v>0</v>
      </c>
      <c r="S112" s="107">
        <f>'BS Feb KSA'!T112+'BS Feb USA'!T112</f>
        <v>0</v>
      </c>
      <c r="T112" s="107">
        <f>'BS Feb KSA'!U112+'BS Feb USA'!U112</f>
        <v>0</v>
      </c>
      <c r="U112" s="107">
        <f>'BS Feb KSA'!V112+'BS Feb USA'!V112</f>
        <v>0</v>
      </c>
      <c r="V112" s="107">
        <f>'BS Feb KSA'!W112+'BS Feb USA'!W112</f>
        <v>0</v>
      </c>
      <c r="W112" s="107">
        <f>'BS Feb KSA'!X112+'BS Feb USA'!X112</f>
        <v>0</v>
      </c>
      <c r="X112" s="107">
        <f>'BS Feb KSA'!Y112+'BS Feb USA'!Y112</f>
        <v>0</v>
      </c>
      <c r="Y112" s="107">
        <f>'BS Feb KSA'!Z112+'BS Feb USA'!Z112</f>
        <v>30938.46</v>
      </c>
      <c r="Z112" s="107">
        <f>'BS Feb KSA'!AA112+'BS Feb USA'!AA112</f>
        <v>30938.46</v>
      </c>
      <c r="AA112" s="107">
        <v>30938.46</v>
      </c>
    </row>
    <row r="113" spans="1:31">
      <c r="B113" s="16" t="s">
        <v>169</v>
      </c>
      <c r="C113" s="107">
        <f>'BS Feb KSA'!D113+'BS Feb USA'!D113</f>
        <v>0</v>
      </c>
      <c r="D113" s="107">
        <f>'BS Feb KSA'!E113+'BS Feb USA'!E113</f>
        <v>0</v>
      </c>
      <c r="E113" s="107">
        <f>'BS Feb KSA'!F113+'BS Feb USA'!F113</f>
        <v>0</v>
      </c>
      <c r="F113" s="107"/>
      <c r="G113" s="107">
        <f>'BS Feb KSA'!H113+'BS Feb USA'!H113</f>
        <v>0</v>
      </c>
      <c r="H113" s="107">
        <f>'BS Feb KSA'!I113+'BS Feb USA'!I113</f>
        <v>0</v>
      </c>
      <c r="I113" s="107">
        <f>'BS Feb KSA'!J113+'BS Feb USA'!J113</f>
        <v>0</v>
      </c>
      <c r="J113" s="107">
        <f>'BS Feb KSA'!K113+'BS Feb USA'!K113</f>
        <v>0</v>
      </c>
      <c r="K113" s="107">
        <f>'BS Feb KSA'!L113+'BS Feb USA'!L113</f>
        <v>0</v>
      </c>
      <c r="L113" s="107"/>
      <c r="M113" s="107"/>
      <c r="N113" s="107">
        <f>'BS Feb KSA'!O113+'BS Feb USA'!O113</f>
        <v>0</v>
      </c>
      <c r="O113" s="107">
        <f>'BS Feb KSA'!P113+'BS Feb USA'!P113</f>
        <v>0</v>
      </c>
      <c r="P113" s="107">
        <f>'BS Feb KSA'!Q113+'BS Feb USA'!Q113</f>
        <v>0</v>
      </c>
      <c r="Q113" s="107">
        <f>'BS Feb KSA'!R113+'BS Feb USA'!R113</f>
        <v>0</v>
      </c>
      <c r="R113" s="107"/>
      <c r="S113" s="107">
        <f>'BS Feb KSA'!T113+'BS Feb USA'!T113</f>
        <v>0</v>
      </c>
      <c r="T113" s="107">
        <f>'BS Feb KSA'!U113+'BS Feb USA'!U113</f>
        <v>0</v>
      </c>
      <c r="U113" s="107">
        <f>'BS Feb KSA'!V113+'BS Feb USA'!V113</f>
        <v>0</v>
      </c>
      <c r="V113" s="107">
        <f>'BS Feb KSA'!W113+'BS Feb USA'!W113</f>
        <v>0</v>
      </c>
      <c r="W113" s="107">
        <f>'BS Feb KSA'!X113+'BS Feb USA'!X113</f>
        <v>0</v>
      </c>
      <c r="X113" s="107"/>
      <c r="Y113" s="107"/>
      <c r="Z113" s="107"/>
      <c r="AA113" s="107">
        <v>0</v>
      </c>
    </row>
    <row r="114" spans="1:31">
      <c r="B114" s="14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107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107"/>
      <c r="AA114" s="45"/>
    </row>
    <row r="115" spans="1:31" s="69" customFormat="1">
      <c r="A115" s="68"/>
      <c r="B115" s="19" t="s">
        <v>170</v>
      </c>
      <c r="C115" s="48">
        <f t="shared" ref="C115:K115" si="25">SUM(C116:C125)</f>
        <v>0</v>
      </c>
      <c r="D115" s="48">
        <f t="shared" si="25"/>
        <v>0</v>
      </c>
      <c r="E115" s="48">
        <f t="shared" si="25"/>
        <v>0</v>
      </c>
      <c r="F115" s="48">
        <f t="shared" si="25"/>
        <v>0</v>
      </c>
      <c r="G115" s="48">
        <f t="shared" si="25"/>
        <v>0</v>
      </c>
      <c r="H115" s="48">
        <f t="shared" si="25"/>
        <v>0</v>
      </c>
      <c r="I115" s="48">
        <f t="shared" si="25"/>
        <v>0</v>
      </c>
      <c r="J115" s="48">
        <f t="shared" si="25"/>
        <v>0</v>
      </c>
      <c r="K115" s="48">
        <f t="shared" si="25"/>
        <v>0</v>
      </c>
      <c r="L115" s="48">
        <f t="shared" ref="L115" si="26">SUM(L116:L125)</f>
        <v>0</v>
      </c>
      <c r="M115" s="48">
        <f>SUM(M116:M125)</f>
        <v>63572044.010000005</v>
      </c>
      <c r="N115" s="48">
        <f t="shared" ref="N115:W115" si="27">SUM(N116:N125)</f>
        <v>53261837.950000003</v>
      </c>
      <c r="O115" s="48">
        <f t="shared" si="27"/>
        <v>43200291.639999993</v>
      </c>
      <c r="P115" s="48">
        <f t="shared" si="27"/>
        <v>33143020.829999998</v>
      </c>
      <c r="Q115" s="48">
        <f t="shared" si="27"/>
        <v>33096666.68</v>
      </c>
      <c r="R115" s="48">
        <f t="shared" si="27"/>
        <v>33116875</v>
      </c>
      <c r="S115" s="48">
        <f t="shared" si="27"/>
        <v>33064554.159999996</v>
      </c>
      <c r="T115" s="48">
        <f t="shared" si="27"/>
        <v>33054449.989999998</v>
      </c>
      <c r="U115" s="48">
        <f t="shared" si="27"/>
        <v>33066791.649999999</v>
      </c>
      <c r="V115" s="48">
        <f t="shared" si="27"/>
        <v>33051637.489999998</v>
      </c>
      <c r="W115" s="48">
        <f t="shared" si="27"/>
        <v>33030283.329999998</v>
      </c>
      <c r="X115" s="48">
        <f t="shared" ref="X115" si="28">SUM(X116:X125)</f>
        <v>33030283.329999998</v>
      </c>
      <c r="Y115" s="48">
        <f t="shared" ref="Y115" si="29">SUM(Y116:Y125)</f>
        <v>33030283.289999999</v>
      </c>
      <c r="Z115" s="48">
        <f t="shared" ref="Z115" si="30">SUM(Z116:Z125)</f>
        <v>22530283.309999999</v>
      </c>
      <c r="AA115" s="109">
        <f>+AA117+AA116+AA118+AA124</f>
        <v>22530283.309999999</v>
      </c>
    </row>
    <row r="116" spans="1:31" outlineLevel="1">
      <c r="B116" s="16" t="s">
        <v>171</v>
      </c>
      <c r="C116" s="107">
        <f>'BS Feb KSA'!D116+'BS Feb USA'!D116</f>
        <v>0</v>
      </c>
      <c r="D116" s="107">
        <f>'BS Feb KSA'!E116+'BS Feb USA'!E116</f>
        <v>0</v>
      </c>
      <c r="E116" s="107">
        <f>'BS Feb KSA'!F116+'BS Feb USA'!F116</f>
        <v>0</v>
      </c>
      <c r="F116" s="107">
        <f>'BS Feb KSA'!G116+'BS Feb USA'!G116</f>
        <v>0</v>
      </c>
      <c r="G116" s="107">
        <f>'BS Feb KSA'!H116+'BS Feb USA'!H116</f>
        <v>0</v>
      </c>
      <c r="H116" s="107">
        <f>'BS Feb KSA'!I116+'BS Feb USA'!I116</f>
        <v>0</v>
      </c>
      <c r="I116" s="107">
        <f>'BS Feb KSA'!J116+'BS Feb USA'!J116</f>
        <v>0</v>
      </c>
      <c r="J116" s="107">
        <f>'BS Feb KSA'!K116+'BS Feb USA'!K116</f>
        <v>0</v>
      </c>
      <c r="K116" s="107">
        <f>'BS Feb KSA'!L116+'BS Feb USA'!L116</f>
        <v>0</v>
      </c>
      <c r="L116" s="107">
        <f>'BS Feb KSA'!M116+'BS Feb USA'!M116</f>
        <v>0</v>
      </c>
      <c r="M116" s="107">
        <f>'BS Feb KSA'!N116+'BS Feb USA'!N116</f>
        <v>0</v>
      </c>
      <c r="N116" s="107">
        <f>'BS Feb KSA'!O116+'BS Feb USA'!O116</f>
        <v>0</v>
      </c>
      <c r="O116" s="107">
        <f>'BS Feb KSA'!P116+'BS Feb USA'!P116</f>
        <v>0</v>
      </c>
      <c r="P116" s="107">
        <f>'BS Feb KSA'!Q116+'BS Feb USA'!Q116</f>
        <v>0</v>
      </c>
      <c r="Q116" s="107">
        <f>'BS Feb KSA'!R116+'BS Feb USA'!R116</f>
        <v>0</v>
      </c>
      <c r="R116" s="107">
        <f>'BS Feb KSA'!S116+'BS Feb USA'!S116</f>
        <v>0</v>
      </c>
      <c r="S116" s="107">
        <f>'BS Feb KSA'!T116+'BS Feb USA'!T116</f>
        <v>30283.33</v>
      </c>
      <c r="T116" s="107">
        <f>'BS Feb KSA'!U116+'BS Feb USA'!U116</f>
        <v>30283.33</v>
      </c>
      <c r="U116" s="107">
        <f>'BS Feb KSA'!V116+'BS Feb USA'!V116</f>
        <v>0</v>
      </c>
      <c r="V116" s="107">
        <f>'BS Feb KSA'!W116+'BS Feb USA'!W116</f>
        <v>30283.33</v>
      </c>
      <c r="W116" s="107">
        <f>'BS Feb KSA'!X116+'BS Feb USA'!X116</f>
        <v>30283.33</v>
      </c>
      <c r="X116" s="107">
        <f>'BS Feb KSA'!Y116+'BS Feb USA'!Y116</f>
        <v>30283.33</v>
      </c>
      <c r="Y116" s="107">
        <f>'BS Feb KSA'!Z116+'BS Feb USA'!Z116</f>
        <v>30283.29</v>
      </c>
      <c r="Z116" s="107">
        <f>'BS Feb KSA'!AA116+'BS Feb USA'!AA116</f>
        <v>30283.31</v>
      </c>
      <c r="AA116" s="107">
        <v>30283.31</v>
      </c>
    </row>
    <row r="117" spans="1:31" outlineLevel="1">
      <c r="B117" s="16" t="s">
        <v>172</v>
      </c>
      <c r="C117" s="107">
        <f>'BS Feb KSA'!D117+'BS Feb USA'!D117</f>
        <v>0</v>
      </c>
      <c r="D117" s="107">
        <f>'BS Feb KSA'!E117+'BS Feb USA'!E117</f>
        <v>0</v>
      </c>
      <c r="E117" s="107">
        <f>'BS Feb KSA'!F117+'BS Feb USA'!F117</f>
        <v>0</v>
      </c>
      <c r="F117" s="107">
        <f>'BS Feb KSA'!G117+'BS Feb USA'!G117</f>
        <v>0</v>
      </c>
      <c r="G117" s="107">
        <f>'BS Feb KSA'!H117+'BS Feb USA'!H117</f>
        <v>0</v>
      </c>
      <c r="H117" s="107">
        <f>'BS Feb KSA'!I117+'BS Feb USA'!I117</f>
        <v>0</v>
      </c>
      <c r="I117" s="107">
        <f>'BS Feb KSA'!J117+'BS Feb USA'!J117</f>
        <v>0</v>
      </c>
      <c r="J117" s="107">
        <f>'BS Feb KSA'!K117+'BS Feb USA'!K117</f>
        <v>0</v>
      </c>
      <c r="K117" s="107">
        <f>'BS Feb KSA'!L117+'BS Feb USA'!L117</f>
        <v>0</v>
      </c>
      <c r="L117" s="107">
        <f>'BS Feb KSA'!M117+'BS Feb USA'!M117</f>
        <v>0</v>
      </c>
      <c r="M117" s="107">
        <f>'BS Feb KSA'!N117+'BS Feb USA'!N117</f>
        <v>2000000</v>
      </c>
      <c r="N117" s="107">
        <f>'BS Feb KSA'!O117+'BS Feb USA'!O117</f>
        <v>2000000</v>
      </c>
      <c r="O117" s="107">
        <f>'BS Feb KSA'!P117+'BS Feb USA'!P117</f>
        <v>2000000</v>
      </c>
      <c r="P117" s="107">
        <f>'BS Feb KSA'!Q117+'BS Feb USA'!Q117</f>
        <v>2000000</v>
      </c>
      <c r="Q117" s="107">
        <f>'BS Feb KSA'!R117+'BS Feb USA'!R117</f>
        <v>2000000</v>
      </c>
      <c r="R117" s="107">
        <f>'BS Feb KSA'!S117+'BS Feb USA'!S117</f>
        <v>2000000</v>
      </c>
      <c r="S117" s="107">
        <f>'BS Feb KSA'!T117+'BS Feb USA'!T117</f>
        <v>2000000</v>
      </c>
      <c r="T117" s="107">
        <f>'BS Feb KSA'!U117+'BS Feb USA'!U117</f>
        <v>2000000</v>
      </c>
      <c r="U117" s="107">
        <f>'BS Feb KSA'!V117+'BS Feb USA'!V117</f>
        <v>2000000</v>
      </c>
      <c r="V117" s="107">
        <f>'BS Feb KSA'!W117+'BS Feb USA'!W117</f>
        <v>2000000</v>
      </c>
      <c r="W117" s="107">
        <f>'BS Feb KSA'!X117+'BS Feb USA'!X117</f>
        <v>2000000</v>
      </c>
      <c r="X117" s="107">
        <f>'BS Feb KSA'!Y117+'BS Feb USA'!Y117</f>
        <v>2000000</v>
      </c>
      <c r="Y117" s="107">
        <f>'BS Feb KSA'!Z117+'BS Feb USA'!Z117</f>
        <v>2000000</v>
      </c>
      <c r="Z117" s="107">
        <f>'BS Feb KSA'!AA117+'BS Feb USA'!AA117</f>
        <v>2000000</v>
      </c>
      <c r="AA117" s="107">
        <v>2000000</v>
      </c>
    </row>
    <row r="118" spans="1:31" outlineLevel="1">
      <c r="B118" s="16" t="s">
        <v>173</v>
      </c>
      <c r="C118" s="107">
        <f>'BS Feb KSA'!D118+'BS Feb USA'!D118</f>
        <v>0</v>
      </c>
      <c r="D118" s="107">
        <f>'BS Feb KSA'!E118+'BS Feb USA'!E118</f>
        <v>0</v>
      </c>
      <c r="E118" s="107">
        <f>'BS Feb KSA'!F118+'BS Feb USA'!F118</f>
        <v>0</v>
      </c>
      <c r="F118" s="107">
        <f>'BS Feb KSA'!G118+'BS Feb USA'!G118</f>
        <v>0</v>
      </c>
      <c r="G118" s="107">
        <f>'BS Feb KSA'!H118+'BS Feb USA'!H118</f>
        <v>0</v>
      </c>
      <c r="H118" s="107">
        <f>'BS Feb KSA'!I118+'BS Feb USA'!I118</f>
        <v>0</v>
      </c>
      <c r="I118" s="107">
        <f>'BS Feb KSA'!J118+'BS Feb USA'!J118</f>
        <v>0</v>
      </c>
      <c r="J118" s="107">
        <f>'BS Feb KSA'!K118+'BS Feb USA'!K118</f>
        <v>0</v>
      </c>
      <c r="K118" s="107">
        <f>'BS Feb KSA'!L118+'BS Feb USA'!L118</f>
        <v>0</v>
      </c>
      <c r="L118" s="107">
        <f>'BS Feb KSA'!M118+'BS Feb USA'!M118</f>
        <v>0</v>
      </c>
      <c r="M118" s="107">
        <f>'BS Feb KSA'!N118+'BS Feb USA'!N118</f>
        <v>31000000</v>
      </c>
      <c r="N118" s="107">
        <f>'BS Feb KSA'!O118+'BS Feb USA'!O118</f>
        <v>31000000</v>
      </c>
      <c r="O118" s="107">
        <f>'BS Feb KSA'!P118+'BS Feb USA'!P118</f>
        <v>31000000</v>
      </c>
      <c r="P118" s="107">
        <f>'BS Feb KSA'!Q118+'BS Feb USA'!Q118</f>
        <v>31000000</v>
      </c>
      <c r="Q118" s="107">
        <f>'BS Feb KSA'!R118+'BS Feb USA'!R118</f>
        <v>31000000</v>
      </c>
      <c r="R118" s="107">
        <f>'BS Feb KSA'!S118+'BS Feb USA'!S118</f>
        <v>31000000</v>
      </c>
      <c r="S118" s="107">
        <f>'BS Feb KSA'!T118+'BS Feb USA'!T118</f>
        <v>31000000</v>
      </c>
      <c r="T118" s="107">
        <f>'BS Feb KSA'!U118+'BS Feb USA'!U118</f>
        <v>31000000</v>
      </c>
      <c r="U118" s="107">
        <f>'BS Feb KSA'!V118+'BS Feb USA'!V118</f>
        <v>31000000</v>
      </c>
      <c r="V118" s="107">
        <f>'BS Feb KSA'!W118+'BS Feb USA'!W118</f>
        <v>31000000</v>
      </c>
      <c r="W118" s="107">
        <f>'BS Feb KSA'!X118+'BS Feb USA'!X118</f>
        <v>31000000</v>
      </c>
      <c r="X118" s="107">
        <f>'BS Feb KSA'!Y118+'BS Feb USA'!Y118</f>
        <v>31000000</v>
      </c>
      <c r="Y118" s="107">
        <f>'BS Feb KSA'!Z118+'BS Feb USA'!Z118</f>
        <v>31000000</v>
      </c>
      <c r="Z118" s="107">
        <f>'BS Feb KSA'!AA118+'BS Feb USA'!AA118</f>
        <v>20500000</v>
      </c>
      <c r="AA118" s="107">
        <v>20500000</v>
      </c>
    </row>
    <row r="119" spans="1:31" outlineLevel="1">
      <c r="B119" s="16" t="s">
        <v>609</v>
      </c>
      <c r="C119" s="107">
        <f>'BS Feb KSA'!D119+'BS Feb USA'!D119</f>
        <v>0</v>
      </c>
      <c r="D119" s="107">
        <f>'BS Feb KSA'!E119+'BS Feb USA'!E119</f>
        <v>0</v>
      </c>
      <c r="E119" s="107">
        <f>'BS Feb KSA'!F119+'BS Feb USA'!F119</f>
        <v>0</v>
      </c>
      <c r="F119" s="107">
        <f>'BS Feb KSA'!G119+'BS Feb USA'!G119</f>
        <v>0</v>
      </c>
      <c r="G119" s="107">
        <f>'BS Feb KSA'!H119+'BS Feb USA'!H119</f>
        <v>0</v>
      </c>
      <c r="H119" s="107">
        <f>'BS Feb KSA'!I119+'BS Feb USA'!I119</f>
        <v>0</v>
      </c>
      <c r="I119" s="107">
        <f>'BS Feb KSA'!J119+'BS Feb USA'!J119</f>
        <v>0</v>
      </c>
      <c r="J119" s="107">
        <f>'BS Feb KSA'!K119+'BS Feb USA'!K119</f>
        <v>0</v>
      </c>
      <c r="K119" s="107">
        <f>'BS Feb KSA'!L119+'BS Feb USA'!L119</f>
        <v>0</v>
      </c>
      <c r="L119" s="107">
        <f>'BS Feb KSA'!M119+'BS Feb USA'!M119</f>
        <v>0</v>
      </c>
      <c r="M119" s="107">
        <f>'BS Feb KSA'!N119+'BS Feb USA'!N119</f>
        <v>30000000</v>
      </c>
      <c r="N119" s="107">
        <f>'BS Feb KSA'!O119+'BS Feb USA'!O119</f>
        <v>20000000</v>
      </c>
      <c r="O119" s="107">
        <f>'BS Feb KSA'!P119+'BS Feb USA'!P119</f>
        <v>10000000</v>
      </c>
      <c r="P119" s="107">
        <f>'BS Feb KSA'!Q119+'BS Feb USA'!Q119</f>
        <v>0</v>
      </c>
      <c r="Q119" s="107">
        <f>'BS Feb KSA'!R119+'BS Feb USA'!R119</f>
        <v>0</v>
      </c>
      <c r="R119" s="107">
        <f>'BS Feb KSA'!S119+'BS Feb USA'!S119</f>
        <v>0</v>
      </c>
      <c r="S119" s="107">
        <f>'BS Feb KSA'!T119+'BS Feb USA'!T119</f>
        <v>0</v>
      </c>
      <c r="T119" s="107">
        <f>'BS Feb KSA'!U119+'BS Feb USA'!U119</f>
        <v>0</v>
      </c>
      <c r="U119" s="107">
        <f>'BS Feb KSA'!V119+'BS Feb USA'!V119</f>
        <v>0</v>
      </c>
      <c r="V119" s="107">
        <f>'BS Feb KSA'!W119+'BS Feb USA'!W119</f>
        <v>0</v>
      </c>
      <c r="W119" s="107">
        <f>'BS Feb KSA'!X119+'BS Feb USA'!X119</f>
        <v>0</v>
      </c>
      <c r="X119" s="107">
        <f>'BS Feb KSA'!Y119+'BS Feb USA'!Y119</f>
        <v>0</v>
      </c>
      <c r="Y119" s="107">
        <f>'BS Feb KSA'!Z119+'BS Feb USA'!Z119</f>
        <v>0</v>
      </c>
      <c r="Z119" s="107">
        <f>'BS Feb KSA'!AA119+'BS Feb USA'!AA119</f>
        <v>0</v>
      </c>
      <c r="AA119" s="45"/>
      <c r="AB119" s="45"/>
      <c r="AC119" s="45"/>
      <c r="AE119" s="54"/>
    </row>
    <row r="120" spans="1:31" outlineLevel="1">
      <c r="B120" s="16" t="s">
        <v>597</v>
      </c>
      <c r="C120" s="107">
        <f>'BS Feb KSA'!D120+'BS Feb USA'!D120</f>
        <v>0</v>
      </c>
      <c r="D120" s="107">
        <f>'BS Feb KSA'!E120+'BS Feb USA'!E120</f>
        <v>0</v>
      </c>
      <c r="E120" s="107">
        <f>'BS Feb KSA'!F120+'BS Feb USA'!F120</f>
        <v>0</v>
      </c>
      <c r="F120" s="107">
        <f>'BS Feb KSA'!G120+'BS Feb USA'!G120</f>
        <v>0</v>
      </c>
      <c r="G120" s="107"/>
      <c r="H120" s="107"/>
      <c r="I120" s="107"/>
      <c r="J120" s="107"/>
      <c r="K120" s="107"/>
      <c r="L120" s="107"/>
      <c r="M120" s="107">
        <f>'BS Feb KSA'!N120+'BS Feb USA'!N120</f>
        <v>0</v>
      </c>
      <c r="N120" s="107">
        <f>'BS Feb KSA'!O120+'BS Feb USA'!O120</f>
        <v>0</v>
      </c>
      <c r="O120" s="107">
        <f>'BS Feb KSA'!P120+'BS Feb USA'!P120</f>
        <v>0</v>
      </c>
      <c r="P120" s="107">
        <f>'BS Feb KSA'!Q120+'BS Feb USA'!Q120</f>
        <v>108750</v>
      </c>
      <c r="Q120" s="107">
        <f>'BS Feb KSA'!R120+'BS Feb USA'!R120</f>
        <v>72500</v>
      </c>
      <c r="R120" s="107">
        <f>'BS Feb KSA'!S120+'BS Feb USA'!S120</f>
        <v>36250</v>
      </c>
      <c r="S120" s="107"/>
      <c r="T120" s="107"/>
      <c r="U120" s="107"/>
      <c r="V120" s="107"/>
      <c r="W120" s="107"/>
      <c r="X120" s="107"/>
      <c r="Y120" s="107"/>
      <c r="Z120" s="107"/>
      <c r="AA120" s="107"/>
    </row>
    <row r="121" spans="1:31" outlineLevel="1">
      <c r="B121" s="16" t="s">
        <v>552</v>
      </c>
      <c r="C121" s="107">
        <f>'BS Feb KSA'!D121+'BS Feb USA'!D121</f>
        <v>0</v>
      </c>
      <c r="D121" s="107">
        <f>'BS Feb KSA'!E121+'BS Feb USA'!E121</f>
        <v>0</v>
      </c>
      <c r="E121" s="107">
        <f>'BS Feb KSA'!F121+'BS Feb USA'!F121</f>
        <v>0</v>
      </c>
      <c r="F121" s="107">
        <f>'BS Feb KSA'!G121+'BS Feb USA'!G121</f>
        <v>0</v>
      </c>
      <c r="G121" s="107">
        <f>'BS Feb KSA'!H121+'BS Feb USA'!H121</f>
        <v>0</v>
      </c>
      <c r="H121" s="107">
        <f>'BS Feb KSA'!I121+'BS Feb USA'!I121</f>
        <v>0</v>
      </c>
      <c r="I121" s="107">
        <f>'BS Feb KSA'!J121+'BS Feb USA'!J121</f>
        <v>0</v>
      </c>
      <c r="J121" s="107">
        <f>'BS Feb KSA'!K121+'BS Feb USA'!K121</f>
        <v>0</v>
      </c>
      <c r="K121" s="107">
        <f>'BS Feb KSA'!L121+'BS Feb USA'!L121</f>
        <v>0</v>
      </c>
      <c r="L121" s="107">
        <f>'BS Feb KSA'!M121+'BS Feb USA'!M121</f>
        <v>0</v>
      </c>
      <c r="M121" s="107">
        <f>'BS Feb KSA'!N121+'BS Feb USA'!N121</f>
        <v>0</v>
      </c>
      <c r="N121" s="107">
        <f>'BS Feb KSA'!O121+'BS Feb USA'!O121</f>
        <v>24166.639999999999</v>
      </c>
      <c r="O121" s="107">
        <f>'BS Feb KSA'!P121+'BS Feb USA'!P121</f>
        <v>12083.32</v>
      </c>
      <c r="P121" s="107">
        <f>'BS Feb KSA'!Q121+'BS Feb USA'!Q121</f>
        <v>0</v>
      </c>
      <c r="Q121" s="107">
        <f>'BS Feb KSA'!R121+'BS Feb USA'!R121</f>
        <v>24166.68</v>
      </c>
      <c r="R121" s="107">
        <f>'BS Feb KSA'!S121+'BS Feb USA'!S121</f>
        <v>12083.34</v>
      </c>
      <c r="S121" s="107">
        <f>'BS Feb KSA'!T121+'BS Feb USA'!T121</f>
        <v>0</v>
      </c>
      <c r="T121" s="107">
        <f>'BS Feb KSA'!U121+'BS Feb USA'!U121</f>
        <v>24166.66</v>
      </c>
      <c r="U121" s="107">
        <f>'BS Feb KSA'!V121+'BS Feb USA'!V121</f>
        <v>12083.33</v>
      </c>
      <c r="V121" s="107">
        <f>'BS Feb KSA'!W121+'BS Feb USA'!W121</f>
        <v>0</v>
      </c>
      <c r="W121" s="107">
        <f>'BS Feb KSA'!X121+'BS Feb USA'!X121</f>
        <v>0</v>
      </c>
      <c r="X121" s="107">
        <f>'BS Feb KSA'!Y121+'BS Feb USA'!Y121</f>
        <v>0</v>
      </c>
      <c r="Y121" s="107">
        <f>'BS Feb KSA'!Z121+'BS Feb USA'!Z121</f>
        <v>0</v>
      </c>
      <c r="Z121" s="107">
        <f>'BS Feb KSA'!AA121+'BS Feb USA'!AA121</f>
        <v>0</v>
      </c>
      <c r="AA121" s="107"/>
    </row>
    <row r="122" spans="1:31" outlineLevel="1">
      <c r="B122" s="16" t="s">
        <v>607</v>
      </c>
      <c r="C122" s="107">
        <f>'BS Feb KSA'!D122+'BS Feb USA'!D122</f>
        <v>0</v>
      </c>
      <c r="D122" s="107">
        <f>'BS Feb KSA'!E122+'BS Feb USA'!E122</f>
        <v>0</v>
      </c>
      <c r="E122" s="107">
        <f>'BS Feb KSA'!F122+'BS Feb USA'!F122</f>
        <v>0</v>
      </c>
      <c r="F122" s="107">
        <f>'BS Feb KSA'!G122+'BS Feb USA'!G122</f>
        <v>0</v>
      </c>
      <c r="G122" s="107">
        <f>'BS Feb KSA'!H122+'BS Feb USA'!H122</f>
        <v>0</v>
      </c>
      <c r="H122" s="107">
        <f>'BS Feb KSA'!I122+'BS Feb USA'!I122</f>
        <v>0</v>
      </c>
      <c r="I122" s="107">
        <f>'BS Feb KSA'!J122+'BS Feb USA'!J122</f>
        <v>0</v>
      </c>
      <c r="J122" s="107">
        <f>'BS Feb KSA'!K122+'BS Feb USA'!K122</f>
        <v>0</v>
      </c>
      <c r="K122" s="107">
        <f>'BS Feb KSA'!L122+'BS Feb USA'!L122</f>
        <v>0</v>
      </c>
      <c r="L122" s="107">
        <f>'BS Feb KSA'!M122+'BS Feb USA'!M122</f>
        <v>0</v>
      </c>
      <c r="M122" s="107">
        <f>'BS Feb KSA'!N122+'BS Feb USA'!N122</f>
        <v>258449.1</v>
      </c>
      <c r="N122" s="107">
        <f>'BS Feb KSA'!O122+'BS Feb USA'!O122</f>
        <v>115856.5</v>
      </c>
      <c r="O122" s="107">
        <f>'BS Feb KSA'!P122+'BS Feb USA'!P122</f>
        <v>58333.33</v>
      </c>
      <c r="P122" s="107">
        <f>'BS Feb KSA'!Q122+'BS Feb USA'!Q122</f>
        <v>0</v>
      </c>
      <c r="Q122" s="107">
        <f>'BS Feb KSA'!R122+'BS Feb USA'!R122</f>
        <v>0</v>
      </c>
      <c r="R122" s="107">
        <f>'BS Feb KSA'!S122+'BS Feb USA'!S122</f>
        <v>0</v>
      </c>
      <c r="S122" s="107">
        <f>'BS Feb KSA'!T122+'BS Feb USA'!T122</f>
        <v>0</v>
      </c>
      <c r="T122" s="107">
        <f>'BS Feb KSA'!U122+'BS Feb USA'!U122</f>
        <v>0</v>
      </c>
      <c r="U122" s="107">
        <f>'BS Feb KSA'!V122+'BS Feb USA'!V122</f>
        <v>0</v>
      </c>
      <c r="V122" s="107">
        <f>'BS Feb KSA'!W122+'BS Feb USA'!W122</f>
        <v>0</v>
      </c>
      <c r="W122" s="107">
        <f>'BS Feb KSA'!X122+'BS Feb USA'!X122</f>
        <v>0</v>
      </c>
      <c r="X122" s="107">
        <f>'BS Feb KSA'!Y122+'BS Feb USA'!Y122</f>
        <v>0</v>
      </c>
      <c r="Y122" s="107">
        <f>'BS Feb KSA'!Z122+'BS Feb USA'!Z122</f>
        <v>0</v>
      </c>
      <c r="Z122" s="107">
        <f>'BS Feb KSA'!AA122+'BS Feb USA'!AA122</f>
        <v>0</v>
      </c>
      <c r="AA122" s="45"/>
      <c r="AB122" s="45"/>
      <c r="AC122" s="45"/>
      <c r="AE122" s="54"/>
    </row>
    <row r="123" spans="1:31" outlineLevel="1">
      <c r="B123" s="16" t="s">
        <v>608</v>
      </c>
      <c r="C123" s="107">
        <f>'BS Feb KSA'!D123+'BS Feb USA'!D123</f>
        <v>0</v>
      </c>
      <c r="D123" s="107">
        <f>'BS Feb KSA'!E123+'BS Feb USA'!E123</f>
        <v>0</v>
      </c>
      <c r="E123" s="107">
        <f>'BS Feb KSA'!F123+'BS Feb USA'!F123</f>
        <v>0</v>
      </c>
      <c r="F123" s="107">
        <f>'BS Feb KSA'!G123+'BS Feb USA'!G123</f>
        <v>0</v>
      </c>
      <c r="G123" s="107">
        <f>'BS Feb KSA'!H123+'BS Feb USA'!H123</f>
        <v>0</v>
      </c>
      <c r="H123" s="107">
        <f>'BS Feb KSA'!I123+'BS Feb USA'!I123</f>
        <v>0</v>
      </c>
      <c r="I123" s="107">
        <f>'BS Feb KSA'!J123+'BS Feb USA'!J123</f>
        <v>0</v>
      </c>
      <c r="J123" s="107">
        <f>'BS Feb KSA'!K123+'BS Feb USA'!K123</f>
        <v>0</v>
      </c>
      <c r="K123" s="107">
        <f>'BS Feb KSA'!L123+'BS Feb USA'!L123</f>
        <v>0</v>
      </c>
      <c r="L123" s="107">
        <f>'BS Feb KSA'!M123+'BS Feb USA'!M123</f>
        <v>0</v>
      </c>
      <c r="M123" s="107">
        <f>'BS Feb KSA'!N123+'BS Feb USA'!N123</f>
        <v>271740.74</v>
      </c>
      <c r="N123" s="107">
        <f>'BS Feb KSA'!O123+'BS Feb USA'!O123</f>
        <v>121814.81</v>
      </c>
      <c r="O123" s="107">
        <f>'BS Feb KSA'!P123+'BS Feb USA'!P123</f>
        <v>61333.33</v>
      </c>
      <c r="P123" s="107">
        <f>'BS Feb KSA'!Q123+'BS Feb USA'!Q123</f>
        <v>0</v>
      </c>
      <c r="Q123" s="107">
        <f>'BS Feb KSA'!R123+'BS Feb USA'!R123</f>
        <v>0</v>
      </c>
      <c r="R123" s="107">
        <f>'BS Feb KSA'!S123+'BS Feb USA'!S123</f>
        <v>0</v>
      </c>
      <c r="S123" s="107">
        <f>'BS Feb KSA'!T123+'BS Feb USA'!T123</f>
        <v>0</v>
      </c>
      <c r="T123" s="107">
        <f>'BS Feb KSA'!U123+'BS Feb USA'!U123</f>
        <v>0</v>
      </c>
      <c r="U123" s="107">
        <f>'BS Feb KSA'!V123+'BS Feb USA'!V123</f>
        <v>0</v>
      </c>
      <c r="V123" s="107">
        <f>'BS Feb KSA'!W123+'BS Feb USA'!W123</f>
        <v>0</v>
      </c>
      <c r="W123" s="107">
        <f>'BS Feb KSA'!X123+'BS Feb USA'!X123</f>
        <v>0</v>
      </c>
      <c r="X123" s="107">
        <f>'BS Feb KSA'!Y123+'BS Feb USA'!Y123</f>
        <v>0</v>
      </c>
      <c r="Y123" s="107">
        <f>'BS Feb KSA'!Z123+'BS Feb USA'!Z123</f>
        <v>0</v>
      </c>
      <c r="Z123" s="107">
        <f>'BS Feb KSA'!AA123+'BS Feb USA'!AA123</f>
        <v>0</v>
      </c>
      <c r="AA123" s="45"/>
      <c r="AB123" s="45"/>
      <c r="AC123" s="45"/>
      <c r="AE123" s="54"/>
    </row>
    <row r="124" spans="1:31" outlineLevel="1">
      <c r="B124" s="16" t="s">
        <v>174</v>
      </c>
      <c r="C124" s="107">
        <f>'BS Feb KSA'!D124+'BS Feb USA'!D124</f>
        <v>0</v>
      </c>
      <c r="D124" s="107">
        <f>'BS Feb KSA'!E124+'BS Feb USA'!E124</f>
        <v>0</v>
      </c>
      <c r="E124" s="107">
        <f>'BS Feb KSA'!F124+'BS Feb USA'!F124</f>
        <v>0</v>
      </c>
      <c r="F124" s="107">
        <f>'BS Feb KSA'!G124+'BS Feb USA'!G124</f>
        <v>0</v>
      </c>
      <c r="G124" s="107">
        <f>'BS Feb KSA'!H124+'BS Feb USA'!H124</f>
        <v>0</v>
      </c>
      <c r="H124" s="107">
        <f>'BS Feb KSA'!I124+'BS Feb USA'!I124</f>
        <v>0</v>
      </c>
      <c r="I124" s="107">
        <f>'BS Feb KSA'!J124+'BS Feb USA'!J124</f>
        <v>0</v>
      </c>
      <c r="J124" s="107">
        <f>'BS Feb KSA'!K124+'BS Feb USA'!K124</f>
        <v>0</v>
      </c>
      <c r="K124" s="107">
        <f>'BS Feb KSA'!L124+'BS Feb USA'!L124</f>
        <v>0</v>
      </c>
      <c r="L124" s="107">
        <f>'BS Feb KSA'!M124+'BS Feb USA'!M124</f>
        <v>0</v>
      </c>
      <c r="M124" s="107">
        <f>'BS Feb KSA'!N124+'BS Feb USA'!N124</f>
        <v>41854.17</v>
      </c>
      <c r="N124" s="107">
        <f>'BS Feb KSA'!O124+'BS Feb USA'!O124</f>
        <v>0</v>
      </c>
      <c r="O124" s="107">
        <f>'BS Feb KSA'!P124+'BS Feb USA'!P124</f>
        <v>68541.66</v>
      </c>
      <c r="P124" s="107">
        <f>'BS Feb KSA'!Q124+'BS Feb USA'!Q124</f>
        <v>34270.83</v>
      </c>
      <c r="Q124" s="107">
        <f>'BS Feb KSA'!R124+'BS Feb USA'!R124</f>
        <v>0</v>
      </c>
      <c r="R124" s="107">
        <f>'BS Feb KSA'!S124+'BS Feb USA'!S124</f>
        <v>68541.66</v>
      </c>
      <c r="S124" s="107">
        <f>'BS Feb KSA'!T124+'BS Feb USA'!T124</f>
        <v>34270.83</v>
      </c>
      <c r="T124" s="107">
        <f>'BS Feb KSA'!U124+'BS Feb USA'!U124</f>
        <v>0</v>
      </c>
      <c r="U124" s="107">
        <f>'BS Feb KSA'!V124+'BS Feb USA'!V124</f>
        <v>54708.32</v>
      </c>
      <c r="V124" s="107">
        <f>'BS Feb KSA'!W124+'BS Feb USA'!W124</f>
        <v>21354.16</v>
      </c>
      <c r="W124" s="107">
        <f>'BS Feb KSA'!X124+'BS Feb USA'!X124</f>
        <v>0</v>
      </c>
      <c r="X124" s="107">
        <f>'BS Feb KSA'!Y124+'BS Feb USA'!Y124</f>
        <v>0</v>
      </c>
      <c r="Y124" s="107">
        <f>'BS Feb KSA'!Z124+'BS Feb USA'!Z124</f>
        <v>0</v>
      </c>
      <c r="Z124" s="107">
        <f>'BS Feb KSA'!AA124+'BS Feb USA'!AA124</f>
        <v>0</v>
      </c>
      <c r="AA124" s="107"/>
    </row>
    <row r="125" spans="1:31">
      <c r="B125" s="14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107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107"/>
      <c r="AA125" s="45"/>
    </row>
    <row r="126" spans="1:31">
      <c r="B126" s="19" t="s">
        <v>175</v>
      </c>
      <c r="C126" s="48">
        <f t="shared" ref="C126:AA126" si="31">+C115+C92</f>
        <v>0</v>
      </c>
      <c r="D126" s="48">
        <f t="shared" si="31"/>
        <v>0</v>
      </c>
      <c r="E126" s="48">
        <f t="shared" si="31"/>
        <v>0</v>
      </c>
      <c r="F126" s="48">
        <f t="shared" si="31"/>
        <v>0</v>
      </c>
      <c r="G126" s="48">
        <f t="shared" si="31"/>
        <v>0</v>
      </c>
      <c r="H126" s="48">
        <f t="shared" si="31"/>
        <v>0</v>
      </c>
      <c r="I126" s="48">
        <f t="shared" si="31"/>
        <v>0</v>
      </c>
      <c r="J126" s="48">
        <f t="shared" si="31"/>
        <v>0</v>
      </c>
      <c r="K126" s="48">
        <f t="shared" si="31"/>
        <v>0</v>
      </c>
      <c r="L126" s="48">
        <f t="shared" si="31"/>
        <v>0</v>
      </c>
      <c r="M126" s="48">
        <f t="shared" si="31"/>
        <v>83206426.950000003</v>
      </c>
      <c r="N126" s="48">
        <f t="shared" si="31"/>
        <v>65799488.570000008</v>
      </c>
      <c r="O126" s="48">
        <f t="shared" si="31"/>
        <v>58634449.019999996</v>
      </c>
      <c r="P126" s="48">
        <f t="shared" si="31"/>
        <v>45919520.439999998</v>
      </c>
      <c r="Q126" s="48">
        <f t="shared" si="31"/>
        <v>44259588.539999999</v>
      </c>
      <c r="R126" s="48">
        <f t="shared" si="31"/>
        <v>44185746.780000001</v>
      </c>
      <c r="S126" s="48">
        <f t="shared" si="31"/>
        <v>41081795.889999993</v>
      </c>
      <c r="T126" s="48">
        <f t="shared" si="31"/>
        <v>41176446.369999997</v>
      </c>
      <c r="U126" s="48">
        <f t="shared" si="31"/>
        <v>39927773.32</v>
      </c>
      <c r="V126" s="48">
        <f t="shared" si="31"/>
        <v>36694787.719999999</v>
      </c>
      <c r="W126" s="48">
        <f t="shared" si="31"/>
        <v>36498648.899999999</v>
      </c>
      <c r="X126" s="48">
        <f t="shared" si="31"/>
        <v>34860947.519999996</v>
      </c>
      <c r="Y126" s="48">
        <f t="shared" si="31"/>
        <v>34900895.810000002</v>
      </c>
      <c r="Z126" s="48">
        <f t="shared" si="31"/>
        <v>23736352.799999997</v>
      </c>
      <c r="AA126" s="109">
        <f t="shared" si="31"/>
        <v>24214081.369999997</v>
      </c>
    </row>
    <row r="127" spans="1:31">
      <c r="B127" s="14" t="s">
        <v>176</v>
      </c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107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107"/>
      <c r="AA127" s="45"/>
    </row>
    <row r="128" spans="1:31">
      <c r="B128" s="14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107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107"/>
      <c r="AA128" s="45"/>
    </row>
    <row r="129" spans="2:27">
      <c r="B129" s="173" t="s">
        <v>200</v>
      </c>
      <c r="C129" s="174">
        <v>0</v>
      </c>
      <c r="D129" s="174">
        <v>0</v>
      </c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>
        <v>0</v>
      </c>
      <c r="P129" s="174">
        <v>0</v>
      </c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>
        <v>0</v>
      </c>
    </row>
    <row r="130" spans="2:27" ht="15">
      <c r="B130" s="25"/>
      <c r="C130" s="52"/>
      <c r="D130" s="52"/>
      <c r="E130" s="52"/>
      <c r="F130" s="52"/>
      <c r="G130" s="52"/>
      <c r="H130" s="52"/>
      <c r="I130" s="52"/>
      <c r="J130" s="53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3"/>
      <c r="W130" s="52"/>
      <c r="X130" s="52"/>
      <c r="Y130" s="52"/>
      <c r="Z130" s="52"/>
      <c r="AA130" s="52"/>
    </row>
    <row r="131" spans="2:27">
      <c r="B131" s="173" t="s">
        <v>218</v>
      </c>
      <c r="C131" s="174">
        <f>'BS Feb KSA'!D131+'BS Feb USA'!D132</f>
        <v>0</v>
      </c>
      <c r="D131" s="174">
        <f>'BS Feb KSA'!E131+'BS Feb USA'!E132</f>
        <v>0</v>
      </c>
      <c r="E131" s="174">
        <f>'BS Feb KSA'!F131+'BS Feb USA'!F132</f>
        <v>0</v>
      </c>
      <c r="F131" s="174">
        <f>'BS Feb KSA'!G131+'BS Feb USA'!G132</f>
        <v>0</v>
      </c>
      <c r="G131" s="174">
        <f>'BS Feb KSA'!H131+'BS Feb USA'!H132</f>
        <v>0</v>
      </c>
      <c r="H131" s="174">
        <f>'BS Feb KSA'!I131+'BS Feb USA'!I132</f>
        <v>0</v>
      </c>
      <c r="I131" s="174">
        <f>'BS Feb KSA'!J131+'BS Feb USA'!J132</f>
        <v>0</v>
      </c>
      <c r="J131" s="174">
        <f>'BS Feb KSA'!K131+'BS Feb USA'!K132</f>
        <v>0</v>
      </c>
      <c r="K131" s="174">
        <f>'BS Feb KSA'!L131+'BS Feb USA'!L132</f>
        <v>0</v>
      </c>
      <c r="L131" s="174">
        <f>'BS Feb KSA'!M131+'BS Feb USA'!M132</f>
        <v>0</v>
      </c>
      <c r="M131" s="174">
        <f>'BS Feb KSA'!N131+'BS Feb USA'!N132</f>
        <v>7781800.3399999999</v>
      </c>
      <c r="N131" s="174">
        <f>'BS Feb KSA'!O131+'BS Feb USA'!O132</f>
        <v>7781800.3399999999</v>
      </c>
      <c r="O131" s="174">
        <f>'BS Feb KSA'!P131+'BS Feb USA'!P132</f>
        <v>7781800.3399999999</v>
      </c>
      <c r="P131" s="174">
        <f>'BS Feb KSA'!Q131+'BS Feb USA'!Q132</f>
        <v>10781800.34</v>
      </c>
      <c r="Q131" s="174">
        <f>'BS Feb KSA'!R131+'BS Feb USA'!R132</f>
        <v>11344300.15</v>
      </c>
      <c r="R131" s="174">
        <f>'BS Feb KSA'!S131+'BS Feb USA'!S132</f>
        <v>11344300.15</v>
      </c>
      <c r="S131" s="174">
        <f>'BS Feb KSA'!T131+'BS Feb USA'!T132</f>
        <v>11344300.15</v>
      </c>
      <c r="T131" s="174">
        <f>'BS Feb KSA'!U131+'BS Feb USA'!U132</f>
        <v>11344300.15</v>
      </c>
      <c r="U131" s="174">
        <f>'BS Feb KSA'!V131+'BS Feb USA'!V132</f>
        <v>8344300.1500000004</v>
      </c>
      <c r="V131" s="174">
        <f>'BS Feb KSA'!W131+'BS Feb USA'!W132</f>
        <v>8344300.1500000004</v>
      </c>
      <c r="W131" s="174">
        <f>'BS Feb KSA'!X131+'BS Feb USA'!X132</f>
        <v>7693367.2000000002</v>
      </c>
      <c r="X131" s="174">
        <f>'BS Feb KSA'!Y131+'BS Feb USA'!Y132</f>
        <v>6243367.2000000002</v>
      </c>
      <c r="Y131" s="174">
        <f>'BS Feb KSA'!Z131+'BS Feb USA'!Z132</f>
        <v>6243367.2000000002</v>
      </c>
      <c r="Z131" s="174">
        <f>'BS Feb KSA'!AA131+'BS Feb USA'!AA132</f>
        <v>6243367.2000000002</v>
      </c>
      <c r="AA131" s="174">
        <v>6243367.2000000002</v>
      </c>
    </row>
    <row r="132" spans="2:27" ht="15">
      <c r="B132" s="25"/>
      <c r="C132" s="52"/>
      <c r="D132" s="52"/>
      <c r="E132" s="52"/>
      <c r="F132" s="52"/>
      <c r="G132" s="52"/>
      <c r="H132" s="52"/>
      <c r="I132" s="52"/>
      <c r="J132" s="53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3"/>
      <c r="W132" s="52"/>
      <c r="X132" s="52"/>
      <c r="Y132" s="52"/>
      <c r="Z132" s="52"/>
      <c r="AA132" s="52"/>
    </row>
    <row r="133" spans="2:27">
      <c r="B133" s="13" t="s">
        <v>179</v>
      </c>
      <c r="C133" s="174">
        <f>'BS Feb KSA'!D133+'BS Feb USA'!D134</f>
        <v>0</v>
      </c>
      <c r="D133" s="174">
        <f>'BS Feb KSA'!E133+'BS Feb USA'!E134</f>
        <v>0</v>
      </c>
      <c r="E133" s="174">
        <f>'BS Feb KSA'!F133+'BS Feb USA'!F134</f>
        <v>0</v>
      </c>
      <c r="F133" s="174">
        <f>'BS Feb KSA'!G133+'BS Feb USA'!G134</f>
        <v>0</v>
      </c>
      <c r="G133" s="174">
        <f>'BS Feb KSA'!H133+'BS Feb USA'!H134</f>
        <v>0</v>
      </c>
      <c r="H133" s="174">
        <f>'BS Feb KSA'!I133+'BS Feb USA'!I134</f>
        <v>0</v>
      </c>
      <c r="I133" s="174">
        <f>'BS Feb KSA'!J133+'BS Feb USA'!J134</f>
        <v>0</v>
      </c>
      <c r="J133" s="174">
        <f>'BS Feb KSA'!K133+'BS Feb USA'!K134</f>
        <v>0</v>
      </c>
      <c r="K133" s="174">
        <f>'BS Feb KSA'!L133+'BS Feb USA'!L134</f>
        <v>0</v>
      </c>
      <c r="L133" s="174">
        <f>'BS Feb KSA'!M133+'BS Feb USA'!M134</f>
        <v>0</v>
      </c>
      <c r="M133" s="174">
        <f>'BS Feb KSA'!N133+'BS Feb USA'!N134</f>
        <v>124703.99</v>
      </c>
      <c r="N133" s="174">
        <f>'BS Feb KSA'!O133+'BS Feb USA'!O134</f>
        <v>124703.99</v>
      </c>
      <c r="O133" s="174">
        <f>'BS Feb KSA'!P133+'BS Feb USA'!P134</f>
        <v>124703.99</v>
      </c>
      <c r="P133" s="174">
        <f>'BS Feb KSA'!Q133+'BS Feb USA'!Q134</f>
        <v>76302.11</v>
      </c>
      <c r="Q133" s="174">
        <f>'BS Feb KSA'!R133+'BS Feb USA'!R134</f>
        <v>81964.61</v>
      </c>
      <c r="R133" s="174">
        <f>'BS Feb KSA'!S133+'BS Feb USA'!S134</f>
        <v>89603.8</v>
      </c>
      <c r="S133" s="174">
        <f>'BS Feb KSA'!T133+'BS Feb USA'!T134</f>
        <v>89603.8</v>
      </c>
      <c r="T133" s="174">
        <f>'BS Feb KSA'!U133+'BS Feb USA'!U134</f>
        <v>112762.13</v>
      </c>
      <c r="U133" s="174">
        <f>'BS Feb KSA'!V133+'BS Feb USA'!V134</f>
        <v>125144.79</v>
      </c>
      <c r="V133" s="174">
        <f>'BS Feb KSA'!W133+'BS Feb USA'!W134</f>
        <v>127478.12</v>
      </c>
      <c r="W133" s="174">
        <f>'BS Feb KSA'!X133+'BS Feb USA'!X134</f>
        <v>127478.12</v>
      </c>
      <c r="X133" s="174">
        <f>'BS Feb KSA'!Y133+'BS Feb USA'!Y134</f>
        <v>127478.12</v>
      </c>
      <c r="Y133" s="174">
        <f>'BS Feb KSA'!Z133+'BS Feb USA'!Z134</f>
        <v>139978.12</v>
      </c>
      <c r="Z133" s="174">
        <f>'BS Feb KSA'!AA133+'BS Feb USA'!AA134</f>
        <v>139978.12</v>
      </c>
      <c r="AA133" s="174">
        <v>139978.12</v>
      </c>
    </row>
    <row r="134" spans="2:27" ht="15">
      <c r="B134" s="25"/>
      <c r="C134" s="52"/>
      <c r="D134" s="52"/>
      <c r="E134" s="52"/>
      <c r="F134" s="52"/>
      <c r="G134" s="52"/>
      <c r="H134" s="52"/>
      <c r="I134" s="52"/>
      <c r="J134" s="53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3"/>
      <c r="W134" s="52"/>
      <c r="X134" s="52"/>
      <c r="Y134" s="52"/>
      <c r="Z134" s="52"/>
      <c r="AA134" s="52"/>
    </row>
    <row r="135" spans="2:27">
      <c r="B135" s="19" t="s">
        <v>180</v>
      </c>
      <c r="C135" s="48">
        <f>+C133+C129+C131</f>
        <v>0</v>
      </c>
      <c r="D135" s="48">
        <f t="shared" ref="D135:H135" si="32">+D133+D129+D131</f>
        <v>0</v>
      </c>
      <c r="E135" s="48">
        <f t="shared" si="32"/>
        <v>0</v>
      </c>
      <c r="F135" s="48">
        <f t="shared" si="32"/>
        <v>0</v>
      </c>
      <c r="G135" s="48">
        <f t="shared" si="32"/>
        <v>0</v>
      </c>
      <c r="H135" s="48">
        <f t="shared" si="32"/>
        <v>0</v>
      </c>
      <c r="I135" s="48">
        <f>+I133+I129+I131</f>
        <v>0</v>
      </c>
      <c r="J135" s="48">
        <f>+J133+J129+J131</f>
        <v>0</v>
      </c>
      <c r="K135" s="48">
        <f>+K133+K129+K131</f>
        <v>0</v>
      </c>
      <c r="L135" s="48">
        <f t="shared" ref="L135" si="33">+L133+L129+L131</f>
        <v>0</v>
      </c>
      <c r="M135" s="48">
        <f>+M133+M129+M131</f>
        <v>7906504.3300000001</v>
      </c>
      <c r="N135" s="48">
        <f>+N133+N129+N131</f>
        <v>7906504.3300000001</v>
      </c>
      <c r="O135" s="48">
        <f>+O133+O129+O131</f>
        <v>7906504.3300000001</v>
      </c>
      <c r="P135" s="48">
        <f t="shared" ref="P135:X135" si="34">+P133+P129+P131</f>
        <v>10858102.449999999</v>
      </c>
      <c r="Q135" s="48">
        <f t="shared" si="34"/>
        <v>11426264.76</v>
      </c>
      <c r="R135" s="48">
        <f t="shared" si="34"/>
        <v>11433903.950000001</v>
      </c>
      <c r="S135" s="48">
        <f t="shared" si="34"/>
        <v>11433903.950000001</v>
      </c>
      <c r="T135" s="48">
        <f t="shared" si="34"/>
        <v>11457062.280000001</v>
      </c>
      <c r="U135" s="48">
        <f>+U133+U129+U131</f>
        <v>8469444.9399999995</v>
      </c>
      <c r="V135" s="48">
        <f>+V133+V129+V131</f>
        <v>8471778.2699999996</v>
      </c>
      <c r="W135" s="48">
        <f>+W133+W129+W131</f>
        <v>7820845.3200000003</v>
      </c>
      <c r="X135" s="48">
        <f t="shared" si="34"/>
        <v>6370845.3200000003</v>
      </c>
      <c r="Y135" s="48">
        <f>+Y133+Y129+Y131</f>
        <v>6383345.3200000003</v>
      </c>
      <c r="Z135" s="48">
        <f>+Z133+Z129+Z131</f>
        <v>6383345.3200000003</v>
      </c>
      <c r="AA135" s="109">
        <f>+AA133+AA129+AA131</f>
        <v>6383345.3200000003</v>
      </c>
    </row>
    <row r="136" spans="2:27">
      <c r="B136" s="14" t="s">
        <v>176</v>
      </c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107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107"/>
      <c r="AA136" s="45"/>
    </row>
    <row r="137" spans="2:27">
      <c r="B137" s="14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107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107"/>
      <c r="AA137" s="45"/>
    </row>
    <row r="138" spans="2:27">
      <c r="B138" s="13" t="s">
        <v>181</v>
      </c>
      <c r="C138" s="174">
        <f>'BS Feb KSA'!D138+'BS Feb USA'!D139</f>
        <v>0</v>
      </c>
      <c r="D138" s="174">
        <f>'BS Feb KSA'!E138+'BS Feb USA'!E139</f>
        <v>0</v>
      </c>
      <c r="E138" s="174">
        <f>'BS Feb KSA'!F138+'BS Feb USA'!F139</f>
        <v>0</v>
      </c>
      <c r="F138" s="174">
        <f>'BS Feb KSA'!G138+'BS Feb USA'!G139</f>
        <v>0</v>
      </c>
      <c r="G138" s="174">
        <f>'BS Feb KSA'!H138+'BS Feb USA'!H139</f>
        <v>0</v>
      </c>
      <c r="H138" s="174">
        <f>'BS Feb KSA'!I138+'BS Feb USA'!I139</f>
        <v>0</v>
      </c>
      <c r="I138" s="174">
        <f>'BS Feb KSA'!J138+'BS Feb USA'!J139</f>
        <v>0</v>
      </c>
      <c r="J138" s="174">
        <f>'BS Feb KSA'!K138+'BS Feb USA'!K139</f>
        <v>0</v>
      </c>
      <c r="K138" s="174">
        <f>'BS Feb KSA'!L138+'BS Feb USA'!L139</f>
        <v>0</v>
      </c>
      <c r="L138" s="174">
        <f>'BS Feb KSA'!M138+'BS Feb USA'!M139</f>
        <v>0</v>
      </c>
      <c r="M138" s="174">
        <f>'BS Feb KSA'!N138+'BS Feb USA'!N139</f>
        <v>42124006.130000003</v>
      </c>
      <c r="N138" s="174">
        <f>'BS Feb KSA'!O138+'BS Feb USA'!O139</f>
        <v>42124006.130000003</v>
      </c>
      <c r="O138" s="174">
        <f>'BS Feb KSA'!P138+'BS Feb USA'!P139</f>
        <v>42124006.130000003</v>
      </c>
      <c r="P138" s="174">
        <f>'BS Feb KSA'!Q138+'BS Feb USA'!Q139</f>
        <v>42124006.130000003</v>
      </c>
      <c r="Q138" s="174">
        <f>'BS Feb KSA'!R138+'BS Feb USA'!R139</f>
        <v>42124006.130000003</v>
      </c>
      <c r="R138" s="174">
        <f>'BS Feb KSA'!S138+'BS Feb USA'!S139</f>
        <v>27132006.130000003</v>
      </c>
      <c r="S138" s="174">
        <f>'BS Feb KSA'!T138+'BS Feb USA'!T139</f>
        <v>25257006.130000003</v>
      </c>
      <c r="T138" s="174">
        <f>'BS Feb KSA'!U138+'BS Feb USA'!U139</f>
        <v>25257006.130000003</v>
      </c>
      <c r="U138" s="174">
        <f>'BS Feb KSA'!V138+'BS Feb USA'!V139</f>
        <v>25257006.130000003</v>
      </c>
      <c r="V138" s="174">
        <f>'BS Feb KSA'!W138+'BS Feb USA'!W139</f>
        <v>25257006.130000003</v>
      </c>
      <c r="W138" s="174">
        <f>'BS Feb KSA'!X138+'BS Feb USA'!X139</f>
        <v>25257006.130000003</v>
      </c>
      <c r="X138" s="174">
        <f>'BS Feb KSA'!Y138+'BS Feb USA'!Y139</f>
        <v>25257006.130000003</v>
      </c>
      <c r="Y138" s="174">
        <f>'BS Feb KSA'!Z138+'BS Feb USA'!Z139</f>
        <v>25257006.130000003</v>
      </c>
      <c r="Z138" s="174">
        <f>'BS Feb KSA'!AA138+'BS Feb USA'!AA139</f>
        <v>25257006.130000003</v>
      </c>
      <c r="AA138" s="174">
        <v>25257006.130000003</v>
      </c>
    </row>
    <row r="139" spans="2:27" ht="15">
      <c r="B139" s="25"/>
      <c r="C139" s="52"/>
      <c r="D139" s="52"/>
      <c r="E139" s="52"/>
      <c r="F139" s="52"/>
      <c r="G139" s="52"/>
      <c r="H139" s="45"/>
      <c r="I139" s="45"/>
      <c r="J139" s="45"/>
      <c r="K139" s="45"/>
      <c r="L139" s="45"/>
      <c r="M139" s="45"/>
      <c r="N139" s="52"/>
      <c r="O139" s="52"/>
      <c r="P139" s="52"/>
      <c r="Q139" s="52"/>
      <c r="R139" s="52"/>
      <c r="S139" s="52"/>
      <c r="T139" s="45"/>
      <c r="U139" s="45"/>
      <c r="V139" s="45"/>
      <c r="W139" s="45"/>
      <c r="X139" s="45"/>
      <c r="Y139" s="45"/>
      <c r="Z139" s="52"/>
      <c r="AA139" s="52"/>
    </row>
    <row r="140" spans="2:27">
      <c r="B140" s="13" t="s">
        <v>182</v>
      </c>
      <c r="C140" s="179">
        <f>'BS Feb KSA'!D140+'BS Feb USA'!D141</f>
        <v>0</v>
      </c>
      <c r="D140" s="179">
        <f>'BS Feb KSA'!E140+'BS Feb USA'!E141</f>
        <v>0</v>
      </c>
      <c r="E140" s="179">
        <f>'BS Feb KSA'!F140+'BS Feb USA'!F141</f>
        <v>0</v>
      </c>
      <c r="F140" s="179">
        <f>'BS Feb KSA'!G140+'BS Feb USA'!G141</f>
        <v>0</v>
      </c>
      <c r="G140" s="179">
        <f>'BS Feb KSA'!H140+'BS Feb USA'!H141</f>
        <v>0</v>
      </c>
      <c r="H140" s="179">
        <f>'BS Feb KSA'!I140+'BS Feb USA'!I141</f>
        <v>0</v>
      </c>
      <c r="I140" s="179">
        <f>'BS Feb KSA'!J140+'BS Feb USA'!J141</f>
        <v>0</v>
      </c>
      <c r="J140" s="179">
        <f>'BS Feb KSA'!K140+'BS Feb USA'!K141</f>
        <v>0</v>
      </c>
      <c r="K140" s="179">
        <f>'BS Feb KSA'!L140+'BS Feb USA'!L141</f>
        <v>0</v>
      </c>
      <c r="L140" s="179">
        <f>'BS Feb KSA'!M140+'BS Feb USA'!M141</f>
        <v>0</v>
      </c>
      <c r="M140" s="179">
        <f>'BS Feb KSA'!N140+'BS Feb USA'!N141</f>
        <v>25000</v>
      </c>
      <c r="N140" s="179">
        <f>'BS Feb KSA'!O140+'BS Feb USA'!O141</f>
        <v>25000</v>
      </c>
      <c r="O140" s="179">
        <f>'BS Feb KSA'!P140+'BS Feb USA'!P141</f>
        <v>25000</v>
      </c>
      <c r="P140" s="179">
        <f>'BS Feb KSA'!Q140+'BS Feb USA'!Q141</f>
        <v>25000</v>
      </c>
      <c r="Q140" s="179">
        <f>'BS Feb KSA'!R140+'BS Feb USA'!R141</f>
        <v>25000</v>
      </c>
      <c r="R140" s="179">
        <f>'BS Feb KSA'!S140+'BS Feb USA'!S141</f>
        <v>25000</v>
      </c>
      <c r="S140" s="179">
        <f>'BS Feb KSA'!T140+'BS Feb USA'!T141</f>
        <v>25000</v>
      </c>
      <c r="T140" s="179">
        <f>'BS Feb KSA'!U140+'BS Feb USA'!U141</f>
        <v>25000</v>
      </c>
      <c r="U140" s="179">
        <f>'BS Feb KSA'!V140+'BS Feb USA'!V141</f>
        <v>25000</v>
      </c>
      <c r="V140" s="179">
        <f>'BS Feb KSA'!W140+'BS Feb USA'!W141</f>
        <v>25000</v>
      </c>
      <c r="W140" s="179">
        <f>'BS Feb KSA'!X140+'BS Feb USA'!X141</f>
        <v>25000</v>
      </c>
      <c r="X140" s="179">
        <f>'BS Feb KSA'!Y140+'BS Feb USA'!Y141</f>
        <v>25000</v>
      </c>
      <c r="Y140" s="179">
        <f>'BS Feb KSA'!Z140+'BS Feb USA'!Z141</f>
        <v>25000</v>
      </c>
      <c r="Z140" s="179">
        <f>'BS Feb KSA'!AA140+'BS Feb USA'!AA141</f>
        <v>25000</v>
      </c>
      <c r="AA140" s="179">
        <v>25000</v>
      </c>
    </row>
    <row r="141" spans="2:27" ht="15">
      <c r="B141" s="25"/>
      <c r="C141" s="176"/>
      <c r="D141" s="176"/>
      <c r="E141" s="176"/>
      <c r="F141" s="176"/>
      <c r="G141" s="176"/>
      <c r="H141" s="176"/>
      <c r="I141" s="176"/>
      <c r="J141" s="175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5"/>
      <c r="W141" s="176"/>
      <c r="X141" s="176"/>
      <c r="Y141" s="176"/>
      <c r="Z141" s="176"/>
      <c r="AA141" s="176"/>
    </row>
    <row r="142" spans="2:27">
      <c r="B142" s="13" t="s">
        <v>183</v>
      </c>
      <c r="C142" s="174">
        <f>'BS Feb KSA'!D142+'BS Feb USA'!D143</f>
        <v>0</v>
      </c>
      <c r="D142" s="174">
        <f>'BS Feb KSA'!E142+'BS Feb USA'!E143</f>
        <v>0</v>
      </c>
      <c r="E142" s="174">
        <f>'BS Feb KSA'!F142+'BS Feb USA'!F143</f>
        <v>0</v>
      </c>
      <c r="F142" s="174">
        <f>'BS Feb KSA'!G142+'BS Feb USA'!G143</f>
        <v>0</v>
      </c>
      <c r="G142" s="174">
        <f>'BS Feb KSA'!H142+'BS Feb USA'!H143</f>
        <v>0</v>
      </c>
      <c r="H142" s="174">
        <f>'BS Feb KSA'!I142+'BS Feb USA'!I143</f>
        <v>0</v>
      </c>
      <c r="I142" s="174">
        <f>'BS Feb KSA'!J142+'BS Feb USA'!J143</f>
        <v>0</v>
      </c>
      <c r="J142" s="174">
        <f>'BS Feb KSA'!K142+'BS Feb USA'!K143</f>
        <v>0</v>
      </c>
      <c r="K142" s="174">
        <f>'BS Feb KSA'!L142+'BS Feb USA'!L143</f>
        <v>0</v>
      </c>
      <c r="L142" s="174">
        <f>'BS Feb KSA'!M142+'BS Feb USA'!M143</f>
        <v>0</v>
      </c>
      <c r="M142" s="174">
        <f>'BS Feb KSA'!N142+'BS Feb USA'!N143</f>
        <v>7500</v>
      </c>
      <c r="N142" s="174">
        <f>'BS Feb KSA'!O142+'BS Feb USA'!O143</f>
        <v>7500</v>
      </c>
      <c r="O142" s="174">
        <f>'BS Feb KSA'!P142+'BS Feb USA'!P143</f>
        <v>7500</v>
      </c>
      <c r="P142" s="174">
        <f>'BS Feb KSA'!Q142+'BS Feb USA'!Q143</f>
        <v>7500</v>
      </c>
      <c r="Q142" s="174">
        <f>'BS Feb KSA'!R142+'BS Feb USA'!R143</f>
        <v>7500</v>
      </c>
      <c r="R142" s="174">
        <f>'BS Feb KSA'!S142+'BS Feb USA'!S143</f>
        <v>7500</v>
      </c>
      <c r="S142" s="174">
        <f>'BS Feb KSA'!T142+'BS Feb USA'!T143</f>
        <v>7500</v>
      </c>
      <c r="T142" s="174">
        <f>'BS Feb KSA'!U142+'BS Feb USA'!U143</f>
        <v>7500</v>
      </c>
      <c r="U142" s="174">
        <f>'BS Feb KSA'!V142+'BS Feb USA'!V143</f>
        <v>7500</v>
      </c>
      <c r="V142" s="174">
        <f>'BS Feb KSA'!W142+'BS Feb USA'!W143</f>
        <v>7500</v>
      </c>
      <c r="W142" s="174">
        <f>'BS Feb KSA'!X142+'BS Feb USA'!X143</f>
        <v>7500</v>
      </c>
      <c r="X142" s="174">
        <f>'BS Feb KSA'!Y142+'BS Feb USA'!Y143</f>
        <v>7500</v>
      </c>
      <c r="Y142" s="174">
        <f>'BS Feb KSA'!Z142+'BS Feb USA'!Z143</f>
        <v>7500</v>
      </c>
      <c r="Z142" s="174">
        <f>'BS Feb KSA'!AA142+'BS Feb USA'!AA143</f>
        <v>7500</v>
      </c>
      <c r="AA142" s="174">
        <v>7500</v>
      </c>
    </row>
    <row r="143" spans="2:27" ht="15">
      <c r="B143" s="25"/>
      <c r="C143" s="52"/>
      <c r="D143" s="52"/>
      <c r="E143" s="52"/>
      <c r="F143" s="52"/>
      <c r="G143" s="52"/>
      <c r="H143" s="52"/>
      <c r="I143" s="52"/>
      <c r="J143" s="53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3"/>
      <c r="W143" s="52"/>
      <c r="X143" s="52"/>
      <c r="Y143" s="52"/>
      <c r="Z143" s="52"/>
      <c r="AA143" s="52"/>
    </row>
    <row r="144" spans="2:27">
      <c r="B144" s="13" t="s">
        <v>184</v>
      </c>
      <c r="C144" s="174">
        <f>'BS Feb KSA'!D144+'BS Feb USA'!D145</f>
        <v>0</v>
      </c>
      <c r="D144" s="174">
        <f>'BS Feb KSA'!E144+'BS Feb USA'!E145</f>
        <v>0</v>
      </c>
      <c r="E144" s="174">
        <f>'BS Feb KSA'!F144+'BS Feb USA'!F145</f>
        <v>0</v>
      </c>
      <c r="F144" s="174">
        <f>'BS Feb KSA'!G144+'BS Feb USA'!G145</f>
        <v>0</v>
      </c>
      <c r="G144" s="174">
        <f>'BS Feb KSA'!H144+'BS Feb USA'!H145</f>
        <v>0</v>
      </c>
      <c r="H144" s="174">
        <f>'BS Feb KSA'!I144+'BS Feb USA'!I145</f>
        <v>0</v>
      </c>
      <c r="I144" s="174">
        <f>'BS Feb KSA'!J144+'BS Feb USA'!J145</f>
        <v>0</v>
      </c>
      <c r="J144" s="174">
        <f>'BS Feb KSA'!K144+'BS Feb USA'!K145</f>
        <v>0</v>
      </c>
      <c r="K144" s="174">
        <f>'BS Feb KSA'!L144+'BS Feb USA'!L145</f>
        <v>0</v>
      </c>
      <c r="L144" s="174">
        <f>'BS Feb KSA'!M144+'BS Feb USA'!M145</f>
        <v>0</v>
      </c>
      <c r="M144" s="174">
        <f>'BS Feb KSA'!N144+'BS Feb USA'!N145</f>
        <v>-526297.59000000008</v>
      </c>
      <c r="N144" s="174">
        <f>'BS Feb KSA'!O144+'BS Feb USA'!O145</f>
        <v>-391210.51999999979</v>
      </c>
      <c r="O144" s="174">
        <f>'BS Feb KSA'!P144+'BS Feb USA'!P145</f>
        <v>-5463251.2199999997</v>
      </c>
      <c r="P144" s="174">
        <f>'BS Feb KSA'!Q144+'BS Feb USA'!Q145</f>
        <v>-5267227.4799999995</v>
      </c>
      <c r="Q144" s="174">
        <f>'BS Feb KSA'!R144+'BS Feb USA'!R145</f>
        <v>-4490803.6899999995</v>
      </c>
      <c r="R144" s="174">
        <f>'BS Feb KSA'!S144+'BS Feb USA'!S145</f>
        <v>-3537977.03</v>
      </c>
      <c r="S144" s="174">
        <f>'BS Feb KSA'!T144+'BS Feb USA'!T145</f>
        <v>-2567932.63</v>
      </c>
      <c r="T144" s="174">
        <f>'BS Feb KSA'!U144+'BS Feb USA'!U145</f>
        <v>-1569351.75</v>
      </c>
      <c r="U144" s="174">
        <f>'BS Feb KSA'!V144+'BS Feb USA'!V145</f>
        <v>-2055337.21</v>
      </c>
      <c r="V144" s="174">
        <f>'BS Feb KSA'!W144+'BS Feb USA'!W145</f>
        <v>-1409269.7399999998</v>
      </c>
      <c r="W144" s="174">
        <f>'BS Feb KSA'!X144+'BS Feb USA'!X145</f>
        <v>-1092942.18</v>
      </c>
      <c r="X144" s="174">
        <f>'BS Feb KSA'!Y144+'BS Feb USA'!Y145</f>
        <v>-691155.37000000011</v>
      </c>
      <c r="Y144" s="174">
        <f>'BS Feb KSA'!Z144+'BS Feb USA'!Z145</f>
        <v>-605363.07999999996</v>
      </c>
      <c r="Z144" s="174">
        <f>'BS Feb KSA'!AA144+'BS Feb USA'!AA145</f>
        <v>-343106.01999999996</v>
      </c>
      <c r="AA144" s="174">
        <v>-2847594.05</v>
      </c>
    </row>
    <row r="145" spans="1:27" ht="15">
      <c r="B145" s="25"/>
      <c r="C145" s="52"/>
      <c r="D145" s="52"/>
      <c r="E145" s="52"/>
      <c r="F145" s="52"/>
      <c r="G145" s="52"/>
      <c r="H145" s="52"/>
      <c r="I145" s="52"/>
      <c r="J145" s="53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3"/>
      <c r="W145" s="52"/>
      <c r="X145" s="52"/>
      <c r="Y145" s="52"/>
      <c r="Z145" s="52"/>
      <c r="AA145" s="52"/>
    </row>
    <row r="146" spans="1:27">
      <c r="B146" s="13" t="s">
        <v>185</v>
      </c>
      <c r="C146" s="174">
        <f>'BS Feb KSA'!D146+'BS Feb USA'!D147</f>
        <v>0</v>
      </c>
      <c r="D146" s="174">
        <f>'BS Feb KSA'!E146+'BS Feb USA'!E147</f>
        <v>0</v>
      </c>
      <c r="E146" s="174">
        <f>'BS Feb KSA'!F146+'BS Feb USA'!F147</f>
        <v>0</v>
      </c>
      <c r="F146" s="174">
        <f>'BS Feb KSA'!G146+'BS Feb USA'!G147</f>
        <v>0</v>
      </c>
      <c r="G146" s="174">
        <f>'BS Feb KSA'!H146+'BS Feb USA'!H147</f>
        <v>0</v>
      </c>
      <c r="H146" s="174">
        <f>'BS Feb KSA'!I146+'BS Feb USA'!I147</f>
        <v>0</v>
      </c>
      <c r="I146" s="174">
        <f>'BS Feb KSA'!J146+'BS Feb USA'!J147</f>
        <v>0</v>
      </c>
      <c r="J146" s="174">
        <f>'BS Feb KSA'!K146+'BS Feb USA'!K147</f>
        <v>0</v>
      </c>
      <c r="K146" s="174">
        <f>'BS Feb KSA'!L146+'BS Feb USA'!L147</f>
        <v>0</v>
      </c>
      <c r="L146" s="174">
        <f>'BS Feb KSA'!M146+'BS Feb USA'!M147</f>
        <v>0</v>
      </c>
      <c r="M146" s="174">
        <f>'BS Feb KSA'!N146+'BS Feb USA'!N147</f>
        <v>-8089403.1500000004</v>
      </c>
      <c r="N146" s="174">
        <f>'BS Feb KSA'!O146+'BS Feb USA'!O147</f>
        <v>-8089404.6500000004</v>
      </c>
      <c r="O146" s="174">
        <f>'BS Feb KSA'!P146+'BS Feb USA'!P147</f>
        <v>-2630522.77</v>
      </c>
      <c r="P146" s="174">
        <f>'BS Feb KSA'!Q146+'BS Feb USA'!Q147</f>
        <v>-2630522.77</v>
      </c>
      <c r="Q146" s="174">
        <f>'BS Feb KSA'!R146+'BS Feb USA'!R147</f>
        <v>-2630522.77</v>
      </c>
      <c r="R146" s="174">
        <f>'BS Feb KSA'!S146+'BS Feb USA'!S147</f>
        <v>-2630522.77</v>
      </c>
      <c r="S146" s="174">
        <f>'BS Feb KSA'!T146+'BS Feb USA'!T147</f>
        <v>-2630522.77</v>
      </c>
      <c r="T146" s="174">
        <f>'BS Feb KSA'!U146+'BS Feb USA'!U147</f>
        <v>-2630522.77</v>
      </c>
      <c r="U146" s="174">
        <f>'BS Feb KSA'!V146+'BS Feb USA'!V147</f>
        <v>-2630522.77</v>
      </c>
      <c r="V146" s="174">
        <f>'BS Feb KSA'!W146+'BS Feb USA'!W147</f>
        <v>-2630522.77</v>
      </c>
      <c r="W146" s="174">
        <f>'BS Feb KSA'!X146+'BS Feb USA'!X147</f>
        <v>-2630522.77</v>
      </c>
      <c r="X146" s="174">
        <f>'BS Feb KSA'!Y146+'BS Feb USA'!Y147</f>
        <v>-2630522.77</v>
      </c>
      <c r="Y146" s="174">
        <f>'BS Feb KSA'!Z146+'BS Feb USA'!Z147</f>
        <v>-2630522.77</v>
      </c>
      <c r="Z146" s="174">
        <f>'BS Feb KSA'!AA146+'BS Feb USA'!AA147</f>
        <v>-2630522.77</v>
      </c>
      <c r="AA146" s="174">
        <v>222138.28000000003</v>
      </c>
    </row>
    <row r="147" spans="1:27" ht="15">
      <c r="B147" s="25"/>
      <c r="C147" s="178"/>
      <c r="D147" s="178"/>
      <c r="E147" s="178"/>
      <c r="F147" s="178"/>
      <c r="G147" s="178"/>
      <c r="H147" s="178"/>
      <c r="I147" s="178"/>
      <c r="J147" s="177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7"/>
      <c r="W147" s="178"/>
      <c r="X147" s="178"/>
      <c r="Y147" s="178"/>
      <c r="Z147" s="178"/>
      <c r="AA147" s="178"/>
    </row>
    <row r="148" spans="1:27">
      <c r="B148" s="19" t="s">
        <v>186</v>
      </c>
      <c r="C148" s="72">
        <f t="shared" ref="C148:H148" si="35">+C138+C142+C144+C146+C140</f>
        <v>0</v>
      </c>
      <c r="D148" s="72">
        <f t="shared" si="35"/>
        <v>0</v>
      </c>
      <c r="E148" s="72">
        <f t="shared" si="35"/>
        <v>0</v>
      </c>
      <c r="F148" s="72">
        <f t="shared" si="35"/>
        <v>0</v>
      </c>
      <c r="G148" s="72">
        <f t="shared" si="35"/>
        <v>0</v>
      </c>
      <c r="H148" s="72">
        <f t="shared" si="35"/>
        <v>0</v>
      </c>
      <c r="I148" s="72">
        <f>+I138+I142+I144+I146+I140</f>
        <v>0</v>
      </c>
      <c r="J148" s="72">
        <f>+J138+J142+J144+J146+J140</f>
        <v>0</v>
      </c>
      <c r="K148" s="72">
        <f>+K138+K142+K144+K146+K140</f>
        <v>0</v>
      </c>
      <c r="L148" s="72">
        <f t="shared" ref="L148" si="36">+L138+L142+L144+L146+L140</f>
        <v>0</v>
      </c>
      <c r="M148" s="72">
        <f>+M138+M142+M144+M146+M140</f>
        <v>33540805.390000001</v>
      </c>
      <c r="N148" s="72">
        <f>+N138+N142+N144+N146+N140</f>
        <v>33675890.960000001</v>
      </c>
      <c r="O148" s="72">
        <f t="shared" ref="O148:X148" si="37">+O138+O142+O144+O146+O140</f>
        <v>34062732.140000001</v>
      </c>
      <c r="P148" s="72">
        <f t="shared" si="37"/>
        <v>34258755.880000003</v>
      </c>
      <c r="Q148" s="72">
        <f t="shared" si="37"/>
        <v>35035179.670000002</v>
      </c>
      <c r="R148" s="72">
        <f t="shared" si="37"/>
        <v>20996006.330000002</v>
      </c>
      <c r="S148" s="72">
        <f t="shared" si="37"/>
        <v>20091050.730000004</v>
      </c>
      <c r="T148" s="72">
        <f t="shared" si="37"/>
        <v>21089631.610000003</v>
      </c>
      <c r="U148" s="72">
        <f>+U138+U142+U144+U146+U140</f>
        <v>20603646.150000002</v>
      </c>
      <c r="V148" s="72">
        <f>+V138+V142+V144+V146+V140</f>
        <v>21249713.620000005</v>
      </c>
      <c r="W148" s="72">
        <f>+W138+W142+W144+W146+W140</f>
        <v>21566041.180000003</v>
      </c>
      <c r="X148" s="72">
        <f t="shared" si="37"/>
        <v>21967827.990000002</v>
      </c>
      <c r="Y148" s="72">
        <f>+Y138+Y142+Y144+Y146+Y140</f>
        <v>22053620.280000005</v>
      </c>
      <c r="Z148" s="72">
        <f>+Z138+Z142+Z144+Z146+Z140</f>
        <v>22315877.340000004</v>
      </c>
      <c r="AA148" s="180">
        <f>+AA138+AA142+AA144+AA146+AA140</f>
        <v>22664050.360000003</v>
      </c>
    </row>
    <row r="149" spans="1:27" ht="15">
      <c r="B149" s="25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</row>
    <row r="150" spans="1:27" ht="15">
      <c r="B150" s="25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</row>
    <row r="151" spans="1:27">
      <c r="B151" s="19" t="s">
        <v>187</v>
      </c>
      <c r="C151" s="48">
        <f>+C148+C126+C135</f>
        <v>0</v>
      </c>
      <c r="D151" s="48">
        <f t="shared" ref="D151:J151" si="38">+D148+D126+D135</f>
        <v>0</v>
      </c>
      <c r="E151" s="48">
        <f t="shared" si="38"/>
        <v>0</v>
      </c>
      <c r="F151" s="48">
        <f t="shared" si="38"/>
        <v>0</v>
      </c>
      <c r="G151" s="48">
        <f t="shared" si="38"/>
        <v>0</v>
      </c>
      <c r="H151" s="48">
        <f t="shared" si="38"/>
        <v>0</v>
      </c>
      <c r="I151" s="48">
        <f t="shared" si="38"/>
        <v>0</v>
      </c>
      <c r="J151" s="48">
        <f t="shared" si="38"/>
        <v>0</v>
      </c>
      <c r="K151" s="48">
        <f>+K148+K126+K135</f>
        <v>0</v>
      </c>
      <c r="L151" s="48">
        <f t="shared" ref="L151:N151" si="39">+L148+L126+L135</f>
        <v>0</v>
      </c>
      <c r="M151" s="48">
        <f t="shared" si="39"/>
        <v>124653736.67</v>
      </c>
      <c r="N151" s="48">
        <f t="shared" si="39"/>
        <v>107381883.86</v>
      </c>
      <c r="O151" s="48">
        <f>+O148+O126+O135</f>
        <v>100603685.48999999</v>
      </c>
      <c r="P151" s="48">
        <f t="shared" ref="P151:Z151" si="40">+P148+P126+P135</f>
        <v>91036378.769999996</v>
      </c>
      <c r="Q151" s="48">
        <f t="shared" si="40"/>
        <v>90721032.970000014</v>
      </c>
      <c r="R151" s="48">
        <f t="shared" si="40"/>
        <v>76615657.060000002</v>
      </c>
      <c r="S151" s="48">
        <f t="shared" si="40"/>
        <v>72606750.569999993</v>
      </c>
      <c r="T151" s="48">
        <f t="shared" si="40"/>
        <v>73723140.260000005</v>
      </c>
      <c r="U151" s="48">
        <f t="shared" si="40"/>
        <v>69000864.409999996</v>
      </c>
      <c r="V151" s="48">
        <f t="shared" si="40"/>
        <v>66416279.609999999</v>
      </c>
      <c r="W151" s="48">
        <f>+W148+W126+W135</f>
        <v>65885535.399999999</v>
      </c>
      <c r="X151" s="48">
        <f t="shared" si="40"/>
        <v>63199620.829999998</v>
      </c>
      <c r="Y151" s="48">
        <f t="shared" si="40"/>
        <v>63337861.410000004</v>
      </c>
      <c r="Z151" s="48">
        <f t="shared" si="40"/>
        <v>52435575.460000001</v>
      </c>
      <c r="AA151" s="109">
        <f>+AA148+AA126+AA135</f>
        <v>53261477.050000004</v>
      </c>
    </row>
    <row r="152" spans="1:27" s="288" customFormat="1" ht="15">
      <c r="A152" s="287"/>
      <c r="B152" s="271"/>
      <c r="C152" s="271">
        <f t="shared" ref="C152:M152" si="41">+C151-C87</f>
        <v>0</v>
      </c>
      <c r="D152" s="271">
        <f t="shared" si="41"/>
        <v>0</v>
      </c>
      <c r="E152" s="271">
        <f t="shared" si="41"/>
        <v>0</v>
      </c>
      <c r="F152" s="271">
        <f t="shared" si="41"/>
        <v>0</v>
      </c>
      <c r="G152" s="271">
        <f t="shared" si="41"/>
        <v>0</v>
      </c>
      <c r="H152" s="271">
        <f t="shared" si="41"/>
        <v>0</v>
      </c>
      <c r="I152" s="271">
        <f t="shared" si="41"/>
        <v>0</v>
      </c>
      <c r="J152" s="271">
        <f t="shared" si="41"/>
        <v>0</v>
      </c>
      <c r="K152" s="271">
        <f t="shared" si="41"/>
        <v>0</v>
      </c>
      <c r="L152" s="271">
        <f t="shared" si="41"/>
        <v>0</v>
      </c>
      <c r="M152" s="271">
        <f t="shared" si="41"/>
        <v>0</v>
      </c>
      <c r="N152" s="271">
        <f>N151-N87</f>
        <v>0</v>
      </c>
      <c r="O152" s="271">
        <f t="shared" ref="O152:Y152" si="42">+O151-O87</f>
        <v>0</v>
      </c>
      <c r="P152" s="271">
        <f t="shared" si="42"/>
        <v>0</v>
      </c>
      <c r="Q152" s="271">
        <f t="shared" si="42"/>
        <v>0</v>
      </c>
      <c r="R152" s="271">
        <f t="shared" si="42"/>
        <v>0</v>
      </c>
      <c r="S152" s="271">
        <f t="shared" si="42"/>
        <v>0</v>
      </c>
      <c r="T152" s="271">
        <f t="shared" si="42"/>
        <v>0</v>
      </c>
      <c r="U152" s="271">
        <f t="shared" si="42"/>
        <v>0</v>
      </c>
      <c r="V152" s="271">
        <f t="shared" si="42"/>
        <v>0</v>
      </c>
      <c r="W152" s="271">
        <f t="shared" si="42"/>
        <v>0</v>
      </c>
      <c r="X152" s="271">
        <f t="shared" si="42"/>
        <v>-0.36000000685453415</v>
      </c>
      <c r="Y152" s="271">
        <f t="shared" si="42"/>
        <v>-0.35999999940395355</v>
      </c>
      <c r="Z152" s="271">
        <f>Z151-Z87</f>
        <v>-0.35999999195337296</v>
      </c>
      <c r="AA152" s="271">
        <f>+AA151-AA87</f>
        <v>-0.35999999940395355</v>
      </c>
    </row>
    <row r="153" spans="1:27" s="272" customFormat="1" ht="15">
      <c r="A153" s="1"/>
      <c r="B153" s="266"/>
      <c r="C153" s="267"/>
      <c r="D153" s="270"/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67"/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  <c r="Z153" s="270"/>
      <c r="AA153" s="267"/>
    </row>
    <row r="154" spans="1:27" s="272" customFormat="1">
      <c r="A154" s="1"/>
      <c r="C154" s="273"/>
      <c r="D154" s="273"/>
      <c r="E154" s="274"/>
      <c r="F154" s="275"/>
      <c r="G154" s="275"/>
      <c r="H154" s="275"/>
      <c r="I154" s="274"/>
      <c r="J154" s="274"/>
      <c r="K154" s="276"/>
      <c r="L154" s="274"/>
      <c r="M154" s="274"/>
      <c r="N154" s="273"/>
      <c r="O154" s="273"/>
      <c r="P154" s="273"/>
      <c r="Q154" s="274"/>
      <c r="R154" s="275"/>
      <c r="S154" s="275"/>
      <c r="T154" s="275"/>
      <c r="U154" s="274"/>
      <c r="V154" s="274"/>
      <c r="W154" s="276"/>
      <c r="X154" s="274"/>
      <c r="Y154" s="274"/>
      <c r="Z154" s="274"/>
      <c r="AA154" s="273"/>
    </row>
    <row r="155" spans="1:27">
      <c r="C155" s="36"/>
      <c r="D155" s="36"/>
      <c r="K155" s="237"/>
      <c r="O155" s="36"/>
      <c r="P155" s="36"/>
      <c r="W155" s="237"/>
      <c r="AA155" s="36"/>
    </row>
    <row r="156" spans="1:27">
      <c r="D156" s="181"/>
      <c r="K156" s="237"/>
      <c r="P156" s="181"/>
      <c r="W156" s="237"/>
    </row>
    <row r="157" spans="1:27">
      <c r="F157" s="36"/>
      <c r="J157" s="50"/>
      <c r="R157" s="36"/>
      <c r="V157" s="50"/>
    </row>
  </sheetData>
  <autoFilter ref="A3:AG157" xr:uid="{7756E7CC-9E07-436C-8DD0-00AF14B4E1BE}"/>
  <pageMargins left="0.7" right="0.7" top="0.75" bottom="0.75" header="0.3" footer="0.3"/>
  <pageSetup orientation="portrait" r:id="rId1"/>
  <ignoredErrors>
    <ignoredError sqref="V35:Z35 V55:Z56 V85:Z86 V114:Z114 V125:Z125 V130:Z130 V132:Z132 V134:Z134 V139:Z139 V141:Z141 V143:Z143 V145:Z145 V147:Z147 V153 V152:W152 Y152 V53 X53:Z53 V127:Z128 V136:Z137 V149:Z150 V79:W79 V89:Z91 V87 X87:Z87 X153:Z153 Y79:Z79 P131:P148 P151 P27 P11:P26 P28:P30 O11:O30 P10:Z10" unlocked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9514-241A-4A95-98AB-42272B3CB9D2}">
  <dimension ref="A2:J125"/>
  <sheetViews>
    <sheetView showGridLines="0" topLeftCell="A88" workbookViewId="0">
      <selection activeCell="F40" sqref="F40"/>
    </sheetView>
  </sheetViews>
  <sheetFormatPr defaultRowHeight="14.4"/>
  <cols>
    <col min="1" max="1" width="26.88671875" customWidth="1"/>
    <col min="2" max="3" width="21.5546875" customWidth="1"/>
    <col min="5" max="5" width="10.5546875" customWidth="1"/>
    <col min="6" max="6" width="36.88671875" customWidth="1"/>
    <col min="7" max="7" width="17.6640625" customWidth="1"/>
    <col min="8" max="8" width="14.44140625" customWidth="1"/>
    <col min="9" max="9" width="13.21875" customWidth="1"/>
    <col min="10" max="10" width="39.6640625" customWidth="1"/>
  </cols>
  <sheetData>
    <row r="2" spans="1:10" ht="21">
      <c r="A2" s="227" t="s">
        <v>121</v>
      </c>
      <c r="B2" s="212"/>
      <c r="C2" s="212"/>
      <c r="D2" s="212"/>
      <c r="E2" s="212"/>
      <c r="F2" s="212"/>
      <c r="G2" s="212"/>
    </row>
    <row r="3" spans="1:10">
      <c r="A3" s="215" t="s">
        <v>219</v>
      </c>
      <c r="B3" s="215" t="s">
        <v>220</v>
      </c>
      <c r="C3" s="215" t="s">
        <v>221</v>
      </c>
      <c r="D3" s="215" t="s">
        <v>222</v>
      </c>
      <c r="E3" s="217"/>
      <c r="F3" s="215" t="s">
        <v>224</v>
      </c>
      <c r="G3" s="215" t="s">
        <v>227</v>
      </c>
      <c r="H3" s="214" t="s">
        <v>226</v>
      </c>
      <c r="I3" s="214" t="s">
        <v>227</v>
      </c>
      <c r="J3" s="215" t="s">
        <v>228</v>
      </c>
    </row>
    <row r="4" spans="1:10">
      <c r="A4" s="239" t="s">
        <v>232</v>
      </c>
      <c r="B4" s="239" t="s">
        <v>229</v>
      </c>
      <c r="C4" s="239" t="s">
        <v>230</v>
      </c>
      <c r="D4" s="239" t="s">
        <v>230</v>
      </c>
      <c r="F4" s="239" t="s">
        <v>230</v>
      </c>
      <c r="G4" s="239" t="s">
        <v>230</v>
      </c>
      <c r="H4" s="239"/>
      <c r="I4" s="239"/>
    </row>
    <row r="5" spans="1:10">
      <c r="A5" s="217" t="s">
        <v>233</v>
      </c>
      <c r="B5" s="217" t="s">
        <v>121</v>
      </c>
      <c r="C5" s="217" t="s">
        <v>95</v>
      </c>
      <c r="D5" s="217" t="s">
        <v>234</v>
      </c>
      <c r="E5" s="217"/>
      <c r="F5" s="217" t="s">
        <v>235</v>
      </c>
      <c r="G5" s="221">
        <v>6690.05</v>
      </c>
      <c r="H5" s="223"/>
      <c r="I5" s="223"/>
      <c r="J5" s="217" t="s">
        <v>236</v>
      </c>
    </row>
    <row r="6" spans="1:10">
      <c r="A6" s="217" t="s">
        <v>237</v>
      </c>
      <c r="B6" s="217" t="s">
        <v>121</v>
      </c>
      <c r="C6" s="217" t="s">
        <v>95</v>
      </c>
      <c r="D6" s="217" t="s">
        <v>234</v>
      </c>
      <c r="E6" s="217"/>
      <c r="F6" s="217" t="s">
        <v>238</v>
      </c>
      <c r="G6" s="221">
        <v>2664.76</v>
      </c>
      <c r="H6" s="223"/>
      <c r="I6" s="223"/>
      <c r="J6" s="217" t="s">
        <v>236</v>
      </c>
    </row>
    <row r="7" spans="1:10">
      <c r="A7" s="217" t="s">
        <v>239</v>
      </c>
      <c r="B7" s="217" t="s">
        <v>121</v>
      </c>
      <c r="C7" s="217" t="s">
        <v>136</v>
      </c>
      <c r="D7" s="217" t="s">
        <v>234</v>
      </c>
      <c r="E7" s="217"/>
      <c r="F7" s="217" t="s">
        <v>240</v>
      </c>
      <c r="G7" s="221"/>
      <c r="H7" s="240">
        <v>9226.85</v>
      </c>
      <c r="I7" s="240">
        <f>G5+G6-H7</f>
        <v>127.96000000000095</v>
      </c>
      <c r="J7" s="217" t="s">
        <v>241</v>
      </c>
    </row>
    <row r="8" spans="1:10">
      <c r="A8" s="217" t="s">
        <v>242</v>
      </c>
      <c r="B8" s="217" t="s">
        <v>121</v>
      </c>
      <c r="C8" s="217" t="s">
        <v>95</v>
      </c>
      <c r="D8" s="217" t="s">
        <v>234</v>
      </c>
      <c r="E8" s="217"/>
      <c r="F8" s="217" t="s">
        <v>243</v>
      </c>
      <c r="G8" s="91">
        <v>4200</v>
      </c>
      <c r="H8" s="91"/>
      <c r="I8" s="91">
        <f>G8</f>
        <v>4200</v>
      </c>
      <c r="J8" s="221" t="s">
        <v>244</v>
      </c>
    </row>
    <row r="9" spans="1:10">
      <c r="A9" s="217" t="s">
        <v>245</v>
      </c>
      <c r="B9" s="217" t="s">
        <v>121</v>
      </c>
      <c r="C9" s="217" t="s">
        <v>95</v>
      </c>
      <c r="D9" s="217" t="s">
        <v>234</v>
      </c>
      <c r="E9" s="217"/>
      <c r="F9" s="217" t="s">
        <v>246</v>
      </c>
      <c r="G9" s="91">
        <v>900</v>
      </c>
      <c r="H9" s="91"/>
      <c r="I9" s="91">
        <f t="shared" ref="I9:I15" si="0">G9</f>
        <v>900</v>
      </c>
      <c r="J9" s="217" t="s">
        <v>247</v>
      </c>
    </row>
    <row r="10" spans="1:10">
      <c r="A10" s="217" t="s">
        <v>248</v>
      </c>
      <c r="B10" s="217" t="s">
        <v>121</v>
      </c>
      <c r="C10" s="217" t="s">
        <v>95</v>
      </c>
      <c r="D10" s="217" t="s">
        <v>234</v>
      </c>
      <c r="E10" s="217"/>
      <c r="F10" s="217" t="s">
        <v>249</v>
      </c>
      <c r="G10" s="91">
        <v>6000</v>
      </c>
      <c r="H10" s="91"/>
      <c r="I10" s="91">
        <f t="shared" si="0"/>
        <v>6000</v>
      </c>
      <c r="J10" s="221" t="s">
        <v>250</v>
      </c>
    </row>
    <row r="11" spans="1:10">
      <c r="A11" s="217" t="s">
        <v>248</v>
      </c>
      <c r="B11" s="217" t="s">
        <v>121</v>
      </c>
      <c r="C11" s="217" t="s">
        <v>95</v>
      </c>
      <c r="D11" s="217" t="s">
        <v>234</v>
      </c>
      <c r="E11" s="217"/>
      <c r="F11" s="217" t="s">
        <v>251</v>
      </c>
      <c r="G11" s="91">
        <v>6000</v>
      </c>
      <c r="H11" s="91"/>
      <c r="I11" s="91">
        <f t="shared" si="0"/>
        <v>6000</v>
      </c>
      <c r="J11" s="221" t="s">
        <v>252</v>
      </c>
    </row>
    <row r="12" spans="1:10">
      <c r="A12" s="241" t="s">
        <v>253</v>
      </c>
      <c r="B12" s="217" t="s">
        <v>121</v>
      </c>
      <c r="C12" s="217" t="s">
        <v>95</v>
      </c>
      <c r="D12" s="217" t="s">
        <v>234</v>
      </c>
      <c r="E12" s="217"/>
      <c r="F12" s="217" t="s">
        <v>254</v>
      </c>
      <c r="G12" s="91">
        <v>1449</v>
      </c>
      <c r="H12" s="91"/>
      <c r="I12" s="91">
        <f t="shared" si="0"/>
        <v>1449</v>
      </c>
      <c r="J12" s="221" t="s">
        <v>255</v>
      </c>
    </row>
    <row r="13" spans="1:10">
      <c r="A13" s="217" t="s">
        <v>256</v>
      </c>
      <c r="B13" s="217" t="s">
        <v>121</v>
      </c>
      <c r="C13" s="217" t="s">
        <v>95</v>
      </c>
      <c r="D13" s="217" t="s">
        <v>234</v>
      </c>
      <c r="E13" s="217"/>
      <c r="F13" s="217" t="s">
        <v>257</v>
      </c>
      <c r="G13" s="91">
        <v>1820</v>
      </c>
      <c r="H13" s="91"/>
      <c r="I13" s="91">
        <f t="shared" si="0"/>
        <v>1820</v>
      </c>
      <c r="J13" s="221" t="s">
        <v>258</v>
      </c>
    </row>
    <row r="14" spans="1:10">
      <c r="A14" s="217" t="s">
        <v>259</v>
      </c>
      <c r="B14" s="217" t="s">
        <v>121</v>
      </c>
      <c r="C14" s="217" t="s">
        <v>95</v>
      </c>
      <c r="D14" s="217" t="s">
        <v>234</v>
      </c>
      <c r="E14" s="217"/>
      <c r="F14" s="217" t="s">
        <v>260</v>
      </c>
      <c r="G14" s="91">
        <v>3500</v>
      </c>
      <c r="H14" s="91"/>
      <c r="I14" s="91">
        <f t="shared" si="0"/>
        <v>3500</v>
      </c>
      <c r="J14" s="221" t="s">
        <v>261</v>
      </c>
    </row>
    <row r="15" spans="1:10">
      <c r="A15" s="217" t="s">
        <v>259</v>
      </c>
      <c r="B15" s="217" t="s">
        <v>121</v>
      </c>
      <c r="C15" s="217" t="s">
        <v>95</v>
      </c>
      <c r="D15" s="217" t="s">
        <v>234</v>
      </c>
      <c r="E15" s="217"/>
      <c r="F15" s="217" t="s">
        <v>262</v>
      </c>
      <c r="G15" s="91">
        <v>4000</v>
      </c>
      <c r="H15" s="91"/>
      <c r="I15" s="91">
        <f t="shared" si="0"/>
        <v>4000</v>
      </c>
      <c r="J15" s="221" t="s">
        <v>263</v>
      </c>
    </row>
    <row r="16" spans="1:10">
      <c r="A16" s="217"/>
      <c r="B16" s="216" t="s">
        <v>264</v>
      </c>
      <c r="C16" s="217"/>
      <c r="D16" s="217"/>
      <c r="E16" s="217"/>
      <c r="F16" s="217"/>
      <c r="G16" s="226">
        <f>SUM(G5:G15)</f>
        <v>37223.81</v>
      </c>
      <c r="H16" s="226">
        <f>SUM(H5:H15)</f>
        <v>9226.85</v>
      </c>
      <c r="I16" s="91"/>
      <c r="J16" s="221"/>
    </row>
    <row r="17" spans="1:10">
      <c r="A17" s="223" t="s">
        <v>579</v>
      </c>
      <c r="B17" s="223" t="s">
        <v>231</v>
      </c>
      <c r="C17" s="223" t="s">
        <v>230</v>
      </c>
      <c r="D17" s="223" t="s">
        <v>230</v>
      </c>
      <c r="E17" s="217"/>
      <c r="F17" s="223" t="s">
        <v>230</v>
      </c>
      <c r="G17" s="226">
        <f>SUM(I5:I15)</f>
        <v>27996.959999999999</v>
      </c>
      <c r="H17" s="217"/>
      <c r="I17" s="217"/>
      <c r="J17" s="226"/>
    </row>
    <row r="18" spans="1:10">
      <c r="I18" s="211"/>
    </row>
    <row r="20" spans="1:10" ht="21">
      <c r="A20" s="210" t="s">
        <v>151</v>
      </c>
    </row>
    <row r="21" spans="1:10">
      <c r="A21" s="214" t="s">
        <v>219</v>
      </c>
      <c r="B21" s="214" t="s">
        <v>220</v>
      </c>
      <c r="C21" s="214" t="s">
        <v>221</v>
      </c>
      <c r="D21" s="214" t="s">
        <v>222</v>
      </c>
      <c r="E21" s="214" t="s">
        <v>223</v>
      </c>
      <c r="F21" s="214" t="s">
        <v>224</v>
      </c>
      <c r="G21" s="214" t="s">
        <v>225</v>
      </c>
      <c r="H21" s="214" t="s">
        <v>226</v>
      </c>
      <c r="I21" s="214" t="s">
        <v>227</v>
      </c>
      <c r="J21" s="215" t="s">
        <v>228</v>
      </c>
    </row>
    <row r="22" spans="1:10">
      <c r="A22" s="216" t="s">
        <v>266</v>
      </c>
      <c r="B22" s="216" t="s">
        <v>229</v>
      </c>
      <c r="C22" s="216" t="s">
        <v>230</v>
      </c>
      <c r="D22" s="216" t="s">
        <v>230</v>
      </c>
      <c r="E22" s="216" t="s">
        <v>230</v>
      </c>
      <c r="F22" s="216" t="s">
        <v>230</v>
      </c>
      <c r="G22" s="216" t="s">
        <v>230</v>
      </c>
      <c r="H22" s="216" t="s">
        <v>267</v>
      </c>
      <c r="I22" s="216" t="s">
        <v>230</v>
      </c>
      <c r="J22" s="217"/>
    </row>
    <row r="23" spans="1:10" s="213" customFormat="1" ht="100.8">
      <c r="A23" s="245">
        <v>45570</v>
      </c>
      <c r="B23" s="218" t="s">
        <v>151</v>
      </c>
      <c r="C23" s="219" t="s">
        <v>268</v>
      </c>
      <c r="D23" s="218" t="s">
        <v>269</v>
      </c>
      <c r="E23" s="218" t="s">
        <v>270</v>
      </c>
      <c r="F23" s="218" t="s">
        <v>271</v>
      </c>
      <c r="G23" s="218" t="s">
        <v>230</v>
      </c>
      <c r="H23" s="220">
        <v>158987.5</v>
      </c>
      <c r="I23" s="218" t="s">
        <v>272</v>
      </c>
      <c r="J23" s="218" t="s">
        <v>273</v>
      </c>
    </row>
    <row r="24" spans="1:10" s="213" customFormat="1" ht="28.8">
      <c r="A24" s="245">
        <v>45811</v>
      </c>
      <c r="B24" s="218" t="s">
        <v>151</v>
      </c>
      <c r="C24" s="219" t="s">
        <v>582</v>
      </c>
      <c r="D24" s="218" t="s">
        <v>269</v>
      </c>
      <c r="E24" s="218" t="s">
        <v>581</v>
      </c>
      <c r="F24" s="218" t="s">
        <v>580</v>
      </c>
      <c r="G24" s="220">
        <f>H23</f>
        <v>158987.5</v>
      </c>
      <c r="H24" s="220"/>
      <c r="I24" s="218"/>
      <c r="J24" s="218"/>
    </row>
    <row r="25" spans="1:10">
      <c r="A25" s="216" t="s">
        <v>230</v>
      </c>
      <c r="B25" s="216" t="s">
        <v>274</v>
      </c>
      <c r="C25" s="216" t="s">
        <v>230</v>
      </c>
      <c r="D25" s="216" t="s">
        <v>230</v>
      </c>
      <c r="E25" s="216" t="s">
        <v>230</v>
      </c>
      <c r="F25" s="216" t="s">
        <v>230</v>
      </c>
      <c r="G25" s="216" t="s">
        <v>267</v>
      </c>
      <c r="H25" s="216" t="s">
        <v>275</v>
      </c>
      <c r="I25" s="216" t="s">
        <v>230</v>
      </c>
      <c r="J25" s="217"/>
    </row>
    <row r="26" spans="1:10">
      <c r="A26" s="223" t="s">
        <v>579</v>
      </c>
      <c r="B26" s="216" t="s">
        <v>231</v>
      </c>
      <c r="C26" s="216" t="s">
        <v>230</v>
      </c>
      <c r="D26" s="216" t="s">
        <v>230</v>
      </c>
      <c r="E26" s="216" t="s">
        <v>230</v>
      </c>
      <c r="F26" s="216" t="s">
        <v>230</v>
      </c>
      <c r="G26" s="216" t="s">
        <v>230</v>
      </c>
      <c r="H26" s="216" t="s">
        <v>275</v>
      </c>
      <c r="I26" s="216" t="s">
        <v>230</v>
      </c>
      <c r="J26" s="217"/>
    </row>
    <row r="29" spans="1:10" ht="21">
      <c r="A29" s="210" t="s">
        <v>163</v>
      </c>
    </row>
    <row r="30" spans="1:10">
      <c r="A30" s="222" t="s">
        <v>219</v>
      </c>
      <c r="B30" s="222" t="s">
        <v>220</v>
      </c>
      <c r="C30" s="222" t="s">
        <v>221</v>
      </c>
      <c r="D30" s="222" t="s">
        <v>222</v>
      </c>
      <c r="E30" s="222" t="s">
        <v>223</v>
      </c>
      <c r="F30" s="222" t="s">
        <v>224</v>
      </c>
      <c r="G30" s="222" t="s">
        <v>225</v>
      </c>
      <c r="H30" s="222" t="s">
        <v>226</v>
      </c>
      <c r="I30" s="222" t="s">
        <v>227</v>
      </c>
    </row>
    <row r="31" spans="1:10">
      <c r="A31" s="223" t="s">
        <v>276</v>
      </c>
      <c r="B31" s="223" t="s">
        <v>229</v>
      </c>
      <c r="C31" s="223" t="s">
        <v>230</v>
      </c>
      <c r="D31" s="223" t="s">
        <v>230</v>
      </c>
      <c r="E31" s="223" t="s">
        <v>230</v>
      </c>
      <c r="F31" s="223" t="s">
        <v>230</v>
      </c>
      <c r="G31" s="223" t="s">
        <v>230</v>
      </c>
      <c r="H31" s="226">
        <v>19414.54</v>
      </c>
      <c r="I31" s="223" t="s">
        <v>230</v>
      </c>
    </row>
    <row r="32" spans="1:10">
      <c r="A32" s="217" t="s">
        <v>277</v>
      </c>
      <c r="B32" s="217" t="s">
        <v>278</v>
      </c>
      <c r="C32" s="217" t="s">
        <v>279</v>
      </c>
      <c r="D32" s="217" t="s">
        <v>269</v>
      </c>
      <c r="E32" s="217" t="s">
        <v>280</v>
      </c>
      <c r="F32" s="217" t="s">
        <v>281</v>
      </c>
      <c r="G32" s="221">
        <v>8090.18</v>
      </c>
      <c r="H32" s="217" t="s">
        <v>230</v>
      </c>
      <c r="I32" s="217" t="s">
        <v>282</v>
      </c>
    </row>
    <row r="33" spans="1:9">
      <c r="A33" s="217" t="s">
        <v>277</v>
      </c>
      <c r="B33" s="217" t="s">
        <v>278</v>
      </c>
      <c r="C33" s="217" t="s">
        <v>283</v>
      </c>
      <c r="D33" s="217" t="s">
        <v>269</v>
      </c>
      <c r="E33" s="217" t="s">
        <v>284</v>
      </c>
      <c r="F33" s="217" t="s">
        <v>285</v>
      </c>
      <c r="G33" s="221">
        <v>3382.2</v>
      </c>
      <c r="H33" s="217" t="s">
        <v>230</v>
      </c>
      <c r="I33" s="217" t="s">
        <v>286</v>
      </c>
    </row>
    <row r="34" spans="1:9">
      <c r="A34" s="217" t="s">
        <v>287</v>
      </c>
      <c r="B34" s="217" t="s">
        <v>278</v>
      </c>
      <c r="C34" s="217" t="s">
        <v>95</v>
      </c>
      <c r="D34" s="217" t="s">
        <v>234</v>
      </c>
      <c r="E34" s="217" t="s">
        <v>230</v>
      </c>
      <c r="F34" s="217" t="s">
        <v>288</v>
      </c>
      <c r="G34" s="221">
        <v>190743.4</v>
      </c>
      <c r="H34" s="217" t="s">
        <v>230</v>
      </c>
      <c r="I34" s="217" t="s">
        <v>289</v>
      </c>
    </row>
    <row r="35" spans="1:9">
      <c r="A35" s="217" t="s">
        <v>290</v>
      </c>
      <c r="B35" s="217" t="s">
        <v>278</v>
      </c>
      <c r="C35" s="217" t="s">
        <v>291</v>
      </c>
      <c r="D35" s="217" t="s">
        <v>269</v>
      </c>
      <c r="E35" s="217" t="s">
        <v>292</v>
      </c>
      <c r="F35" s="217" t="s">
        <v>291</v>
      </c>
      <c r="G35" s="221" t="s">
        <v>230</v>
      </c>
      <c r="H35" s="224">
        <v>3931.17</v>
      </c>
      <c r="I35" s="217" t="s">
        <v>293</v>
      </c>
    </row>
    <row r="36" spans="1:9">
      <c r="A36" s="217" t="s">
        <v>294</v>
      </c>
      <c r="B36" s="217" t="s">
        <v>278</v>
      </c>
      <c r="C36" s="217" t="s">
        <v>95</v>
      </c>
      <c r="D36" s="217" t="s">
        <v>234</v>
      </c>
      <c r="E36" s="217" t="s">
        <v>230</v>
      </c>
      <c r="F36" s="217" t="s">
        <v>295</v>
      </c>
      <c r="G36" s="221">
        <v>6500</v>
      </c>
      <c r="H36" s="224" t="s">
        <v>230</v>
      </c>
      <c r="I36" s="217" t="s">
        <v>296</v>
      </c>
    </row>
    <row r="37" spans="1:9">
      <c r="A37" s="217" t="s">
        <v>294</v>
      </c>
      <c r="B37" s="217" t="s">
        <v>278</v>
      </c>
      <c r="C37" s="217" t="s">
        <v>95</v>
      </c>
      <c r="D37" s="217" t="s">
        <v>234</v>
      </c>
      <c r="E37" s="217" t="s">
        <v>230</v>
      </c>
      <c r="F37" s="217" t="s">
        <v>297</v>
      </c>
      <c r="G37" s="221">
        <v>25000</v>
      </c>
      <c r="H37" s="224" t="s">
        <v>230</v>
      </c>
      <c r="I37" s="217" t="s">
        <v>298</v>
      </c>
    </row>
    <row r="38" spans="1:9">
      <c r="A38" s="217" t="s">
        <v>294</v>
      </c>
      <c r="B38" s="217" t="s">
        <v>278</v>
      </c>
      <c r="C38" s="217" t="s">
        <v>299</v>
      </c>
      <c r="D38" s="217" t="s">
        <v>269</v>
      </c>
      <c r="E38" s="217" t="s">
        <v>300</v>
      </c>
      <c r="F38" s="217" t="s">
        <v>299</v>
      </c>
      <c r="G38" s="221">
        <v>6000</v>
      </c>
      <c r="H38" s="224" t="s">
        <v>230</v>
      </c>
      <c r="I38" s="217" t="s">
        <v>301</v>
      </c>
    </row>
    <row r="39" spans="1:9">
      <c r="A39" s="217" t="s">
        <v>294</v>
      </c>
      <c r="B39" s="217" t="s">
        <v>278</v>
      </c>
      <c r="C39" s="217" t="s">
        <v>302</v>
      </c>
      <c r="D39" s="217" t="s">
        <v>269</v>
      </c>
      <c r="E39" s="217" t="s">
        <v>303</v>
      </c>
      <c r="F39" s="217" t="s">
        <v>302</v>
      </c>
      <c r="G39" s="221">
        <v>10500</v>
      </c>
      <c r="H39" s="224" t="s">
        <v>230</v>
      </c>
      <c r="I39" s="217" t="s">
        <v>304</v>
      </c>
    </row>
    <row r="40" spans="1:9">
      <c r="A40" s="217" t="s">
        <v>294</v>
      </c>
      <c r="B40" s="217" t="s">
        <v>278</v>
      </c>
      <c r="C40" s="217" t="s">
        <v>305</v>
      </c>
      <c r="D40" s="217" t="s">
        <v>269</v>
      </c>
      <c r="E40" s="217" t="s">
        <v>306</v>
      </c>
      <c r="F40" s="217" t="s">
        <v>305</v>
      </c>
      <c r="G40" s="217">
        <v>23000</v>
      </c>
      <c r="H40" s="224" t="s">
        <v>230</v>
      </c>
      <c r="I40" s="217" t="s">
        <v>307</v>
      </c>
    </row>
    <row r="41" spans="1:9">
      <c r="A41" s="217" t="s">
        <v>308</v>
      </c>
      <c r="B41" s="217" t="s">
        <v>278</v>
      </c>
      <c r="C41" s="217" t="s">
        <v>309</v>
      </c>
      <c r="D41" s="217" t="s">
        <v>269</v>
      </c>
      <c r="E41" s="217" t="s">
        <v>310</v>
      </c>
      <c r="F41" s="217" t="s">
        <v>309</v>
      </c>
      <c r="G41" s="221">
        <v>21386.66</v>
      </c>
      <c r="H41" s="224" t="s">
        <v>230</v>
      </c>
      <c r="I41" s="217" t="s">
        <v>311</v>
      </c>
    </row>
    <row r="42" spans="1:9">
      <c r="A42" s="217" t="s">
        <v>308</v>
      </c>
      <c r="B42" s="217" t="s">
        <v>278</v>
      </c>
      <c r="C42" s="217" t="s">
        <v>312</v>
      </c>
      <c r="D42" s="217" t="s">
        <v>269</v>
      </c>
      <c r="E42" s="217" t="s">
        <v>313</v>
      </c>
      <c r="F42" s="217" t="s">
        <v>312</v>
      </c>
      <c r="G42" s="221">
        <v>13500</v>
      </c>
      <c r="H42" s="224" t="s">
        <v>230</v>
      </c>
      <c r="I42" s="217" t="s">
        <v>314</v>
      </c>
    </row>
    <row r="43" spans="1:9">
      <c r="A43" s="217" t="s">
        <v>308</v>
      </c>
      <c r="B43" s="217" t="s">
        <v>278</v>
      </c>
      <c r="C43" s="217" t="s">
        <v>315</v>
      </c>
      <c r="D43" s="217" t="s">
        <v>269</v>
      </c>
      <c r="E43" s="217" t="s">
        <v>316</v>
      </c>
      <c r="F43" s="217" t="s">
        <v>315</v>
      </c>
      <c r="G43" s="221">
        <v>7999.99</v>
      </c>
      <c r="H43" s="224" t="s">
        <v>230</v>
      </c>
      <c r="I43" s="217" t="s">
        <v>317</v>
      </c>
    </row>
    <row r="44" spans="1:9">
      <c r="A44" s="217" t="s">
        <v>308</v>
      </c>
      <c r="B44" s="217" t="s">
        <v>278</v>
      </c>
      <c r="C44" s="217" t="s">
        <v>318</v>
      </c>
      <c r="D44" s="217" t="s">
        <v>269</v>
      </c>
      <c r="E44" s="217" t="s">
        <v>319</v>
      </c>
      <c r="F44" s="217" t="s">
        <v>318</v>
      </c>
      <c r="G44" s="221">
        <v>6292.5</v>
      </c>
      <c r="H44" s="224" t="s">
        <v>230</v>
      </c>
      <c r="I44" s="217" t="s">
        <v>320</v>
      </c>
    </row>
    <row r="45" spans="1:9">
      <c r="A45" s="217" t="s">
        <v>308</v>
      </c>
      <c r="B45" s="217" t="s">
        <v>278</v>
      </c>
      <c r="C45" s="217" t="s">
        <v>321</v>
      </c>
      <c r="D45" s="217" t="s">
        <v>269</v>
      </c>
      <c r="E45" s="217" t="s">
        <v>322</v>
      </c>
      <c r="F45" s="217" t="s">
        <v>321</v>
      </c>
      <c r="G45" s="221">
        <v>14043.75</v>
      </c>
      <c r="H45" s="224" t="s">
        <v>230</v>
      </c>
      <c r="I45" s="217" t="s">
        <v>323</v>
      </c>
    </row>
    <row r="46" spans="1:9">
      <c r="A46" s="217" t="s">
        <v>324</v>
      </c>
      <c r="B46" s="217" t="s">
        <v>278</v>
      </c>
      <c r="C46" s="217" t="s">
        <v>325</v>
      </c>
      <c r="D46" s="217" t="s">
        <v>269</v>
      </c>
      <c r="E46" s="217" t="s">
        <v>326</v>
      </c>
      <c r="F46" s="217" t="s">
        <v>325</v>
      </c>
      <c r="G46" s="221">
        <v>16366.88</v>
      </c>
      <c r="H46" s="224" t="s">
        <v>230</v>
      </c>
      <c r="I46" s="217" t="s">
        <v>327</v>
      </c>
    </row>
    <row r="47" spans="1:9">
      <c r="A47" s="217" t="s">
        <v>324</v>
      </c>
      <c r="B47" s="217" t="s">
        <v>278</v>
      </c>
      <c r="C47" s="217" t="s">
        <v>328</v>
      </c>
      <c r="D47" s="217" t="s">
        <v>269</v>
      </c>
      <c r="E47" s="217" t="s">
        <v>329</v>
      </c>
      <c r="F47" s="217" t="s">
        <v>328</v>
      </c>
      <c r="G47" s="221">
        <v>9375</v>
      </c>
      <c r="H47" s="224" t="s">
        <v>230</v>
      </c>
      <c r="I47" s="217" t="s">
        <v>330</v>
      </c>
    </row>
    <row r="48" spans="1:9">
      <c r="A48" s="217" t="s">
        <v>324</v>
      </c>
      <c r="B48" s="217" t="s">
        <v>278</v>
      </c>
      <c r="C48" s="217" t="s">
        <v>331</v>
      </c>
      <c r="D48" s="217" t="s">
        <v>269</v>
      </c>
      <c r="E48" s="217" t="s">
        <v>332</v>
      </c>
      <c r="F48" s="217" t="s">
        <v>331</v>
      </c>
      <c r="G48" s="221">
        <v>24931.5</v>
      </c>
      <c r="H48" s="224" t="s">
        <v>230</v>
      </c>
      <c r="I48" s="217" t="s">
        <v>333</v>
      </c>
    </row>
    <row r="49" spans="1:10">
      <c r="A49" s="217" t="s">
        <v>324</v>
      </c>
      <c r="B49" s="217" t="s">
        <v>278</v>
      </c>
      <c r="C49" s="217" t="s">
        <v>334</v>
      </c>
      <c r="D49" s="217" t="s">
        <v>269</v>
      </c>
      <c r="E49" s="217" t="s">
        <v>335</v>
      </c>
      <c r="F49" s="217" t="s">
        <v>334</v>
      </c>
      <c r="G49" s="221" t="s">
        <v>230</v>
      </c>
      <c r="H49" s="224">
        <v>195639</v>
      </c>
      <c r="I49" s="217" t="s">
        <v>336</v>
      </c>
    </row>
    <row r="50" spans="1:10">
      <c r="A50" s="217" t="s">
        <v>324</v>
      </c>
      <c r="B50" s="217" t="s">
        <v>278</v>
      </c>
      <c r="C50" s="217" t="s">
        <v>337</v>
      </c>
      <c r="D50" s="217" t="s">
        <v>269</v>
      </c>
      <c r="E50" s="217" t="s">
        <v>338</v>
      </c>
      <c r="F50" s="217" t="s">
        <v>337</v>
      </c>
      <c r="G50" s="217" t="s">
        <v>230</v>
      </c>
      <c r="H50" s="224">
        <v>264561.57</v>
      </c>
      <c r="I50" s="217" t="s">
        <v>339</v>
      </c>
    </row>
    <row r="51" spans="1:10">
      <c r="A51" s="217" t="s">
        <v>324</v>
      </c>
      <c r="B51" s="217" t="s">
        <v>278</v>
      </c>
      <c r="C51" s="217" t="s">
        <v>340</v>
      </c>
      <c r="D51" s="217" t="s">
        <v>269</v>
      </c>
      <c r="E51" s="217" t="s">
        <v>341</v>
      </c>
      <c r="F51" s="217" t="s">
        <v>342</v>
      </c>
      <c r="G51" s="221">
        <v>50808.639999999999</v>
      </c>
      <c r="H51" s="217" t="s">
        <v>230</v>
      </c>
      <c r="I51" s="217" t="s">
        <v>343</v>
      </c>
    </row>
    <row r="52" spans="1:10">
      <c r="A52" s="217" t="s">
        <v>230</v>
      </c>
      <c r="B52" s="225" t="s">
        <v>344</v>
      </c>
      <c r="C52" s="217" t="s">
        <v>230</v>
      </c>
      <c r="D52" s="217" t="s">
        <v>230</v>
      </c>
      <c r="E52" s="217" t="s">
        <v>230</v>
      </c>
      <c r="F52" s="217" t="s">
        <v>230</v>
      </c>
      <c r="G52" s="242">
        <f>SUM(G32:G51)</f>
        <v>437920.7</v>
      </c>
      <c r="H52" s="242">
        <f>SUM(H32:H51)</f>
        <v>464131.74</v>
      </c>
      <c r="I52" s="217" t="s">
        <v>230</v>
      </c>
    </row>
    <row r="53" spans="1:10">
      <c r="A53" s="223" t="s">
        <v>265</v>
      </c>
      <c r="B53" s="223" t="s">
        <v>231</v>
      </c>
      <c r="C53" s="223" t="s">
        <v>230</v>
      </c>
      <c r="D53" s="223" t="s">
        <v>230</v>
      </c>
      <c r="E53" s="223" t="s">
        <v>230</v>
      </c>
      <c r="F53" s="223" t="s">
        <v>230</v>
      </c>
      <c r="G53" s="223" t="s">
        <v>230</v>
      </c>
      <c r="H53" s="226">
        <f>H31+H52-G52</f>
        <v>45625.579999999958</v>
      </c>
      <c r="I53" s="223" t="s">
        <v>230</v>
      </c>
    </row>
    <row r="54" spans="1:10" ht="10.95" customHeight="1"/>
    <row r="55" spans="1:10">
      <c r="F55" s="225" t="s">
        <v>345</v>
      </c>
      <c r="G55" s="225" t="s">
        <v>346</v>
      </c>
      <c r="H55" s="225" t="s">
        <v>347</v>
      </c>
    </row>
    <row r="56" spans="1:10">
      <c r="F56" s="217" t="s">
        <v>348</v>
      </c>
      <c r="G56" s="221">
        <v>6666.67</v>
      </c>
      <c r="H56" s="224">
        <v>25000.012500000001</v>
      </c>
    </row>
    <row r="57" spans="1:10">
      <c r="F57" s="217" t="s">
        <v>349</v>
      </c>
      <c r="G57" s="221">
        <v>373.33400000000006</v>
      </c>
      <c r="H57" s="224">
        <v>1400.0025000000003</v>
      </c>
    </row>
    <row r="58" spans="1:10">
      <c r="F58" s="217" t="s">
        <v>350</v>
      </c>
      <c r="G58" s="221"/>
      <c r="H58" s="224">
        <v>14681.81</v>
      </c>
    </row>
    <row r="59" spans="1:10">
      <c r="F59" s="217" t="s">
        <v>351</v>
      </c>
      <c r="G59" s="221"/>
      <c r="H59" s="224">
        <v>4636.3599999999997</v>
      </c>
    </row>
    <row r="60" spans="1:10">
      <c r="F60" s="217" t="s">
        <v>352</v>
      </c>
      <c r="G60" s="217"/>
      <c r="H60" s="244">
        <v>-92.605000000039581</v>
      </c>
    </row>
    <row r="61" spans="1:10">
      <c r="H61" s="71">
        <f>SUM(H56:H60)</f>
        <v>45625.579999999958</v>
      </c>
      <c r="I61" s="2"/>
    </row>
    <row r="62" spans="1:10" ht="21">
      <c r="A62" s="210" t="s">
        <v>153</v>
      </c>
      <c r="H62" s="211"/>
    </row>
    <row r="63" spans="1:10">
      <c r="A63" s="222" t="s">
        <v>219</v>
      </c>
      <c r="B63" s="222" t="s">
        <v>220</v>
      </c>
      <c r="C63" s="222" t="s">
        <v>221</v>
      </c>
      <c r="D63" s="222" t="s">
        <v>222</v>
      </c>
      <c r="E63" s="222" t="s">
        <v>223</v>
      </c>
      <c r="F63" s="222" t="s">
        <v>224</v>
      </c>
      <c r="G63" s="222" t="s">
        <v>225</v>
      </c>
      <c r="H63" s="222" t="s">
        <v>226</v>
      </c>
      <c r="I63" s="222" t="s">
        <v>227</v>
      </c>
      <c r="J63" s="222" t="s">
        <v>228</v>
      </c>
    </row>
    <row r="64" spans="1:10">
      <c r="A64" s="217" t="s">
        <v>353</v>
      </c>
      <c r="B64" s="217" t="s">
        <v>153</v>
      </c>
      <c r="C64" s="217" t="s">
        <v>131</v>
      </c>
      <c r="D64" s="217" t="s">
        <v>234</v>
      </c>
      <c r="E64" s="217" t="s">
        <v>230</v>
      </c>
      <c r="F64" s="217" t="s">
        <v>230</v>
      </c>
      <c r="G64" s="217" t="s">
        <v>230</v>
      </c>
      <c r="H64" s="221">
        <v>2378.27</v>
      </c>
      <c r="I64" s="217" t="s">
        <v>354</v>
      </c>
      <c r="J64" s="217" t="s">
        <v>355</v>
      </c>
    </row>
    <row r="65" spans="1:10">
      <c r="A65" s="217" t="s">
        <v>353</v>
      </c>
      <c r="B65" s="217" t="s">
        <v>153</v>
      </c>
      <c r="C65" s="217" t="s">
        <v>48</v>
      </c>
      <c r="D65" s="217" t="s">
        <v>234</v>
      </c>
      <c r="E65" s="217" t="s">
        <v>230</v>
      </c>
      <c r="F65" s="217" t="s">
        <v>356</v>
      </c>
      <c r="G65" s="217" t="s">
        <v>230</v>
      </c>
      <c r="H65" s="221">
        <v>1150</v>
      </c>
      <c r="I65" s="217" t="s">
        <v>357</v>
      </c>
      <c r="J65" s="217" t="s">
        <v>358</v>
      </c>
    </row>
    <row r="66" spans="1:10">
      <c r="A66" s="217" t="s">
        <v>353</v>
      </c>
      <c r="B66" s="217" t="s">
        <v>153</v>
      </c>
      <c r="C66" s="217" t="s">
        <v>48</v>
      </c>
      <c r="D66" s="217" t="s">
        <v>234</v>
      </c>
      <c r="E66" s="217" t="s">
        <v>230</v>
      </c>
      <c r="F66" s="217" t="s">
        <v>359</v>
      </c>
      <c r="G66" s="217" t="s">
        <v>230</v>
      </c>
      <c r="H66" s="221">
        <v>3312</v>
      </c>
      <c r="I66" s="217" t="s">
        <v>360</v>
      </c>
      <c r="J66" s="217" t="s">
        <v>358</v>
      </c>
    </row>
    <row r="67" spans="1:10">
      <c r="A67" s="217" t="s">
        <v>353</v>
      </c>
      <c r="B67" s="217" t="s">
        <v>153</v>
      </c>
      <c r="C67" s="217" t="s">
        <v>48</v>
      </c>
      <c r="D67" s="217" t="s">
        <v>234</v>
      </c>
      <c r="E67" s="217" t="s">
        <v>230</v>
      </c>
      <c r="F67" s="217" t="s">
        <v>361</v>
      </c>
      <c r="G67" s="217" t="s">
        <v>230</v>
      </c>
      <c r="H67" s="221">
        <v>29555</v>
      </c>
      <c r="I67" s="217" t="s">
        <v>362</v>
      </c>
      <c r="J67" s="217" t="s">
        <v>358</v>
      </c>
    </row>
    <row r="68" spans="1:10">
      <c r="A68" s="217" t="s">
        <v>353</v>
      </c>
      <c r="B68" s="217" t="s">
        <v>153</v>
      </c>
      <c r="C68" s="217" t="s">
        <v>48</v>
      </c>
      <c r="D68" s="217" t="s">
        <v>234</v>
      </c>
      <c r="E68" s="217" t="s">
        <v>230</v>
      </c>
      <c r="F68" s="217" t="s">
        <v>363</v>
      </c>
      <c r="G68" s="217" t="s">
        <v>230</v>
      </c>
      <c r="H68" s="221">
        <v>1184.5</v>
      </c>
      <c r="I68" s="217" t="s">
        <v>364</v>
      </c>
      <c r="J68" s="217" t="s">
        <v>358</v>
      </c>
    </row>
    <row r="69" spans="1:10">
      <c r="A69" s="217" t="s">
        <v>353</v>
      </c>
      <c r="B69" s="217" t="s">
        <v>153</v>
      </c>
      <c r="C69" s="217" t="s">
        <v>48</v>
      </c>
      <c r="D69" s="217" t="s">
        <v>234</v>
      </c>
      <c r="E69" s="217" t="s">
        <v>230</v>
      </c>
      <c r="F69" s="217" t="s">
        <v>365</v>
      </c>
      <c r="G69" s="217" t="s">
        <v>230</v>
      </c>
      <c r="H69" s="221">
        <v>4347</v>
      </c>
      <c r="I69" s="217" t="s">
        <v>366</v>
      </c>
      <c r="J69" s="217" t="s">
        <v>358</v>
      </c>
    </row>
    <row r="70" spans="1:10">
      <c r="A70" s="217" t="s">
        <v>353</v>
      </c>
      <c r="B70" s="217" t="s">
        <v>153</v>
      </c>
      <c r="C70" s="217" t="s">
        <v>48</v>
      </c>
      <c r="D70" s="217" t="s">
        <v>234</v>
      </c>
      <c r="E70" s="217" t="s">
        <v>230</v>
      </c>
      <c r="F70" s="217" t="s">
        <v>361</v>
      </c>
      <c r="G70" s="217" t="s">
        <v>230</v>
      </c>
      <c r="H70" s="221">
        <v>23632.5</v>
      </c>
      <c r="I70" s="217" t="s">
        <v>367</v>
      </c>
      <c r="J70" s="217" t="s">
        <v>358</v>
      </c>
    </row>
    <row r="71" spans="1:10">
      <c r="A71" s="217" t="s">
        <v>353</v>
      </c>
      <c r="B71" s="217" t="s">
        <v>153</v>
      </c>
      <c r="C71" s="217" t="s">
        <v>48</v>
      </c>
      <c r="D71" s="217" t="s">
        <v>234</v>
      </c>
      <c r="E71" s="217" t="s">
        <v>230</v>
      </c>
      <c r="F71" s="217" t="s">
        <v>368</v>
      </c>
      <c r="G71" s="217" t="s">
        <v>230</v>
      </c>
      <c r="H71" s="217">
        <v>632.5</v>
      </c>
      <c r="I71" s="217" t="s">
        <v>369</v>
      </c>
      <c r="J71" s="217" t="s">
        <v>358</v>
      </c>
    </row>
    <row r="72" spans="1:10">
      <c r="A72" s="217" t="s">
        <v>353</v>
      </c>
      <c r="B72" s="217" t="s">
        <v>153</v>
      </c>
      <c r="C72" s="217" t="s">
        <v>48</v>
      </c>
      <c r="D72" s="217" t="s">
        <v>234</v>
      </c>
      <c r="E72" s="217" t="s">
        <v>230</v>
      </c>
      <c r="F72" s="217" t="s">
        <v>368</v>
      </c>
      <c r="G72" s="217" t="s">
        <v>230</v>
      </c>
      <c r="H72" s="221">
        <v>1081</v>
      </c>
      <c r="I72" s="217" t="s">
        <v>370</v>
      </c>
      <c r="J72" s="217" t="s">
        <v>358</v>
      </c>
    </row>
    <row r="73" spans="1:10">
      <c r="A73" s="217" t="s">
        <v>353</v>
      </c>
      <c r="B73" s="217" t="s">
        <v>153</v>
      </c>
      <c r="C73" s="217" t="s">
        <v>48</v>
      </c>
      <c r="D73" s="217" t="s">
        <v>234</v>
      </c>
      <c r="E73" s="217" t="s">
        <v>230</v>
      </c>
      <c r="F73" s="217" t="s">
        <v>361</v>
      </c>
      <c r="G73" s="217" t="s">
        <v>230</v>
      </c>
      <c r="H73" s="221">
        <v>30360</v>
      </c>
      <c r="I73" s="217" t="s">
        <v>371</v>
      </c>
      <c r="J73" s="217" t="s">
        <v>358</v>
      </c>
    </row>
    <row r="74" spans="1:10">
      <c r="A74" s="217" t="s">
        <v>353</v>
      </c>
      <c r="B74" s="217" t="s">
        <v>153</v>
      </c>
      <c r="C74" s="217" t="s">
        <v>48</v>
      </c>
      <c r="D74" s="217" t="s">
        <v>234</v>
      </c>
      <c r="E74" s="217" t="s">
        <v>230</v>
      </c>
      <c r="F74" s="217" t="s">
        <v>372</v>
      </c>
      <c r="G74" s="217" t="s">
        <v>230</v>
      </c>
      <c r="H74" s="221">
        <v>5175</v>
      </c>
      <c r="I74" s="217" t="s">
        <v>373</v>
      </c>
      <c r="J74" s="217" t="s">
        <v>358</v>
      </c>
    </row>
    <row r="75" spans="1:10">
      <c r="A75" s="217" t="s">
        <v>374</v>
      </c>
      <c r="B75" s="217" t="s">
        <v>153</v>
      </c>
      <c r="C75" s="217" t="s">
        <v>31</v>
      </c>
      <c r="D75" s="217" t="s">
        <v>234</v>
      </c>
      <c r="E75" s="217" t="s">
        <v>230</v>
      </c>
      <c r="F75" s="217" t="s">
        <v>230</v>
      </c>
      <c r="G75" s="217" t="s">
        <v>230</v>
      </c>
      <c r="H75" s="221">
        <v>2000</v>
      </c>
      <c r="I75" s="217" t="s">
        <v>375</v>
      </c>
      <c r="J75" s="217" t="s">
        <v>376</v>
      </c>
    </row>
    <row r="76" spans="1:10">
      <c r="A76" s="217" t="s">
        <v>324</v>
      </c>
      <c r="B76" s="217" t="s">
        <v>153</v>
      </c>
      <c r="C76" s="217" t="s">
        <v>48</v>
      </c>
      <c r="D76" s="217" t="s">
        <v>234</v>
      </c>
      <c r="E76" s="217" t="s">
        <v>230</v>
      </c>
      <c r="F76" s="217" t="s">
        <v>377</v>
      </c>
      <c r="G76" s="221" t="s">
        <v>230</v>
      </c>
      <c r="H76" s="217">
        <v>1679</v>
      </c>
      <c r="I76" s="217" t="s">
        <v>378</v>
      </c>
      <c r="J76" s="217" t="s">
        <v>358</v>
      </c>
    </row>
    <row r="77" spans="1:10">
      <c r="A77" s="217" t="s">
        <v>324</v>
      </c>
      <c r="B77" s="217" t="s">
        <v>153</v>
      </c>
      <c r="C77" s="217" t="s">
        <v>48</v>
      </c>
      <c r="D77" s="217" t="s">
        <v>234</v>
      </c>
      <c r="E77" s="217" t="s">
        <v>230</v>
      </c>
      <c r="F77" s="217" t="s">
        <v>361</v>
      </c>
      <c r="G77" s="221" t="s">
        <v>230</v>
      </c>
      <c r="H77" s="217">
        <v>31107.5</v>
      </c>
      <c r="I77" s="217" t="s">
        <v>379</v>
      </c>
      <c r="J77" s="217" t="s">
        <v>358</v>
      </c>
    </row>
    <row r="78" spans="1:10">
      <c r="A78" s="217" t="s">
        <v>324</v>
      </c>
      <c r="B78" s="217" t="s">
        <v>153</v>
      </c>
      <c r="C78" s="217" t="s">
        <v>48</v>
      </c>
      <c r="D78" s="217" t="s">
        <v>234</v>
      </c>
      <c r="E78" s="217" t="s">
        <v>230</v>
      </c>
      <c r="F78" s="217" t="s">
        <v>372</v>
      </c>
      <c r="G78" s="221" t="s">
        <v>230</v>
      </c>
      <c r="H78" s="217">
        <v>4554</v>
      </c>
      <c r="I78" s="217" t="s">
        <v>380</v>
      </c>
      <c r="J78" s="217" t="s">
        <v>358</v>
      </c>
    </row>
    <row r="79" spans="1:10">
      <c r="A79" s="217" t="s">
        <v>324</v>
      </c>
      <c r="B79" s="217" t="s">
        <v>153</v>
      </c>
      <c r="C79" s="217" t="s">
        <v>48</v>
      </c>
      <c r="D79" s="217" t="s">
        <v>234</v>
      </c>
      <c r="E79" s="217" t="s">
        <v>230</v>
      </c>
      <c r="F79" s="217" t="s">
        <v>381</v>
      </c>
      <c r="G79" s="221" t="s">
        <v>230</v>
      </c>
      <c r="H79" s="217">
        <v>40250</v>
      </c>
      <c r="I79" s="217" t="s">
        <v>382</v>
      </c>
      <c r="J79" s="217" t="s">
        <v>358</v>
      </c>
    </row>
    <row r="80" spans="1:10">
      <c r="A80" s="217" t="s">
        <v>324</v>
      </c>
      <c r="B80" s="217" t="s">
        <v>153</v>
      </c>
      <c r="C80" s="217" t="s">
        <v>48</v>
      </c>
      <c r="D80" s="217" t="s">
        <v>234</v>
      </c>
      <c r="E80" s="217" t="s">
        <v>230</v>
      </c>
      <c r="F80" s="217" t="s">
        <v>368</v>
      </c>
      <c r="G80" s="221" t="s">
        <v>230</v>
      </c>
      <c r="H80" s="217">
        <v>1000.5</v>
      </c>
      <c r="I80" s="217" t="s">
        <v>383</v>
      </c>
      <c r="J80" s="217" t="s">
        <v>358</v>
      </c>
    </row>
    <row r="81" spans="1:10">
      <c r="A81" s="217" t="s">
        <v>324</v>
      </c>
      <c r="B81" s="217" t="s">
        <v>153</v>
      </c>
      <c r="C81" s="217" t="s">
        <v>48</v>
      </c>
      <c r="D81" s="217" t="s">
        <v>234</v>
      </c>
      <c r="E81" s="217" t="s">
        <v>230</v>
      </c>
      <c r="F81" s="217" t="s">
        <v>361</v>
      </c>
      <c r="G81" s="221" t="s">
        <v>230</v>
      </c>
      <c r="H81" s="217">
        <v>13455</v>
      </c>
      <c r="I81" s="217" t="s">
        <v>384</v>
      </c>
      <c r="J81" s="217" t="s">
        <v>358</v>
      </c>
    </row>
    <row r="82" spans="1:10">
      <c r="A82" s="217" t="s">
        <v>324</v>
      </c>
      <c r="B82" s="217" t="s">
        <v>153</v>
      </c>
      <c r="C82" s="217" t="s">
        <v>48</v>
      </c>
      <c r="D82" s="217" t="s">
        <v>234</v>
      </c>
      <c r="E82" s="217" t="s">
        <v>230</v>
      </c>
      <c r="F82" s="217" t="s">
        <v>372</v>
      </c>
      <c r="G82" s="221" t="s">
        <v>230</v>
      </c>
      <c r="H82" s="217">
        <v>1242</v>
      </c>
      <c r="I82" s="217" t="s">
        <v>385</v>
      </c>
      <c r="J82" s="217" t="s">
        <v>358</v>
      </c>
    </row>
    <row r="83" spans="1:10">
      <c r="A83" s="217" t="s">
        <v>324</v>
      </c>
      <c r="B83" s="217" t="s">
        <v>153</v>
      </c>
      <c r="C83" s="217" t="s">
        <v>48</v>
      </c>
      <c r="D83" s="217" t="s">
        <v>234</v>
      </c>
      <c r="E83" s="217" t="s">
        <v>230</v>
      </c>
      <c r="F83" s="217" t="s">
        <v>361</v>
      </c>
      <c r="G83" s="221" t="s">
        <v>230</v>
      </c>
      <c r="H83" s="217">
        <v>10695</v>
      </c>
      <c r="I83" s="217" t="s">
        <v>386</v>
      </c>
      <c r="J83" s="217" t="s">
        <v>358</v>
      </c>
    </row>
    <row r="84" spans="1:10">
      <c r="A84" s="217" t="s">
        <v>324</v>
      </c>
      <c r="B84" s="217" t="s">
        <v>153</v>
      </c>
      <c r="C84" s="217" t="s">
        <v>48</v>
      </c>
      <c r="D84" s="217" t="s">
        <v>234</v>
      </c>
      <c r="E84" s="217" t="s">
        <v>230</v>
      </c>
      <c r="F84" s="217" t="s">
        <v>372</v>
      </c>
      <c r="G84" s="221" t="s">
        <v>230</v>
      </c>
      <c r="H84" s="217">
        <v>414</v>
      </c>
      <c r="I84" s="217" t="s">
        <v>387</v>
      </c>
      <c r="J84" s="217" t="s">
        <v>358</v>
      </c>
    </row>
    <row r="85" spans="1:10">
      <c r="A85" s="217" t="s">
        <v>324</v>
      </c>
      <c r="B85" s="217" t="s">
        <v>153</v>
      </c>
      <c r="C85" s="217" t="s">
        <v>48</v>
      </c>
      <c r="D85" s="217" t="s">
        <v>234</v>
      </c>
      <c r="E85" s="217" t="s">
        <v>230</v>
      </c>
      <c r="F85" s="217" t="s">
        <v>368</v>
      </c>
      <c r="G85" s="221" t="s">
        <v>230</v>
      </c>
      <c r="H85" s="217">
        <v>483</v>
      </c>
      <c r="I85" s="217" t="s">
        <v>388</v>
      </c>
      <c r="J85" s="217" t="s">
        <v>358</v>
      </c>
    </row>
    <row r="86" spans="1:10">
      <c r="A86" s="217" t="s">
        <v>324</v>
      </c>
      <c r="B86" s="217" t="s">
        <v>153</v>
      </c>
      <c r="C86" s="217" t="s">
        <v>389</v>
      </c>
      <c r="D86" s="217" t="s">
        <v>269</v>
      </c>
      <c r="E86" s="217" t="s">
        <v>390</v>
      </c>
      <c r="F86" s="217" t="s">
        <v>389</v>
      </c>
      <c r="G86" s="221" t="s">
        <v>230</v>
      </c>
      <c r="H86" s="217">
        <v>7339.8</v>
      </c>
      <c r="I86" s="217" t="s">
        <v>391</v>
      </c>
      <c r="J86" s="217" t="s">
        <v>389</v>
      </c>
    </row>
    <row r="87" spans="1:10">
      <c r="A87" s="217" t="s">
        <v>324</v>
      </c>
      <c r="B87" s="217" t="s">
        <v>153</v>
      </c>
      <c r="C87" s="217" t="s">
        <v>31</v>
      </c>
      <c r="D87" s="217" t="s">
        <v>234</v>
      </c>
      <c r="E87" s="217" t="s">
        <v>230</v>
      </c>
      <c r="F87" s="217" t="s">
        <v>392</v>
      </c>
      <c r="G87" s="221" t="s">
        <v>230</v>
      </c>
      <c r="H87" s="217">
        <v>2000</v>
      </c>
      <c r="I87" s="217" t="s">
        <v>375</v>
      </c>
      <c r="J87" s="217" t="s">
        <v>392</v>
      </c>
    </row>
    <row r="88" spans="1:10">
      <c r="A88" s="223" t="s">
        <v>230</v>
      </c>
      <c r="B88" s="223" t="s">
        <v>393</v>
      </c>
      <c r="C88" s="223" t="s">
        <v>230</v>
      </c>
      <c r="D88" s="223" t="s">
        <v>230</v>
      </c>
      <c r="E88" s="223" t="s">
        <v>230</v>
      </c>
      <c r="F88" s="223" t="s">
        <v>230</v>
      </c>
      <c r="G88" s="228">
        <f>SUM(G64:G75)</f>
        <v>0</v>
      </c>
      <c r="H88" s="228">
        <f>SUM(H64:H87)</f>
        <v>219027.57</v>
      </c>
      <c r="I88" s="223" t="s">
        <v>230</v>
      </c>
      <c r="J88" s="217"/>
    </row>
    <row r="89" spans="1:10">
      <c r="A89" s="223" t="s">
        <v>265</v>
      </c>
      <c r="B89" s="223" t="s">
        <v>231</v>
      </c>
      <c r="C89" s="223" t="s">
        <v>230</v>
      </c>
      <c r="D89" s="223" t="s">
        <v>230</v>
      </c>
      <c r="E89" s="223" t="s">
        <v>230</v>
      </c>
      <c r="F89" s="223" t="s">
        <v>230</v>
      </c>
      <c r="G89" s="228" t="s">
        <v>230</v>
      </c>
      <c r="H89" s="228">
        <f>H88-G88</f>
        <v>219027.57</v>
      </c>
      <c r="I89" s="223" t="s">
        <v>230</v>
      </c>
      <c r="J89" s="217"/>
    </row>
    <row r="91" spans="1:10">
      <c r="H91" s="2"/>
    </row>
    <row r="94" spans="1:10" ht="18">
      <c r="A94" s="232" t="s">
        <v>154</v>
      </c>
    </row>
    <row r="95" spans="1:10">
      <c r="A95" s="222" t="s">
        <v>219</v>
      </c>
      <c r="B95" s="222" t="s">
        <v>220</v>
      </c>
      <c r="C95" s="229" t="s">
        <v>221</v>
      </c>
      <c r="D95" s="222" t="s">
        <v>222</v>
      </c>
      <c r="E95" s="222" t="s">
        <v>223</v>
      </c>
      <c r="F95" s="222" t="s">
        <v>224</v>
      </c>
      <c r="G95" s="222" t="s">
        <v>225</v>
      </c>
      <c r="H95" s="222" t="s">
        <v>226</v>
      </c>
      <c r="I95" s="222" t="s">
        <v>227</v>
      </c>
      <c r="J95" s="222" t="s">
        <v>228</v>
      </c>
    </row>
    <row r="96" spans="1:10">
      <c r="A96" s="223" t="s">
        <v>394</v>
      </c>
      <c r="B96" s="223" t="s">
        <v>229</v>
      </c>
      <c r="C96" s="230" t="s">
        <v>230</v>
      </c>
      <c r="D96" s="223" t="s">
        <v>230</v>
      </c>
      <c r="E96" s="223" t="s">
        <v>230</v>
      </c>
      <c r="F96" s="223" t="s">
        <v>230</v>
      </c>
      <c r="G96" s="223">
        <v>101.21</v>
      </c>
      <c r="H96" s="223" t="s">
        <v>230</v>
      </c>
      <c r="I96" s="223" t="s">
        <v>230</v>
      </c>
      <c r="J96" s="217"/>
    </row>
    <row r="97" spans="1:10">
      <c r="A97" s="217" t="s">
        <v>395</v>
      </c>
      <c r="B97" s="217" t="s">
        <v>154</v>
      </c>
      <c r="C97" s="231" t="s">
        <v>396</v>
      </c>
      <c r="D97" s="217" t="s">
        <v>397</v>
      </c>
      <c r="E97" s="217" t="s">
        <v>398</v>
      </c>
      <c r="F97" s="217" t="s">
        <v>399</v>
      </c>
      <c r="G97" s="217" t="s">
        <v>230</v>
      </c>
      <c r="H97" s="221">
        <v>145098.35</v>
      </c>
      <c r="I97" s="217" t="s">
        <v>400</v>
      </c>
      <c r="J97" s="217"/>
    </row>
    <row r="98" spans="1:10">
      <c r="A98" s="217" t="s">
        <v>395</v>
      </c>
      <c r="B98" s="217" t="s">
        <v>154</v>
      </c>
      <c r="C98" s="231" t="s">
        <v>396</v>
      </c>
      <c r="D98" s="217" t="s">
        <v>397</v>
      </c>
      <c r="E98" s="217" t="s">
        <v>401</v>
      </c>
      <c r="F98" s="217" t="s">
        <v>399</v>
      </c>
      <c r="G98" s="221">
        <v>145098.19</v>
      </c>
      <c r="H98" s="217" t="s">
        <v>230</v>
      </c>
      <c r="I98" s="217" t="s">
        <v>402</v>
      </c>
      <c r="J98" s="217"/>
    </row>
    <row r="99" spans="1:10">
      <c r="A99" s="217" t="s">
        <v>403</v>
      </c>
      <c r="B99" s="217" t="s">
        <v>154</v>
      </c>
      <c r="C99" s="231" t="s">
        <v>404</v>
      </c>
      <c r="D99" s="217" t="s">
        <v>397</v>
      </c>
      <c r="E99" s="217" t="s">
        <v>405</v>
      </c>
      <c r="F99" s="217" t="s">
        <v>406</v>
      </c>
      <c r="G99" s="217" t="s">
        <v>230</v>
      </c>
      <c r="H99" s="221">
        <v>88372</v>
      </c>
      <c r="I99" s="217" t="s">
        <v>407</v>
      </c>
      <c r="J99" s="217"/>
    </row>
    <row r="100" spans="1:10">
      <c r="A100" s="217" t="s">
        <v>403</v>
      </c>
      <c r="B100" s="217" t="s">
        <v>154</v>
      </c>
      <c r="C100" s="231" t="s">
        <v>404</v>
      </c>
      <c r="D100" s="217" t="s">
        <v>397</v>
      </c>
      <c r="E100" s="217" t="s">
        <v>408</v>
      </c>
      <c r="F100" s="217" t="s">
        <v>406</v>
      </c>
      <c r="G100" s="221">
        <v>88371.91</v>
      </c>
      <c r="H100" s="217" t="s">
        <v>230</v>
      </c>
      <c r="I100" s="217" t="s">
        <v>409</v>
      </c>
      <c r="J100" s="217"/>
    </row>
    <row r="101" spans="1:10">
      <c r="A101" s="233" t="s">
        <v>410</v>
      </c>
      <c r="B101" s="233" t="s">
        <v>154</v>
      </c>
      <c r="C101" s="234" t="s">
        <v>411</v>
      </c>
      <c r="D101" s="233" t="s">
        <v>269</v>
      </c>
      <c r="E101" s="233" t="s">
        <v>412</v>
      </c>
      <c r="F101" s="233" t="s">
        <v>413</v>
      </c>
      <c r="G101" s="233" t="s">
        <v>230</v>
      </c>
      <c r="H101" s="235">
        <v>10644.46</v>
      </c>
      <c r="I101" s="233" t="s">
        <v>414</v>
      </c>
      <c r="J101" s="233" t="s">
        <v>411</v>
      </c>
    </row>
    <row r="102" spans="1:10">
      <c r="A102" s="217" t="s">
        <v>415</v>
      </c>
      <c r="B102" s="217" t="s">
        <v>154</v>
      </c>
      <c r="C102" s="231" t="s">
        <v>416</v>
      </c>
      <c r="D102" s="217" t="s">
        <v>397</v>
      </c>
      <c r="E102" s="217" t="s">
        <v>417</v>
      </c>
      <c r="F102" s="217" t="s">
        <v>418</v>
      </c>
      <c r="G102" s="217" t="s">
        <v>230</v>
      </c>
      <c r="H102" s="221">
        <v>442000</v>
      </c>
      <c r="I102" s="217" t="s">
        <v>419</v>
      </c>
      <c r="J102" s="217"/>
    </row>
    <row r="103" spans="1:10">
      <c r="A103" s="217" t="s">
        <v>415</v>
      </c>
      <c r="B103" s="217" t="s">
        <v>154</v>
      </c>
      <c r="C103" s="231" t="s">
        <v>416</v>
      </c>
      <c r="D103" s="217" t="s">
        <v>397</v>
      </c>
      <c r="E103" s="217" t="s">
        <v>420</v>
      </c>
      <c r="F103" s="217" t="s">
        <v>418</v>
      </c>
      <c r="G103" s="221">
        <v>441999.34</v>
      </c>
      <c r="H103" s="217" t="s">
        <v>230</v>
      </c>
      <c r="I103" s="217" t="s">
        <v>421</v>
      </c>
      <c r="J103" s="217"/>
    </row>
    <row r="104" spans="1:10">
      <c r="A104" s="217" t="s">
        <v>415</v>
      </c>
      <c r="B104" s="217" t="s">
        <v>154</v>
      </c>
      <c r="C104" s="231" t="s">
        <v>416</v>
      </c>
      <c r="D104" s="217" t="s">
        <v>397</v>
      </c>
      <c r="E104" s="217" t="s">
        <v>422</v>
      </c>
      <c r="F104" s="217" t="s">
        <v>418</v>
      </c>
      <c r="G104" s="217">
        <v>0.66</v>
      </c>
      <c r="H104" s="217" t="s">
        <v>230</v>
      </c>
      <c r="I104" s="217" t="s">
        <v>423</v>
      </c>
      <c r="J104" s="217"/>
    </row>
    <row r="105" spans="1:10">
      <c r="A105" s="217" t="s">
        <v>424</v>
      </c>
      <c r="B105" s="217" t="s">
        <v>154</v>
      </c>
      <c r="C105" s="231" t="s">
        <v>416</v>
      </c>
      <c r="D105" s="217" t="s">
        <v>397</v>
      </c>
      <c r="E105" s="217" t="s">
        <v>425</v>
      </c>
      <c r="F105" s="217" t="s">
        <v>426</v>
      </c>
      <c r="G105" s="217" t="s">
        <v>230</v>
      </c>
      <c r="H105" s="221">
        <v>442000</v>
      </c>
      <c r="I105" s="217" t="s">
        <v>419</v>
      </c>
      <c r="J105" s="217"/>
    </row>
    <row r="106" spans="1:10">
      <c r="A106" s="217" t="s">
        <v>424</v>
      </c>
      <c r="B106" s="217" t="s">
        <v>154</v>
      </c>
      <c r="C106" s="231" t="s">
        <v>416</v>
      </c>
      <c r="D106" s="217" t="s">
        <v>397</v>
      </c>
      <c r="E106" s="217" t="s">
        <v>422</v>
      </c>
      <c r="F106" s="217" t="s">
        <v>426</v>
      </c>
      <c r="G106" s="221">
        <v>441998.68</v>
      </c>
      <c r="H106" s="217" t="s">
        <v>230</v>
      </c>
      <c r="I106" s="217" t="s">
        <v>427</v>
      </c>
      <c r="J106" s="217"/>
    </row>
    <row r="107" spans="1:10">
      <c r="A107" s="217" t="s">
        <v>428</v>
      </c>
      <c r="B107" s="217" t="s">
        <v>154</v>
      </c>
      <c r="C107" s="231" t="s">
        <v>429</v>
      </c>
      <c r="D107" s="217" t="s">
        <v>397</v>
      </c>
      <c r="E107" s="217" t="s">
        <v>430</v>
      </c>
      <c r="F107" s="217" t="s">
        <v>431</v>
      </c>
      <c r="G107" s="221" t="s">
        <v>230</v>
      </c>
      <c r="H107" s="217">
        <v>351791.95</v>
      </c>
      <c r="I107" s="217" t="s">
        <v>432</v>
      </c>
      <c r="J107" s="217"/>
    </row>
    <row r="108" spans="1:10">
      <c r="A108" s="217" t="s">
        <v>428</v>
      </c>
      <c r="B108" s="217" t="s">
        <v>154</v>
      </c>
      <c r="C108" s="231" t="s">
        <v>429</v>
      </c>
      <c r="D108" s="217" t="s">
        <v>397</v>
      </c>
      <c r="E108" s="217" t="s">
        <v>433</v>
      </c>
      <c r="F108" s="217" t="s">
        <v>431</v>
      </c>
      <c r="G108" s="221">
        <v>351791.28</v>
      </c>
      <c r="H108" s="217" t="s">
        <v>230</v>
      </c>
      <c r="I108" s="217" t="s">
        <v>434</v>
      </c>
      <c r="J108" s="217"/>
    </row>
    <row r="109" spans="1:10">
      <c r="A109" s="217" t="s">
        <v>435</v>
      </c>
      <c r="B109" s="217" t="s">
        <v>154</v>
      </c>
      <c r="C109" s="231" t="s">
        <v>436</v>
      </c>
      <c r="D109" s="217" t="s">
        <v>397</v>
      </c>
      <c r="E109" s="217" t="s">
        <v>437</v>
      </c>
      <c r="F109" s="217" t="s">
        <v>438</v>
      </c>
      <c r="G109" s="221" t="s">
        <v>230</v>
      </c>
      <c r="H109" s="217">
        <v>1</v>
      </c>
      <c r="I109" s="217" t="s">
        <v>439</v>
      </c>
      <c r="J109" s="217"/>
    </row>
    <row r="110" spans="1:10">
      <c r="A110" s="217" t="s">
        <v>435</v>
      </c>
      <c r="B110" s="217" t="s">
        <v>154</v>
      </c>
      <c r="C110" s="231" t="s">
        <v>436</v>
      </c>
      <c r="D110" s="217" t="s">
        <v>397</v>
      </c>
      <c r="E110" s="217" t="s">
        <v>440</v>
      </c>
      <c r="F110" s="217" t="s">
        <v>438</v>
      </c>
      <c r="G110" s="221">
        <v>0.02</v>
      </c>
      <c r="H110" s="217" t="s">
        <v>230</v>
      </c>
      <c r="I110" s="217" t="s">
        <v>441</v>
      </c>
      <c r="J110" s="217"/>
    </row>
    <row r="111" spans="1:10">
      <c r="A111" s="217" t="s">
        <v>442</v>
      </c>
      <c r="B111" s="217" t="s">
        <v>154</v>
      </c>
      <c r="C111" s="231" t="s">
        <v>443</v>
      </c>
      <c r="D111" s="217" t="s">
        <v>397</v>
      </c>
      <c r="E111" s="217" t="s">
        <v>444</v>
      </c>
      <c r="F111" s="217" t="s">
        <v>445</v>
      </c>
      <c r="G111" s="221" t="s">
        <v>230</v>
      </c>
      <c r="H111" s="217">
        <v>142372.42000000001</v>
      </c>
      <c r="I111" s="217" t="s">
        <v>446</v>
      </c>
      <c r="J111" s="217"/>
    </row>
    <row r="112" spans="1:10">
      <c r="A112" s="217" t="s">
        <v>442</v>
      </c>
      <c r="B112" s="217" t="s">
        <v>154</v>
      </c>
      <c r="C112" s="231" t="s">
        <v>443</v>
      </c>
      <c r="D112" s="217" t="s">
        <v>397</v>
      </c>
      <c r="E112" s="217" t="s">
        <v>447</v>
      </c>
      <c r="F112" s="217" t="s">
        <v>445</v>
      </c>
      <c r="G112" s="221">
        <v>142372.41</v>
      </c>
      <c r="H112" s="217" t="s">
        <v>230</v>
      </c>
      <c r="I112" s="217" t="s">
        <v>448</v>
      </c>
      <c r="J112" s="217"/>
    </row>
    <row r="113" spans="1:10">
      <c r="A113" s="217"/>
      <c r="B113" s="217"/>
      <c r="C113" s="231"/>
      <c r="D113" s="217"/>
      <c r="E113" s="217"/>
      <c r="F113" s="217"/>
      <c r="G113" s="221"/>
      <c r="H113" s="217"/>
      <c r="I113" s="217"/>
      <c r="J113" s="217"/>
    </row>
    <row r="114" spans="1:10">
      <c r="A114" s="217"/>
      <c r="B114" s="217"/>
      <c r="C114" s="231"/>
      <c r="D114" s="217"/>
      <c r="E114" s="217"/>
      <c r="F114" s="217"/>
      <c r="G114" s="221"/>
      <c r="H114" s="217"/>
      <c r="I114" s="217"/>
      <c r="J114" s="217"/>
    </row>
    <row r="115" spans="1:10">
      <c r="A115" s="217"/>
      <c r="B115" s="217"/>
      <c r="C115" s="231"/>
      <c r="D115" s="217"/>
      <c r="E115" s="217"/>
      <c r="F115" s="217"/>
      <c r="G115" s="221"/>
      <c r="H115" s="217"/>
      <c r="I115" s="217"/>
      <c r="J115" s="217"/>
    </row>
    <row r="116" spans="1:10">
      <c r="A116" s="223"/>
      <c r="B116" s="223" t="s">
        <v>449</v>
      </c>
      <c r="C116" s="230" t="s">
        <v>230</v>
      </c>
      <c r="D116" s="223" t="s">
        <v>230</v>
      </c>
      <c r="E116" s="223" t="s">
        <v>230</v>
      </c>
      <c r="F116" s="223" t="s">
        <v>230</v>
      </c>
      <c r="G116" s="223">
        <f>SUM(G97:G115)</f>
        <v>1611632.49</v>
      </c>
      <c r="H116" s="226">
        <f>SUM(H97:H115)</f>
        <v>1622280.18</v>
      </c>
      <c r="I116" s="223" t="s">
        <v>230</v>
      </c>
      <c r="J116" s="217"/>
    </row>
    <row r="117" spans="1:10">
      <c r="A117" s="223" t="s">
        <v>265</v>
      </c>
      <c r="B117" s="223" t="s">
        <v>231</v>
      </c>
      <c r="C117" s="230" t="s">
        <v>230</v>
      </c>
      <c r="D117" s="223" t="s">
        <v>230</v>
      </c>
      <c r="E117" s="223" t="s">
        <v>230</v>
      </c>
      <c r="F117" s="223" t="s">
        <v>230</v>
      </c>
      <c r="G117" s="223" t="s">
        <v>230</v>
      </c>
      <c r="H117" s="226">
        <f>H116-G96-G116</f>
        <v>10546.479999999981</v>
      </c>
      <c r="I117" s="223" t="s">
        <v>230</v>
      </c>
      <c r="J117" s="217"/>
    </row>
    <row r="118" spans="1:10">
      <c r="H118" s="211"/>
    </row>
    <row r="119" spans="1:10">
      <c r="H119" s="211"/>
    </row>
    <row r="121" spans="1:10">
      <c r="A121" s="225" t="s">
        <v>450</v>
      </c>
      <c r="B121" s="225" t="s">
        <v>451</v>
      </c>
    </row>
    <row r="122" spans="1:10">
      <c r="A122" s="217" t="s">
        <v>452</v>
      </c>
      <c r="B122" s="224">
        <v>1186567.2</v>
      </c>
    </row>
    <row r="123" spans="1:10">
      <c r="A123" s="217" t="s">
        <v>453</v>
      </c>
      <c r="B123" s="224">
        <v>5056800</v>
      </c>
    </row>
    <row r="124" spans="1:10">
      <c r="A124" s="217" t="s">
        <v>454</v>
      </c>
      <c r="B124" s="224">
        <v>1450000</v>
      </c>
    </row>
    <row r="125" spans="1:10">
      <c r="A125" s="225" t="s">
        <v>455</v>
      </c>
      <c r="B125" s="243">
        <f>SUM(B122:B124)</f>
        <v>7693367.2000000002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C24A-DC85-458A-B62B-EC7D2AF3F25A}">
  <sheetPr codeName="Sheet7"/>
  <dimension ref="A1:WVJ91"/>
  <sheetViews>
    <sheetView topLeftCell="A77" workbookViewId="0">
      <selection activeCell="I92" sqref="I92"/>
    </sheetView>
  </sheetViews>
  <sheetFormatPr defaultRowHeight="14.4"/>
  <cols>
    <col min="1" max="1" width="45.21875" customWidth="1"/>
    <col min="2" max="2" width="16.88671875" style="77" bestFit="1" customWidth="1"/>
    <col min="4" max="16130" width="8.88671875" style="250"/>
  </cols>
  <sheetData>
    <row r="1" spans="1:2" customFormat="1" ht="15.6">
      <c r="A1" s="249" t="s">
        <v>590</v>
      </c>
      <c r="B1" s="256" t="s">
        <v>630</v>
      </c>
    </row>
    <row r="2" spans="1:2" s="250" customFormat="1" ht="13.8">
      <c r="A2" s="248"/>
      <c r="B2" s="257"/>
    </row>
    <row r="3" spans="1:2" customFormat="1" ht="15.6">
      <c r="A3" s="249" t="s">
        <v>456</v>
      </c>
      <c r="B3" s="265">
        <v>14080610.85</v>
      </c>
    </row>
    <row r="4" spans="1:2" customFormat="1"/>
    <row r="5" spans="1:2" customFormat="1">
      <c r="A5" s="255" t="s">
        <v>457</v>
      </c>
      <c r="B5" t="s">
        <v>230</v>
      </c>
    </row>
    <row r="6" spans="1:2" customFormat="1">
      <c r="A6" s="255" t="s">
        <v>157</v>
      </c>
      <c r="B6" s="314">
        <v>-57398.33</v>
      </c>
    </row>
    <row r="7" spans="1:2" customFormat="1">
      <c r="A7" s="255" t="s">
        <v>554</v>
      </c>
      <c r="B7" s="314">
        <v>-1726057.25</v>
      </c>
    </row>
    <row r="8" spans="1:2" customFormat="1">
      <c r="A8" s="255" t="s">
        <v>158</v>
      </c>
      <c r="B8" s="314">
        <v>0</v>
      </c>
    </row>
    <row r="9" spans="1:2" customFormat="1">
      <c r="A9" s="255" t="s">
        <v>164</v>
      </c>
      <c r="B9" s="314">
        <v>4344617.82</v>
      </c>
    </row>
    <row r="10" spans="1:2" customFormat="1">
      <c r="A10" s="255" t="s">
        <v>156</v>
      </c>
      <c r="B10" s="314">
        <v>0</v>
      </c>
    </row>
    <row r="11" spans="1:2" customFormat="1">
      <c r="A11" s="255" t="s">
        <v>166</v>
      </c>
      <c r="B11" s="314">
        <v>-511.85</v>
      </c>
    </row>
    <row r="12" spans="1:2" customFormat="1">
      <c r="A12" s="255" t="s">
        <v>612</v>
      </c>
      <c r="B12" s="314">
        <v>0</v>
      </c>
    </row>
    <row r="13" spans="1:2" customFormat="1">
      <c r="A13" s="255" t="s">
        <v>278</v>
      </c>
      <c r="B13" s="314">
        <v>584940.84</v>
      </c>
    </row>
    <row r="14" spans="1:2" customFormat="1" ht="15.6">
      <c r="A14" s="249" t="s">
        <v>555</v>
      </c>
      <c r="B14" s="265">
        <f>(+(B8)+(B9)+(B10)+(B11)+(B12)+(B13))</f>
        <v>4929046.8100000005</v>
      </c>
    </row>
    <row r="15" spans="1:2" customFormat="1"/>
    <row r="16" spans="1:2" customFormat="1">
      <c r="A16" s="255" t="s">
        <v>152</v>
      </c>
      <c r="B16" s="314">
        <v>25737.07</v>
      </c>
    </row>
    <row r="17" spans="1:2" customFormat="1">
      <c r="A17" s="255" t="s">
        <v>556</v>
      </c>
      <c r="B17" s="314">
        <v>0</v>
      </c>
    </row>
    <row r="18" spans="1:2" customFormat="1">
      <c r="A18" s="255" t="s">
        <v>121</v>
      </c>
      <c r="B18" s="314">
        <v>0</v>
      </c>
    </row>
    <row r="19" spans="1:2" customFormat="1">
      <c r="A19" s="255" t="s">
        <v>557</v>
      </c>
      <c r="B19" s="314">
        <v>-61108.33</v>
      </c>
    </row>
    <row r="20" spans="1:2" customFormat="1">
      <c r="A20" s="255" t="s">
        <v>111</v>
      </c>
      <c r="B20" s="314">
        <v>0</v>
      </c>
    </row>
    <row r="21" spans="1:2" customFormat="1">
      <c r="A21" s="255" t="s">
        <v>558</v>
      </c>
      <c r="B21" s="314">
        <v>-3386068.91</v>
      </c>
    </row>
    <row r="22" spans="1:2" customFormat="1" ht="15.6">
      <c r="A22" s="249" t="s">
        <v>559</v>
      </c>
      <c r="B22" s="265">
        <f>(+(B20)+(B21))</f>
        <v>-3386068.91</v>
      </c>
    </row>
    <row r="23" spans="1:2" customFormat="1"/>
    <row r="24" spans="1:2" customFormat="1" ht="15.6">
      <c r="A24" s="249" t="s">
        <v>560</v>
      </c>
      <c r="B24" s="265">
        <f>(+(B17)+(B18)+(B19)+(B22))</f>
        <v>-3447177.24</v>
      </c>
    </row>
    <row r="25" spans="1:2" customFormat="1"/>
    <row r="26" spans="1:2" customFormat="1">
      <c r="A26" s="255" t="s">
        <v>613</v>
      </c>
      <c r="B26" s="314">
        <v>0</v>
      </c>
    </row>
    <row r="27" spans="1:2" customFormat="1">
      <c r="A27" s="255" t="s">
        <v>609</v>
      </c>
      <c r="B27" s="314">
        <v>10000000</v>
      </c>
    </row>
    <row r="28" spans="1:2" customFormat="1" ht="15.6">
      <c r="A28" s="249" t="s">
        <v>614</v>
      </c>
      <c r="B28" s="265">
        <f>(+(B26)+(B27))</f>
        <v>10000000</v>
      </c>
    </row>
    <row r="29" spans="1:2" customFormat="1"/>
    <row r="30" spans="1:2" customFormat="1">
      <c r="A30" s="255" t="s">
        <v>562</v>
      </c>
      <c r="B30" s="314">
        <v>-149170.22</v>
      </c>
    </row>
    <row r="31" spans="1:2" customFormat="1">
      <c r="A31" s="255" t="s">
        <v>123</v>
      </c>
      <c r="B31" s="314">
        <v>-1512193.7</v>
      </c>
    </row>
    <row r="32" spans="1:2" customFormat="1">
      <c r="A32" s="255" t="s">
        <v>563</v>
      </c>
      <c r="B32" s="314">
        <v>0</v>
      </c>
    </row>
    <row r="33" spans="1:2" customFormat="1">
      <c r="A33" s="255" t="s">
        <v>171</v>
      </c>
      <c r="B33" s="314">
        <v>0</v>
      </c>
    </row>
    <row r="34" spans="1:2" customFormat="1">
      <c r="A34" s="255" t="s">
        <v>174</v>
      </c>
      <c r="B34" s="314">
        <v>41854.17</v>
      </c>
    </row>
    <row r="35" spans="1:2" customFormat="1">
      <c r="A35" s="255" t="s">
        <v>564</v>
      </c>
      <c r="B35" s="314">
        <v>0</v>
      </c>
    </row>
    <row r="36" spans="1:2" customFormat="1">
      <c r="A36" s="255" t="s">
        <v>552</v>
      </c>
      <c r="B36" s="314">
        <v>-24166.639999999999</v>
      </c>
    </row>
    <row r="37" spans="1:2" customFormat="1">
      <c r="A37" s="255" t="s">
        <v>607</v>
      </c>
      <c r="B37" s="314">
        <v>142592.6</v>
      </c>
    </row>
    <row r="38" spans="1:2" customFormat="1">
      <c r="A38" s="255" t="s">
        <v>608</v>
      </c>
      <c r="B38" s="314">
        <v>149925.93</v>
      </c>
    </row>
    <row r="39" spans="1:2" customFormat="1">
      <c r="A39" s="255" t="s">
        <v>565</v>
      </c>
      <c r="B39" s="314">
        <v>39009.379999999997</v>
      </c>
    </row>
    <row r="40" spans="1:2" customFormat="1" ht="15.6">
      <c r="A40" s="249" t="s">
        <v>566</v>
      </c>
      <c r="B40" s="265">
        <f>(+(B32)+(B33)+(B34)+(B35)+(B36)+(B37)+(B38)+(B39))</f>
        <v>349215.44</v>
      </c>
    </row>
    <row r="41" spans="1:2" customFormat="1"/>
    <row r="42" spans="1:2" customFormat="1">
      <c r="A42" s="255" t="s">
        <v>615</v>
      </c>
      <c r="B42" s="314">
        <v>0</v>
      </c>
    </row>
    <row r="43" spans="1:2" customFormat="1">
      <c r="A43" s="255" t="s">
        <v>616</v>
      </c>
      <c r="B43" s="314">
        <v>0</v>
      </c>
    </row>
    <row r="44" spans="1:2" customFormat="1" ht="15.6">
      <c r="A44" s="249" t="s">
        <v>617</v>
      </c>
      <c r="B44" s="265">
        <f>(+(B42)+(B43))</f>
        <v>0</v>
      </c>
    </row>
    <row r="45" spans="1:2" customFormat="1"/>
    <row r="46" spans="1:2" customFormat="1">
      <c r="A46" s="255" t="s">
        <v>567</v>
      </c>
      <c r="B46" s="314">
        <v>-84477.28</v>
      </c>
    </row>
    <row r="47" spans="1:2" customFormat="1">
      <c r="A47" s="255" t="s">
        <v>568</v>
      </c>
      <c r="B47" t="s">
        <v>230</v>
      </c>
    </row>
    <row r="48" spans="1:2" customFormat="1" ht="15.6">
      <c r="A48" s="249" t="s">
        <v>569</v>
      </c>
      <c r="B48" s="265">
        <v>0</v>
      </c>
    </row>
    <row r="49" spans="1:2" customFormat="1"/>
    <row r="50" spans="1:2" customFormat="1">
      <c r="A50" s="255" t="s">
        <v>153</v>
      </c>
      <c r="B50" s="314">
        <v>-154166.06</v>
      </c>
    </row>
    <row r="51" spans="1:2" customFormat="1">
      <c r="A51" s="255" t="s">
        <v>165</v>
      </c>
      <c r="B51" s="314">
        <v>2471266.41</v>
      </c>
    </row>
    <row r="52" spans="1:2" customFormat="1">
      <c r="A52" s="255" t="s">
        <v>570</v>
      </c>
      <c r="B52" s="314">
        <v>0</v>
      </c>
    </row>
    <row r="53" spans="1:2" customFormat="1">
      <c r="A53" s="255" t="s">
        <v>112</v>
      </c>
      <c r="B53" s="314">
        <v>-10416.67</v>
      </c>
    </row>
    <row r="54" spans="1:2" customFormat="1">
      <c r="A54" s="255" t="s">
        <v>599</v>
      </c>
      <c r="B54" s="314">
        <v>7583.31</v>
      </c>
    </row>
    <row r="55" spans="1:2" customFormat="1">
      <c r="A55" s="255" t="s">
        <v>113</v>
      </c>
      <c r="B55" s="314">
        <v>2361.1</v>
      </c>
    </row>
    <row r="56" spans="1:2" customFormat="1">
      <c r="A56" s="255" t="s">
        <v>114</v>
      </c>
      <c r="B56" s="314">
        <v>7768.33</v>
      </c>
    </row>
    <row r="57" spans="1:2" customFormat="1">
      <c r="A57" s="255" t="s">
        <v>115</v>
      </c>
      <c r="B57" s="314">
        <v>-16737.75</v>
      </c>
    </row>
    <row r="58" spans="1:2" customFormat="1">
      <c r="A58" s="255" t="s">
        <v>116</v>
      </c>
      <c r="B58" s="314">
        <v>-24684.44</v>
      </c>
    </row>
    <row r="59" spans="1:2" customFormat="1">
      <c r="A59" s="255" t="s">
        <v>117</v>
      </c>
      <c r="B59" s="314">
        <v>33356.74</v>
      </c>
    </row>
    <row r="60" spans="1:2" customFormat="1" ht="15.6">
      <c r="A60" s="249" t="s">
        <v>571</v>
      </c>
      <c r="B60" s="265">
        <f>(+(B52)+(B53)+(B54)+(B55)+(B56)+(B57)+(B58)+(B59))</f>
        <v>-769.37999999999738</v>
      </c>
    </row>
    <row r="61" spans="1:2" customFormat="1"/>
    <row r="62" spans="1:2" customFormat="1">
      <c r="A62" s="255" t="s">
        <v>573</v>
      </c>
      <c r="B62" s="314">
        <v>0</v>
      </c>
    </row>
    <row r="63" spans="1:2" customFormat="1">
      <c r="A63" s="255" t="s">
        <v>154</v>
      </c>
      <c r="B63" s="314">
        <v>0.23</v>
      </c>
    </row>
    <row r="64" spans="1:2" customFormat="1" ht="15.6">
      <c r="A64" s="249" t="s">
        <v>458</v>
      </c>
      <c r="B64" s="265">
        <f>(+(B6)+(B7)+(B14)+(B16)+(B24)+(B28)+(B30)+(B31)+(B40)+(B44)+(B46)+(B48)+(B50)+(B51)+(B60)+(B62)+(B63))</f>
        <v>10643856.5</v>
      </c>
    </row>
    <row r="65" spans="1:2" customFormat="1"/>
    <row r="66" spans="1:2" customFormat="1">
      <c r="A66" s="255" t="s">
        <v>459</v>
      </c>
      <c r="B66" t="s">
        <v>230</v>
      </c>
    </row>
    <row r="67" spans="1:2" customFormat="1">
      <c r="A67" s="255" t="s">
        <v>128</v>
      </c>
      <c r="B67" s="314">
        <v>1804.96</v>
      </c>
    </row>
    <row r="68" spans="1:2" customFormat="1">
      <c r="A68" s="255" t="s">
        <v>129</v>
      </c>
      <c r="B68" s="314">
        <v>803.62</v>
      </c>
    </row>
    <row r="69" spans="1:2" customFormat="1">
      <c r="A69" s="255" t="s">
        <v>130</v>
      </c>
      <c r="B69" s="314">
        <v>6494.16</v>
      </c>
    </row>
    <row r="70" spans="1:2" customFormat="1">
      <c r="A70" s="255" t="s">
        <v>588</v>
      </c>
      <c r="B70" s="314">
        <v>3716.3</v>
      </c>
    </row>
    <row r="71" spans="1:2" customFormat="1">
      <c r="A71" s="255" t="s">
        <v>135</v>
      </c>
      <c r="B71" s="314">
        <v>-6748</v>
      </c>
    </row>
    <row r="72" spans="1:2" customFormat="1">
      <c r="A72" s="255" t="s">
        <v>574</v>
      </c>
      <c r="B72" s="314">
        <v>0</v>
      </c>
    </row>
    <row r="73" spans="1:2" customFormat="1">
      <c r="A73" s="255" t="s">
        <v>139</v>
      </c>
      <c r="B73" s="314">
        <v>-36258.050000000003</v>
      </c>
    </row>
    <row r="74" spans="1:2" customFormat="1">
      <c r="A74" s="255" t="s">
        <v>598</v>
      </c>
      <c r="B74" s="314">
        <v>0</v>
      </c>
    </row>
    <row r="75" spans="1:2" customFormat="1" ht="15.6">
      <c r="A75" s="249" t="s">
        <v>575</v>
      </c>
      <c r="B75" s="265">
        <f>(+(B72)+(B73)+(B74))</f>
        <v>-36258.050000000003</v>
      </c>
    </row>
    <row r="76" spans="1:2" customFormat="1"/>
    <row r="77" spans="1:2" customFormat="1" ht="15.6">
      <c r="A77" s="249" t="s">
        <v>460</v>
      </c>
      <c r="B77" s="265">
        <f>(+(B67)+(B68)+(B69)+(B70)+(B71)+(B75))</f>
        <v>-30187.010000000002</v>
      </c>
    </row>
    <row r="78" spans="1:2" customFormat="1"/>
    <row r="79" spans="1:2" customFormat="1">
      <c r="A79" s="255" t="s">
        <v>461</v>
      </c>
      <c r="B79" t="s">
        <v>230</v>
      </c>
    </row>
    <row r="80" spans="1:2" customFormat="1">
      <c r="A80" s="255" t="s">
        <v>576</v>
      </c>
      <c r="B80" s="314">
        <v>0</v>
      </c>
    </row>
    <row r="81" spans="1:3" customFormat="1">
      <c r="A81" s="255" t="s">
        <v>577</v>
      </c>
      <c r="B81" s="314">
        <v>36258.050000000003</v>
      </c>
    </row>
    <row r="82" spans="1:3" customFormat="1" ht="15.6">
      <c r="A82" s="249" t="s">
        <v>578</v>
      </c>
      <c r="B82" s="265">
        <f>(+(B80)+(B81))</f>
        <v>36258.050000000003</v>
      </c>
    </row>
    <row r="83" spans="1:3" customFormat="1"/>
    <row r="84" spans="1:3" customFormat="1" ht="15.6">
      <c r="A84" s="249" t="s">
        <v>462</v>
      </c>
      <c r="B84" s="265">
        <f>(+(B82))</f>
        <v>36258.050000000003</v>
      </c>
    </row>
    <row r="85" spans="1:3" customFormat="1"/>
    <row r="86" spans="1:3" customFormat="1" ht="15.6">
      <c r="A86" s="265" t="s">
        <v>463</v>
      </c>
      <c r="B86" s="265">
        <f>((+(B6)+(B7)+(B14)+(B16)+(B24)+(B28)+(B30)+(B31)+(B40)+(B44)+(B46)+(B48)+(B50)+(B51)+(B60)+(B62)+(B63))+(+(B67)+(B68)+(B69)+(B70)+(B71)+(B75))+(+(B82)))</f>
        <v>10649927.540000001</v>
      </c>
    </row>
    <row r="87" spans="1:3" customFormat="1"/>
    <row r="88" spans="1:3" customFormat="1" ht="15.6">
      <c r="A88" s="265" t="s">
        <v>464</v>
      </c>
      <c r="B88" s="265">
        <f>(B3+((+(B6)+(B7)+(B14)+(B16)+(B24)+(B28)+(B30)+(B31)+(B40)+(B44)+(B46)+(B48)+(B50)+(B51)+(B60)+(B62)+(B63))+(+(B67)+(B68)+(B69)+(B70)+(B71)+(B75))+(+(B82))))</f>
        <v>24730538.390000001</v>
      </c>
      <c r="C88">
        <f>B88-'BS Jan Consolidated'!M10</f>
        <v>0</v>
      </c>
    </row>
    <row r="89" spans="1:3" customFormat="1">
      <c r="B89" s="77"/>
    </row>
    <row r="91" spans="1:3" customFormat="1">
      <c r="B91" s="7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4869-AAF9-430F-9725-3837CCC5D5DC}">
  <sheetPr codeName="Sheet8"/>
  <dimension ref="A1:L81"/>
  <sheetViews>
    <sheetView zoomScale="90" zoomScaleNormal="90" workbookViewId="0">
      <pane ySplit="1" topLeftCell="A48" activePane="bottomLeft" state="frozen"/>
      <selection pane="bottomLeft" activeCell="F64" sqref="F64"/>
    </sheetView>
  </sheetViews>
  <sheetFormatPr defaultColWidth="9.44140625" defaultRowHeight="14.4"/>
  <cols>
    <col min="1" max="1" width="6.5546875" style="58" bestFit="1" customWidth="1"/>
    <col min="2" max="2" width="53.44140625" style="58" bestFit="1" customWidth="1"/>
    <col min="3" max="3" width="14.44140625" style="60" bestFit="1" customWidth="1"/>
    <col min="4" max="4" width="16.44140625" style="60" bestFit="1" customWidth="1"/>
    <col min="5" max="5" width="15" style="60" customWidth="1"/>
    <col min="6" max="6" width="14.44140625" style="60" bestFit="1" customWidth="1"/>
    <col min="7" max="7" width="15.44140625" style="60" bestFit="1" customWidth="1"/>
    <col min="8" max="8" width="17.5546875" style="60" bestFit="1" customWidth="1"/>
    <col min="9" max="9" width="14.44140625" style="60" bestFit="1" customWidth="1"/>
    <col min="10" max="10" width="9.44140625" style="58"/>
    <col min="11" max="11" width="14.44140625" style="79" bestFit="1" customWidth="1"/>
    <col min="12" max="12" width="9.44140625" style="79"/>
    <col min="13" max="16384" width="9.44140625" style="58"/>
  </cols>
  <sheetData>
    <row r="1" spans="1:12" s="62" customFormat="1">
      <c r="A1" s="64" t="s">
        <v>465</v>
      </c>
      <c r="B1" s="64" t="s">
        <v>466</v>
      </c>
      <c r="C1" s="63" t="s">
        <v>467</v>
      </c>
      <c r="D1" s="63" t="s">
        <v>468</v>
      </c>
      <c r="E1" s="63" t="s">
        <v>469</v>
      </c>
      <c r="F1" s="63" t="s">
        <v>470</v>
      </c>
      <c r="G1" s="63" t="s">
        <v>471</v>
      </c>
      <c r="H1" s="63" t="s">
        <v>472</v>
      </c>
      <c r="I1" s="63" t="s">
        <v>473</v>
      </c>
      <c r="K1" s="78"/>
      <c r="L1" s="78"/>
    </row>
    <row r="2" spans="1:12">
      <c r="A2" s="61">
        <v>1</v>
      </c>
      <c r="B2" s="61" t="s">
        <v>474</v>
      </c>
      <c r="C2" s="81">
        <v>0</v>
      </c>
      <c r="D2" s="81">
        <v>0</v>
      </c>
      <c r="E2" s="81">
        <v>0</v>
      </c>
      <c r="F2" s="81">
        <v>0</v>
      </c>
      <c r="G2" s="81">
        <v>0</v>
      </c>
      <c r="H2" s="81">
        <v>244984.2</v>
      </c>
      <c r="I2" s="81">
        <f>SUM(C2:H2)</f>
        <v>244984.2</v>
      </c>
    </row>
    <row r="3" spans="1:12">
      <c r="A3" s="61">
        <f t="shared" ref="A3:A60" si="0">+A2+1</f>
        <v>2</v>
      </c>
      <c r="B3" s="61" t="s">
        <v>504</v>
      </c>
      <c r="C3" s="81">
        <v>351791.97</v>
      </c>
      <c r="D3" s="81">
        <v>0</v>
      </c>
      <c r="E3" s="81">
        <v>0</v>
      </c>
      <c r="F3" s="81">
        <v>0</v>
      </c>
      <c r="G3" s="81">
        <v>0</v>
      </c>
      <c r="H3" s="81">
        <v>0</v>
      </c>
      <c r="I3" s="81">
        <f t="shared" ref="I3:I50" si="1">SUM(C3:H3)</f>
        <v>351791.97</v>
      </c>
    </row>
    <row r="4" spans="1:12">
      <c r="A4" s="61">
        <f t="shared" si="0"/>
        <v>3</v>
      </c>
      <c r="B4" s="61" t="s">
        <v>505</v>
      </c>
      <c r="C4" s="81">
        <v>272901.19</v>
      </c>
      <c r="D4" s="81">
        <v>0</v>
      </c>
      <c r="E4" s="81">
        <v>0</v>
      </c>
      <c r="F4" s="81">
        <v>0</v>
      </c>
      <c r="G4" s="81">
        <v>0</v>
      </c>
      <c r="H4" s="81">
        <v>0</v>
      </c>
      <c r="I4" s="81">
        <f t="shared" si="1"/>
        <v>272901.19</v>
      </c>
    </row>
    <row r="5" spans="1:12">
      <c r="A5" s="61">
        <f t="shared" si="0"/>
        <v>4</v>
      </c>
      <c r="B5" s="61" t="s">
        <v>506</v>
      </c>
      <c r="C5" s="81">
        <v>0</v>
      </c>
      <c r="D5" s="81">
        <v>75000</v>
      </c>
      <c r="E5" s="81">
        <v>0</v>
      </c>
      <c r="F5" s="81">
        <v>0</v>
      </c>
      <c r="G5" s="81">
        <v>0</v>
      </c>
      <c r="H5" s="81">
        <v>0</v>
      </c>
      <c r="I5" s="81">
        <f t="shared" si="1"/>
        <v>75000</v>
      </c>
    </row>
    <row r="6" spans="1:12">
      <c r="A6" s="61">
        <f t="shared" si="0"/>
        <v>5</v>
      </c>
      <c r="B6" s="61" t="s">
        <v>475</v>
      </c>
      <c r="C6" s="81">
        <v>0</v>
      </c>
      <c r="D6" s="81">
        <v>0</v>
      </c>
      <c r="E6" s="81">
        <v>0</v>
      </c>
      <c r="F6" s="81">
        <v>0</v>
      </c>
      <c r="G6" s="81">
        <v>307888.34999999998</v>
      </c>
      <c r="H6" s="81">
        <v>0</v>
      </c>
      <c r="I6" s="81">
        <f t="shared" si="1"/>
        <v>307888.34999999998</v>
      </c>
    </row>
    <row r="7" spans="1:12">
      <c r="A7" s="61">
        <f t="shared" si="0"/>
        <v>6</v>
      </c>
      <c r="B7" s="61" t="s">
        <v>476</v>
      </c>
      <c r="C7" s="81">
        <v>1101666.6599999999</v>
      </c>
      <c r="D7" s="81">
        <v>0</v>
      </c>
      <c r="E7" s="81">
        <v>0</v>
      </c>
      <c r="F7" s="81">
        <v>0</v>
      </c>
      <c r="G7" s="81">
        <v>0</v>
      </c>
      <c r="H7" s="81">
        <v>0</v>
      </c>
      <c r="I7" s="81">
        <f t="shared" si="1"/>
        <v>1101666.6599999999</v>
      </c>
    </row>
    <row r="8" spans="1:12">
      <c r="A8" s="61">
        <f t="shared" si="0"/>
        <v>7</v>
      </c>
      <c r="B8" s="61" t="s">
        <v>477</v>
      </c>
      <c r="C8" s="81">
        <v>0</v>
      </c>
      <c r="D8" s="81">
        <v>0</v>
      </c>
      <c r="E8" s="81">
        <v>0</v>
      </c>
      <c r="F8" s="81">
        <v>0</v>
      </c>
      <c r="G8" s="81">
        <v>0</v>
      </c>
      <c r="H8" s="81">
        <v>458771.84</v>
      </c>
      <c r="I8" s="81">
        <f t="shared" si="1"/>
        <v>458771.84</v>
      </c>
    </row>
    <row r="9" spans="1:12">
      <c r="A9" s="61">
        <f t="shared" si="0"/>
        <v>8</v>
      </c>
      <c r="B9" s="61" t="s">
        <v>478</v>
      </c>
      <c r="C9" s="81">
        <v>0</v>
      </c>
      <c r="D9" s="81">
        <v>0</v>
      </c>
      <c r="E9" s="81">
        <v>0</v>
      </c>
      <c r="F9" s="81">
        <v>0</v>
      </c>
      <c r="G9" s="81">
        <v>1973398.25</v>
      </c>
      <c r="H9" s="81">
        <v>0</v>
      </c>
      <c r="I9" s="81">
        <f t="shared" si="1"/>
        <v>1973398.25</v>
      </c>
    </row>
    <row r="10" spans="1:12">
      <c r="A10" s="61">
        <f t="shared" si="0"/>
        <v>9</v>
      </c>
      <c r="B10" s="61" t="s">
        <v>507</v>
      </c>
      <c r="C10" s="81">
        <v>0</v>
      </c>
      <c r="D10" s="81">
        <v>0</v>
      </c>
      <c r="E10" s="81">
        <v>0</v>
      </c>
      <c r="F10" s="81">
        <v>0</v>
      </c>
      <c r="G10" s="81">
        <v>0</v>
      </c>
      <c r="H10" s="81">
        <v>111605.09</v>
      </c>
      <c r="I10" s="81">
        <f t="shared" si="1"/>
        <v>111605.09</v>
      </c>
    </row>
    <row r="11" spans="1:12">
      <c r="A11" s="61">
        <f t="shared" si="0"/>
        <v>10</v>
      </c>
      <c r="B11" s="61" t="s">
        <v>479</v>
      </c>
      <c r="C11" s="81">
        <v>0</v>
      </c>
      <c r="D11" s="81">
        <v>0</v>
      </c>
      <c r="E11" s="81">
        <v>0</v>
      </c>
      <c r="F11" s="81">
        <v>0</v>
      </c>
      <c r="G11" s="81">
        <v>0</v>
      </c>
      <c r="H11" s="81">
        <v>636601.91</v>
      </c>
      <c r="I11" s="81">
        <f t="shared" si="1"/>
        <v>636601.91</v>
      </c>
    </row>
    <row r="12" spans="1:12">
      <c r="A12" s="61">
        <f t="shared" si="0"/>
        <v>11</v>
      </c>
      <c r="B12" s="61" t="s">
        <v>508</v>
      </c>
      <c r="C12" s="81">
        <v>0</v>
      </c>
      <c r="D12" s="81">
        <v>0</v>
      </c>
      <c r="E12" s="81">
        <v>139937.78</v>
      </c>
      <c r="F12" s="81">
        <v>0</v>
      </c>
      <c r="G12" s="81">
        <v>0</v>
      </c>
      <c r="H12" s="81">
        <v>0</v>
      </c>
      <c r="I12" s="81">
        <f t="shared" si="1"/>
        <v>139937.78</v>
      </c>
    </row>
    <row r="13" spans="1:12">
      <c r="A13" s="61">
        <f t="shared" si="0"/>
        <v>12</v>
      </c>
      <c r="B13" s="61" t="s">
        <v>509</v>
      </c>
      <c r="C13" s="81">
        <v>0</v>
      </c>
      <c r="D13" s="81">
        <v>0</v>
      </c>
      <c r="E13" s="81">
        <v>0</v>
      </c>
      <c r="F13" s="81">
        <v>0</v>
      </c>
      <c r="G13" s="81">
        <v>0</v>
      </c>
      <c r="H13" s="81">
        <v>1206185.23</v>
      </c>
      <c r="I13" s="81">
        <f t="shared" si="1"/>
        <v>1206185.23</v>
      </c>
    </row>
    <row r="14" spans="1:12">
      <c r="A14" s="61">
        <f t="shared" si="0"/>
        <v>13</v>
      </c>
      <c r="B14" s="61" t="s">
        <v>480</v>
      </c>
      <c r="C14" s="81">
        <v>0</v>
      </c>
      <c r="D14" s="81">
        <v>0</v>
      </c>
      <c r="E14" s="81">
        <v>0</v>
      </c>
      <c r="F14" s="81">
        <v>0</v>
      </c>
      <c r="G14" s="81">
        <v>0</v>
      </c>
      <c r="H14" s="81">
        <v>12.65</v>
      </c>
      <c r="I14" s="81">
        <f t="shared" si="1"/>
        <v>12.65</v>
      </c>
    </row>
    <row r="15" spans="1:12">
      <c r="A15" s="61">
        <f t="shared" si="0"/>
        <v>14</v>
      </c>
      <c r="B15" s="61" t="s">
        <v>481</v>
      </c>
      <c r="C15" s="81">
        <v>1059475.1200000001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f t="shared" si="1"/>
        <v>1059475.1200000001</v>
      </c>
    </row>
    <row r="16" spans="1:12">
      <c r="A16" s="61">
        <f t="shared" si="0"/>
        <v>15</v>
      </c>
      <c r="B16" s="61" t="s">
        <v>482</v>
      </c>
      <c r="C16" s="81">
        <v>0</v>
      </c>
      <c r="D16" s="81">
        <v>0</v>
      </c>
      <c r="E16" s="81">
        <v>0</v>
      </c>
      <c r="F16" s="81">
        <v>0</v>
      </c>
      <c r="G16" s="81">
        <v>362582.27</v>
      </c>
      <c r="H16" s="81">
        <v>223636.02</v>
      </c>
      <c r="I16" s="81">
        <f t="shared" si="1"/>
        <v>586218.29</v>
      </c>
    </row>
    <row r="17" spans="1:9">
      <c r="A17" s="61">
        <f t="shared" si="0"/>
        <v>16</v>
      </c>
      <c r="B17" s="61" t="s">
        <v>483</v>
      </c>
      <c r="C17" s="81">
        <v>0</v>
      </c>
      <c r="D17" s="81">
        <v>0</v>
      </c>
      <c r="E17" s="81">
        <v>0</v>
      </c>
      <c r="F17" s="81">
        <v>0</v>
      </c>
      <c r="G17" s="81">
        <v>0</v>
      </c>
      <c r="H17" s="81">
        <v>93141.9</v>
      </c>
      <c r="I17" s="81">
        <f t="shared" si="1"/>
        <v>93141.9</v>
      </c>
    </row>
    <row r="18" spans="1:9">
      <c r="A18" s="61">
        <f t="shared" si="0"/>
        <v>17</v>
      </c>
      <c r="B18" s="61" t="s">
        <v>484</v>
      </c>
      <c r="C18" s="81">
        <v>0</v>
      </c>
      <c r="D18" s="81">
        <v>0</v>
      </c>
      <c r="E18" s="81">
        <v>0</v>
      </c>
      <c r="F18" s="81">
        <v>199997</v>
      </c>
      <c r="G18" s="81">
        <v>0</v>
      </c>
      <c r="H18" s="81">
        <v>0</v>
      </c>
      <c r="I18" s="81">
        <f t="shared" si="1"/>
        <v>199997</v>
      </c>
    </row>
    <row r="19" spans="1:9">
      <c r="A19" s="61">
        <f t="shared" si="0"/>
        <v>18</v>
      </c>
      <c r="B19" s="61" t="s">
        <v>485</v>
      </c>
      <c r="C19" s="81">
        <v>547400</v>
      </c>
      <c r="D19" s="81">
        <v>0</v>
      </c>
      <c r="E19" s="81">
        <v>0</v>
      </c>
      <c r="F19" s="81">
        <v>0</v>
      </c>
      <c r="G19" s="81">
        <v>0</v>
      </c>
      <c r="H19" s="81">
        <v>0</v>
      </c>
      <c r="I19" s="81">
        <f t="shared" si="1"/>
        <v>547400</v>
      </c>
    </row>
    <row r="20" spans="1:9">
      <c r="A20" s="61">
        <f t="shared" si="0"/>
        <v>19</v>
      </c>
      <c r="B20" s="61" t="s">
        <v>486</v>
      </c>
      <c r="C20" s="81">
        <v>425040</v>
      </c>
      <c r="D20" s="81">
        <v>403788</v>
      </c>
      <c r="E20" s="81">
        <v>1154211.3</v>
      </c>
      <c r="F20" s="81">
        <v>0</v>
      </c>
      <c r="G20" s="81">
        <v>0</v>
      </c>
      <c r="H20" s="81">
        <v>0</v>
      </c>
      <c r="I20" s="81">
        <f t="shared" si="1"/>
        <v>1983039.3</v>
      </c>
    </row>
    <row r="21" spans="1:9">
      <c r="A21" s="61">
        <f t="shared" si="0"/>
        <v>20</v>
      </c>
      <c r="B21" s="61" t="s">
        <v>487</v>
      </c>
      <c r="C21" s="81">
        <v>0</v>
      </c>
      <c r="D21" s="81">
        <v>0</v>
      </c>
      <c r="E21" s="81">
        <v>0</v>
      </c>
      <c r="F21" s="81">
        <v>0</v>
      </c>
      <c r="G21" s="81">
        <v>0</v>
      </c>
      <c r="H21" s="81">
        <v>365273.82</v>
      </c>
      <c r="I21" s="81">
        <f t="shared" si="1"/>
        <v>365273.82</v>
      </c>
    </row>
    <row r="22" spans="1:9">
      <c r="A22" s="61">
        <f t="shared" si="0"/>
        <v>21</v>
      </c>
      <c r="B22" s="61" t="s">
        <v>488</v>
      </c>
      <c r="C22" s="81">
        <v>0</v>
      </c>
      <c r="D22" s="81">
        <v>0</v>
      </c>
      <c r="E22" s="81">
        <v>0</v>
      </c>
      <c r="F22" s="81">
        <v>0</v>
      </c>
      <c r="G22" s="81">
        <v>0</v>
      </c>
      <c r="H22" s="81">
        <v>516373</v>
      </c>
      <c r="I22" s="81">
        <f t="shared" si="1"/>
        <v>516373</v>
      </c>
    </row>
    <row r="23" spans="1:9">
      <c r="A23" s="61">
        <f t="shared" si="0"/>
        <v>22</v>
      </c>
      <c r="B23" s="61" t="s">
        <v>489</v>
      </c>
      <c r="C23" s="81">
        <v>125577.18</v>
      </c>
      <c r="D23" s="81">
        <v>0</v>
      </c>
      <c r="E23" s="81">
        <v>0</v>
      </c>
      <c r="F23" s="81">
        <v>0</v>
      </c>
      <c r="G23" s="81">
        <v>0</v>
      </c>
      <c r="H23" s="81">
        <v>0</v>
      </c>
      <c r="I23" s="81">
        <f t="shared" si="1"/>
        <v>125577.18</v>
      </c>
    </row>
    <row r="24" spans="1:9">
      <c r="A24" s="61">
        <f t="shared" si="0"/>
        <v>23</v>
      </c>
      <c r="B24" s="61" t="s">
        <v>510</v>
      </c>
      <c r="C24" s="81">
        <v>1117555.22</v>
      </c>
      <c r="D24" s="81">
        <v>176466.43</v>
      </c>
      <c r="E24" s="81">
        <v>0</v>
      </c>
      <c r="F24" s="81">
        <v>0</v>
      </c>
      <c r="G24" s="81">
        <v>0</v>
      </c>
      <c r="H24" s="81">
        <v>0</v>
      </c>
      <c r="I24" s="81">
        <f t="shared" si="1"/>
        <v>1294021.6499999999</v>
      </c>
    </row>
    <row r="25" spans="1:9">
      <c r="A25" s="61">
        <f t="shared" si="0"/>
        <v>24</v>
      </c>
      <c r="B25" s="61" t="s">
        <v>511</v>
      </c>
      <c r="C25" s="81">
        <v>257237.76000000001</v>
      </c>
      <c r="D25" s="81">
        <v>0</v>
      </c>
      <c r="E25" s="81">
        <v>0</v>
      </c>
      <c r="F25" s="81">
        <v>0</v>
      </c>
      <c r="G25" s="81">
        <v>0</v>
      </c>
      <c r="H25" s="81">
        <v>0</v>
      </c>
      <c r="I25" s="81">
        <f t="shared" si="1"/>
        <v>257237.76000000001</v>
      </c>
    </row>
    <row r="26" spans="1:9">
      <c r="A26" s="61">
        <f t="shared" si="0"/>
        <v>25</v>
      </c>
      <c r="B26" s="61" t="s">
        <v>512</v>
      </c>
      <c r="C26" s="81">
        <v>2260001.7599999998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f t="shared" si="1"/>
        <v>2260001.7599999998</v>
      </c>
    </row>
    <row r="27" spans="1:9">
      <c r="A27" s="61">
        <f t="shared" si="0"/>
        <v>26</v>
      </c>
      <c r="B27" s="61" t="s">
        <v>490</v>
      </c>
      <c r="C27" s="81">
        <v>0</v>
      </c>
      <c r="D27" s="81">
        <v>1174725</v>
      </c>
      <c r="E27" s="81">
        <v>0</v>
      </c>
      <c r="F27" s="81">
        <v>0</v>
      </c>
      <c r="G27" s="81">
        <v>0</v>
      </c>
      <c r="H27" s="81">
        <v>0</v>
      </c>
      <c r="I27" s="81">
        <f t="shared" si="1"/>
        <v>1174725</v>
      </c>
    </row>
    <row r="28" spans="1:9">
      <c r="A28" s="61">
        <f t="shared" si="0"/>
        <v>27</v>
      </c>
      <c r="B28" s="61" t="s">
        <v>513</v>
      </c>
      <c r="C28" s="81">
        <v>0</v>
      </c>
      <c r="D28" s="81">
        <v>0</v>
      </c>
      <c r="E28" s="81">
        <v>0</v>
      </c>
      <c r="F28" s="81">
        <v>0</v>
      </c>
      <c r="G28" s="81">
        <v>127582.9</v>
      </c>
      <c r="H28" s="81">
        <v>0</v>
      </c>
      <c r="I28" s="81">
        <f t="shared" si="1"/>
        <v>127582.9</v>
      </c>
    </row>
    <row r="29" spans="1:9">
      <c r="A29" s="61">
        <f t="shared" si="0"/>
        <v>28</v>
      </c>
      <c r="B29" s="61" t="s">
        <v>416</v>
      </c>
      <c r="C29" s="81">
        <v>1325998.02</v>
      </c>
      <c r="D29" s="81">
        <v>0</v>
      </c>
      <c r="E29" s="81">
        <v>0</v>
      </c>
      <c r="F29" s="81">
        <v>0</v>
      </c>
      <c r="G29" s="81">
        <v>0</v>
      </c>
      <c r="H29" s="81">
        <v>0</v>
      </c>
      <c r="I29" s="81">
        <f t="shared" si="1"/>
        <v>1325998.02</v>
      </c>
    </row>
    <row r="30" spans="1:9">
      <c r="A30" s="61">
        <f t="shared" si="0"/>
        <v>29</v>
      </c>
      <c r="B30" s="61" t="s">
        <v>514</v>
      </c>
      <c r="C30" s="81">
        <v>587418.16</v>
      </c>
      <c r="D30" s="81">
        <v>0</v>
      </c>
      <c r="E30" s="81">
        <v>0</v>
      </c>
      <c r="F30" s="81">
        <v>0</v>
      </c>
      <c r="G30" s="81">
        <v>0</v>
      </c>
      <c r="H30" s="81">
        <v>0</v>
      </c>
      <c r="I30" s="81">
        <f t="shared" si="1"/>
        <v>587418.16</v>
      </c>
    </row>
    <row r="31" spans="1:9">
      <c r="A31" s="61">
        <f t="shared" si="0"/>
        <v>30</v>
      </c>
      <c r="B31" s="61" t="s">
        <v>491</v>
      </c>
      <c r="C31" s="81">
        <v>604972.34</v>
      </c>
      <c r="D31" s="81">
        <v>0</v>
      </c>
      <c r="E31" s="81">
        <v>0</v>
      </c>
      <c r="F31" s="81">
        <v>0</v>
      </c>
      <c r="G31" s="81">
        <v>0</v>
      </c>
      <c r="H31" s="81">
        <v>0</v>
      </c>
      <c r="I31" s="81">
        <f t="shared" si="1"/>
        <v>604972.34</v>
      </c>
    </row>
    <row r="32" spans="1:9">
      <c r="A32" s="61">
        <f t="shared" si="0"/>
        <v>31</v>
      </c>
      <c r="B32" s="61" t="s">
        <v>515</v>
      </c>
      <c r="C32" s="81">
        <v>2244798.69</v>
      </c>
      <c r="D32" s="81">
        <v>0</v>
      </c>
      <c r="E32" s="81">
        <v>0</v>
      </c>
      <c r="F32" s="81">
        <v>0</v>
      </c>
      <c r="G32" s="81">
        <v>0</v>
      </c>
      <c r="H32" s="81">
        <v>0</v>
      </c>
      <c r="I32" s="81">
        <f t="shared" si="1"/>
        <v>2244798.69</v>
      </c>
    </row>
    <row r="33" spans="1:9">
      <c r="A33" s="61">
        <f t="shared" si="0"/>
        <v>32</v>
      </c>
      <c r="B33" s="61" t="s">
        <v>516</v>
      </c>
      <c r="C33" s="81">
        <v>2025098.25</v>
      </c>
      <c r="D33" s="81">
        <v>0</v>
      </c>
      <c r="E33" s="81">
        <v>0</v>
      </c>
      <c r="F33" s="81">
        <v>0</v>
      </c>
      <c r="G33" s="81">
        <v>0</v>
      </c>
      <c r="H33" s="81">
        <v>0</v>
      </c>
      <c r="I33" s="81">
        <f t="shared" si="1"/>
        <v>2025098.25</v>
      </c>
    </row>
    <row r="34" spans="1:9">
      <c r="A34" s="61">
        <f t="shared" si="0"/>
        <v>33</v>
      </c>
      <c r="B34" s="61" t="s">
        <v>517</v>
      </c>
      <c r="C34" s="81">
        <v>90978.94</v>
      </c>
      <c r="D34" s="81">
        <v>0</v>
      </c>
      <c r="E34" s="81">
        <v>0</v>
      </c>
      <c r="F34" s="81">
        <v>0</v>
      </c>
      <c r="G34" s="81">
        <v>0</v>
      </c>
      <c r="H34" s="81">
        <v>0</v>
      </c>
      <c r="I34" s="81">
        <f t="shared" si="1"/>
        <v>90978.94</v>
      </c>
    </row>
    <row r="35" spans="1:9">
      <c r="A35" s="61">
        <f t="shared" si="0"/>
        <v>34</v>
      </c>
      <c r="B35" s="61" t="s">
        <v>492</v>
      </c>
      <c r="C35" s="81">
        <v>232584.63</v>
      </c>
      <c r="D35" s="81">
        <v>0</v>
      </c>
      <c r="E35" s="81">
        <v>0</v>
      </c>
      <c r="F35" s="81">
        <v>0</v>
      </c>
      <c r="G35" s="81">
        <v>0</v>
      </c>
      <c r="H35" s="81">
        <v>0</v>
      </c>
      <c r="I35" s="81">
        <f t="shared" si="1"/>
        <v>232584.63</v>
      </c>
    </row>
    <row r="36" spans="1:9">
      <c r="A36" s="61">
        <f t="shared" si="0"/>
        <v>35</v>
      </c>
      <c r="B36" s="61" t="s">
        <v>518</v>
      </c>
      <c r="C36" s="81">
        <v>816669.28</v>
      </c>
      <c r="D36" s="81">
        <v>204167.32</v>
      </c>
      <c r="E36" s="81">
        <v>0</v>
      </c>
      <c r="F36" s="81">
        <v>0</v>
      </c>
      <c r="G36" s="81">
        <v>0</v>
      </c>
      <c r="H36" s="81">
        <v>0</v>
      </c>
      <c r="I36" s="81">
        <f t="shared" si="1"/>
        <v>1020836.6000000001</v>
      </c>
    </row>
    <row r="37" spans="1:9">
      <c r="A37" s="61">
        <f t="shared" si="0"/>
        <v>36</v>
      </c>
      <c r="B37" s="61" t="s">
        <v>519</v>
      </c>
      <c r="C37" s="81">
        <v>1211735.17</v>
      </c>
      <c r="D37" s="81">
        <v>0</v>
      </c>
      <c r="E37" s="81">
        <v>0</v>
      </c>
      <c r="F37" s="81">
        <v>0</v>
      </c>
      <c r="G37" s="81">
        <v>0</v>
      </c>
      <c r="H37" s="81">
        <v>0</v>
      </c>
      <c r="I37" s="81">
        <f t="shared" si="1"/>
        <v>1211735.17</v>
      </c>
    </row>
    <row r="38" spans="1:9">
      <c r="A38" s="61">
        <f t="shared" si="0"/>
        <v>37</v>
      </c>
      <c r="B38" s="61" t="s">
        <v>493</v>
      </c>
      <c r="C38" s="81">
        <v>0</v>
      </c>
      <c r="D38" s="81">
        <v>0</v>
      </c>
      <c r="E38" s="81">
        <v>0</v>
      </c>
      <c r="F38" s="81">
        <v>232864.94</v>
      </c>
      <c r="G38" s="81">
        <v>0</v>
      </c>
      <c r="H38" s="81">
        <v>0</v>
      </c>
      <c r="I38" s="81">
        <f t="shared" si="1"/>
        <v>232864.94</v>
      </c>
    </row>
    <row r="39" spans="1:9">
      <c r="A39" s="61">
        <f t="shared" si="0"/>
        <v>38</v>
      </c>
      <c r="B39" s="61" t="s">
        <v>520</v>
      </c>
      <c r="C39" s="81">
        <v>1689733.16</v>
      </c>
      <c r="D39" s="81">
        <v>0</v>
      </c>
      <c r="E39" s="81">
        <v>0</v>
      </c>
      <c r="F39" s="81">
        <v>0</v>
      </c>
      <c r="G39" s="81">
        <v>0</v>
      </c>
      <c r="H39" s="81">
        <v>0</v>
      </c>
      <c r="I39" s="81">
        <f t="shared" si="1"/>
        <v>1689733.16</v>
      </c>
    </row>
    <row r="40" spans="1:9">
      <c r="A40" s="61">
        <f t="shared" si="0"/>
        <v>39</v>
      </c>
      <c r="B40" s="61" t="s">
        <v>443</v>
      </c>
      <c r="C40" s="81">
        <v>427117.26</v>
      </c>
      <c r="D40" s="81">
        <v>0</v>
      </c>
      <c r="E40" s="81">
        <v>0</v>
      </c>
      <c r="F40" s="81">
        <v>0</v>
      </c>
      <c r="G40" s="81">
        <v>0</v>
      </c>
      <c r="H40" s="81">
        <v>0</v>
      </c>
      <c r="I40" s="81">
        <f t="shared" si="1"/>
        <v>427117.26</v>
      </c>
    </row>
    <row r="41" spans="1:9">
      <c r="A41" s="61">
        <f t="shared" si="0"/>
        <v>40</v>
      </c>
      <c r="B41" s="61" t="s">
        <v>494</v>
      </c>
      <c r="C41" s="81">
        <v>122543.16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f t="shared" si="1"/>
        <v>122543.16</v>
      </c>
    </row>
    <row r="42" spans="1:9">
      <c r="A42" s="61">
        <f t="shared" si="0"/>
        <v>41</v>
      </c>
      <c r="B42" s="61" t="s">
        <v>521</v>
      </c>
      <c r="C42" s="81">
        <v>225718.77</v>
      </c>
      <c r="D42" s="81">
        <v>97918.77</v>
      </c>
      <c r="E42" s="81">
        <v>0</v>
      </c>
      <c r="F42" s="81">
        <v>0</v>
      </c>
      <c r="G42" s="81">
        <v>0</v>
      </c>
      <c r="H42" s="81">
        <v>0</v>
      </c>
      <c r="I42" s="81">
        <f t="shared" si="1"/>
        <v>323637.53999999998</v>
      </c>
    </row>
    <row r="43" spans="1:9">
      <c r="A43" s="61">
        <f t="shared" si="0"/>
        <v>42</v>
      </c>
      <c r="B43" s="61" t="s">
        <v>522</v>
      </c>
      <c r="C43" s="81">
        <v>714220.15</v>
      </c>
      <c r="D43" s="81">
        <v>0</v>
      </c>
      <c r="E43" s="81">
        <v>0</v>
      </c>
      <c r="F43" s="81">
        <v>0</v>
      </c>
      <c r="G43" s="81">
        <v>0</v>
      </c>
      <c r="H43" s="81">
        <v>0</v>
      </c>
      <c r="I43" s="81">
        <f t="shared" si="1"/>
        <v>714220.15</v>
      </c>
    </row>
    <row r="44" spans="1:9">
      <c r="A44" s="61">
        <f t="shared" si="0"/>
        <v>43</v>
      </c>
      <c r="B44" s="61" t="s">
        <v>523</v>
      </c>
      <c r="C44" s="81">
        <v>485417.65</v>
      </c>
      <c r="D44" s="81">
        <v>0</v>
      </c>
      <c r="E44" s="81">
        <v>0</v>
      </c>
      <c r="F44" s="81">
        <v>0</v>
      </c>
      <c r="G44" s="81">
        <v>0</v>
      </c>
      <c r="H44" s="81">
        <v>0</v>
      </c>
      <c r="I44" s="81">
        <f t="shared" si="1"/>
        <v>485417.65</v>
      </c>
    </row>
    <row r="45" spans="1:9">
      <c r="A45" s="61">
        <f t="shared" si="0"/>
        <v>44</v>
      </c>
      <c r="B45" s="61" t="s">
        <v>524</v>
      </c>
      <c r="C45" s="81">
        <v>660512.49</v>
      </c>
      <c r="D45" s="81">
        <v>0</v>
      </c>
      <c r="E45" s="81">
        <v>0</v>
      </c>
      <c r="F45" s="81">
        <v>0</v>
      </c>
      <c r="G45" s="81">
        <v>0</v>
      </c>
      <c r="H45" s="81">
        <v>0</v>
      </c>
      <c r="I45" s="81">
        <f t="shared" si="1"/>
        <v>660512.49</v>
      </c>
    </row>
    <row r="46" spans="1:9">
      <c r="A46" s="61">
        <f t="shared" si="0"/>
        <v>45</v>
      </c>
      <c r="B46" s="61" t="s">
        <v>525</v>
      </c>
      <c r="C46" s="81">
        <v>1792500.06</v>
      </c>
      <c r="D46" s="81">
        <v>0</v>
      </c>
      <c r="E46" s="81">
        <v>0</v>
      </c>
      <c r="F46" s="81">
        <v>0</v>
      </c>
      <c r="G46" s="81">
        <v>0</v>
      </c>
      <c r="H46" s="81">
        <v>0</v>
      </c>
      <c r="I46" s="81">
        <f t="shared" si="1"/>
        <v>1792500.06</v>
      </c>
    </row>
    <row r="47" spans="1:9">
      <c r="A47" s="61">
        <f t="shared" si="0"/>
        <v>46</v>
      </c>
      <c r="B47" s="61" t="s">
        <v>526</v>
      </c>
      <c r="C47" s="81">
        <v>556631.4</v>
      </c>
      <c r="D47" s="81">
        <v>0</v>
      </c>
      <c r="E47" s="81">
        <v>0</v>
      </c>
      <c r="F47" s="81">
        <v>0</v>
      </c>
      <c r="G47" s="81">
        <v>0</v>
      </c>
      <c r="H47" s="81">
        <v>0</v>
      </c>
      <c r="I47" s="81">
        <f t="shared" si="1"/>
        <v>556631.4</v>
      </c>
    </row>
    <row r="48" spans="1:9">
      <c r="A48" s="61">
        <f t="shared" si="0"/>
        <v>47</v>
      </c>
      <c r="B48" s="61" t="s">
        <v>495</v>
      </c>
      <c r="C48" s="81">
        <v>0</v>
      </c>
      <c r="D48" s="81">
        <v>0</v>
      </c>
      <c r="E48" s="81">
        <v>0</v>
      </c>
      <c r="F48" s="81">
        <v>368190.9</v>
      </c>
      <c r="G48" s="81">
        <v>0</v>
      </c>
      <c r="H48" s="81">
        <v>0</v>
      </c>
      <c r="I48" s="81">
        <f t="shared" si="1"/>
        <v>368190.9</v>
      </c>
    </row>
    <row r="49" spans="1:12">
      <c r="A49" s="61">
        <f t="shared" si="0"/>
        <v>48</v>
      </c>
      <c r="B49" s="61" t="s">
        <v>527</v>
      </c>
      <c r="C49" s="81">
        <v>1494666.66</v>
      </c>
      <c r="D49" s="81">
        <v>0</v>
      </c>
      <c r="E49" s="81">
        <v>0</v>
      </c>
      <c r="F49" s="81">
        <v>0</v>
      </c>
      <c r="G49" s="81">
        <v>0</v>
      </c>
      <c r="H49" s="81">
        <v>0</v>
      </c>
      <c r="I49" s="81">
        <f t="shared" si="1"/>
        <v>1494666.66</v>
      </c>
    </row>
    <row r="50" spans="1:12">
      <c r="A50" s="61">
        <f t="shared" si="0"/>
        <v>49</v>
      </c>
      <c r="B50" s="61" t="s">
        <v>496</v>
      </c>
      <c r="C50" s="81">
        <v>0</v>
      </c>
      <c r="D50" s="81">
        <v>0</v>
      </c>
      <c r="E50" s="81">
        <v>0</v>
      </c>
      <c r="F50" s="81">
        <v>0</v>
      </c>
      <c r="G50" s="81">
        <v>140371.88</v>
      </c>
      <c r="H50" s="81">
        <v>0</v>
      </c>
      <c r="I50" s="81">
        <f t="shared" si="1"/>
        <v>140371.88</v>
      </c>
    </row>
    <row r="51" spans="1:12">
      <c r="A51" s="61">
        <f t="shared" si="0"/>
        <v>50</v>
      </c>
      <c r="B51" s="61" t="s">
        <v>528</v>
      </c>
      <c r="C51" s="81">
        <v>480561.66</v>
      </c>
      <c r="D51" s="81">
        <v>0</v>
      </c>
      <c r="E51" s="81">
        <v>0</v>
      </c>
      <c r="F51" s="81">
        <v>0</v>
      </c>
      <c r="G51" s="81">
        <v>0</v>
      </c>
      <c r="H51" s="81">
        <v>0</v>
      </c>
      <c r="I51" s="81">
        <f>SUM(C51:H51)</f>
        <v>480561.66</v>
      </c>
    </row>
    <row r="52" spans="1:12">
      <c r="A52" s="61">
        <f t="shared" si="0"/>
        <v>51</v>
      </c>
      <c r="B52" s="61" t="s">
        <v>529</v>
      </c>
      <c r="C52" s="81">
        <v>0</v>
      </c>
      <c r="D52" s="81">
        <v>0</v>
      </c>
      <c r="E52" s="81">
        <v>82118.17</v>
      </c>
      <c r="F52" s="81">
        <v>0</v>
      </c>
      <c r="G52" s="81">
        <v>0</v>
      </c>
      <c r="H52" s="81">
        <v>0</v>
      </c>
      <c r="I52" s="81">
        <f>SUM(C52:H52)</f>
        <v>82118.17</v>
      </c>
    </row>
    <row r="53" spans="1:12">
      <c r="A53" s="61">
        <f t="shared" si="0"/>
        <v>52</v>
      </c>
      <c r="B53" s="61" t="s">
        <v>497</v>
      </c>
      <c r="C53" s="81">
        <v>1099005.6499999999</v>
      </c>
      <c r="D53" s="81">
        <v>106071.5</v>
      </c>
      <c r="E53" s="81">
        <v>0</v>
      </c>
      <c r="F53" s="81">
        <v>0</v>
      </c>
      <c r="G53" s="81">
        <v>0</v>
      </c>
      <c r="H53" s="81">
        <v>0</v>
      </c>
      <c r="I53" s="81">
        <f>SUM(C53:H53)</f>
        <v>1205077.1499999999</v>
      </c>
    </row>
    <row r="54" spans="1:12">
      <c r="A54" s="61">
        <f t="shared" si="0"/>
        <v>53</v>
      </c>
      <c r="B54" s="61" t="s">
        <v>530</v>
      </c>
      <c r="C54" s="81">
        <v>339071.62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f>SUM(C54:H54)</f>
        <v>339071.62</v>
      </c>
    </row>
    <row r="55" spans="1:12">
      <c r="A55" s="61">
        <f t="shared" si="0"/>
        <v>54</v>
      </c>
      <c r="B55" s="61" t="s">
        <v>498</v>
      </c>
      <c r="C55" s="81">
        <v>0</v>
      </c>
      <c r="D55" s="81">
        <v>0</v>
      </c>
      <c r="E55" s="81">
        <v>0</v>
      </c>
      <c r="F55" s="81">
        <v>889525</v>
      </c>
      <c r="G55" s="81">
        <v>471680</v>
      </c>
      <c r="H55" s="81">
        <v>0</v>
      </c>
      <c r="I55" s="81">
        <f t="shared" ref="I55:I60" si="2">SUM(C55:H55)</f>
        <v>1361205</v>
      </c>
    </row>
    <row r="56" spans="1:12">
      <c r="A56" s="61">
        <f t="shared" si="0"/>
        <v>55</v>
      </c>
      <c r="B56" s="61" t="s">
        <v>531</v>
      </c>
      <c r="C56" s="81">
        <v>212853.75</v>
      </c>
      <c r="D56" s="81">
        <v>232853.2</v>
      </c>
      <c r="E56" s="81">
        <v>0</v>
      </c>
      <c r="F56" s="81">
        <v>0</v>
      </c>
      <c r="G56" s="81">
        <v>0</v>
      </c>
      <c r="H56" s="81">
        <v>0</v>
      </c>
      <c r="I56" s="81">
        <f t="shared" si="2"/>
        <v>445706.95</v>
      </c>
    </row>
    <row r="57" spans="1:12">
      <c r="A57" s="61">
        <f t="shared" si="0"/>
        <v>56</v>
      </c>
      <c r="B57" s="61" t="s">
        <v>532</v>
      </c>
      <c r="C57" s="81">
        <v>319361.84999999998</v>
      </c>
      <c r="D57" s="81">
        <v>0</v>
      </c>
      <c r="E57" s="81">
        <v>0</v>
      </c>
      <c r="F57" s="81">
        <v>0</v>
      </c>
      <c r="G57" s="81">
        <v>0</v>
      </c>
      <c r="H57" s="81">
        <v>0</v>
      </c>
      <c r="I57" s="81">
        <f t="shared" si="2"/>
        <v>319361.84999999998</v>
      </c>
    </row>
    <row r="58" spans="1:12">
      <c r="A58" s="61">
        <f t="shared" si="0"/>
        <v>57</v>
      </c>
      <c r="B58" s="61" t="s">
        <v>533</v>
      </c>
      <c r="C58" s="81">
        <v>557500.84</v>
      </c>
      <c r="D58" s="81">
        <v>278750.42</v>
      </c>
      <c r="E58" s="81">
        <v>0</v>
      </c>
      <c r="F58" s="81">
        <v>0</v>
      </c>
      <c r="G58" s="81">
        <v>0</v>
      </c>
      <c r="H58" s="81">
        <v>0</v>
      </c>
      <c r="I58" s="81">
        <f t="shared" si="2"/>
        <v>836251.26</v>
      </c>
    </row>
    <row r="59" spans="1:12">
      <c r="A59" s="61">
        <f t="shared" si="0"/>
        <v>58</v>
      </c>
      <c r="B59" s="61" t="s">
        <v>499</v>
      </c>
      <c r="C59" s="81">
        <v>274177.5</v>
      </c>
      <c r="D59" s="81">
        <v>0</v>
      </c>
      <c r="E59" s="81">
        <v>0</v>
      </c>
      <c r="F59" s="81">
        <v>0</v>
      </c>
      <c r="G59" s="81">
        <v>0</v>
      </c>
      <c r="H59" s="81">
        <v>409500.4</v>
      </c>
      <c r="I59" s="81">
        <f t="shared" si="2"/>
        <v>683677.9</v>
      </c>
    </row>
    <row r="60" spans="1:12">
      <c r="A60" s="61">
        <f t="shared" si="0"/>
        <v>59</v>
      </c>
      <c r="B60" s="61" t="s">
        <v>534</v>
      </c>
      <c r="C60" s="81">
        <v>436000.02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f t="shared" si="2"/>
        <v>436000.02</v>
      </c>
    </row>
    <row r="61" spans="1:12" s="59" customFormat="1">
      <c r="A61" s="184"/>
      <c r="B61" s="184"/>
      <c r="C61" s="185">
        <f>SUM(C2:C60)</f>
        <v>28546493.989999991</v>
      </c>
      <c r="D61" s="185">
        <f t="shared" ref="D61:G61" si="3">SUM(D2:D60)</f>
        <v>2749740.64</v>
      </c>
      <c r="E61" s="185">
        <f t="shared" si="3"/>
        <v>1376267.25</v>
      </c>
      <c r="F61" s="185">
        <f t="shared" si="3"/>
        <v>1690577.84</v>
      </c>
      <c r="G61" s="185">
        <f t="shared" si="3"/>
        <v>3383503.65</v>
      </c>
      <c r="H61" s="185">
        <f>SUM(H2:H60)</f>
        <v>4266086.0599999996</v>
      </c>
      <c r="I61" s="185">
        <f>SUM(I2:I60)</f>
        <v>42012669.429999992</v>
      </c>
      <c r="K61" s="186"/>
      <c r="L61" s="186"/>
    </row>
    <row r="62" spans="1:12">
      <c r="A62" s="182"/>
      <c r="B62" s="182"/>
      <c r="C62" s="183"/>
      <c r="D62" s="183"/>
      <c r="E62" s="183"/>
      <c r="F62" s="183"/>
      <c r="G62" s="183"/>
      <c r="H62" s="183"/>
      <c r="I62" s="183"/>
    </row>
    <row r="63" spans="1:12">
      <c r="G63" s="60">
        <v>0</v>
      </c>
    </row>
    <row r="64" spans="1:12">
      <c r="D64" s="168" t="s">
        <v>500</v>
      </c>
      <c r="E64" s="168" t="s">
        <v>535</v>
      </c>
      <c r="F64" s="168" t="s">
        <v>501</v>
      </c>
    </row>
    <row r="65" spans="4:8">
      <c r="D65" s="91" t="s">
        <v>502</v>
      </c>
      <c r="E65" s="91">
        <f>C61/1000000</f>
        <v>28.546493989999991</v>
      </c>
      <c r="F65" s="119">
        <f>E65/$E$71</f>
        <v>0.67947346306006895</v>
      </c>
    </row>
    <row r="66" spans="4:8">
      <c r="D66" s="91" t="str">
        <f>D1</f>
        <v>1-30 Days</v>
      </c>
      <c r="E66" s="91">
        <f>D61/1000000</f>
        <v>2.7497406400000002</v>
      </c>
      <c r="F66" s="119">
        <f t="shared" ref="F66:F70" si="4">E66/$E$71</f>
        <v>6.5450271960974041E-2</v>
      </c>
    </row>
    <row r="67" spans="4:8">
      <c r="D67" s="91" t="str">
        <f>E1</f>
        <v>31-60 Days</v>
      </c>
      <c r="E67" s="91">
        <f>E61/1000000</f>
        <v>1.3762672499999999</v>
      </c>
      <c r="F67" s="119">
        <f t="shared" si="4"/>
        <v>3.2758386188554076E-2</v>
      </c>
    </row>
    <row r="68" spans="4:8">
      <c r="D68" s="91" t="str">
        <f>F1</f>
        <v>61-90 Days</v>
      </c>
      <c r="E68" s="91">
        <f>F61/1000000</f>
        <v>1.69057784</v>
      </c>
      <c r="F68" s="119">
        <f t="shared" si="4"/>
        <v>4.0239714898782621E-2</v>
      </c>
    </row>
    <row r="69" spans="4:8">
      <c r="D69" s="91" t="str">
        <f>G1</f>
        <v>91-180 Days</v>
      </c>
      <c r="E69" s="91">
        <f>G61/1000000</f>
        <v>3.3835036499999998</v>
      </c>
      <c r="F69" s="119">
        <f t="shared" si="4"/>
        <v>8.0535316986640709E-2</v>
      </c>
    </row>
    <row r="70" spans="4:8">
      <c r="D70" s="91" t="str">
        <f>H1</f>
        <v>Above 180 Days</v>
      </c>
      <c r="E70" s="91">
        <f>H61/1000000</f>
        <v>4.2660860599999992</v>
      </c>
      <c r="F70" s="169">
        <f t="shared" si="4"/>
        <v>0.10154284690497943</v>
      </c>
    </row>
    <row r="71" spans="4:8">
      <c r="D71" s="92" t="s">
        <v>503</v>
      </c>
      <c r="E71" s="92">
        <f>SUM(E65:E70)</f>
        <v>42.012669429999995</v>
      </c>
      <c r="F71" s="93">
        <f>E71/$E$71</f>
        <v>1</v>
      </c>
    </row>
    <row r="73" spans="4:8">
      <c r="G73" s="114"/>
    </row>
    <row r="75" spans="4:8">
      <c r="E75" s="116"/>
    </row>
    <row r="77" spans="4:8">
      <c r="F77" s="117"/>
      <c r="G77" s="118"/>
    </row>
    <row r="78" spans="4:8">
      <c r="F78" s="80"/>
      <c r="H78" s="80"/>
    </row>
    <row r="80" spans="4:8">
      <c r="H80" s="80"/>
    </row>
    <row r="81" spans="7:7">
      <c r="G81" s="80"/>
    </row>
  </sheetData>
  <autoFilter ref="A1:I45" xr:uid="{40264869-AAF9-430F-9725-3837CCC5D5DC}">
    <sortState xmlns:xlrd2="http://schemas.microsoft.com/office/spreadsheetml/2017/richdata2" ref="A2:I45">
      <sortCondition descending="1" ref="I1:I45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D823-7749-4340-B34F-29CD07655DD2}">
  <sheetPr codeName="Sheet9"/>
  <dimension ref="A1:AL29"/>
  <sheetViews>
    <sheetView workbookViewId="0">
      <selection activeCell="U12" sqref="H12:U16"/>
    </sheetView>
  </sheetViews>
  <sheetFormatPr defaultColWidth="8.5546875" defaultRowHeight="13.8"/>
  <cols>
    <col min="1" max="1" width="8.5546875" style="96"/>
    <col min="2" max="2" width="23.5546875" style="96" bestFit="1" customWidth="1"/>
    <col min="3" max="3" width="13.5546875" style="96" bestFit="1" customWidth="1"/>
    <col min="4" max="6" width="12.5546875" style="96" bestFit="1" customWidth="1"/>
    <col min="7" max="14" width="13.5546875" style="96" bestFit="1" customWidth="1"/>
    <col min="15" max="16" width="14" style="96" bestFit="1" customWidth="1"/>
    <col min="17" max="17" width="15" style="96" bestFit="1" customWidth="1"/>
    <col min="18" max="18" width="12.5546875" style="96" bestFit="1" customWidth="1"/>
    <col min="19" max="27" width="13.5546875" style="96" bestFit="1" customWidth="1"/>
    <col min="28" max="30" width="12.5546875" style="96" bestFit="1" customWidth="1"/>
    <col min="31" max="38" width="13.5546875" style="96" bestFit="1" customWidth="1"/>
    <col min="39" max="16384" width="8.5546875" style="96"/>
  </cols>
  <sheetData>
    <row r="1" spans="1:38" ht="15" thickBot="1">
      <c r="A1" s="95" t="s">
        <v>536</v>
      </c>
    </row>
    <row r="2" spans="1:38" ht="16.2">
      <c r="A2" s="97" t="s">
        <v>537</v>
      </c>
      <c r="B2" s="98" t="s">
        <v>538</v>
      </c>
      <c r="C2" s="98">
        <v>45292</v>
      </c>
      <c r="D2" s="98">
        <v>45323</v>
      </c>
      <c r="E2" s="98">
        <v>45352</v>
      </c>
      <c r="F2" s="98">
        <v>45383</v>
      </c>
      <c r="G2" s="98">
        <v>45413</v>
      </c>
      <c r="H2" s="98">
        <v>45444</v>
      </c>
      <c r="I2" s="98">
        <v>45474</v>
      </c>
      <c r="J2" s="98">
        <v>45505</v>
      </c>
      <c r="K2" s="98">
        <v>45536</v>
      </c>
      <c r="L2" s="98">
        <v>45566</v>
      </c>
      <c r="M2" s="98">
        <v>45597</v>
      </c>
      <c r="N2" s="98">
        <v>45627</v>
      </c>
      <c r="O2" s="98">
        <v>45658</v>
      </c>
      <c r="P2" s="98">
        <v>45689</v>
      </c>
      <c r="Q2" s="98">
        <v>45717</v>
      </c>
      <c r="R2" s="98">
        <v>45748</v>
      </c>
      <c r="S2" s="98">
        <v>45778</v>
      </c>
      <c r="T2" s="98">
        <v>45809</v>
      </c>
      <c r="U2" s="98">
        <v>45839</v>
      </c>
      <c r="V2" s="98">
        <v>45870</v>
      </c>
      <c r="W2" s="98">
        <v>45901</v>
      </c>
      <c r="X2" s="98">
        <v>45931</v>
      </c>
      <c r="Y2" s="98">
        <v>45962</v>
      </c>
      <c r="Z2" s="98">
        <v>45992</v>
      </c>
      <c r="AA2" s="98">
        <v>46023</v>
      </c>
      <c r="AB2" s="98">
        <v>46054</v>
      </c>
      <c r="AC2" s="98">
        <v>46082</v>
      </c>
      <c r="AD2" s="98">
        <v>46113</v>
      </c>
      <c r="AE2" s="98">
        <v>46143</v>
      </c>
      <c r="AF2" s="98">
        <v>46174</v>
      </c>
      <c r="AG2" s="98">
        <v>46204</v>
      </c>
      <c r="AH2" s="98">
        <v>46235</v>
      </c>
      <c r="AI2" s="98">
        <v>46266</v>
      </c>
      <c r="AJ2" s="98">
        <v>46296</v>
      </c>
      <c r="AK2" s="98">
        <v>46327</v>
      </c>
      <c r="AL2" s="99">
        <v>46357</v>
      </c>
    </row>
    <row r="3" spans="1:38" s="100" customFormat="1">
      <c r="A3" s="100" t="s">
        <v>539</v>
      </c>
      <c r="B3" s="100" t="s">
        <v>540</v>
      </c>
      <c r="C3" s="100">
        <v>12000000</v>
      </c>
      <c r="D3" s="100">
        <v>9000000</v>
      </c>
      <c r="E3" s="100">
        <v>9000000</v>
      </c>
      <c r="F3" s="100">
        <v>9000000</v>
      </c>
      <c r="G3" s="100">
        <v>15000000</v>
      </c>
      <c r="H3" s="100">
        <v>15000000</v>
      </c>
      <c r="I3" s="100">
        <v>21000000</v>
      </c>
      <c r="J3" s="100">
        <v>21000000</v>
      </c>
      <c r="K3" s="100">
        <v>21000000</v>
      </c>
      <c r="L3" s="100">
        <v>21000000</v>
      </c>
      <c r="M3" s="100">
        <v>24000000</v>
      </c>
      <c r="N3" s="100">
        <v>24000000</v>
      </c>
      <c r="O3" s="100">
        <v>12000000</v>
      </c>
      <c r="P3" s="100">
        <v>9000000</v>
      </c>
      <c r="Q3" s="100">
        <v>9000000</v>
      </c>
      <c r="R3" s="100">
        <v>9000000</v>
      </c>
      <c r="S3" s="100">
        <v>15000000</v>
      </c>
      <c r="T3" s="100">
        <v>15000000</v>
      </c>
      <c r="U3" s="100">
        <v>21000000</v>
      </c>
      <c r="V3" s="100">
        <v>21000000</v>
      </c>
      <c r="W3" s="100">
        <v>21000000</v>
      </c>
      <c r="X3" s="100">
        <v>21000000</v>
      </c>
      <c r="Y3" s="100">
        <v>24000000</v>
      </c>
      <c r="Z3" s="100">
        <v>24000000</v>
      </c>
      <c r="AA3" s="100">
        <v>12000000</v>
      </c>
      <c r="AB3" s="100">
        <v>9000000</v>
      </c>
      <c r="AC3" s="100">
        <v>9000000</v>
      </c>
      <c r="AD3" s="100">
        <v>9000000</v>
      </c>
      <c r="AE3" s="100">
        <v>15000000</v>
      </c>
      <c r="AF3" s="100">
        <v>15000000</v>
      </c>
      <c r="AG3" s="100">
        <v>21000000</v>
      </c>
      <c r="AH3" s="100">
        <v>21000000</v>
      </c>
      <c r="AI3" s="100">
        <v>21000000</v>
      </c>
      <c r="AJ3" s="100">
        <v>21000000</v>
      </c>
      <c r="AK3" s="100">
        <v>24000000</v>
      </c>
      <c r="AL3" s="100">
        <v>24000000</v>
      </c>
    </row>
    <row r="4" spans="1:38" s="100" customFormat="1">
      <c r="A4" s="100" t="s">
        <v>539</v>
      </c>
      <c r="B4" s="100" t="s">
        <v>541</v>
      </c>
      <c r="C4" s="100">
        <v>2000000</v>
      </c>
      <c r="D4" s="100">
        <v>3200000</v>
      </c>
      <c r="E4" s="100">
        <v>2800000</v>
      </c>
      <c r="F4" s="100">
        <v>2800000</v>
      </c>
      <c r="G4" s="100">
        <v>4000000</v>
      </c>
      <c r="H4" s="100">
        <v>8000000</v>
      </c>
      <c r="I4" s="100">
        <v>8000000</v>
      </c>
      <c r="J4" s="100">
        <v>12000000</v>
      </c>
      <c r="K4" s="100">
        <v>12000000</v>
      </c>
      <c r="L4" s="100">
        <v>12000000</v>
      </c>
      <c r="M4" s="100">
        <v>16000000</v>
      </c>
      <c r="N4" s="100">
        <v>16000000</v>
      </c>
      <c r="O4" s="100">
        <v>2000000</v>
      </c>
      <c r="P4" s="100">
        <v>3200000</v>
      </c>
      <c r="Q4" s="100">
        <v>2800000</v>
      </c>
      <c r="R4" s="100">
        <v>2800000</v>
      </c>
      <c r="S4" s="100">
        <v>4000000</v>
      </c>
      <c r="T4" s="100">
        <v>8000000</v>
      </c>
      <c r="U4" s="100">
        <v>8000000</v>
      </c>
      <c r="V4" s="100">
        <v>12000000</v>
      </c>
      <c r="W4" s="100">
        <v>12000000</v>
      </c>
      <c r="X4" s="100">
        <v>12000000</v>
      </c>
      <c r="Y4" s="100">
        <v>16000000</v>
      </c>
      <c r="Z4" s="100">
        <v>16000000</v>
      </c>
      <c r="AA4" s="100">
        <v>2000000</v>
      </c>
      <c r="AB4" s="100">
        <v>3200000</v>
      </c>
      <c r="AC4" s="100">
        <v>2800000</v>
      </c>
      <c r="AD4" s="100">
        <v>2800000</v>
      </c>
      <c r="AE4" s="100">
        <v>4000000</v>
      </c>
      <c r="AF4" s="100">
        <v>8000000</v>
      </c>
      <c r="AG4" s="100">
        <v>8000000</v>
      </c>
      <c r="AH4" s="100">
        <v>12000000</v>
      </c>
      <c r="AI4" s="100">
        <v>12000000</v>
      </c>
      <c r="AJ4" s="100">
        <v>12000000</v>
      </c>
      <c r="AK4" s="100">
        <v>16000000</v>
      </c>
      <c r="AL4" s="100">
        <v>16000000</v>
      </c>
    </row>
    <row r="5" spans="1:38">
      <c r="A5" s="100" t="s">
        <v>542</v>
      </c>
      <c r="B5" s="100" t="s">
        <v>540</v>
      </c>
      <c r="C5" s="100">
        <f>C3/4</f>
        <v>3000000</v>
      </c>
      <c r="D5" s="100">
        <f t="shared" ref="D5:AL6" si="0">D3/4</f>
        <v>2250000</v>
      </c>
      <c r="E5" s="100">
        <f t="shared" si="0"/>
        <v>2250000</v>
      </c>
      <c r="F5" s="100">
        <f t="shared" si="0"/>
        <v>2250000</v>
      </c>
      <c r="G5" s="100">
        <f t="shared" si="0"/>
        <v>3750000</v>
      </c>
      <c r="H5" s="100">
        <f t="shared" si="0"/>
        <v>3750000</v>
      </c>
      <c r="I5" s="100">
        <f t="shared" si="0"/>
        <v>5250000</v>
      </c>
      <c r="J5" s="100">
        <f t="shared" si="0"/>
        <v>5250000</v>
      </c>
      <c r="K5" s="100">
        <f t="shared" si="0"/>
        <v>5250000</v>
      </c>
      <c r="L5" s="100">
        <f t="shared" si="0"/>
        <v>5250000</v>
      </c>
      <c r="M5" s="100">
        <f t="shared" si="0"/>
        <v>6000000</v>
      </c>
      <c r="N5" s="100">
        <f t="shared" si="0"/>
        <v>6000000</v>
      </c>
      <c r="O5" s="100">
        <f t="shared" si="0"/>
        <v>3000000</v>
      </c>
      <c r="P5" s="100">
        <f t="shared" si="0"/>
        <v>2250000</v>
      </c>
      <c r="Q5" s="100">
        <f t="shared" si="0"/>
        <v>2250000</v>
      </c>
      <c r="R5" s="100">
        <f t="shared" si="0"/>
        <v>2250000</v>
      </c>
      <c r="S5" s="100">
        <f t="shared" si="0"/>
        <v>3750000</v>
      </c>
      <c r="T5" s="100">
        <f t="shared" si="0"/>
        <v>3750000</v>
      </c>
      <c r="U5" s="100">
        <f t="shared" si="0"/>
        <v>5250000</v>
      </c>
      <c r="V5" s="100">
        <f t="shared" si="0"/>
        <v>5250000</v>
      </c>
      <c r="W5" s="100">
        <f t="shared" si="0"/>
        <v>5250000</v>
      </c>
      <c r="X5" s="100">
        <f t="shared" si="0"/>
        <v>5250000</v>
      </c>
      <c r="Y5" s="100">
        <f t="shared" si="0"/>
        <v>6000000</v>
      </c>
      <c r="Z5" s="100">
        <f t="shared" si="0"/>
        <v>6000000</v>
      </c>
      <c r="AA5" s="100">
        <f t="shared" si="0"/>
        <v>3000000</v>
      </c>
      <c r="AB5" s="100">
        <f t="shared" si="0"/>
        <v>2250000</v>
      </c>
      <c r="AC5" s="100">
        <f t="shared" si="0"/>
        <v>2250000</v>
      </c>
      <c r="AD5" s="100">
        <f t="shared" si="0"/>
        <v>2250000</v>
      </c>
      <c r="AE5" s="100">
        <f t="shared" si="0"/>
        <v>3750000</v>
      </c>
      <c r="AF5" s="100">
        <f t="shared" si="0"/>
        <v>3750000</v>
      </c>
      <c r="AG5" s="100">
        <f t="shared" si="0"/>
        <v>5250000</v>
      </c>
      <c r="AH5" s="100">
        <f t="shared" si="0"/>
        <v>5250000</v>
      </c>
      <c r="AI5" s="100">
        <f t="shared" si="0"/>
        <v>5250000</v>
      </c>
      <c r="AJ5" s="100">
        <f t="shared" si="0"/>
        <v>5250000</v>
      </c>
      <c r="AK5" s="100">
        <f t="shared" si="0"/>
        <v>6000000</v>
      </c>
      <c r="AL5" s="100">
        <f t="shared" si="0"/>
        <v>6000000</v>
      </c>
    </row>
    <row r="6" spans="1:38">
      <c r="A6" s="100" t="s">
        <v>542</v>
      </c>
      <c r="B6" s="100" t="s">
        <v>541</v>
      </c>
      <c r="C6" s="100">
        <f>C4/4</f>
        <v>500000</v>
      </c>
      <c r="D6" s="100">
        <f t="shared" si="0"/>
        <v>800000</v>
      </c>
      <c r="E6" s="100">
        <f t="shared" si="0"/>
        <v>700000</v>
      </c>
      <c r="F6" s="100">
        <f t="shared" si="0"/>
        <v>700000</v>
      </c>
      <c r="G6" s="100">
        <f t="shared" si="0"/>
        <v>1000000</v>
      </c>
      <c r="H6" s="100">
        <f t="shared" si="0"/>
        <v>2000000</v>
      </c>
      <c r="I6" s="100">
        <f t="shared" si="0"/>
        <v>2000000</v>
      </c>
      <c r="J6" s="100">
        <f t="shared" si="0"/>
        <v>3000000</v>
      </c>
      <c r="K6" s="100">
        <f t="shared" si="0"/>
        <v>3000000</v>
      </c>
      <c r="L6" s="100">
        <f t="shared" si="0"/>
        <v>3000000</v>
      </c>
      <c r="M6" s="100">
        <f t="shared" si="0"/>
        <v>4000000</v>
      </c>
      <c r="N6" s="100">
        <f t="shared" si="0"/>
        <v>4000000</v>
      </c>
      <c r="O6" s="100">
        <f t="shared" si="0"/>
        <v>500000</v>
      </c>
      <c r="P6" s="100">
        <f t="shared" si="0"/>
        <v>800000</v>
      </c>
      <c r="Q6" s="100">
        <f t="shared" si="0"/>
        <v>700000</v>
      </c>
      <c r="R6" s="100">
        <f t="shared" si="0"/>
        <v>700000</v>
      </c>
      <c r="S6" s="100">
        <f t="shared" si="0"/>
        <v>1000000</v>
      </c>
      <c r="T6" s="100">
        <f t="shared" si="0"/>
        <v>2000000</v>
      </c>
      <c r="U6" s="100">
        <f t="shared" si="0"/>
        <v>2000000</v>
      </c>
      <c r="V6" s="100">
        <f t="shared" si="0"/>
        <v>3000000</v>
      </c>
      <c r="W6" s="100">
        <f t="shared" si="0"/>
        <v>3000000</v>
      </c>
      <c r="X6" s="100">
        <f t="shared" si="0"/>
        <v>3000000</v>
      </c>
      <c r="Y6" s="100">
        <f t="shared" si="0"/>
        <v>4000000</v>
      </c>
      <c r="Z6" s="100">
        <f t="shared" si="0"/>
        <v>4000000</v>
      </c>
      <c r="AA6" s="100">
        <f t="shared" si="0"/>
        <v>500000</v>
      </c>
      <c r="AB6" s="100">
        <f t="shared" si="0"/>
        <v>800000</v>
      </c>
      <c r="AC6" s="100">
        <f t="shared" si="0"/>
        <v>700000</v>
      </c>
      <c r="AD6" s="100">
        <f t="shared" si="0"/>
        <v>700000</v>
      </c>
      <c r="AE6" s="100">
        <f t="shared" si="0"/>
        <v>1000000</v>
      </c>
      <c r="AF6" s="100">
        <f t="shared" si="0"/>
        <v>2000000</v>
      </c>
      <c r="AG6" s="100">
        <f t="shared" si="0"/>
        <v>2000000</v>
      </c>
      <c r="AH6" s="100">
        <f t="shared" si="0"/>
        <v>3000000</v>
      </c>
      <c r="AI6" s="100">
        <f t="shared" si="0"/>
        <v>3000000</v>
      </c>
      <c r="AJ6" s="100">
        <f t="shared" si="0"/>
        <v>3000000</v>
      </c>
      <c r="AK6" s="100">
        <f t="shared" si="0"/>
        <v>4000000</v>
      </c>
      <c r="AL6" s="100">
        <f t="shared" si="0"/>
        <v>4000000</v>
      </c>
    </row>
    <row r="7" spans="1:38">
      <c r="A7" s="100" t="s">
        <v>543</v>
      </c>
      <c r="B7" s="100" t="s">
        <v>540</v>
      </c>
      <c r="C7" s="100">
        <f>C3/2</f>
        <v>6000000</v>
      </c>
      <c r="D7" s="100">
        <f t="shared" ref="D7:AL8" si="1">D3/2</f>
        <v>4500000</v>
      </c>
      <c r="E7" s="100">
        <f t="shared" si="1"/>
        <v>4500000</v>
      </c>
      <c r="F7" s="100">
        <f t="shared" si="1"/>
        <v>4500000</v>
      </c>
      <c r="G7" s="100">
        <f t="shared" si="1"/>
        <v>7500000</v>
      </c>
      <c r="H7" s="100">
        <f t="shared" si="1"/>
        <v>7500000</v>
      </c>
      <c r="I7" s="100">
        <f t="shared" si="1"/>
        <v>10500000</v>
      </c>
      <c r="J7" s="100">
        <f t="shared" si="1"/>
        <v>10500000</v>
      </c>
      <c r="K7" s="100">
        <f t="shared" si="1"/>
        <v>10500000</v>
      </c>
      <c r="L7" s="100">
        <f t="shared" si="1"/>
        <v>10500000</v>
      </c>
      <c r="M7" s="100">
        <f t="shared" si="1"/>
        <v>12000000</v>
      </c>
      <c r="N7" s="100">
        <f t="shared" si="1"/>
        <v>12000000</v>
      </c>
      <c r="O7" s="100">
        <f t="shared" si="1"/>
        <v>6000000</v>
      </c>
      <c r="P7" s="100">
        <f t="shared" si="1"/>
        <v>4500000</v>
      </c>
      <c r="Q7" s="100">
        <f t="shared" si="1"/>
        <v>4500000</v>
      </c>
      <c r="R7" s="100">
        <f t="shared" si="1"/>
        <v>4500000</v>
      </c>
      <c r="S7" s="100">
        <f t="shared" si="1"/>
        <v>7500000</v>
      </c>
      <c r="T7" s="100">
        <f t="shared" si="1"/>
        <v>7500000</v>
      </c>
      <c r="U7" s="100">
        <f t="shared" si="1"/>
        <v>10500000</v>
      </c>
      <c r="V7" s="100">
        <f t="shared" si="1"/>
        <v>10500000</v>
      </c>
      <c r="W7" s="100">
        <f t="shared" si="1"/>
        <v>10500000</v>
      </c>
      <c r="X7" s="100">
        <f t="shared" si="1"/>
        <v>10500000</v>
      </c>
      <c r="Y7" s="100">
        <f t="shared" si="1"/>
        <v>12000000</v>
      </c>
      <c r="Z7" s="100">
        <f t="shared" si="1"/>
        <v>12000000</v>
      </c>
      <c r="AA7" s="100">
        <f t="shared" si="1"/>
        <v>6000000</v>
      </c>
      <c r="AB7" s="100">
        <f t="shared" si="1"/>
        <v>4500000</v>
      </c>
      <c r="AC7" s="100">
        <f t="shared" si="1"/>
        <v>4500000</v>
      </c>
      <c r="AD7" s="100">
        <f t="shared" si="1"/>
        <v>4500000</v>
      </c>
      <c r="AE7" s="100">
        <f t="shared" si="1"/>
        <v>7500000</v>
      </c>
      <c r="AF7" s="100">
        <f t="shared" si="1"/>
        <v>7500000</v>
      </c>
      <c r="AG7" s="100">
        <f t="shared" si="1"/>
        <v>10500000</v>
      </c>
      <c r="AH7" s="100">
        <f t="shared" si="1"/>
        <v>10500000</v>
      </c>
      <c r="AI7" s="100">
        <f t="shared" si="1"/>
        <v>10500000</v>
      </c>
      <c r="AJ7" s="100">
        <f t="shared" si="1"/>
        <v>10500000</v>
      </c>
      <c r="AK7" s="100">
        <f t="shared" si="1"/>
        <v>12000000</v>
      </c>
      <c r="AL7" s="100">
        <f t="shared" si="1"/>
        <v>12000000</v>
      </c>
    </row>
    <row r="8" spans="1:38">
      <c r="A8" s="100" t="s">
        <v>543</v>
      </c>
      <c r="B8" s="100" t="s">
        <v>541</v>
      </c>
      <c r="C8" s="100">
        <f>C4/2</f>
        <v>1000000</v>
      </c>
      <c r="D8" s="100">
        <f t="shared" si="1"/>
        <v>1600000</v>
      </c>
      <c r="E8" s="100">
        <f t="shared" si="1"/>
        <v>1400000</v>
      </c>
      <c r="F8" s="100">
        <f t="shared" si="1"/>
        <v>1400000</v>
      </c>
      <c r="G8" s="100">
        <f t="shared" si="1"/>
        <v>2000000</v>
      </c>
      <c r="H8" s="100">
        <f t="shared" si="1"/>
        <v>4000000</v>
      </c>
      <c r="I8" s="100">
        <f t="shared" si="1"/>
        <v>4000000</v>
      </c>
      <c r="J8" s="100">
        <f t="shared" si="1"/>
        <v>6000000</v>
      </c>
      <c r="K8" s="100">
        <f t="shared" si="1"/>
        <v>6000000</v>
      </c>
      <c r="L8" s="100">
        <f t="shared" si="1"/>
        <v>6000000</v>
      </c>
      <c r="M8" s="100">
        <f t="shared" si="1"/>
        <v>8000000</v>
      </c>
      <c r="N8" s="100">
        <f t="shared" si="1"/>
        <v>8000000</v>
      </c>
      <c r="O8" s="100">
        <f t="shared" si="1"/>
        <v>1000000</v>
      </c>
      <c r="P8" s="100">
        <f t="shared" si="1"/>
        <v>1600000</v>
      </c>
      <c r="Q8" s="100">
        <f t="shared" si="1"/>
        <v>1400000</v>
      </c>
      <c r="R8" s="100">
        <f t="shared" si="1"/>
        <v>1400000</v>
      </c>
      <c r="S8" s="100">
        <f t="shared" si="1"/>
        <v>2000000</v>
      </c>
      <c r="T8" s="100">
        <f t="shared" si="1"/>
        <v>4000000</v>
      </c>
      <c r="U8" s="100">
        <f t="shared" si="1"/>
        <v>4000000</v>
      </c>
      <c r="V8" s="100">
        <f t="shared" si="1"/>
        <v>6000000</v>
      </c>
      <c r="W8" s="100">
        <f t="shared" si="1"/>
        <v>6000000</v>
      </c>
      <c r="X8" s="100">
        <f t="shared" si="1"/>
        <v>6000000</v>
      </c>
      <c r="Y8" s="100">
        <f t="shared" si="1"/>
        <v>8000000</v>
      </c>
      <c r="Z8" s="100">
        <f t="shared" si="1"/>
        <v>8000000</v>
      </c>
      <c r="AA8" s="100">
        <f t="shared" si="1"/>
        <v>1000000</v>
      </c>
      <c r="AB8" s="100">
        <f t="shared" si="1"/>
        <v>1600000</v>
      </c>
      <c r="AC8" s="100">
        <f t="shared" si="1"/>
        <v>1400000</v>
      </c>
      <c r="AD8" s="100">
        <f t="shared" si="1"/>
        <v>1400000</v>
      </c>
      <c r="AE8" s="100">
        <f t="shared" si="1"/>
        <v>2000000</v>
      </c>
      <c r="AF8" s="100">
        <f t="shared" si="1"/>
        <v>4000000</v>
      </c>
      <c r="AG8" s="100">
        <f t="shared" si="1"/>
        <v>4000000</v>
      </c>
      <c r="AH8" s="100">
        <f t="shared" si="1"/>
        <v>6000000</v>
      </c>
      <c r="AI8" s="100">
        <f t="shared" si="1"/>
        <v>6000000</v>
      </c>
      <c r="AJ8" s="100">
        <f t="shared" si="1"/>
        <v>6000000</v>
      </c>
      <c r="AK8" s="100">
        <f t="shared" si="1"/>
        <v>8000000</v>
      </c>
      <c r="AL8" s="100">
        <f t="shared" si="1"/>
        <v>8000000</v>
      </c>
    </row>
    <row r="11" spans="1:38" ht="14.4">
      <c r="B11" s="101" t="s">
        <v>544</v>
      </c>
      <c r="C11" s="102">
        <v>0.01</v>
      </c>
    </row>
    <row r="12" spans="1:38" ht="14.4">
      <c r="B12" s="101" t="s">
        <v>545</v>
      </c>
      <c r="C12" s="102">
        <v>1.2500000000000001E-2</v>
      </c>
    </row>
    <row r="13" spans="1:38">
      <c r="C13" s="103"/>
    </row>
    <row r="15" spans="1:38" ht="15" thickBot="1">
      <c r="A15" s="95" t="s">
        <v>546</v>
      </c>
    </row>
    <row r="16" spans="1:38" ht="16.2">
      <c r="A16" s="97" t="s">
        <v>537</v>
      </c>
      <c r="B16" s="97" t="s">
        <v>538</v>
      </c>
      <c r="C16" s="98">
        <v>45292</v>
      </c>
      <c r="D16" s="98">
        <v>45323</v>
      </c>
      <c r="E16" s="98">
        <v>45352</v>
      </c>
      <c r="F16" s="98">
        <v>45383</v>
      </c>
      <c r="G16" s="98">
        <v>45413</v>
      </c>
      <c r="H16" s="98">
        <v>45444</v>
      </c>
      <c r="I16" s="98">
        <v>45474</v>
      </c>
      <c r="J16" s="98">
        <v>45505</v>
      </c>
      <c r="K16" s="98">
        <v>45536</v>
      </c>
      <c r="L16" s="98">
        <v>45566</v>
      </c>
      <c r="M16" s="98">
        <v>45597</v>
      </c>
      <c r="N16" s="98">
        <v>45627</v>
      </c>
      <c r="O16" s="98">
        <v>45658</v>
      </c>
      <c r="P16" s="98">
        <v>45689</v>
      </c>
      <c r="Q16" s="98">
        <v>45717</v>
      </c>
      <c r="R16" s="98">
        <v>45748</v>
      </c>
      <c r="S16" s="98">
        <v>45778</v>
      </c>
      <c r="T16" s="98">
        <v>45809</v>
      </c>
      <c r="U16" s="98">
        <v>45839</v>
      </c>
      <c r="V16" s="98">
        <v>45870</v>
      </c>
      <c r="W16" s="98">
        <v>45901</v>
      </c>
      <c r="X16" s="98">
        <v>45931</v>
      </c>
      <c r="Y16" s="98">
        <v>45962</v>
      </c>
      <c r="Z16" s="98">
        <v>45992</v>
      </c>
      <c r="AA16" s="98">
        <v>46023</v>
      </c>
      <c r="AB16" s="98">
        <v>46054</v>
      </c>
      <c r="AC16" s="98">
        <v>46082</v>
      </c>
      <c r="AD16" s="98">
        <v>46113</v>
      </c>
      <c r="AE16" s="98">
        <v>46143</v>
      </c>
      <c r="AF16" s="98">
        <v>46174</v>
      </c>
      <c r="AG16" s="98">
        <v>46204</v>
      </c>
      <c r="AH16" s="98">
        <v>46235</v>
      </c>
      <c r="AI16" s="98">
        <v>46266</v>
      </c>
      <c r="AJ16" s="98">
        <v>46296</v>
      </c>
      <c r="AK16" s="98">
        <v>46327</v>
      </c>
      <c r="AL16" s="99">
        <v>46357</v>
      </c>
    </row>
    <row r="17" spans="1:38">
      <c r="A17" s="100" t="s">
        <v>539</v>
      </c>
      <c r="B17" s="100" t="s">
        <v>547</v>
      </c>
      <c r="C17" s="104">
        <f>C$3*$C$12</f>
        <v>150000</v>
      </c>
      <c r="D17" s="104">
        <f t="shared" ref="D17:AL17" si="2">D$3*$C$12</f>
        <v>112500</v>
      </c>
      <c r="E17" s="104">
        <f t="shared" si="2"/>
        <v>112500</v>
      </c>
      <c r="F17" s="104">
        <f t="shared" si="2"/>
        <v>112500</v>
      </c>
      <c r="G17" s="104">
        <f t="shared" si="2"/>
        <v>187500</v>
      </c>
      <c r="H17" s="104">
        <f t="shared" si="2"/>
        <v>187500</v>
      </c>
      <c r="I17" s="104">
        <f t="shared" si="2"/>
        <v>262500</v>
      </c>
      <c r="J17" s="104">
        <f t="shared" si="2"/>
        <v>262500</v>
      </c>
      <c r="K17" s="104">
        <f t="shared" si="2"/>
        <v>262500</v>
      </c>
      <c r="L17" s="104">
        <f t="shared" si="2"/>
        <v>262500</v>
      </c>
      <c r="M17" s="104">
        <f t="shared" si="2"/>
        <v>300000</v>
      </c>
      <c r="N17" s="104">
        <f t="shared" si="2"/>
        <v>300000</v>
      </c>
      <c r="O17" s="104">
        <f t="shared" si="2"/>
        <v>150000</v>
      </c>
      <c r="P17" s="104">
        <f t="shared" si="2"/>
        <v>112500</v>
      </c>
      <c r="Q17" s="104">
        <f t="shared" si="2"/>
        <v>112500</v>
      </c>
      <c r="R17" s="104">
        <f t="shared" si="2"/>
        <v>112500</v>
      </c>
      <c r="S17" s="104">
        <f t="shared" si="2"/>
        <v>187500</v>
      </c>
      <c r="T17" s="104">
        <f t="shared" si="2"/>
        <v>187500</v>
      </c>
      <c r="U17" s="104">
        <f t="shared" si="2"/>
        <v>262500</v>
      </c>
      <c r="V17" s="104">
        <f t="shared" si="2"/>
        <v>262500</v>
      </c>
      <c r="W17" s="104">
        <f t="shared" si="2"/>
        <v>262500</v>
      </c>
      <c r="X17" s="104">
        <f t="shared" si="2"/>
        <v>262500</v>
      </c>
      <c r="Y17" s="104">
        <f t="shared" si="2"/>
        <v>300000</v>
      </c>
      <c r="Z17" s="104">
        <f t="shared" si="2"/>
        <v>300000</v>
      </c>
      <c r="AA17" s="104">
        <f t="shared" si="2"/>
        <v>150000</v>
      </c>
      <c r="AB17" s="104">
        <f t="shared" si="2"/>
        <v>112500</v>
      </c>
      <c r="AC17" s="104">
        <f t="shared" si="2"/>
        <v>112500</v>
      </c>
      <c r="AD17" s="104">
        <f t="shared" si="2"/>
        <v>112500</v>
      </c>
      <c r="AE17" s="104">
        <f t="shared" si="2"/>
        <v>187500</v>
      </c>
      <c r="AF17" s="104">
        <f t="shared" si="2"/>
        <v>187500</v>
      </c>
      <c r="AG17" s="104">
        <f t="shared" si="2"/>
        <v>262500</v>
      </c>
      <c r="AH17" s="104">
        <f t="shared" si="2"/>
        <v>262500</v>
      </c>
      <c r="AI17" s="104">
        <f t="shared" si="2"/>
        <v>262500</v>
      </c>
      <c r="AJ17" s="104">
        <f t="shared" si="2"/>
        <v>262500</v>
      </c>
      <c r="AK17" s="104">
        <f t="shared" si="2"/>
        <v>300000</v>
      </c>
      <c r="AL17" s="104">
        <f t="shared" si="2"/>
        <v>300000</v>
      </c>
    </row>
    <row r="18" spans="1:38">
      <c r="A18" s="100" t="s">
        <v>539</v>
      </c>
      <c r="B18" s="100" t="s">
        <v>548</v>
      </c>
      <c r="C18" s="104">
        <f>C$4*$C$11</f>
        <v>20000</v>
      </c>
      <c r="D18" s="104">
        <f t="shared" ref="D18:AL18" si="3">D$4*$C$11</f>
        <v>32000</v>
      </c>
      <c r="E18" s="104">
        <f t="shared" si="3"/>
        <v>28000</v>
      </c>
      <c r="F18" s="104">
        <f t="shared" si="3"/>
        <v>28000</v>
      </c>
      <c r="G18" s="104">
        <f t="shared" si="3"/>
        <v>40000</v>
      </c>
      <c r="H18" s="104">
        <f t="shared" si="3"/>
        <v>80000</v>
      </c>
      <c r="I18" s="104">
        <f t="shared" si="3"/>
        <v>80000</v>
      </c>
      <c r="J18" s="104">
        <f t="shared" si="3"/>
        <v>120000</v>
      </c>
      <c r="K18" s="104">
        <f t="shared" si="3"/>
        <v>120000</v>
      </c>
      <c r="L18" s="104">
        <f t="shared" si="3"/>
        <v>120000</v>
      </c>
      <c r="M18" s="104">
        <f t="shared" si="3"/>
        <v>160000</v>
      </c>
      <c r="N18" s="104">
        <f t="shared" si="3"/>
        <v>160000</v>
      </c>
      <c r="O18" s="104">
        <f t="shared" si="3"/>
        <v>20000</v>
      </c>
      <c r="P18" s="104">
        <f t="shared" si="3"/>
        <v>32000</v>
      </c>
      <c r="Q18" s="104">
        <f t="shared" si="3"/>
        <v>28000</v>
      </c>
      <c r="R18" s="104">
        <f t="shared" si="3"/>
        <v>28000</v>
      </c>
      <c r="S18" s="104">
        <f t="shared" si="3"/>
        <v>40000</v>
      </c>
      <c r="T18" s="104">
        <f t="shared" si="3"/>
        <v>80000</v>
      </c>
      <c r="U18" s="104">
        <f t="shared" si="3"/>
        <v>80000</v>
      </c>
      <c r="V18" s="104">
        <f t="shared" si="3"/>
        <v>120000</v>
      </c>
      <c r="W18" s="104">
        <f t="shared" si="3"/>
        <v>120000</v>
      </c>
      <c r="X18" s="104">
        <f t="shared" si="3"/>
        <v>120000</v>
      </c>
      <c r="Y18" s="104">
        <f t="shared" si="3"/>
        <v>160000</v>
      </c>
      <c r="Z18" s="104">
        <f t="shared" si="3"/>
        <v>160000</v>
      </c>
      <c r="AA18" s="104">
        <f t="shared" si="3"/>
        <v>20000</v>
      </c>
      <c r="AB18" s="104">
        <f t="shared" si="3"/>
        <v>32000</v>
      </c>
      <c r="AC18" s="104">
        <f t="shared" si="3"/>
        <v>28000</v>
      </c>
      <c r="AD18" s="104">
        <f t="shared" si="3"/>
        <v>28000</v>
      </c>
      <c r="AE18" s="104">
        <f t="shared" si="3"/>
        <v>40000</v>
      </c>
      <c r="AF18" s="104">
        <f t="shared" si="3"/>
        <v>80000</v>
      </c>
      <c r="AG18" s="104">
        <f t="shared" si="3"/>
        <v>80000</v>
      </c>
      <c r="AH18" s="104">
        <f t="shared" si="3"/>
        <v>120000</v>
      </c>
      <c r="AI18" s="104">
        <f t="shared" si="3"/>
        <v>120000</v>
      </c>
      <c r="AJ18" s="104">
        <f t="shared" si="3"/>
        <v>120000</v>
      </c>
      <c r="AK18" s="104">
        <f t="shared" si="3"/>
        <v>160000</v>
      </c>
      <c r="AL18" s="104">
        <f t="shared" si="3"/>
        <v>160000</v>
      </c>
    </row>
    <row r="19" spans="1:38">
      <c r="A19" s="100" t="s">
        <v>542</v>
      </c>
      <c r="B19" s="100" t="s">
        <v>547</v>
      </c>
      <c r="C19" s="104">
        <f>C$5*$C$12</f>
        <v>37500</v>
      </c>
      <c r="D19" s="104">
        <f t="shared" ref="D19:AL19" si="4">D$5*$C$12</f>
        <v>28125</v>
      </c>
      <c r="E19" s="104">
        <f t="shared" si="4"/>
        <v>28125</v>
      </c>
      <c r="F19" s="104">
        <f t="shared" si="4"/>
        <v>28125</v>
      </c>
      <c r="G19" s="104">
        <f t="shared" si="4"/>
        <v>46875</v>
      </c>
      <c r="H19" s="104">
        <f t="shared" si="4"/>
        <v>46875</v>
      </c>
      <c r="I19" s="104">
        <f t="shared" si="4"/>
        <v>65625</v>
      </c>
      <c r="J19" s="104">
        <f t="shared" si="4"/>
        <v>65625</v>
      </c>
      <c r="K19" s="104">
        <f t="shared" si="4"/>
        <v>65625</v>
      </c>
      <c r="L19" s="104">
        <f t="shared" si="4"/>
        <v>65625</v>
      </c>
      <c r="M19" s="104">
        <f t="shared" si="4"/>
        <v>75000</v>
      </c>
      <c r="N19" s="104">
        <f t="shared" si="4"/>
        <v>75000</v>
      </c>
      <c r="O19" s="104">
        <f t="shared" si="4"/>
        <v>37500</v>
      </c>
      <c r="P19" s="104">
        <f t="shared" si="4"/>
        <v>28125</v>
      </c>
      <c r="Q19" s="104">
        <f t="shared" si="4"/>
        <v>28125</v>
      </c>
      <c r="R19" s="104">
        <f t="shared" si="4"/>
        <v>28125</v>
      </c>
      <c r="S19" s="104">
        <f t="shared" si="4"/>
        <v>46875</v>
      </c>
      <c r="T19" s="104">
        <f t="shared" si="4"/>
        <v>46875</v>
      </c>
      <c r="U19" s="104">
        <f t="shared" si="4"/>
        <v>65625</v>
      </c>
      <c r="V19" s="104">
        <f t="shared" si="4"/>
        <v>65625</v>
      </c>
      <c r="W19" s="104">
        <f t="shared" si="4"/>
        <v>65625</v>
      </c>
      <c r="X19" s="104">
        <f t="shared" si="4"/>
        <v>65625</v>
      </c>
      <c r="Y19" s="104">
        <f t="shared" si="4"/>
        <v>75000</v>
      </c>
      <c r="Z19" s="104">
        <f t="shared" si="4"/>
        <v>75000</v>
      </c>
      <c r="AA19" s="104">
        <f t="shared" si="4"/>
        <v>37500</v>
      </c>
      <c r="AB19" s="104">
        <f t="shared" si="4"/>
        <v>28125</v>
      </c>
      <c r="AC19" s="104">
        <f t="shared" si="4"/>
        <v>28125</v>
      </c>
      <c r="AD19" s="104">
        <f t="shared" si="4"/>
        <v>28125</v>
      </c>
      <c r="AE19" s="104">
        <f t="shared" si="4"/>
        <v>46875</v>
      </c>
      <c r="AF19" s="104">
        <f t="shared" si="4"/>
        <v>46875</v>
      </c>
      <c r="AG19" s="104">
        <f t="shared" si="4"/>
        <v>65625</v>
      </c>
      <c r="AH19" s="104">
        <f t="shared" si="4"/>
        <v>65625</v>
      </c>
      <c r="AI19" s="104">
        <f t="shared" si="4"/>
        <v>65625</v>
      </c>
      <c r="AJ19" s="104">
        <f t="shared" si="4"/>
        <v>65625</v>
      </c>
      <c r="AK19" s="104">
        <f t="shared" si="4"/>
        <v>75000</v>
      </c>
      <c r="AL19" s="104">
        <f t="shared" si="4"/>
        <v>75000</v>
      </c>
    </row>
    <row r="20" spans="1:38">
      <c r="A20" s="100" t="s">
        <v>542</v>
      </c>
      <c r="B20" s="100" t="s">
        <v>548</v>
      </c>
      <c r="C20" s="104">
        <f>C$6*$C$11</f>
        <v>5000</v>
      </c>
      <c r="D20" s="104">
        <f t="shared" ref="D20:AL20" si="5">D$6*$C$11</f>
        <v>8000</v>
      </c>
      <c r="E20" s="104">
        <f t="shared" si="5"/>
        <v>7000</v>
      </c>
      <c r="F20" s="104">
        <f t="shared" si="5"/>
        <v>7000</v>
      </c>
      <c r="G20" s="104">
        <f t="shared" si="5"/>
        <v>10000</v>
      </c>
      <c r="H20" s="104">
        <f t="shared" si="5"/>
        <v>20000</v>
      </c>
      <c r="I20" s="104">
        <f t="shared" si="5"/>
        <v>20000</v>
      </c>
      <c r="J20" s="104">
        <f t="shared" si="5"/>
        <v>30000</v>
      </c>
      <c r="K20" s="104">
        <f t="shared" si="5"/>
        <v>30000</v>
      </c>
      <c r="L20" s="104">
        <f t="shared" si="5"/>
        <v>30000</v>
      </c>
      <c r="M20" s="104">
        <f t="shared" si="5"/>
        <v>40000</v>
      </c>
      <c r="N20" s="104">
        <f t="shared" si="5"/>
        <v>40000</v>
      </c>
      <c r="O20" s="104">
        <f t="shared" si="5"/>
        <v>5000</v>
      </c>
      <c r="P20" s="104">
        <f t="shared" si="5"/>
        <v>8000</v>
      </c>
      <c r="Q20" s="104">
        <f t="shared" si="5"/>
        <v>7000</v>
      </c>
      <c r="R20" s="104">
        <f t="shared" si="5"/>
        <v>7000</v>
      </c>
      <c r="S20" s="104">
        <f t="shared" si="5"/>
        <v>10000</v>
      </c>
      <c r="T20" s="104">
        <f t="shared" si="5"/>
        <v>20000</v>
      </c>
      <c r="U20" s="104">
        <f t="shared" si="5"/>
        <v>20000</v>
      </c>
      <c r="V20" s="104">
        <f t="shared" si="5"/>
        <v>30000</v>
      </c>
      <c r="W20" s="104">
        <f t="shared" si="5"/>
        <v>30000</v>
      </c>
      <c r="X20" s="104">
        <f t="shared" si="5"/>
        <v>30000</v>
      </c>
      <c r="Y20" s="104">
        <f t="shared" si="5"/>
        <v>40000</v>
      </c>
      <c r="Z20" s="104">
        <f t="shared" si="5"/>
        <v>40000</v>
      </c>
      <c r="AA20" s="104">
        <f t="shared" si="5"/>
        <v>5000</v>
      </c>
      <c r="AB20" s="104">
        <f t="shared" si="5"/>
        <v>8000</v>
      </c>
      <c r="AC20" s="104">
        <f t="shared" si="5"/>
        <v>7000</v>
      </c>
      <c r="AD20" s="104">
        <f t="shared" si="5"/>
        <v>7000</v>
      </c>
      <c r="AE20" s="104">
        <f t="shared" si="5"/>
        <v>10000</v>
      </c>
      <c r="AF20" s="104">
        <f t="shared" si="5"/>
        <v>20000</v>
      </c>
      <c r="AG20" s="104">
        <f t="shared" si="5"/>
        <v>20000</v>
      </c>
      <c r="AH20" s="104">
        <f t="shared" si="5"/>
        <v>30000</v>
      </c>
      <c r="AI20" s="104">
        <f t="shared" si="5"/>
        <v>30000</v>
      </c>
      <c r="AJ20" s="104">
        <f t="shared" si="5"/>
        <v>30000</v>
      </c>
      <c r="AK20" s="104">
        <f t="shared" si="5"/>
        <v>40000</v>
      </c>
      <c r="AL20" s="104">
        <f t="shared" si="5"/>
        <v>40000</v>
      </c>
    </row>
    <row r="21" spans="1:38">
      <c r="A21" s="100" t="s">
        <v>543</v>
      </c>
      <c r="B21" s="100" t="s">
        <v>547</v>
      </c>
      <c r="C21" s="104">
        <f>C$7*$C$12</f>
        <v>75000</v>
      </c>
      <c r="D21" s="104">
        <f t="shared" ref="D21:AL21" si="6">D$7*$C$12</f>
        <v>56250</v>
      </c>
      <c r="E21" s="104">
        <f t="shared" si="6"/>
        <v>56250</v>
      </c>
      <c r="F21" s="104">
        <f t="shared" si="6"/>
        <v>56250</v>
      </c>
      <c r="G21" s="104">
        <f t="shared" si="6"/>
        <v>93750</v>
      </c>
      <c r="H21" s="104">
        <f t="shared" si="6"/>
        <v>93750</v>
      </c>
      <c r="I21" s="104">
        <f t="shared" si="6"/>
        <v>131250</v>
      </c>
      <c r="J21" s="104">
        <f t="shared" si="6"/>
        <v>131250</v>
      </c>
      <c r="K21" s="104">
        <f t="shared" si="6"/>
        <v>131250</v>
      </c>
      <c r="L21" s="104">
        <f t="shared" si="6"/>
        <v>131250</v>
      </c>
      <c r="M21" s="104">
        <f t="shared" si="6"/>
        <v>150000</v>
      </c>
      <c r="N21" s="104">
        <f t="shared" si="6"/>
        <v>150000</v>
      </c>
      <c r="O21" s="104">
        <f t="shared" si="6"/>
        <v>75000</v>
      </c>
      <c r="P21" s="104">
        <f t="shared" si="6"/>
        <v>56250</v>
      </c>
      <c r="Q21" s="104">
        <f t="shared" si="6"/>
        <v>56250</v>
      </c>
      <c r="R21" s="104">
        <f t="shared" si="6"/>
        <v>56250</v>
      </c>
      <c r="S21" s="104">
        <f t="shared" si="6"/>
        <v>93750</v>
      </c>
      <c r="T21" s="104">
        <f t="shared" si="6"/>
        <v>93750</v>
      </c>
      <c r="U21" s="104">
        <f t="shared" si="6"/>
        <v>131250</v>
      </c>
      <c r="V21" s="104">
        <f t="shared" si="6"/>
        <v>131250</v>
      </c>
      <c r="W21" s="104">
        <f t="shared" si="6"/>
        <v>131250</v>
      </c>
      <c r="X21" s="104">
        <f t="shared" si="6"/>
        <v>131250</v>
      </c>
      <c r="Y21" s="104">
        <f t="shared" si="6"/>
        <v>150000</v>
      </c>
      <c r="Z21" s="104">
        <f t="shared" si="6"/>
        <v>150000</v>
      </c>
      <c r="AA21" s="104">
        <f t="shared" si="6"/>
        <v>75000</v>
      </c>
      <c r="AB21" s="104">
        <f t="shared" si="6"/>
        <v>56250</v>
      </c>
      <c r="AC21" s="104">
        <f t="shared" si="6"/>
        <v>56250</v>
      </c>
      <c r="AD21" s="104">
        <f t="shared" si="6"/>
        <v>56250</v>
      </c>
      <c r="AE21" s="104">
        <f t="shared" si="6"/>
        <v>93750</v>
      </c>
      <c r="AF21" s="104">
        <f t="shared" si="6"/>
        <v>93750</v>
      </c>
      <c r="AG21" s="104">
        <f t="shared" si="6"/>
        <v>131250</v>
      </c>
      <c r="AH21" s="104">
        <f t="shared" si="6"/>
        <v>131250</v>
      </c>
      <c r="AI21" s="104">
        <f t="shared" si="6"/>
        <v>131250</v>
      </c>
      <c r="AJ21" s="104">
        <f t="shared" si="6"/>
        <v>131250</v>
      </c>
      <c r="AK21" s="104">
        <f t="shared" si="6"/>
        <v>150000</v>
      </c>
      <c r="AL21" s="104">
        <f t="shared" si="6"/>
        <v>150000</v>
      </c>
    </row>
    <row r="22" spans="1:38">
      <c r="A22" s="100" t="s">
        <v>543</v>
      </c>
      <c r="B22" s="100" t="s">
        <v>548</v>
      </c>
      <c r="C22" s="104">
        <f>C$8*$C$11</f>
        <v>10000</v>
      </c>
      <c r="D22" s="104">
        <f t="shared" ref="D22:AL22" si="7">D$8*$C$11</f>
        <v>16000</v>
      </c>
      <c r="E22" s="104">
        <f t="shared" si="7"/>
        <v>14000</v>
      </c>
      <c r="F22" s="104">
        <f t="shared" si="7"/>
        <v>14000</v>
      </c>
      <c r="G22" s="104">
        <f t="shared" si="7"/>
        <v>20000</v>
      </c>
      <c r="H22" s="104">
        <f t="shared" si="7"/>
        <v>40000</v>
      </c>
      <c r="I22" s="104">
        <f t="shared" si="7"/>
        <v>40000</v>
      </c>
      <c r="J22" s="104">
        <f t="shared" si="7"/>
        <v>60000</v>
      </c>
      <c r="K22" s="104">
        <f t="shared" si="7"/>
        <v>60000</v>
      </c>
      <c r="L22" s="104">
        <f t="shared" si="7"/>
        <v>60000</v>
      </c>
      <c r="M22" s="104">
        <f t="shared" si="7"/>
        <v>80000</v>
      </c>
      <c r="N22" s="104">
        <f t="shared" si="7"/>
        <v>80000</v>
      </c>
      <c r="O22" s="104">
        <f t="shared" si="7"/>
        <v>10000</v>
      </c>
      <c r="P22" s="104">
        <f t="shared" si="7"/>
        <v>16000</v>
      </c>
      <c r="Q22" s="104">
        <f t="shared" si="7"/>
        <v>14000</v>
      </c>
      <c r="R22" s="104">
        <f t="shared" si="7"/>
        <v>14000</v>
      </c>
      <c r="S22" s="104">
        <f t="shared" si="7"/>
        <v>20000</v>
      </c>
      <c r="T22" s="104">
        <f t="shared" si="7"/>
        <v>40000</v>
      </c>
      <c r="U22" s="104">
        <f t="shared" si="7"/>
        <v>40000</v>
      </c>
      <c r="V22" s="104">
        <f t="shared" si="7"/>
        <v>60000</v>
      </c>
      <c r="W22" s="104">
        <f t="shared" si="7"/>
        <v>60000</v>
      </c>
      <c r="X22" s="104">
        <f t="shared" si="7"/>
        <v>60000</v>
      </c>
      <c r="Y22" s="104">
        <f t="shared" si="7"/>
        <v>80000</v>
      </c>
      <c r="Z22" s="104">
        <f t="shared" si="7"/>
        <v>80000</v>
      </c>
      <c r="AA22" s="104">
        <f t="shared" si="7"/>
        <v>10000</v>
      </c>
      <c r="AB22" s="104">
        <f t="shared" si="7"/>
        <v>16000</v>
      </c>
      <c r="AC22" s="104">
        <f t="shared" si="7"/>
        <v>14000</v>
      </c>
      <c r="AD22" s="104">
        <f t="shared" si="7"/>
        <v>14000</v>
      </c>
      <c r="AE22" s="104">
        <f t="shared" si="7"/>
        <v>20000</v>
      </c>
      <c r="AF22" s="104">
        <f t="shared" si="7"/>
        <v>40000</v>
      </c>
      <c r="AG22" s="104">
        <f t="shared" si="7"/>
        <v>40000</v>
      </c>
      <c r="AH22" s="104">
        <f t="shared" si="7"/>
        <v>60000</v>
      </c>
      <c r="AI22" s="104">
        <f t="shared" si="7"/>
        <v>60000</v>
      </c>
      <c r="AJ22" s="104">
        <f t="shared" si="7"/>
        <v>60000</v>
      </c>
      <c r="AK22" s="104">
        <f t="shared" si="7"/>
        <v>80000</v>
      </c>
      <c r="AL22" s="104">
        <f t="shared" si="7"/>
        <v>80000</v>
      </c>
    </row>
    <row r="25" spans="1:38">
      <c r="C25" s="104">
        <f>+C22+C8</f>
        <v>1010000</v>
      </c>
      <c r="D25" s="104">
        <f t="shared" ref="D25:N25" si="8">+D22+D8</f>
        <v>1616000</v>
      </c>
      <c r="E25" s="104">
        <f t="shared" si="8"/>
        <v>1414000</v>
      </c>
      <c r="F25" s="104">
        <f t="shared" si="8"/>
        <v>1414000</v>
      </c>
      <c r="G25" s="104">
        <f t="shared" si="8"/>
        <v>2020000</v>
      </c>
      <c r="H25" s="104">
        <f t="shared" si="8"/>
        <v>4040000</v>
      </c>
      <c r="I25" s="104">
        <f t="shared" si="8"/>
        <v>4040000</v>
      </c>
      <c r="J25" s="104">
        <f t="shared" si="8"/>
        <v>6060000</v>
      </c>
      <c r="K25" s="104">
        <f t="shared" si="8"/>
        <v>6060000</v>
      </c>
      <c r="L25" s="104">
        <f t="shared" si="8"/>
        <v>6060000</v>
      </c>
      <c r="M25" s="104">
        <f t="shared" si="8"/>
        <v>8080000</v>
      </c>
      <c r="N25" s="104">
        <f t="shared" si="8"/>
        <v>8080000</v>
      </c>
    </row>
    <row r="26" spans="1:38">
      <c r="B26" s="96" t="s">
        <v>549</v>
      </c>
      <c r="C26" s="105">
        <f>+C25/115*100</f>
        <v>878260.86956521741</v>
      </c>
      <c r="D26" s="105">
        <f t="shared" ref="D26:N26" si="9">+D25/115*100</f>
        <v>1405217.3913043479</v>
      </c>
      <c r="E26" s="105">
        <f t="shared" si="9"/>
        <v>1229565.2173913044</v>
      </c>
      <c r="F26" s="105">
        <f t="shared" si="9"/>
        <v>1229565.2173913044</v>
      </c>
      <c r="G26" s="105">
        <f t="shared" si="9"/>
        <v>1756521.7391304348</v>
      </c>
      <c r="H26" s="105">
        <f t="shared" si="9"/>
        <v>3513043.4782608696</v>
      </c>
      <c r="I26" s="105">
        <f t="shared" si="9"/>
        <v>3513043.4782608696</v>
      </c>
      <c r="J26" s="105">
        <f t="shared" si="9"/>
        <v>5269565.2173913037</v>
      </c>
      <c r="K26" s="105">
        <f t="shared" si="9"/>
        <v>5269565.2173913037</v>
      </c>
      <c r="L26" s="105">
        <f t="shared" si="9"/>
        <v>5269565.2173913037</v>
      </c>
      <c r="M26" s="105">
        <f t="shared" si="9"/>
        <v>7026086.9565217393</v>
      </c>
      <c r="N26" s="105">
        <f t="shared" si="9"/>
        <v>7026086.9565217393</v>
      </c>
      <c r="O26" s="105"/>
      <c r="P26" s="105"/>
      <c r="Q26" s="106"/>
    </row>
    <row r="27" spans="1:38">
      <c r="B27" s="96" t="s">
        <v>550</v>
      </c>
      <c r="C27" s="105">
        <f>+C8/115*100</f>
        <v>869565.21739130444</v>
      </c>
      <c r="D27" s="105">
        <f t="shared" ref="D27:N27" si="10">+D8/115*100</f>
        <v>1391304.3478260869</v>
      </c>
      <c r="E27" s="105">
        <f t="shared" si="10"/>
        <v>1217391.3043478259</v>
      </c>
      <c r="F27" s="105">
        <f t="shared" si="10"/>
        <v>1217391.3043478259</v>
      </c>
      <c r="G27" s="105">
        <f t="shared" si="10"/>
        <v>1739130.4347826089</v>
      </c>
      <c r="H27" s="105">
        <f t="shared" si="10"/>
        <v>3478260.8695652178</v>
      </c>
      <c r="I27" s="105">
        <f t="shared" si="10"/>
        <v>3478260.8695652178</v>
      </c>
      <c r="J27" s="105">
        <f t="shared" si="10"/>
        <v>5217391.3043478262</v>
      </c>
      <c r="K27" s="105">
        <f t="shared" si="10"/>
        <v>5217391.3043478262</v>
      </c>
      <c r="L27" s="105">
        <f t="shared" si="10"/>
        <v>5217391.3043478262</v>
      </c>
      <c r="M27" s="105">
        <f t="shared" si="10"/>
        <v>6956521.7391304355</v>
      </c>
      <c r="N27" s="105">
        <f t="shared" si="10"/>
        <v>6956521.7391304355</v>
      </c>
      <c r="O27" s="105">
        <f>SUM(C27:N27)</f>
        <v>42956521.739130445</v>
      </c>
      <c r="P27" s="105">
        <v>87976757</v>
      </c>
      <c r="Q27" s="106">
        <f>+O27+P27</f>
        <v>130933278.73913044</v>
      </c>
    </row>
    <row r="28" spans="1:38">
      <c r="D28" s="96">
        <v>1492147.5179516301</v>
      </c>
    </row>
    <row r="29" spans="1:38">
      <c r="D29" s="106">
        <f>+D26+D28</f>
        <v>2897364.9092559777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06e13-1c90-4c70-9cee-8068538c7a80" xsi:nil="true"/>
    <lcf76f155ced4ddcb4097134ff3c332f xmlns="f9c29741-1b01-4100-8fde-8dd31e7285c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F96BBDA99D64E83A5B1DBF1FE7F42" ma:contentTypeVersion="14" ma:contentTypeDescription="Create a new document." ma:contentTypeScope="" ma:versionID="c78fa6e01104c0763aa56e469d8344b8">
  <xsd:schema xmlns:xsd="http://www.w3.org/2001/XMLSchema" xmlns:xs="http://www.w3.org/2001/XMLSchema" xmlns:p="http://schemas.microsoft.com/office/2006/metadata/properties" xmlns:ns2="f9c29741-1b01-4100-8fde-8dd31e7285c4" xmlns:ns3="67106e13-1c90-4c70-9cee-8068538c7a80" targetNamespace="http://schemas.microsoft.com/office/2006/metadata/properties" ma:root="true" ma:fieldsID="222dea80ccdc224e14fa0ebfeab3c39d" ns2:_="" ns3:_="">
    <xsd:import namespace="f9c29741-1b01-4100-8fde-8dd31e7285c4"/>
    <xsd:import namespace="67106e13-1c90-4c70-9cee-8068538c7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29741-1b01-4100-8fde-8dd31e7285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6be8c9c-7fa0-40d6-8a5e-2ac0051f6a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06e13-1c90-4c70-9cee-8068538c7a8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0eae66-369a-43f8-8557-c76d6430d3e9}" ma:internalName="TaxCatchAll" ma:showField="CatchAllData" ma:web="67106e13-1c90-4c70-9cee-8068538c7a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9BA946-1439-474C-B00B-F7C5672271E8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e15d5e53-1495-483e-9ba1-33c14675381c"/>
    <ds:schemaRef ds:uri="http://purl.org/dc/elements/1.1/"/>
    <ds:schemaRef ds:uri="http://schemas.openxmlformats.org/package/2006/metadata/core-properties"/>
    <ds:schemaRef ds:uri="e92d329f-77d6-4896-b3d2-17b26c0c58da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DF2E25D-85F4-44EF-9CCB-B58BD86FDA09}"/>
</file>

<file path=customXml/itemProps3.xml><?xml version="1.0" encoding="utf-8"?>
<ds:datastoreItem xmlns:ds="http://schemas.openxmlformats.org/officeDocument/2006/customXml" ds:itemID="{0A51812B-4B24-4CCC-871D-0446E4CF3B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IS Feb KSA</vt:lpstr>
      <vt:lpstr>BS Feb KSA</vt:lpstr>
      <vt:lpstr>IS Feb USA</vt:lpstr>
      <vt:lpstr>BS Feb USA</vt:lpstr>
      <vt:lpstr>IS Jan Consolidated (YTD)</vt:lpstr>
      <vt:lpstr>Sheet3</vt:lpstr>
      <vt:lpstr>IS Mar Consolidated (MTD)</vt:lpstr>
      <vt:lpstr>BS Jan Consolidated</vt:lpstr>
      <vt:lpstr>Ledgers</vt:lpstr>
      <vt:lpstr>Cash Flow Consolidated</vt:lpstr>
      <vt:lpstr>AR Aging</vt:lpstr>
      <vt:lpstr>Dinar Data June 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Siddiqui</dc:creator>
  <cp:keywords/>
  <dc:description/>
  <cp:lastModifiedBy>Irina Kamal</cp:lastModifiedBy>
  <cp:revision/>
  <dcterms:created xsi:type="dcterms:W3CDTF">2023-11-06T15:32:00Z</dcterms:created>
  <dcterms:modified xsi:type="dcterms:W3CDTF">2026-03-12T15:43:51Z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0x0101005D6F96BBDA99D64E83A5B1DBF1FE7F42</vt:lpwstr>
  </property>
  <property fmtid="{D5CDD505-2E9C-101B-9397-08002B2CF9AE}" pid="3" name="MediaServiceImageTags">
    <vt:lpwstr/>
  </property>
</Properties>
</file>