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ildnw.sharepoint.com/sites/InvestorDataRoom/Shared Documents/Option B_2025 deb raise_Private Credit capital raise/3. Investor data rooms/Oaktree/4. Finance/"/>
    </mc:Choice>
  </mc:AlternateContent>
  <xr:revisionPtr revIDLastSave="26" documentId="8_{EC981DFD-78A0-4FFE-B3BB-025B801E86FA}" xr6:coauthVersionLast="47" xr6:coauthVersionMax="47" xr10:uidLastSave="{DA1E5E32-3DA6-4FF5-8488-0E81E6D1373F}"/>
  <bookViews>
    <workbookView xWindow="28690" yWindow="-110" windowWidth="29020" windowHeight="15700" xr2:uid="{7C16B187-1AF7-48EF-947A-A41F581A9B5C}"/>
  </bookViews>
  <sheets>
    <sheet name="Sheet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1" i="1" l="1"/>
  <c r="D11" i="1"/>
  <c r="E11" i="1"/>
  <c r="F11" i="1"/>
  <c r="H11" i="1"/>
  <c r="I11" i="1"/>
  <c r="J11" i="1"/>
  <c r="K11" i="1"/>
  <c r="C11" i="1"/>
  <c r="K12" i="1" l="1"/>
  <c r="J12" i="1"/>
  <c r="I12" i="1"/>
  <c r="H12" i="1"/>
  <c r="L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Nikolay Vasilyev</author>
  </authors>
  <commentList>
    <comment ref="G12" authorId="0" shapeId="0" xr:uid="{688446B4-6AAE-4897-8557-3E88D87C5ED8}">
      <text>
        <r>
          <rPr>
            <b/>
            <sz val="9"/>
            <color indexed="81"/>
            <rFont val="Tahoma"/>
            <family val="2"/>
          </rPr>
          <t>Nikolay Vasilyev:</t>
        </r>
        <r>
          <rPr>
            <sz val="9"/>
            <color indexed="81"/>
            <rFont val="Tahoma"/>
            <family val="2"/>
          </rPr>
          <t xml:space="preserve">
PIK and cash cost of debt</t>
        </r>
      </text>
    </comment>
  </commentList>
</comments>
</file>

<file path=xl/sharedStrings.xml><?xml version="1.0" encoding="utf-8"?>
<sst xmlns="http://schemas.openxmlformats.org/spreadsheetml/2006/main" count="69" uniqueCount="34">
  <si>
    <t>Arbah</t>
  </si>
  <si>
    <t>Al Raedah</t>
  </si>
  <si>
    <t>Anas Ibrahim M Alhuzaimi</t>
  </si>
  <si>
    <t>Salim Uddin Siraji</t>
  </si>
  <si>
    <t>STV</t>
  </si>
  <si>
    <t>Funding Type</t>
  </si>
  <si>
    <t>Debt</t>
  </si>
  <si>
    <t>Mezzanine</t>
  </si>
  <si>
    <t>Facility Type</t>
  </si>
  <si>
    <t>Revolving Murabaha</t>
  </si>
  <si>
    <t>Fixed interest rate debt</t>
  </si>
  <si>
    <t>Murabaha Debt</t>
  </si>
  <si>
    <t>NICE (Callabe Equity)</t>
  </si>
  <si>
    <t>Deal Tenure (Months)</t>
  </si>
  <si>
    <t>6-15</t>
  </si>
  <si>
    <t>Drawdown Date</t>
  </si>
  <si>
    <t>Maturity for Specific Deals</t>
  </si>
  <si>
    <t>Matiruty of the Contract</t>
  </si>
  <si>
    <t>Drawn Amount (SAR)</t>
  </si>
  <si>
    <t>Cost of debt</t>
  </si>
  <si>
    <t>Interest Payment</t>
  </si>
  <si>
    <t>Monthly</t>
  </si>
  <si>
    <t>Quarterly</t>
  </si>
  <si>
    <t>None</t>
  </si>
  <si>
    <t>Principal Repayment</t>
  </si>
  <si>
    <t>Bullet</t>
  </si>
  <si>
    <t>Amortised</t>
  </si>
  <si>
    <t>Warrants</t>
  </si>
  <si>
    <t>Current Outstanding</t>
  </si>
  <si>
    <t>Amal Alswaylem</t>
  </si>
  <si>
    <t>SIC</t>
  </si>
  <si>
    <t>Senior Secured</t>
  </si>
  <si>
    <t>Unsecured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</si>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</sst>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-0.499984740745262"/>
      </bottom>
      <diagonal/>
    </border>
    <border>
      <left/>
      <right style="thick">
        <color theme="0"/>
      </right>
      <top/>
      <bottom style="thick">
        <color theme="4" tint="-0.499984740745262"/>
      </bottom>
      <diagonal/>
    </border>
    <border>
      <left style="thick">
        <color theme="0"/>
      </left>
      <right/>
      <top/>
      <bottom style="thick">
        <color theme="4" tint="-0.499984740745262"/>
      </bottom>
      <diagonal/>
    </border>
    <border>
      <left style="thick">
        <color theme="0"/>
      </left>
      <right style="thick">
        <color theme="0"/>
      </right>
      <top/>
      <bottom style="thick">
        <color theme="4" tint="-0.499984740745262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Continuous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0" fontId="2" fillId="0" borderId="1" xfId="0" applyFont="1" applyBorder="1"/>
    <xf numFmtId="17" fontId="1" fillId="0" borderId="0" xfId="0" quotePrefix="1" applyNumberFormat="1" applyFont="1" applyAlignment="1">
      <alignment horizontal="centerContinuous"/>
    </xf>
    <xf numFmtId="0" fontId="3" fillId="2" borderId="1" xfId="0" applyFont="1" applyFill="1" applyBorder="1" applyAlignment="1">
      <alignment horizontal="centerContinuous"/>
    </xf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Continuous"/>
    </xf>
    <xf numFmtId="0" fontId="3" fillId="2" borderId="2" xfId="0" applyFont="1" applyFill="1" applyBorder="1" applyAlignment="1">
      <alignment horizontal="centerContinuous"/>
    </xf>
    <xf numFmtId="14" fontId="1" fillId="0" borderId="0" xfId="0" applyNumberFormat="1" applyFont="1" applyAlignment="1">
      <alignment horizontal="centerContinuous"/>
    </xf>
    <xf numFmtId="164" fontId="1" fillId="0" borderId="0" xfId="0" applyNumberFormat="1" applyFont="1" applyAlignment="1">
      <alignment horizontal="centerContinuous" vertical="center"/>
    </xf>
    <xf numFmtId="10" fontId="1" fillId="0" borderId="0" xfId="0" applyNumberFormat="1" applyFont="1" applyAlignment="1">
      <alignment horizontal="center"/>
    </xf>
    <xf numFmtId="0" fontId="3" fillId="3" borderId="5" xfId="0" applyFont="1" applyFill="1" applyBorder="1" applyAlignment="1">
      <alignment horizontal="centerContinuous" vertical="center"/>
    </xf>
    <xf numFmtId="0" fontId="4" fillId="3" borderId="6" xfId="0" applyFont="1" applyFill="1" applyBorder="1" applyAlignment="1">
      <alignment horizontal="centerContinuous" vertical="center"/>
    </xf>
    <xf numFmtId="0" fontId="4" fillId="3" borderId="7" xfId="0" applyFont="1" applyFill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3EC7-D849-44C9-9322-455858488843}">
  <dimension ref="A1:M22"/>
  <sheetViews>
    <sheetView showGridLines="0" tabSelected="1" zoomScale="130" zoomScaleNormal="130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G20" sqref="G20"/>
    </sheetView>
  </sheetViews>
  <sheetFormatPr defaultColWidth="0" defaultRowHeight="11.5" zeroHeight="1" outlineLevelCol="1" x14ac:dyDescent="0.25"/>
  <cols>
    <col min="1" max="1" width="9" style="1" customWidth="1"/>
    <col min="2" max="2" width="20.54296875" style="1" customWidth="1"/>
    <col min="3" max="7" width="20.54296875" style="1" customWidth="1" outlineLevel="1"/>
    <col min="8" max="8" width="20.54296875" style="1" customWidth="1" outlineLevel="1" collapsed="1"/>
    <col min="9" max="11" width="20.54296875" style="1" customWidth="1" outlineLevel="1"/>
    <col min="12" max="13" width="20.54296875" style="1" customWidth="1"/>
    <col min="14" max="16384" width="9" style="1" hidden="1"/>
  </cols>
  <sheetData>
    <row r="1" spans="2:13" ht="12" thickBot="1" x14ac:dyDescent="0.3"/>
    <row r="2" spans="2:13" ht="12.4" customHeight="1" thickTop="1" thickBot="1" x14ac:dyDescent="0.3">
      <c r="C2" s="20" t="s">
        <v>31</v>
      </c>
      <c r="D2" s="21"/>
      <c r="E2" s="21"/>
      <c r="F2" s="21"/>
      <c r="G2" s="22"/>
      <c r="H2" s="20" t="s">
        <v>32</v>
      </c>
      <c r="I2" s="20"/>
      <c r="J2" s="20"/>
      <c r="K2" s="20"/>
      <c r="L2" s="20"/>
      <c r="M2" s="20"/>
    </row>
    <row r="3" spans="2:13" ht="12.5" thickTop="1" thickBot="1" x14ac:dyDescent="0.3">
      <c r="B3" s="8"/>
      <c r="C3" s="10" t="s">
        <v>0</v>
      </c>
      <c r="D3" s="11"/>
      <c r="E3" s="12"/>
      <c r="F3" s="14" t="s">
        <v>1</v>
      </c>
      <c r="G3" s="14" t="s">
        <v>30</v>
      </c>
      <c r="H3" s="15" t="s">
        <v>2</v>
      </c>
      <c r="I3" s="10"/>
      <c r="J3" s="16"/>
      <c r="K3" s="13" t="s">
        <v>3</v>
      </c>
      <c r="L3" s="13" t="s">
        <v>4</v>
      </c>
      <c r="M3" s="13" t="s">
        <v>29</v>
      </c>
    </row>
    <row r="4" spans="2:13" ht="12" thickTop="1" x14ac:dyDescent="0.25">
      <c r="B4" s="4" t="s">
        <v>5</v>
      </c>
      <c r="C4" s="5" t="s">
        <v>6</v>
      </c>
      <c r="D4" s="5"/>
      <c r="E4" s="5"/>
      <c r="F4" s="2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7</v>
      </c>
      <c r="M4" s="2" t="s">
        <v>6</v>
      </c>
    </row>
    <row r="5" spans="2:13" x14ac:dyDescent="0.25">
      <c r="B5" s="4" t="s">
        <v>8</v>
      </c>
      <c r="C5" s="5" t="s">
        <v>9</v>
      </c>
      <c r="D5" s="5"/>
      <c r="E5" s="5"/>
      <c r="F5" s="2" t="s">
        <v>10</v>
      </c>
      <c r="G5" s="2" t="s">
        <v>10</v>
      </c>
      <c r="H5" s="2" t="s">
        <v>11</v>
      </c>
      <c r="I5" s="2" t="s">
        <v>11</v>
      </c>
      <c r="J5" s="2" t="s">
        <v>11</v>
      </c>
      <c r="K5" s="2" t="s">
        <v>11</v>
      </c>
      <c r="L5" s="2" t="s">
        <v>12</v>
      </c>
      <c r="M5" s="2" t="s">
        <v>11</v>
      </c>
    </row>
    <row r="6" spans="2:13" x14ac:dyDescent="0.25">
      <c r="B6" s="4" t="s">
        <v>13</v>
      </c>
      <c r="C6" s="9" t="s">
        <v>14</v>
      </c>
      <c r="D6" s="9"/>
      <c r="E6" s="9"/>
      <c r="F6" s="2">
        <v>36</v>
      </c>
      <c r="G6" s="2">
        <v>36</v>
      </c>
      <c r="H6" s="2">
        <v>12</v>
      </c>
      <c r="I6" s="2">
        <v>12</v>
      </c>
      <c r="J6" s="2">
        <v>12</v>
      </c>
      <c r="K6" s="2">
        <v>12</v>
      </c>
      <c r="L6" s="2">
        <v>60</v>
      </c>
      <c r="M6" s="2">
        <v>3</v>
      </c>
    </row>
    <row r="7" spans="2:13" x14ac:dyDescent="0.25">
      <c r="B7" s="4" t="s">
        <v>15</v>
      </c>
      <c r="C7" s="6">
        <v>45567</v>
      </c>
      <c r="D7" s="6">
        <v>45624</v>
      </c>
      <c r="E7" s="6">
        <v>45713</v>
      </c>
      <c r="F7" s="6">
        <v>45123</v>
      </c>
      <c r="G7" s="6"/>
      <c r="H7" s="6">
        <v>45768</v>
      </c>
      <c r="I7" s="6">
        <v>45785</v>
      </c>
      <c r="J7" s="6">
        <v>45804</v>
      </c>
      <c r="K7" s="6">
        <v>45791</v>
      </c>
      <c r="L7" s="6">
        <v>45448</v>
      </c>
      <c r="M7" s="6">
        <v>45861</v>
      </c>
    </row>
    <row r="8" spans="2:13" x14ac:dyDescent="0.25">
      <c r="B8" s="4" t="s">
        <v>16</v>
      </c>
      <c r="C8" s="6">
        <v>46022</v>
      </c>
      <c r="D8" s="6">
        <v>46079</v>
      </c>
      <c r="E8" s="6">
        <v>46169</v>
      </c>
      <c r="F8" s="6">
        <v>46199</v>
      </c>
      <c r="G8" s="6"/>
      <c r="H8" s="6">
        <v>46133</v>
      </c>
      <c r="I8" s="6">
        <v>46150</v>
      </c>
      <c r="J8" s="6">
        <v>46169</v>
      </c>
      <c r="K8" s="6">
        <v>46156</v>
      </c>
      <c r="L8" s="6">
        <v>47248</v>
      </c>
      <c r="M8" s="6">
        <v>46317</v>
      </c>
    </row>
    <row r="9" spans="2:13" x14ac:dyDescent="0.25">
      <c r="B9" s="4" t="s">
        <v>17</v>
      </c>
      <c r="C9" s="18">
        <v>46670</v>
      </c>
      <c r="D9" s="17"/>
      <c r="E9" s="17"/>
      <c r="F9" s="6"/>
      <c r="G9" s="6"/>
      <c r="H9" s="6"/>
      <c r="I9" s="6"/>
      <c r="J9" s="6"/>
      <c r="K9" s="6"/>
      <c r="L9" s="6"/>
      <c r="M9" s="6"/>
    </row>
    <row r="10" spans="2:13" x14ac:dyDescent="0.25">
      <c r="B10" s="4" t="s">
        <v>18</v>
      </c>
      <c r="C10" s="3">
        <v>10500000</v>
      </c>
      <c r="D10" s="3">
        <v>10000000</v>
      </c>
      <c r="E10" s="3">
        <v>10500000</v>
      </c>
      <c r="F10" s="3">
        <v>2000000</v>
      </c>
      <c r="G10" s="3">
        <v>30000000</v>
      </c>
      <c r="H10" s="3">
        <v>1450000</v>
      </c>
      <c r="I10" s="3">
        <v>400000</v>
      </c>
      <c r="J10" s="3">
        <v>1000000</v>
      </c>
      <c r="K10" s="3">
        <v>1000000</v>
      </c>
      <c r="L10" s="3">
        <f>1500000*3.75</f>
        <v>5625000</v>
      </c>
      <c r="M10" s="3">
        <v>3000000</v>
      </c>
    </row>
    <row r="11" spans="2:13" x14ac:dyDescent="0.25">
      <c r="B11" s="4" t="s">
        <v>28</v>
      </c>
      <c r="C11" s="3">
        <f>C10</f>
        <v>10500000</v>
      </c>
      <c r="D11" s="3">
        <f t="shared" ref="D11:M11" si="0">D10</f>
        <v>10000000</v>
      </c>
      <c r="E11" s="3">
        <f t="shared" si="0"/>
        <v>10500000</v>
      </c>
      <c r="F11" s="3">
        <f t="shared" si="0"/>
        <v>2000000</v>
      </c>
      <c r="G11" s="3">
        <v>45000000</v>
      </c>
      <c r="H11" s="3">
        <f t="shared" si="0"/>
        <v>1450000</v>
      </c>
      <c r="I11" s="3">
        <f t="shared" si="0"/>
        <v>400000</v>
      </c>
      <c r="J11" s="3">
        <f t="shared" si="0"/>
        <v>1000000</v>
      </c>
      <c r="K11" s="3">
        <f t="shared" si="0"/>
        <v>1000000</v>
      </c>
      <c r="L11" s="3">
        <v>4500000</v>
      </c>
      <c r="M11" s="3">
        <f t="shared" si="0"/>
        <v>3000000</v>
      </c>
    </row>
    <row r="12" spans="2:13" x14ac:dyDescent="0.25">
      <c r="B12" s="4" t="s">
        <v>19</v>
      </c>
      <c r="C12" s="7">
        <v>0.14499999999999999</v>
      </c>
      <c r="D12" s="7">
        <v>0.14499999999999999</v>
      </c>
      <c r="E12" s="7">
        <v>0.14499999999999999</v>
      </c>
      <c r="F12" s="19">
        <v>0.1867</v>
      </c>
      <c r="G12" s="19">
        <v>0.125</v>
      </c>
      <c r="H12" s="7">
        <f>210250/H10</f>
        <v>0.14499999999999999</v>
      </c>
      <c r="I12" s="7">
        <f>58000/I10</f>
        <v>0.14499999999999999</v>
      </c>
      <c r="J12" s="7">
        <f>145000/J10</f>
        <v>0.14499999999999999</v>
      </c>
      <c r="K12" s="7">
        <f>145000/K10</f>
        <v>0.14499999999999999</v>
      </c>
      <c r="L12" s="7">
        <v>0.19</v>
      </c>
      <c r="M12" s="7">
        <f>(145000*3)/M10</f>
        <v>0.14499999999999999</v>
      </c>
    </row>
    <row r="13" spans="2:13" x14ac:dyDescent="0.25">
      <c r="B13" s="4" t="s">
        <v>20</v>
      </c>
      <c r="C13" s="5" t="s">
        <v>21</v>
      </c>
      <c r="D13" s="5"/>
      <c r="E13" s="5"/>
      <c r="F13" s="2" t="s">
        <v>21</v>
      </c>
      <c r="G13" s="2" t="s">
        <v>21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23</v>
      </c>
      <c r="M13" s="2" t="s">
        <v>21</v>
      </c>
    </row>
    <row r="14" spans="2:13" x14ac:dyDescent="0.25">
      <c r="B14" s="4" t="s">
        <v>24</v>
      </c>
      <c r="C14" s="5" t="s">
        <v>25</v>
      </c>
      <c r="D14" s="5"/>
      <c r="E14" s="5"/>
      <c r="F14" s="5" t="s">
        <v>25</v>
      </c>
      <c r="G14" s="5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26</v>
      </c>
      <c r="M14" s="2" t="s">
        <v>25</v>
      </c>
    </row>
    <row r="15" spans="2:13" x14ac:dyDescent="0.25">
      <c r="B15" s="4" t="s">
        <v>27</v>
      </c>
      <c r="C15" s="3" t="s">
        <v>23</v>
      </c>
      <c r="D15" s="3" t="s">
        <v>23</v>
      </c>
      <c r="E15" s="3" t="s">
        <v>23</v>
      </c>
      <c r="F15" s="3" t="s">
        <v>23</v>
      </c>
      <c r="G15" s="3" t="s">
        <v>33</v>
      </c>
      <c r="H15" s="3" t="s">
        <v>23</v>
      </c>
      <c r="I15" s="3" t="s">
        <v>23</v>
      </c>
      <c r="J15" s="3" t="s">
        <v>23</v>
      </c>
      <c r="K15" s="3" t="s">
        <v>23</v>
      </c>
      <c r="L15" s="3" t="s">
        <v>23</v>
      </c>
      <c r="M15" s="3" t="s">
        <v>23</v>
      </c>
    </row>
    <row r="16" spans="2:13" x14ac:dyDescent="0.25"/>
    <row r="17" x14ac:dyDescent="0.25"/>
    <row r="18" x14ac:dyDescent="0.25"/>
    <row r="19" x14ac:dyDescent="0.25"/>
    <row r="20" x14ac:dyDescent="0.25"/>
    <row r="21" x14ac:dyDescent="0.25"/>
    <row r="22" x14ac:dyDescent="0.25"/>
  </sheetData>
  <pageMargins left="0.7" right="0.7" top="0.75" bottom="0.75" header="0.3" footer="0.3"/>
  <ignoredErrors>
    <ignoredError sqref="C6" twoDigitTextYear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c29741-1b01-4100-8fde-8dd31e7285c4">
      <Terms xmlns="http://schemas.microsoft.com/office/infopath/2007/PartnerControls"/>
    </lcf76f155ced4ddcb4097134ff3c332f>
    <TaxCatchAll xmlns="67106e13-1c90-4c70-9cee-8068538c7a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F96BBDA99D64E83A5B1DBF1FE7F42" ma:contentTypeVersion="14" ma:contentTypeDescription="Create a new document." ma:contentTypeScope="" ma:versionID="c78fa6e01104c0763aa56e469d8344b8">
  <xsd:schema xmlns:xsd="http://www.w3.org/2001/XMLSchema" xmlns:xs="http://www.w3.org/2001/XMLSchema" xmlns:p="http://schemas.microsoft.com/office/2006/metadata/properties" xmlns:ns2="f9c29741-1b01-4100-8fde-8dd31e7285c4" xmlns:ns3="67106e13-1c90-4c70-9cee-8068538c7a80" targetNamespace="http://schemas.microsoft.com/office/2006/metadata/properties" ma:root="true" ma:fieldsID="222dea80ccdc224e14fa0ebfeab3c39d" ns2:_="" ns3:_="">
    <xsd:import namespace="f9c29741-1b01-4100-8fde-8dd31e7285c4"/>
    <xsd:import namespace="67106e13-1c90-4c70-9cee-8068538c7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29741-1b01-4100-8fde-8dd31e7285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6be8c9c-7fa0-40d6-8a5e-2ac0051f6a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06e13-1c90-4c70-9cee-8068538c7a8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0eae66-369a-43f8-8557-c76d6430d3e9}" ma:internalName="TaxCatchAll" ma:showField="CatchAllData" ma:web="67106e13-1c90-4c70-9cee-8068538c7a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B3A7C0-5A96-43A1-B170-5DC74F6304F1}">
  <ds:schemaRefs>
    <ds:schemaRef ds:uri="http://purl.org/dc/elements/1.1/"/>
    <ds:schemaRef ds:uri="67106e13-1c90-4c70-9cee-8068538c7a80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f9c29741-1b01-4100-8fde-8dd31e7285c4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417620D-F1F5-49B6-BBB2-4DD404E9D6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ECB870-BBB0-4467-86A9-968A5C2BD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29741-1b01-4100-8fde-8dd31e7285c4"/>
    <ds:schemaRef ds:uri="67106e13-1c90-4c70-9cee-8068538c7a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Nikolay Vasilyev</dc:creator>
  <cp:keywords/>
  <dc:description/>
  <cp:lastModifiedBy>Mathilde Colli</cp:lastModifiedBy>
  <cp:revision/>
  <dcterms:created xsi:type="dcterms:W3CDTF">2025-04-28T08:07:23Z</dcterms:created>
  <dcterms:modified xsi:type="dcterms:W3CDTF">2026-03-25T17:24:40Z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0x0101005D6F96BBDA99D64E83A5B1DBF1FE7F42</vt:lpwstr>
  </property>
  <property fmtid="{D5CDD505-2E9C-101B-9397-08002B2CF9AE}" pid="3" name="MediaServiceImageTags">
    <vt:lpwstr/>
  </property>
</Properties>
</file>