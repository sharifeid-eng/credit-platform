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ildnw.sharepoint.com/sites/InvestorDataRoom/Shared Documents/Option B_2025 deb raise_Private Credit capital raise/3. Investor data rooms/Oaktree/4. Finance/"/>
    </mc:Choice>
  </mc:AlternateContent>
  <xr:revisionPtr revIDLastSave="0" documentId="8_{266648FB-21F6-40D4-BA58-4EEE9DA0C024}" xr6:coauthVersionLast="47" xr6:coauthVersionMax="47" xr10:uidLastSave="{00000000-0000-0000-0000-000000000000}"/>
  <bookViews>
    <workbookView xWindow="-98" yWindow="-98" windowWidth="21795" windowHeight="13875" xr2:uid="{36FA337F-2E02-46A9-91AA-0C25DA84EA97}"/>
  </bookViews>
  <sheets>
    <sheet name="SAR_Fin_S" sheetId="28" r:id="rId1"/>
    <sheet name="Deployment schedule" sheetId="65" r:id="rId2"/>
  </sheets>
  <externalReferences>
    <externalReference r:id="rId3"/>
  </externalReferences>
  <definedNames>
    <definedName name="_xleta.COUNTIF" hidden="1" xlm="1">#NAME?</definedName>
    <definedName name="_xleta.COUNTIFS" hidden="1" xlm="1">#NAME?</definedName>
    <definedName name="_xleta.IF" hidden="1" xlm="1">#NAME?</definedName>
    <definedName name="_xleta.INDEX" hidden="1" xlm="1">#NAME?</definedName>
    <definedName name="_xleta.IRR" hidden="1" xlm="1">#NAME?</definedName>
    <definedName name="_xleta.N" hidden="1" xlm="1">#NAME?</definedName>
    <definedName name="_xleta.RATE" hidden="1" xlm="1">#NAME?</definedName>
    <definedName name="_xleta.SUM" hidden="1" xlm="1">#NAME?</definedName>
    <definedName name="_xleta.SUMIFS" hidden="1" xlm="1">#NAME?</definedName>
    <definedName name="_xleta.YEAR" hidden="1" xlm="1">#NAME?</definedName>
    <definedName name="_xlpm.depts" hidden="1" xlm="1">#NAME?</definedName>
    <definedName name="_xlpm.names" hidden="1" xlm="1">#NAME?</definedName>
    <definedName name="_xlpm.titles" hidden="1" xlm="1">#NAME?</definedName>
    <definedName name="DropDownOptions" localSheetId="1">[1]Ass!$L$7:$P$7</definedName>
    <definedName name="DropDownOptions">#REF!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42" i="65" l="1"/>
  <c r="T42" i="65"/>
  <c r="S42" i="65"/>
  <c r="R42" i="65"/>
  <c r="V42" i="65"/>
  <c r="CB42" i="65"/>
  <c r="CA42" i="65"/>
  <c r="BZ42" i="65"/>
  <c r="BY42" i="65"/>
  <c r="BX42" i="65"/>
  <c r="BW42" i="65"/>
  <c r="BV42" i="65"/>
  <c r="BU42" i="65"/>
  <c r="BT42" i="65"/>
  <c r="BS42" i="65"/>
  <c r="BR42" i="65"/>
  <c r="BQ42" i="65"/>
  <c r="CB59" i="28"/>
  <c r="CA59" i="28"/>
  <c r="BZ59" i="28"/>
  <c r="BY59" i="28"/>
  <c r="BX59" i="28"/>
  <c r="BW59" i="28"/>
  <c r="BV59" i="28"/>
  <c r="BU59" i="28"/>
  <c r="BT59" i="28"/>
  <c r="BS59" i="28"/>
  <c r="BR59" i="28"/>
  <c r="BQ59" i="28"/>
  <c r="BP59" i="28"/>
  <c r="BO59" i="28"/>
  <c r="BN59" i="28"/>
  <c r="BM59" i="28"/>
  <c r="BL59" i="28"/>
  <c r="BK59" i="28"/>
  <c r="BJ59" i="28"/>
  <c r="BI59" i="28"/>
  <c r="BH59" i="28"/>
  <c r="BG59" i="28"/>
  <c r="BF59" i="28"/>
  <c r="BE59" i="28"/>
  <c r="BD59" i="28"/>
  <c r="BC59" i="28"/>
  <c r="BB59" i="28"/>
  <c r="BA59" i="28"/>
  <c r="AZ59" i="28"/>
  <c r="AY59" i="28"/>
  <c r="AX59" i="28"/>
  <c r="AW59" i="28"/>
  <c r="AV59" i="28"/>
  <c r="AU59" i="28"/>
  <c r="AT59" i="28"/>
  <c r="AS59" i="28"/>
  <c r="AR59" i="28"/>
  <c r="AQ59" i="28"/>
  <c r="AP59" i="28"/>
  <c r="AO59" i="28"/>
  <c r="AN59" i="28"/>
  <c r="AM59" i="28"/>
  <c r="AL59" i="28"/>
  <c r="AK59" i="28"/>
  <c r="AJ59" i="28"/>
  <c r="AI59" i="28"/>
  <c r="AH59" i="28"/>
  <c r="AG59" i="28"/>
  <c r="AF59" i="28"/>
  <c r="AE59" i="28"/>
  <c r="AD59" i="28"/>
  <c r="AC59" i="28"/>
  <c r="AB59" i="28"/>
  <c r="AA59" i="28"/>
  <c r="Z59" i="28"/>
  <c r="Y59" i="28"/>
  <c r="X59" i="28"/>
  <c r="CB55" i="28"/>
  <c r="CA55" i="28"/>
  <c r="BZ55" i="28"/>
  <c r="BY55" i="28"/>
  <c r="BX55" i="28"/>
  <c r="BW55" i="28"/>
  <c r="BV55" i="28"/>
  <c r="BU55" i="28"/>
  <c r="BT55" i="28"/>
  <c r="BS55" i="28"/>
  <c r="BR55" i="28"/>
  <c r="BQ55" i="28"/>
  <c r="BP55" i="28"/>
  <c r="BO55" i="28"/>
  <c r="BN55" i="28"/>
  <c r="BM55" i="28"/>
  <c r="BL55" i="28"/>
  <c r="BK55" i="28"/>
  <c r="BJ55" i="28"/>
  <c r="BI55" i="28"/>
  <c r="BH55" i="28"/>
  <c r="BG55" i="28"/>
  <c r="BF55" i="28"/>
  <c r="BE55" i="28"/>
  <c r="BD55" i="28"/>
  <c r="BC55" i="28"/>
  <c r="BB55" i="28"/>
  <c r="BA55" i="28"/>
  <c r="AZ55" i="28"/>
  <c r="AY55" i="28"/>
  <c r="AX55" i="28"/>
  <c r="AW55" i="28"/>
  <c r="AV55" i="28"/>
  <c r="AU55" i="28"/>
  <c r="AT55" i="28"/>
  <c r="AS55" i="28"/>
  <c r="AR55" i="28"/>
  <c r="AQ55" i="28"/>
  <c r="AP55" i="28"/>
  <c r="AO55" i="28"/>
  <c r="AN55" i="28"/>
  <c r="AM55" i="28"/>
  <c r="AL55" i="28"/>
  <c r="AK55" i="28"/>
  <c r="AJ55" i="28"/>
  <c r="AI55" i="28"/>
  <c r="AH55" i="28"/>
  <c r="AG55" i="28"/>
  <c r="AF55" i="28"/>
  <c r="AE55" i="28"/>
  <c r="AD55" i="28"/>
  <c r="AC55" i="28"/>
  <c r="AB55" i="28"/>
  <c r="AA55" i="28"/>
  <c r="Z55" i="28"/>
  <c r="Y55" i="28"/>
  <c r="X55" i="28"/>
  <c r="CB50" i="28"/>
  <c r="CA50" i="28"/>
  <c r="BZ50" i="28"/>
  <c r="BY50" i="28"/>
  <c r="BX50" i="28"/>
  <c r="BW50" i="28"/>
  <c r="BV50" i="28"/>
  <c r="BU50" i="28"/>
  <c r="BT50" i="28"/>
  <c r="BS50" i="28"/>
  <c r="BR50" i="28"/>
  <c r="BQ50" i="28"/>
  <c r="BP50" i="28"/>
  <c r="BO50" i="28"/>
  <c r="BN50" i="28"/>
  <c r="BM50" i="28"/>
  <c r="BL50" i="28"/>
  <c r="BK50" i="28"/>
  <c r="BJ50" i="28"/>
  <c r="BI50" i="28"/>
  <c r="BH50" i="28"/>
  <c r="BG50" i="28"/>
  <c r="BF50" i="28"/>
  <c r="BE50" i="28"/>
  <c r="BD50" i="28"/>
  <c r="BC50" i="28"/>
  <c r="BB50" i="28"/>
  <c r="BA50" i="28"/>
  <c r="AZ50" i="28"/>
  <c r="AY50" i="28"/>
  <c r="AX50" i="28"/>
  <c r="AW50" i="28"/>
  <c r="AV50" i="28"/>
  <c r="AU50" i="28"/>
  <c r="AT50" i="28"/>
  <c r="AS50" i="28"/>
  <c r="AR50" i="28"/>
  <c r="AQ50" i="28"/>
  <c r="AP50" i="28"/>
  <c r="AO50" i="28"/>
  <c r="AN50" i="28"/>
  <c r="AM50" i="28"/>
  <c r="AL50" i="28"/>
  <c r="AK50" i="28"/>
  <c r="AJ50" i="28"/>
  <c r="AI50" i="28"/>
  <c r="AH50" i="28"/>
  <c r="AG50" i="28"/>
  <c r="AF50" i="28"/>
  <c r="AE50" i="28"/>
  <c r="AD50" i="28"/>
  <c r="AC50" i="28"/>
  <c r="AB50" i="28"/>
  <c r="AA50" i="28"/>
  <c r="Z50" i="28"/>
  <c r="Y50" i="28"/>
  <c r="X50" i="28"/>
  <c r="CB43" i="28"/>
  <c r="CA43" i="28"/>
  <c r="BZ43" i="28"/>
  <c r="BY43" i="28"/>
  <c r="BX43" i="28"/>
  <c r="BW43" i="28"/>
  <c r="BV43" i="28"/>
  <c r="BU43" i="28"/>
  <c r="BT43" i="28"/>
  <c r="BS43" i="28"/>
  <c r="BR43" i="28"/>
  <c r="BQ43" i="28"/>
  <c r="BP43" i="28"/>
  <c r="BO43" i="28"/>
  <c r="BN43" i="28"/>
  <c r="BM43" i="28"/>
  <c r="BL43" i="28"/>
  <c r="BK43" i="28"/>
  <c r="BJ43" i="28"/>
  <c r="BI43" i="28"/>
  <c r="BH43" i="28"/>
  <c r="BG43" i="28"/>
  <c r="BF43" i="28"/>
  <c r="BE43" i="28"/>
  <c r="BD43" i="28"/>
  <c r="BC43" i="28"/>
  <c r="BB43" i="28"/>
  <c r="BA43" i="28"/>
  <c r="AZ43" i="28"/>
  <c r="AY43" i="28"/>
  <c r="AX43" i="28"/>
  <c r="AW43" i="28"/>
  <c r="AV43" i="28"/>
  <c r="AU43" i="28"/>
  <c r="AT43" i="28"/>
  <c r="AS43" i="28"/>
  <c r="AR43" i="28"/>
  <c r="AQ43" i="28"/>
  <c r="AP43" i="28"/>
  <c r="AO43" i="28"/>
  <c r="AN43" i="28"/>
  <c r="AM43" i="28"/>
  <c r="AL43" i="28"/>
  <c r="AK43" i="28"/>
  <c r="AJ43" i="28"/>
  <c r="AI43" i="28"/>
  <c r="AH43" i="28"/>
  <c r="AG43" i="28"/>
  <c r="AF43" i="28"/>
  <c r="AE43" i="28"/>
  <c r="AD43" i="28"/>
  <c r="AC43" i="28"/>
  <c r="AB43" i="28"/>
  <c r="AA43" i="28"/>
  <c r="Z43" i="28"/>
  <c r="Y43" i="28"/>
  <c r="X43" i="28"/>
  <c r="CB33" i="28"/>
  <c r="CA33" i="28"/>
  <c r="BZ33" i="28"/>
  <c r="BY33" i="28"/>
  <c r="BX33" i="28"/>
  <c r="BW33" i="28"/>
  <c r="BV33" i="28"/>
  <c r="BU33" i="28"/>
  <c r="BT33" i="28"/>
  <c r="BS33" i="28"/>
  <c r="BR33" i="28"/>
  <c r="BQ33" i="28"/>
  <c r="BP33" i="28"/>
  <c r="BO33" i="28"/>
  <c r="BN33" i="28"/>
  <c r="BM33" i="28"/>
  <c r="BL33" i="28"/>
  <c r="BK33" i="28"/>
  <c r="BJ33" i="28"/>
  <c r="BI33" i="28"/>
  <c r="BH33" i="28"/>
  <c r="BG33" i="28"/>
  <c r="BF33" i="28"/>
  <c r="BE33" i="28"/>
  <c r="BD33" i="28"/>
  <c r="BC33" i="28"/>
  <c r="BB33" i="28"/>
  <c r="BA33" i="28"/>
  <c r="AZ33" i="28"/>
  <c r="AY33" i="28"/>
  <c r="AX33" i="28"/>
  <c r="AW33" i="28"/>
  <c r="AV33" i="28"/>
  <c r="AU33" i="28"/>
  <c r="AT33" i="28"/>
  <c r="AS33" i="28"/>
  <c r="AR33" i="28"/>
  <c r="AQ33" i="28"/>
  <c r="AP33" i="28"/>
  <c r="AO33" i="28"/>
  <c r="AN33" i="28"/>
  <c r="AM33" i="28"/>
  <c r="AL33" i="28"/>
  <c r="AK33" i="28"/>
  <c r="AJ33" i="28"/>
  <c r="AI33" i="28"/>
  <c r="AH33" i="28"/>
  <c r="AG33" i="28"/>
  <c r="AF33" i="28"/>
  <c r="AE33" i="28"/>
  <c r="AD33" i="28"/>
  <c r="AC33" i="28"/>
  <c r="AB33" i="28"/>
  <c r="AA33" i="28"/>
  <c r="Z33" i="28"/>
  <c r="Y33" i="28"/>
  <c r="X33" i="28"/>
  <c r="AA16" i="28" l="1"/>
  <c r="AF16" i="28"/>
  <c r="AI16" i="28"/>
  <c r="AQ16" i="28"/>
  <c r="Y12" i="28"/>
  <c r="X15" i="28"/>
  <c r="AI20" i="28"/>
  <c r="AM20" i="28"/>
  <c r="AV20" i="28"/>
  <c r="BC20" i="28"/>
  <c r="BA23" i="28"/>
  <c r="AY23" i="28"/>
  <c r="AX23" i="28"/>
  <c r="AS23" i="28"/>
  <c r="AR23" i="28"/>
  <c r="AO23" i="28"/>
  <c r="AM23" i="28"/>
  <c r="AL23" i="28"/>
  <c r="AK23" i="28"/>
  <c r="AJ23" i="28"/>
  <c r="AF23" i="28"/>
  <c r="AD23" i="28"/>
  <c r="X27" i="28"/>
  <c r="Y27" i="28"/>
  <c r="Z27" i="28"/>
  <c r="AA27" i="28"/>
  <c r="AB27" i="28"/>
  <c r="AC27" i="28"/>
  <c r="AD27" i="28"/>
  <c r="AE27" i="28"/>
  <c r="AF27" i="28"/>
  <c r="AG27" i="28"/>
  <c r="AH27" i="28"/>
  <c r="AI27" i="28"/>
  <c r="AJ27" i="28"/>
  <c r="AK27" i="28"/>
  <c r="AL27" i="28"/>
  <c r="AM27" i="28"/>
  <c r="AN27" i="28"/>
  <c r="AO27" i="28"/>
  <c r="AP27" i="28"/>
  <c r="AQ27" i="28"/>
  <c r="AR27" i="28"/>
  <c r="AS27" i="28"/>
  <c r="AT27" i="28"/>
  <c r="AU27" i="28"/>
  <c r="AV27" i="28"/>
  <c r="AW27" i="28"/>
  <c r="AX27" i="28"/>
  <c r="AY27" i="28"/>
  <c r="AZ27" i="28"/>
  <c r="BA27" i="28"/>
  <c r="BB27" i="28"/>
  <c r="BC27" i="28"/>
  <c r="BD27" i="28"/>
  <c r="BE27" i="28"/>
  <c r="BF27" i="28"/>
  <c r="BG27" i="28"/>
  <c r="BH27" i="28"/>
  <c r="BI27" i="28"/>
  <c r="BJ27" i="28"/>
  <c r="BK27" i="28"/>
  <c r="BL27" i="28"/>
  <c r="BM27" i="28"/>
  <c r="BN27" i="28"/>
  <c r="BO27" i="28"/>
  <c r="BP27" i="28"/>
  <c r="BQ27" i="28"/>
  <c r="BR27" i="28"/>
  <c r="BS27" i="28"/>
  <c r="BT27" i="28"/>
  <c r="BU27" i="28"/>
  <c r="BV27" i="28"/>
  <c r="BW27" i="28"/>
  <c r="BX27" i="28"/>
  <c r="BY27" i="28"/>
  <c r="BZ27" i="28"/>
  <c r="CA27" i="28"/>
  <c r="CB27" i="28"/>
  <c r="AB23" i="28"/>
  <c r="AA23" i="28"/>
  <c r="Z23" i="28"/>
  <c r="Y23" i="28"/>
  <c r="X23" i="28"/>
  <c r="AB17" i="28"/>
  <c r="AA17" i="28"/>
  <c r="Z17" i="28"/>
  <c r="Y17" i="28"/>
  <c r="X17" i="28"/>
  <c r="AW19" i="28"/>
  <c r="BC19" i="28"/>
  <c r="AM19" i="28"/>
  <c r="AY19" i="28"/>
  <c r="AV19" i="28"/>
  <c r="AS19" i="28"/>
  <c r="AQ19" i="28"/>
  <c r="AJ19" i="28"/>
  <c r="AK19" i="28"/>
  <c r="AU19" i="28"/>
  <c r="AH19" i="28"/>
  <c r="AN19" i="28"/>
  <c r="AL19" i="28"/>
  <c r="AO19" i="28"/>
  <c r="BB19" i="28"/>
  <c r="AZ19" i="28"/>
  <c r="AX19" i="28"/>
  <c r="BA19" i="28"/>
  <c r="AT19" i="28"/>
  <c r="BD19" i="28"/>
  <c r="AI19" i="28"/>
  <c r="AR19" i="28"/>
  <c r="AP19" i="28"/>
  <c r="BE19" i="28"/>
  <c r="BF19" i="28"/>
  <c r="BG19" i="28"/>
  <c r="BJ19" i="28"/>
  <c r="BH19" i="28"/>
  <c r="BI19" i="28"/>
  <c r="BK19" i="28"/>
  <c r="BL19" i="28"/>
  <c r="BM19" i="28"/>
  <c r="BN19" i="28"/>
  <c r="BO19" i="28"/>
  <c r="BP19" i="28"/>
  <c r="AF20" i="28" l="1"/>
  <c r="AN23" i="28"/>
  <c r="BB23" i="28"/>
  <c r="AP23" i="28"/>
  <c r="AH16" i="28"/>
  <c r="Z16" i="28"/>
  <c r="AR16" i="28"/>
  <c r="BD16" i="28"/>
  <c r="Y16" i="28"/>
  <c r="AJ16" i="28"/>
  <c r="BN16" i="28"/>
  <c r="BJ16" i="28"/>
  <c r="AB16" i="28"/>
  <c r="AS16" i="28"/>
  <c r="AT16" i="28"/>
  <c r="BF16" i="28"/>
  <c r="BG16" i="28"/>
  <c r="AN16" i="28"/>
  <c r="X13" i="28"/>
  <c r="BA16" i="28"/>
  <c r="BM16" i="28"/>
  <c r="X12" i="28"/>
  <c r="BE23" i="28"/>
  <c r="AG23" i="28"/>
  <c r="AW23" i="28"/>
  <c r="AO20" i="28"/>
  <c r="AZ23" i="28"/>
  <c r="AW20" i="28"/>
  <c r="AU20" i="28"/>
  <c r="AC23" i="28"/>
  <c r="AX20" i="28"/>
  <c r="AT20" i="28"/>
  <c r="AV23" i="28"/>
  <c r="BD23" i="28"/>
  <c r="AH23" i="28"/>
  <c r="AJ20" i="28"/>
  <c r="AZ20" i="28"/>
  <c r="AP20" i="28"/>
  <c r="AL20" i="28"/>
  <c r="BD20" i="28"/>
  <c r="AG20" i="28"/>
  <c r="AQ23" i="28"/>
  <c r="BC23" i="28"/>
  <c r="BB20" i="28"/>
  <c r="AT23" i="28"/>
  <c r="BA20" i="28"/>
  <c r="AI23" i="28"/>
  <c r="AU23" i="28"/>
  <c r="BE20" i="28"/>
  <c r="AY20" i="28"/>
  <c r="AR20" i="28"/>
  <c r="AN20" i="28"/>
  <c r="AE23" i="28"/>
  <c r="AQ20" i="28"/>
  <c r="AH20" i="28"/>
  <c r="AS20" i="28"/>
  <c r="AK20" i="28"/>
  <c r="AE20" i="28" l="1"/>
  <c r="AB20" i="28"/>
  <c r="Y20" i="28"/>
  <c r="Y19" i="28"/>
  <c r="X20" i="28"/>
  <c r="Z20" i="28"/>
  <c r="AF19" i="28"/>
  <c r="AG19" i="28"/>
  <c r="BF20" i="28"/>
  <c r="X19" i="28"/>
  <c r="BF23" i="28"/>
  <c r="AA20" i="28"/>
  <c r="Z19" i="28"/>
  <c r="AZ16" i="28"/>
  <c r="BK16" i="28"/>
  <c r="AY16" i="28"/>
  <c r="X16" i="28"/>
  <c r="AV16" i="28"/>
  <c r="AW16" i="28"/>
  <c r="Y15" i="28"/>
  <c r="AE16" i="28"/>
  <c r="AL16" i="28"/>
  <c r="BH16" i="28"/>
  <c r="AG16" i="28"/>
  <c r="AD16" i="28"/>
  <c r="BB16" i="28"/>
  <c r="BI16" i="28"/>
  <c r="BL16" i="28"/>
  <c r="AK16" i="28"/>
  <c r="BC16" i="28"/>
  <c r="AC16" i="28"/>
  <c r="AP16" i="28"/>
  <c r="AU16" i="28"/>
  <c r="BE16" i="28"/>
  <c r="AM16" i="28"/>
  <c r="AX16" i="28"/>
  <c r="AO16" i="28"/>
  <c r="Y13" i="28"/>
  <c r="AD20" i="28"/>
  <c r="AC19" i="28"/>
  <c r="AD19" i="28"/>
  <c r="AE19" i="28"/>
  <c r="AB19" i="28"/>
  <c r="AA19" i="28"/>
  <c r="BE21" i="28" l="1"/>
  <c r="X21" i="28"/>
  <c r="BH23" i="28"/>
  <c r="BG23" i="28"/>
  <c r="Z15" i="28"/>
  <c r="Z13" i="28"/>
  <c r="Z12" i="28"/>
  <c r="AC20" i="28"/>
  <c r="BG20" i="28"/>
  <c r="AA21" i="28" l="1"/>
  <c r="Y21" i="28"/>
  <c r="AK21" i="28"/>
  <c r="Z21" i="28"/>
  <c r="AM21" i="28"/>
  <c r="AO21" i="28"/>
  <c r="AH21" i="28"/>
  <c r="BC21" i="28"/>
  <c r="AL21" i="28"/>
  <c r="AE21" i="28"/>
  <c r="AV21" i="28"/>
  <c r="AD21" i="28"/>
  <c r="AR21" i="28"/>
  <c r="AX21" i="28"/>
  <c r="AG21" i="28"/>
  <c r="BD21" i="28"/>
  <c r="AP21" i="28"/>
  <c r="AU21" i="28"/>
  <c r="AW21" i="28"/>
  <c r="BF21" i="28"/>
  <c r="AS21" i="28"/>
  <c r="AJ21" i="28"/>
  <c r="BB21" i="28"/>
  <c r="AT21" i="28"/>
  <c r="AF21" i="28"/>
  <c r="AZ21" i="28"/>
  <c r="AQ21" i="28"/>
  <c r="AB21" i="28"/>
  <c r="AY21" i="28"/>
  <c r="AI21" i="28"/>
  <c r="AN21" i="28"/>
  <c r="BA21" i="28"/>
  <c r="AA15" i="28"/>
  <c r="AC21" i="28"/>
  <c r="BG21" i="28"/>
  <c r="AC17" i="28" l="1"/>
  <c r="AC99" i="28"/>
  <c r="BI23" i="28"/>
  <c r="BJ23" i="28"/>
  <c r="AB15" i="28"/>
  <c r="AA13" i="28"/>
  <c r="AA12" i="28"/>
  <c r="CB19" i="28"/>
  <c r="BS19" i="28"/>
  <c r="BV19" i="28"/>
  <c r="AD17" i="28" l="1"/>
  <c r="AD99" i="28"/>
  <c r="AC15" i="28"/>
  <c r="BY19" i="28"/>
  <c r="CA19" i="28"/>
  <c r="AE17" i="28" l="1"/>
  <c r="AE99" i="28"/>
  <c r="BK23" i="28"/>
  <c r="BL23" i="28"/>
  <c r="AD15" i="28"/>
  <c r="AB12" i="28"/>
  <c r="BW19" i="28"/>
  <c r="BX19" i="28"/>
  <c r="BT19" i="28"/>
  <c r="BU19" i="28"/>
  <c r="BZ19" i="28"/>
  <c r="AF17" i="28" l="1"/>
  <c r="AF99" i="28"/>
  <c r="AB13" i="28"/>
  <c r="AE15" i="28"/>
  <c r="AG17" i="28" l="1"/>
  <c r="AG99" i="28"/>
  <c r="BM23" i="28"/>
  <c r="AF15" i="28"/>
  <c r="AC13" i="28"/>
  <c r="AC12" i="28"/>
  <c r="BR19" i="28"/>
  <c r="BQ19" i="28"/>
  <c r="AH17" i="28" l="1"/>
  <c r="AH99" i="28"/>
  <c r="BN23" i="28"/>
  <c r="AG15" i="28"/>
  <c r="AI17" i="28" l="1"/>
  <c r="AI99" i="28"/>
  <c r="BO23" i="28"/>
  <c r="AH15" i="28"/>
  <c r="AD12" i="28"/>
  <c r="AD13" i="28" l="1"/>
  <c r="AJ17" i="28"/>
  <c r="AJ99" i="28"/>
  <c r="BP23" i="28"/>
  <c r="AI15" i="28"/>
  <c r="AK17" i="28" l="1"/>
  <c r="AK99" i="28"/>
  <c r="AE13" i="28"/>
  <c r="AJ15" i="28"/>
  <c r="AE12" i="28"/>
  <c r="AL17" i="28" l="1"/>
  <c r="AL99" i="28"/>
  <c r="AK15" i="28"/>
  <c r="AM17" i="28" l="1"/>
  <c r="AM99" i="28"/>
  <c r="AL15" i="28"/>
  <c r="AF12" i="28"/>
  <c r="AN17" i="28" l="1"/>
  <c r="AN99" i="28"/>
  <c r="AM15" i="28"/>
  <c r="AF13" i="28"/>
  <c r="AO17" i="28" l="1"/>
  <c r="AO99" i="28"/>
  <c r="AN15" i="28"/>
  <c r="AG12" i="28"/>
  <c r="AP17" i="28" l="1"/>
  <c r="AP99" i="28"/>
  <c r="AG13" i="28"/>
  <c r="AO15" i="28"/>
  <c r="BS13" i="28"/>
  <c r="AQ17" i="28" l="1"/>
  <c r="AQ99" i="28"/>
  <c r="AP15" i="28"/>
  <c r="AH12" i="28"/>
  <c r="AR17" i="28" l="1"/>
  <c r="AR99" i="28"/>
  <c r="AH13" i="28"/>
  <c r="AQ15" i="28"/>
  <c r="AS17" i="28" l="1"/>
  <c r="AS99" i="28"/>
  <c r="AR15" i="28"/>
  <c r="AI12" i="28"/>
  <c r="AT17" i="28" l="1"/>
  <c r="AT99" i="28"/>
  <c r="AI13" i="28"/>
  <c r="AS15" i="28"/>
  <c r="AU17" i="28" l="1"/>
  <c r="AU99" i="28"/>
  <c r="AT15" i="28"/>
  <c r="AJ12" i="28"/>
  <c r="AJ13" i="28"/>
  <c r="AV17" i="28" l="1"/>
  <c r="AV99" i="28"/>
  <c r="AU15" i="28"/>
  <c r="AW17" i="28" l="1"/>
  <c r="AW99" i="28"/>
  <c r="AV15" i="28"/>
  <c r="AK12" i="28"/>
  <c r="AX17" i="28" l="1"/>
  <c r="AX99" i="28"/>
  <c r="AK13" i="28"/>
  <c r="AW15" i="28"/>
  <c r="AY17" i="28" l="1"/>
  <c r="AY99" i="28"/>
  <c r="AX15" i="28"/>
  <c r="AL13" i="28"/>
  <c r="AL12" i="28"/>
  <c r="AZ17" i="28" l="1"/>
  <c r="AZ99" i="28"/>
  <c r="AY15" i="28"/>
  <c r="BA17" i="28" l="1"/>
  <c r="BA99" i="28"/>
  <c r="AZ15" i="28"/>
  <c r="AM12" i="28"/>
  <c r="BB17" i="28" l="1"/>
  <c r="BB99" i="28"/>
  <c r="BA15" i="28"/>
  <c r="AM13" i="28"/>
  <c r="BC17" i="28" l="1"/>
  <c r="BC99" i="28"/>
  <c r="BB15" i="28"/>
  <c r="AN13" i="28"/>
  <c r="AN12" i="28"/>
  <c r="BD17" i="28" l="1"/>
  <c r="BD99" i="28"/>
  <c r="BC15" i="28"/>
  <c r="BE17" i="28" l="1"/>
  <c r="BE99" i="28"/>
  <c r="BD15" i="28"/>
  <c r="AO13" i="28"/>
  <c r="AO12" i="28"/>
  <c r="BF17" i="28" l="1"/>
  <c r="BF99" i="28"/>
  <c r="BE15" i="28"/>
  <c r="BG17" i="28" l="1"/>
  <c r="BF15" i="28"/>
  <c r="AP13" i="28"/>
  <c r="AP12" i="28"/>
  <c r="BH17" i="28" l="1"/>
  <c r="BG15" i="28"/>
  <c r="BI17" i="28" l="1"/>
  <c r="BH15" i="28"/>
  <c r="AQ13" i="28"/>
  <c r="AQ12" i="28"/>
  <c r="BJ17" i="28" l="1"/>
  <c r="BI15" i="28"/>
  <c r="BK17" i="28" l="1"/>
  <c r="BJ15" i="28"/>
  <c r="AR12" i="28"/>
  <c r="BL17" i="28" l="1"/>
  <c r="BK15" i="28"/>
  <c r="AR13" i="28"/>
  <c r="BM17" i="28" l="1"/>
  <c r="BL15" i="28"/>
  <c r="AS13" i="28"/>
  <c r="AS12" i="28"/>
  <c r="BN17" i="28" l="1"/>
  <c r="BM15" i="28"/>
  <c r="BN15" i="28" l="1"/>
  <c r="AT13" i="28"/>
  <c r="AT12" i="28"/>
  <c r="AU13" i="28" l="1"/>
  <c r="AU12" i="28"/>
  <c r="AV12" i="28" l="1"/>
  <c r="AV13" i="28" l="1"/>
  <c r="AW12" i="28" l="1"/>
  <c r="BO13" i="28"/>
  <c r="BP13" i="28" l="1"/>
  <c r="AW13" i="28"/>
  <c r="AX13" i="28" l="1"/>
  <c r="AX12" i="28"/>
  <c r="BQ13" i="28"/>
  <c r="BR13" i="28" l="1"/>
  <c r="AY12" i="28" l="1"/>
  <c r="BT13" i="28" l="1"/>
  <c r="AY13" i="28"/>
  <c r="AZ13" i="28" l="1"/>
  <c r="AZ12" i="28"/>
  <c r="BU13" i="28"/>
  <c r="BV13" i="28" l="1"/>
  <c r="BW13" i="28"/>
  <c r="BA13" i="28" l="1"/>
  <c r="BA12" i="28"/>
  <c r="BX13" i="28" l="1"/>
  <c r="BG99" i="28"/>
  <c r="BB13" i="28" l="1"/>
  <c r="BB12" i="28"/>
  <c r="BY13" i="28"/>
  <c r="BZ13" i="28"/>
  <c r="BH99" i="28" l="1"/>
  <c r="BC13" i="28" l="1"/>
  <c r="BC12" i="28"/>
  <c r="CA13" i="28"/>
  <c r="BH20" i="28"/>
  <c r="CB13" i="28" l="1"/>
  <c r="BH21" i="28"/>
  <c r="BI99" i="28"/>
  <c r="BD12" i="28" l="1"/>
  <c r="BI20" i="28"/>
  <c r="BD13" i="28" l="1"/>
  <c r="BJ99" i="28"/>
  <c r="BI21" i="28"/>
  <c r="BE13" i="28" l="1"/>
  <c r="BE12" i="28"/>
  <c r="BJ20" i="28"/>
  <c r="BJ21" i="28" l="1"/>
  <c r="BK99" i="28"/>
  <c r="BF12" i="28" l="1"/>
  <c r="BK20" i="28"/>
  <c r="BF13" i="28" l="1"/>
  <c r="BK21" i="28"/>
  <c r="BL20" i="28"/>
  <c r="BL99" i="28"/>
  <c r="BG12" i="28" l="1"/>
  <c r="BL21" i="28"/>
  <c r="BG13" i="28" l="1"/>
  <c r="BM99" i="28"/>
  <c r="BM20" i="28"/>
  <c r="BH13" i="28" l="1"/>
  <c r="BH12" i="28"/>
  <c r="BM21" i="28"/>
  <c r="BN20" i="28" l="1"/>
  <c r="BI12" i="28" l="1"/>
  <c r="BI13" i="28" l="1"/>
  <c r="BJ13" i="28" l="1"/>
  <c r="BJ12" i="28"/>
  <c r="BK12" i="28" l="1"/>
  <c r="BK13" i="28" l="1"/>
  <c r="BL13" i="28" l="1"/>
  <c r="BL12" i="28"/>
  <c r="BM13" i="28" l="1"/>
  <c r="BM12" i="28"/>
  <c r="BN13" i="28" l="1"/>
  <c r="BN12" i="28"/>
  <c r="BO12" i="28" l="1"/>
  <c r="BP12" i="28" l="1"/>
  <c r="BO15" i="28"/>
  <c r="R99" i="28"/>
  <c r="T99" i="28"/>
  <c r="S99" i="28"/>
  <c r="BO16" i="28" l="1"/>
  <c r="BQ12" i="28" l="1"/>
  <c r="BP15" i="28" l="1"/>
  <c r="BP16" i="28"/>
  <c r="BQ15" i="28" l="1"/>
  <c r="BR12" i="28"/>
  <c r="BQ16" i="28" l="1"/>
  <c r="BS12" i="28" l="1"/>
  <c r="BR15" i="28"/>
  <c r="BR16" i="28" l="1"/>
  <c r="BS15" i="28" l="1"/>
  <c r="BT12" i="28"/>
  <c r="BO17" i="28"/>
  <c r="BT15" i="28" l="1"/>
  <c r="BS16" i="28"/>
  <c r="BP17" i="28"/>
  <c r="BU12" i="28" l="1"/>
  <c r="BT16" i="28" l="1"/>
  <c r="BU15" i="28" l="1"/>
  <c r="BV12" i="28"/>
  <c r="BU16" i="28" l="1"/>
  <c r="BV16" i="28" l="1"/>
  <c r="BW12" i="28"/>
  <c r="BV15" i="28"/>
  <c r="BW15" i="28" l="1"/>
  <c r="BX12" i="28"/>
  <c r="BX15" i="28" l="1"/>
  <c r="BW16" i="28"/>
  <c r="BX16" i="28" l="1"/>
  <c r="BY12" i="28"/>
  <c r="BY15" i="28" l="1"/>
  <c r="BZ12" i="28"/>
  <c r="BY16" i="28" l="1"/>
  <c r="BZ15" i="28"/>
  <c r="CA12" i="28" l="1"/>
  <c r="BZ16" i="28" l="1"/>
  <c r="CA15" i="28"/>
  <c r="CB12" i="28" l="1"/>
  <c r="CA16" i="28"/>
  <c r="CB15" i="28" l="1"/>
  <c r="CB16" i="28"/>
  <c r="BQ17" i="28" l="1"/>
  <c r="BR17" i="28" l="1"/>
  <c r="BS17" i="28" l="1"/>
  <c r="BT17" i="28" l="1"/>
  <c r="BU17" i="28" l="1"/>
  <c r="BV17" i="28" l="1"/>
  <c r="BW17" i="28" l="1"/>
  <c r="BX17" i="28" l="1"/>
  <c r="BY17" i="28" l="1"/>
  <c r="BZ17" i="28" l="1"/>
  <c r="CA17" i="28" l="1"/>
  <c r="CB17" i="28" l="1"/>
  <c r="BN99" i="28" l="1"/>
  <c r="BO20" i="28" l="1"/>
  <c r="BP20" i="28"/>
  <c r="BQ20" i="28"/>
  <c r="BR20" i="28"/>
  <c r="BS20" i="28"/>
  <c r="BT20" i="28"/>
  <c r="BU20" i="28"/>
  <c r="BV20" i="28"/>
  <c r="BW20" i="28"/>
  <c r="BX20" i="28"/>
  <c r="BY20" i="28"/>
  <c r="BZ20" i="28"/>
  <c r="CA20" i="28"/>
  <c r="CB20" i="28"/>
  <c r="BN21" i="28"/>
  <c r="BO21" i="28"/>
  <c r="BP21" i="28"/>
  <c r="BQ21" i="28"/>
  <c r="BR21" i="28"/>
  <c r="BS21" i="28"/>
  <c r="BT21" i="28"/>
  <c r="BU21" i="28"/>
  <c r="BV21" i="28"/>
  <c r="BW21" i="28"/>
  <c r="BX21" i="28"/>
  <c r="BY21" i="28"/>
  <c r="BZ21" i="28"/>
  <c r="CA21" i="28"/>
  <c r="CB21" i="28"/>
  <c r="BQ23" i="28" l="1"/>
  <c r="BR23" i="28" l="1"/>
  <c r="BS23" i="28" l="1"/>
  <c r="BT23" i="28" l="1"/>
  <c r="BU23" i="28" l="1"/>
  <c r="BV23" i="28" l="1"/>
  <c r="BW23" i="28" l="1"/>
  <c r="BX23" i="28" l="1"/>
  <c r="BY23" i="28" l="1"/>
  <c r="BZ23" i="28" l="1"/>
  <c r="CA23" i="28" l="1"/>
  <c r="CB23" i="28" l="1"/>
  <c r="BO99" i="28" l="1"/>
  <c r="U99" i="28" l="1"/>
  <c r="BP99" i="28"/>
  <c r="BQ99" i="28" l="1"/>
  <c r="BU99" i="28" l="1"/>
  <c r="BX99" i="28"/>
  <c r="BY99" i="28"/>
  <c r="BZ99" i="28"/>
  <c r="CA99" i="28"/>
  <c r="V99" i="28"/>
  <c r="BS99" i="28"/>
  <c r="BT99" i="28"/>
  <c r="BV99" i="28"/>
  <c r="BW99" i="28"/>
  <c r="BR99" i="28" l="1"/>
  <c r="CB99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Nikolay Vasilyev</author>
  </authors>
  <commentList>
    <comment ref="AS45" authorId="0" shapeId="0" xr:uid="{BAE304D2-1B53-438B-89D3-F29F5F513AA4}">
      <text>
        <r>
          <rPr>
            <b/>
            <sz val="9"/>
            <color indexed="81"/>
            <rFont val="Tahoma"/>
            <family val="2"/>
          </rPr>
          <t>Nikolay Vasilyev:</t>
        </r>
        <r>
          <rPr>
            <sz val="9"/>
            <color indexed="81"/>
            <rFont val="Tahoma"/>
            <family val="2"/>
          </rPr>
          <t xml:space="preserve">
64,128</t>
        </r>
      </text>
    </comment>
    <comment ref="AY45" authorId="0" shapeId="0" xr:uid="{1E352662-913B-4A73-9AEC-98865077979F}">
      <text>
        <r>
          <rPr>
            <b/>
            <sz val="9"/>
            <color indexed="81"/>
            <rFont val="Tahoma"/>
            <family val="2"/>
          </rPr>
          <t>Nikolay Vasilyev:</t>
        </r>
        <r>
          <rPr>
            <sz val="9"/>
            <color indexed="81"/>
            <rFont val="Tahoma"/>
            <family val="2"/>
          </rPr>
          <t xml:space="preserve">
68,028</t>
        </r>
      </text>
    </comment>
    <comment ref="AZ45" authorId="0" shapeId="0" xr:uid="{60BCBA5B-7E5A-446F-815F-3B5A79365902}">
      <text>
        <r>
          <rPr>
            <b/>
            <sz val="9"/>
            <color indexed="81"/>
            <rFont val="Tahoma"/>
            <family val="2"/>
          </rPr>
          <t>Nikolay Vasilyev:</t>
        </r>
        <r>
          <rPr>
            <sz val="9"/>
            <color indexed="81"/>
            <rFont val="Tahoma"/>
            <family val="2"/>
          </rPr>
          <t xml:space="preserve">
54,606</t>
        </r>
      </text>
    </comment>
    <comment ref="BA45" authorId="0" shapeId="0" xr:uid="{87E336BB-0B3A-42B5-A6BC-A369FEBDEFAB}">
      <text>
        <r>
          <rPr>
            <b/>
            <sz val="9"/>
            <color indexed="81"/>
            <rFont val="Tahoma"/>
            <family val="2"/>
          </rPr>
          <t>Nikolay Vasilyev:</t>
        </r>
        <r>
          <rPr>
            <sz val="9"/>
            <color indexed="81"/>
            <rFont val="Tahoma"/>
            <family val="2"/>
          </rPr>
          <t xml:space="preserve">
99,972</t>
        </r>
      </text>
    </comment>
    <comment ref="BB45" authorId="0" shapeId="0" xr:uid="{43BF1811-872C-4D7E-8FE5-6ABCE3890058}">
      <text>
        <r>
          <rPr>
            <b/>
            <sz val="9"/>
            <color indexed="81"/>
            <rFont val="Tahoma"/>
            <family val="2"/>
          </rPr>
          <t>Nikolay Vasilyev:</t>
        </r>
        <r>
          <rPr>
            <sz val="9"/>
            <color indexed="81"/>
            <rFont val="Tahoma"/>
            <family val="2"/>
          </rPr>
          <t xml:space="preserve">
143,556</t>
        </r>
      </text>
    </comment>
    <comment ref="BD45" authorId="0" shapeId="0" xr:uid="{856FF678-4B8C-4B62-910F-FA5538D5065C}">
      <text>
        <r>
          <rPr>
            <b/>
            <sz val="9"/>
            <color indexed="81"/>
            <rFont val="Tahoma"/>
            <family val="2"/>
          </rPr>
          <t>Nikolay Vasilyev:</t>
        </r>
        <r>
          <rPr>
            <sz val="9"/>
            <color indexed="81"/>
            <rFont val="Tahoma"/>
            <family val="2"/>
          </rPr>
          <t xml:space="preserve">
326,464</t>
        </r>
      </text>
    </comment>
  </commentList>
</comments>
</file>

<file path=xl/sharedStrings.xml><?xml version="1.0" encoding="utf-8"?>
<sst xmlns="http://schemas.openxmlformats.org/spreadsheetml/2006/main" count="264" uniqueCount="131">
  <si>
    <t>SAR</t>
  </si>
  <si>
    <t>%</t>
  </si>
  <si>
    <t>#</t>
  </si>
  <si>
    <t># days</t>
  </si>
  <si>
    <t>BoP</t>
  </si>
  <si>
    <t>Assumptions</t>
  </si>
  <si>
    <t>EoP</t>
  </si>
  <si>
    <t>Units</t>
  </si>
  <si>
    <t>Year</t>
  </si>
  <si>
    <t>Outputs</t>
  </si>
  <si>
    <t>AE monthly productivity</t>
  </si>
  <si>
    <t>AEs Headcount</t>
  </si>
  <si>
    <t>New SMEs / AE</t>
  </si>
  <si>
    <t>Number of SME customers</t>
  </si>
  <si>
    <t>Monthly active SMEs</t>
  </si>
  <si>
    <t>Credit book balance on the balance sheet</t>
  </si>
  <si>
    <t>Revenue growth</t>
  </si>
  <si>
    <t>Gross profit margin</t>
  </si>
  <si>
    <t>EBITDA margin</t>
  </si>
  <si>
    <t>Debt to equity ratio</t>
  </si>
  <si>
    <t>x</t>
  </si>
  <si>
    <t>Income Statement</t>
  </si>
  <si>
    <t>Sales of materials (incl. VAT)</t>
  </si>
  <si>
    <t>Origination fee</t>
  </si>
  <si>
    <t>Monthly yield</t>
  </si>
  <si>
    <t>Consultation income</t>
  </si>
  <si>
    <t>Purchase discounts</t>
  </si>
  <si>
    <t>Revenue</t>
  </si>
  <si>
    <t>(-) Cost of sales</t>
  </si>
  <si>
    <t>SARmn</t>
  </si>
  <si>
    <t>(-) Provisions for credit losses</t>
  </si>
  <si>
    <t>(-) Existing financing expenses</t>
  </si>
  <si>
    <t>(-) SIC financing expenses</t>
  </si>
  <si>
    <t>(-) VD generic facility financing expenses</t>
  </si>
  <si>
    <t>(-) Stride facility financing expenses</t>
  </si>
  <si>
    <t>Gross profit</t>
  </si>
  <si>
    <t xml:space="preserve">Gross profit margin </t>
  </si>
  <si>
    <t xml:space="preserve">(-) General and Administrative </t>
  </si>
  <si>
    <t>(-) Selling Expenses</t>
  </si>
  <si>
    <t>(-) Legal &amp; Consultation Expenses</t>
  </si>
  <si>
    <t>(-) Personnel Expenses</t>
  </si>
  <si>
    <t>EBITDA</t>
  </si>
  <si>
    <t xml:space="preserve">EBITDA margin </t>
  </si>
  <si>
    <t>(-) Depreciation</t>
  </si>
  <si>
    <t>(-) Other non-recurring operating income/(expenses)</t>
  </si>
  <si>
    <t>Operating profit</t>
  </si>
  <si>
    <t xml:space="preserve">Operating profit margin </t>
  </si>
  <si>
    <t>(-) Taxes</t>
  </si>
  <si>
    <t>Net income</t>
  </si>
  <si>
    <t>Net income margin</t>
  </si>
  <si>
    <t>Balance Sheet</t>
  </si>
  <si>
    <t>Assets</t>
  </si>
  <si>
    <t>Cash and cash equivalents</t>
  </si>
  <si>
    <t>Accrued revenue</t>
  </si>
  <si>
    <t>Credit book balance, net of charge offs</t>
  </si>
  <si>
    <t>Prepaid expenses &amp; other recievables</t>
  </si>
  <si>
    <t>Fixed and intangible assets</t>
  </si>
  <si>
    <t>Other non-current assets</t>
  </si>
  <si>
    <t>Total assets</t>
  </si>
  <si>
    <t>Liabilities</t>
  </si>
  <si>
    <t>Other payables and accruals</t>
  </si>
  <si>
    <t>Other liabilities</t>
  </si>
  <si>
    <t>Related-party loan</t>
  </si>
  <si>
    <t>Total liabilities</t>
  </si>
  <si>
    <t>Equity</t>
  </si>
  <si>
    <t>Equity financing</t>
  </si>
  <si>
    <t>Contribution from owners</t>
  </si>
  <si>
    <t>Statutory reserve</t>
  </si>
  <si>
    <t>Profit &amp; loss for the period</t>
  </si>
  <si>
    <t>Retained earnings/(accumulated losses)</t>
  </si>
  <si>
    <t>Total equity</t>
  </si>
  <si>
    <t>Total liabilities + equity</t>
  </si>
  <si>
    <t xml:space="preserve">Check </t>
  </si>
  <si>
    <t>Cash Flow Statement</t>
  </si>
  <si>
    <t>Adjustments for non-cash items</t>
  </si>
  <si>
    <t>(+) Depreciation</t>
  </si>
  <si>
    <t>(-) Revenue booked</t>
  </si>
  <si>
    <t>(+) Revenue collected</t>
  </si>
  <si>
    <t>(+) Accrued interest</t>
  </si>
  <si>
    <t>(+) Provisions for credit losses</t>
  </si>
  <si>
    <t>Changes in Operating Assets and Liabilities:</t>
  </si>
  <si>
    <t>Changes in prepaid expenses &amp; other receivables</t>
  </si>
  <si>
    <t>Changes in other payables and accruals</t>
  </si>
  <si>
    <t>Credit granted</t>
  </si>
  <si>
    <t>Credit collected</t>
  </si>
  <si>
    <t>Cash flows from operations</t>
  </si>
  <si>
    <t>Capital expenditure</t>
  </si>
  <si>
    <t>Cash flow from investing</t>
  </si>
  <si>
    <t>Existing debt repayment</t>
  </si>
  <si>
    <t>SIC debt draw down</t>
  </si>
  <si>
    <t>SIC repayment</t>
  </si>
  <si>
    <t>VD generic facility draw down</t>
  </si>
  <si>
    <t>VD generic facility repayment</t>
  </si>
  <si>
    <t>SPV generic facility draw down</t>
  </si>
  <si>
    <t>SPV generic facility repayment</t>
  </si>
  <si>
    <t>Net change in from share issuances</t>
  </si>
  <si>
    <t>Net change in related party loan</t>
  </si>
  <si>
    <t>Cash flow from financing</t>
  </si>
  <si>
    <t>Net cash flow from the period</t>
  </si>
  <si>
    <t>(+) Beginning Cash Balance</t>
  </si>
  <si>
    <t>(=) Ending Cash Balance</t>
  </si>
  <si>
    <t>STV</t>
  </si>
  <si>
    <t>Al Raedah</t>
  </si>
  <si>
    <t>Venture debt facility</t>
  </si>
  <si>
    <t>Total</t>
  </si>
  <si>
    <t>AEs Quotas (Principal)</t>
  </si>
  <si>
    <t>Ahmed Salman</t>
  </si>
  <si>
    <t>Luqman Yasin</t>
  </si>
  <si>
    <t>Abdullah Alhabib</t>
  </si>
  <si>
    <t>Abdullah Dawood</t>
  </si>
  <si>
    <t>Salman Al-Harbi (LEFT)</t>
  </si>
  <si>
    <t>Muhammed Abdulalim Qayid Saeed</t>
  </si>
  <si>
    <t>Account Executive 1</t>
  </si>
  <si>
    <t>Account Executive 2</t>
  </si>
  <si>
    <t>Account Executive 3</t>
  </si>
  <si>
    <t>Account Executive 4</t>
  </si>
  <si>
    <t>Equity cash reserve account</t>
  </si>
  <si>
    <t>Arbah</t>
  </si>
  <si>
    <t>SIC</t>
  </si>
  <si>
    <t>Junior debt</t>
  </si>
  <si>
    <t>Equity reserve account [debt LTV]</t>
  </si>
  <si>
    <t>Equity reserve account [equity burn]</t>
  </si>
  <si>
    <t>(-) Add-on debt generic facility financing expenses</t>
  </si>
  <si>
    <t>NPLs</t>
  </si>
  <si>
    <t>SPV facility</t>
  </si>
  <si>
    <t>Mezz facility</t>
  </si>
  <si>
    <t>Mezz facility draw down</t>
  </si>
  <si>
    <t xml:space="preserve">Allowance for Provisions </t>
  </si>
  <si>
    <t>n/a</t>
  </si>
  <si>
    <t>[Empty] facility draw down</t>
  </si>
  <si>
    <t>[Empty] facility repayment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</si>
</sst>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5" formatCode="0.0%"/>
    <numFmt numFmtId="169" formatCode="##,##0.0_);\(##,##0.0\);\-\-"/>
    <numFmt numFmtId="170" formatCode="##,##0_);\(##,##0\);\-\-"/>
    <numFmt numFmtId="171" formatCode="##,##0.0%_);\(##,##0.0%\);\-\-"/>
    <numFmt numFmtId="176" formatCode="##,##0.0\x_);\(##,##0.0\x\);\-\-"/>
    <numFmt numFmtId="178" formatCode="#,##0.0"/>
    <numFmt numFmtId="183" formatCode="#,##0_);\(#,##0\);\-_);@_)"/>
  </numFmts>
  <fonts count="26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rgb="FF0000FF"/>
      <name val="Arial"/>
      <family val="2"/>
    </font>
    <font>
      <sz val="8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b/>
      <sz val="8"/>
      <name val="Arial"/>
      <family val="2"/>
    </font>
    <font>
      <i/>
      <sz val="8"/>
      <color theme="0"/>
      <name val="Arial"/>
      <family val="2"/>
    </font>
    <font>
      <b/>
      <u/>
      <sz val="8"/>
      <color theme="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b/>
      <sz val="8"/>
      <color rgb="FF0000FF"/>
      <name val="Arial"/>
      <family val="2"/>
    </font>
    <font>
      <sz val="8"/>
      <color rgb="FFC00000"/>
      <name val="Arial"/>
      <family val="2"/>
    </font>
    <font>
      <sz val="8"/>
      <color rgb="FF388600"/>
      <name val="Arial"/>
      <family val="2"/>
    </font>
    <font>
      <u/>
      <sz val="8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B050"/>
      <name val="Arial"/>
      <family val="2"/>
    </font>
    <font>
      <sz val="11"/>
      <name val="Aptos Narrow"/>
      <family val="2"/>
    </font>
    <font>
      <b/>
      <sz val="8"/>
      <color theme="0"/>
      <name val="Arial"/>
      <family val="2"/>
      <charset val="238"/>
    </font>
    <font>
      <sz val="12"/>
      <color rgb="FF000000"/>
      <name val="Calibri"/>
      <family val="2"/>
      <charset val="238"/>
    </font>
    <font>
      <sz val="8"/>
      <color theme="1"/>
      <name val="Arial"/>
      <family val="2"/>
      <charset val="238"/>
    </font>
    <font>
      <sz val="10"/>
      <name val="Arial"/>
      <family val="2"/>
    </font>
    <font>
      <sz val="11"/>
      <name val="Aptos Narrow"/>
      <family val="2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9">
    <xf numFmtId="0" fontId="0" fillId="0" borderId="0"/>
    <xf numFmtId="9" fontId="10" fillId="0" borderId="0" applyFont="0" applyFill="0" applyBorder="0" applyAlignment="0" applyProtection="0"/>
    <xf numFmtId="0" fontId="19" fillId="0" borderId="0"/>
    <xf numFmtId="0" fontId="20" fillId="3" borderId="4">
      <alignment horizontal="left"/>
    </xf>
    <xf numFmtId="0" fontId="21" fillId="0" borderId="0"/>
    <xf numFmtId="183" fontId="22" fillId="0" borderId="5">
      <alignment horizontal="right"/>
    </xf>
    <xf numFmtId="0" fontId="23" fillId="0" borderId="0"/>
    <xf numFmtId="0" fontId="24" fillId="0" borderId="0"/>
    <xf numFmtId="0" fontId="25" fillId="0" borderId="0"/>
  </cellStyleXfs>
  <cellXfs count="64">
    <xf numFmtId="0" fontId="0" fillId="0" borderId="0" xfId="0"/>
    <xf numFmtId="0" fontId="1" fillId="0" borderId="0" xfId="0" applyFont="1"/>
    <xf numFmtId="0" fontId="2" fillId="0" borderId="0" xfId="0" applyFont="1"/>
    <xf numFmtId="0" fontId="4" fillId="3" borderId="0" xfId="0" applyFont="1" applyFill="1"/>
    <xf numFmtId="17" fontId="4" fillId="3" borderId="0" xfId="0" applyNumberFormat="1" applyFont="1" applyFill="1"/>
    <xf numFmtId="17" fontId="7" fillId="3" borderId="0" xfId="0" applyNumberFormat="1" applyFont="1" applyFill="1"/>
    <xf numFmtId="17" fontId="8" fillId="3" borderId="0" xfId="0" applyNumberFormat="1" applyFont="1" applyFill="1"/>
    <xf numFmtId="0" fontId="5" fillId="3" borderId="0" xfId="0" applyFont="1" applyFill="1"/>
    <xf numFmtId="3" fontId="4" fillId="3" borderId="0" xfId="0" applyNumberFormat="1" applyFont="1" applyFill="1"/>
    <xf numFmtId="16" fontId="5" fillId="3" borderId="0" xfId="0" applyNumberFormat="1" applyFont="1" applyFill="1" applyAlignment="1">
      <alignment horizontal="right"/>
    </xf>
    <xf numFmtId="0" fontId="5" fillId="3" borderId="2" xfId="0" applyFont="1" applyFill="1" applyBorder="1" applyAlignment="1">
      <alignment horizontal="centerContinuous" vertical="center"/>
    </xf>
    <xf numFmtId="0" fontId="5" fillId="3" borderId="2" xfId="0" applyFont="1" applyFill="1" applyBorder="1" applyAlignment="1">
      <alignment horizontal="centerContinuous"/>
    </xf>
    <xf numFmtId="0" fontId="5" fillId="3" borderId="0" xfId="0" applyFont="1" applyFill="1" applyAlignment="1">
      <alignment horizontal="center"/>
    </xf>
    <xf numFmtId="0" fontId="9" fillId="3" borderId="0" xfId="0" applyFont="1" applyFill="1"/>
    <xf numFmtId="0" fontId="6" fillId="3" borderId="0" xfId="0" applyFont="1" applyFill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1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5" borderId="0" xfId="0" applyFont="1" applyFill="1"/>
    <xf numFmtId="0" fontId="6" fillId="5" borderId="0" xfId="0" applyFont="1" applyFill="1"/>
    <xf numFmtId="169" fontId="1" fillId="0" borderId="0" xfId="0" applyNumberFormat="1" applyFont="1"/>
    <xf numFmtId="170" fontId="2" fillId="2" borderId="1" xfId="0" applyNumberFormat="1" applyFont="1" applyFill="1" applyBorder="1"/>
    <xf numFmtId="170" fontId="1" fillId="0" borderId="0" xfId="0" applyNumberFormat="1" applyFont="1"/>
    <xf numFmtId="0" fontId="11" fillId="0" borderId="0" xfId="0" applyFont="1" applyAlignment="1">
      <alignment horizontal="center"/>
    </xf>
    <xf numFmtId="165" fontId="1" fillId="0" borderId="0" xfId="1" applyNumberFormat="1" applyFont="1"/>
    <xf numFmtId="3" fontId="1" fillId="0" borderId="0" xfId="0" applyNumberFormat="1" applyFont="1"/>
    <xf numFmtId="170" fontId="3" fillId="4" borderId="0" xfId="0" applyNumberFormat="1" applyFont="1" applyFill="1"/>
    <xf numFmtId="170" fontId="3" fillId="0" borderId="0" xfId="0" applyNumberFormat="1" applyFont="1"/>
    <xf numFmtId="170" fontId="1" fillId="0" borderId="0" xfId="0" applyNumberFormat="1" applyFont="1" applyAlignment="1">
      <alignment horizontal="right"/>
    </xf>
    <xf numFmtId="170" fontId="4" fillId="0" borderId="0" xfId="0" applyNumberFormat="1" applyFont="1" applyAlignment="1">
      <alignment horizontal="right"/>
    </xf>
    <xf numFmtId="171" fontId="11" fillId="0" borderId="0" xfId="0" applyNumberFormat="1" applyFont="1" applyAlignment="1">
      <alignment horizontal="right"/>
    </xf>
    <xf numFmtId="170" fontId="11" fillId="0" borderId="0" xfId="0" applyNumberFormat="1" applyFont="1" applyAlignment="1">
      <alignment horizontal="right"/>
    </xf>
    <xf numFmtId="170" fontId="3" fillId="0" borderId="0" xfId="0" applyNumberFormat="1" applyFont="1" applyAlignment="1">
      <alignment horizontal="right"/>
    </xf>
    <xf numFmtId="170" fontId="11" fillId="0" borderId="0" xfId="0" applyNumberFormat="1" applyFont="1"/>
    <xf numFmtId="170" fontId="12" fillId="2" borderId="1" xfId="0" applyNumberFormat="1" applyFont="1" applyFill="1" applyBorder="1"/>
    <xf numFmtId="170" fontId="2" fillId="0" borderId="0" xfId="0" applyNumberFormat="1" applyFont="1"/>
    <xf numFmtId="170" fontId="1" fillId="4" borderId="0" xfId="0" applyNumberFormat="1" applyFont="1" applyFill="1"/>
    <xf numFmtId="0" fontId="15" fillId="0" borderId="0" xfId="0" applyFont="1"/>
    <xf numFmtId="170" fontId="2" fillId="2" borderId="0" xfId="0" applyNumberFormat="1" applyFont="1" applyFill="1"/>
    <xf numFmtId="170" fontId="1" fillId="2" borderId="1" xfId="0" applyNumberFormat="1" applyFont="1" applyFill="1" applyBorder="1"/>
    <xf numFmtId="170" fontId="14" fillId="0" borderId="0" xfId="0" applyNumberFormat="1" applyFont="1"/>
    <xf numFmtId="171" fontId="1" fillId="0" borderId="0" xfId="0" applyNumberFormat="1" applyFont="1"/>
    <xf numFmtId="170" fontId="14" fillId="0" borderId="0" xfId="0" applyNumberFormat="1" applyFont="1" applyAlignment="1">
      <alignment horizontal="right"/>
    </xf>
    <xf numFmtId="0" fontId="2" fillId="2" borderId="3" xfId="0" applyFont="1" applyFill="1" applyBorder="1"/>
    <xf numFmtId="170" fontId="2" fillId="2" borderId="3" xfId="0" applyNumberFormat="1" applyFont="1" applyFill="1" applyBorder="1"/>
    <xf numFmtId="170" fontId="13" fillId="0" borderId="0" xfId="0" applyNumberFormat="1" applyFont="1"/>
    <xf numFmtId="9" fontId="1" fillId="0" borderId="0" xfId="1" applyFont="1"/>
    <xf numFmtId="176" fontId="1" fillId="0" borderId="0" xfId="0" applyNumberFormat="1" applyFont="1" applyAlignment="1">
      <alignment horizontal="right"/>
    </xf>
    <xf numFmtId="9" fontId="1" fillId="0" borderId="0" xfId="1" applyFont="1" applyAlignment="1">
      <alignment horizontal="right"/>
    </xf>
    <xf numFmtId="178" fontId="1" fillId="0" borderId="0" xfId="0" applyNumberFormat="1" applyFont="1"/>
    <xf numFmtId="0" fontId="1" fillId="4" borderId="6" xfId="0" applyFont="1" applyFill="1" applyBorder="1"/>
    <xf numFmtId="0" fontId="1" fillId="4" borderId="7" xfId="0" applyFont="1" applyFill="1" applyBorder="1"/>
    <xf numFmtId="0" fontId="1" fillId="4" borderId="8" xfId="0" applyFont="1" applyFill="1" applyBorder="1"/>
    <xf numFmtId="0" fontId="2" fillId="5" borderId="0" xfId="0" applyFont="1" applyFill="1" applyAlignment="1">
      <alignment horizontal="right"/>
    </xf>
    <xf numFmtId="0" fontId="2" fillId="5" borderId="0" xfId="0" applyFont="1" applyFill="1"/>
    <xf numFmtId="170" fontId="18" fillId="4" borderId="0" xfId="0" applyNumberFormat="1" applyFont="1" applyFill="1"/>
    <xf numFmtId="170" fontId="1" fillId="5" borderId="0" xfId="0" applyNumberFormat="1" applyFont="1" applyFill="1"/>
    <xf numFmtId="3" fontId="1" fillId="5" borderId="0" xfId="0" applyNumberFormat="1" applyFont="1" applyFill="1"/>
  </cellXfs>
  <cellStyles count="9">
    <cellStyle name="Formula_-_Value" xfId="5" xr:uid="{36007F57-D33B-43BC-8A5B-3D6D28DC84D2}"/>
    <cellStyle name="Header_1" xfId="3" xr:uid="{6319C80A-1F80-4ED5-8D84-70A1754B413D}"/>
    <cellStyle name="Normal" xfId="0" builtinId="0"/>
    <cellStyle name="Normal 2" xfId="2" xr:uid="{BF094205-8663-4E92-99C4-BFB43575F7C4}"/>
    <cellStyle name="Normal 3" xfId="6" xr:uid="{6A916E81-2575-4756-BAB5-5043B0C0EBE4}"/>
    <cellStyle name="Normal 4" xfId="4" xr:uid="{8B6679F9-68BB-4563-849F-7D3CB58014BB}"/>
    <cellStyle name="Normal 5" xfId="7" xr:uid="{92E5C693-D9A1-45E4-AAF3-C7DC5FF544E9}"/>
    <cellStyle name="Normal 6" xfId="8" xr:uid="{D45AC498-B751-49F0-892D-8AD6C81F2D2E}"/>
    <cellStyle name="Per cent" xfId="1" builtinId="5"/>
  </cellStyles>
  <dxfs count="0"/>
  <tableStyles count="0" defaultTableStyle="TableStyleMedium2" defaultPivotStyle="PivotStyleLight16"/>
  <colors>
    <mruColors>
      <color rgb="FF0000FF"/>
      <color rgb="FFFFFFCC"/>
      <color rgb="FF38860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Financial%20model/12.2025%20-%20BuildNow%20Financial%20Model%20-%20v239.xlsm" TargetMode="External"/><Relationship Id="rId2" Type="http://schemas.openxmlformats.org/officeDocument/2006/relationships/externalLinkPath" Target="https://bildnw.sharepoint.com/sites/InvestorDataRoom/Shared%20Documents/Financial%20model/12.2025%20-%20BuildNow%20Financial%20Model%20-%20v239.xlsm" TargetMode="External"/><Relationship Id="rId1" Type="http://schemas.openxmlformats.org/officeDocument/2006/relationships/externalLinkPath" Target="/sites/InvestorDataRoom/Shared%20Documents/Financial%20model/12.2025%20-%20BuildNow%20Financial%20Model%20-%20v23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Ass"/>
      <sheetName val="Sheet1"/>
      <sheetName val="TS_Ass"/>
      <sheetName val="SAR_Fin_S_Scenarios"/>
      <sheetName val="SAR_Fin_S_D_Scenarios"/>
      <sheetName val="SAR_Fin_S"/>
      <sheetName val="Cash_Waterfall"/>
      <sheetName val="Credit"/>
      <sheetName val="Product_Core"/>
      <sheetName val="Product_B"/>
      <sheetName val="Expenses"/>
      <sheetName val="Sales_S"/>
      <sheetName val="FTE_Planning"/>
      <sheetName val="Salaries"/>
      <sheetName val="Cases_Sales"/>
      <sheetName val="USD_Fin_S"/>
      <sheetName val="Product_New"/>
      <sheetName val="Analysis&gt;&gt;&gt;"/>
      <sheetName val="Deals"/>
      <sheetName val="Payments"/>
      <sheetName val="GMV_hist"/>
      <sheetName val="GMV_forec"/>
    </sheetNames>
    <sheetDataSet>
      <sheetData sheetId="0">
        <row r="7">
          <cell r="L7" t="str">
            <v>Downside case</v>
          </cell>
          <cell r="M7" t="str">
            <v>Base case</v>
          </cell>
          <cell r="N7" t="str">
            <v>Upside case</v>
          </cell>
          <cell r="O7" t="str">
            <v>Merak</v>
          </cell>
          <cell r="P7" t="str">
            <v>Shorooq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513DE-A57D-45F6-97E5-53A70B03CFAA}">
  <sheetPr codeName="Sheet9">
    <tabColor rgb="FF92D050"/>
    <outlinePr showOutlineSymbols="0"/>
  </sheetPr>
  <dimension ref="A1:CB494"/>
  <sheetViews>
    <sheetView showGridLines="0" tabSelected="1" showOutlineSymbols="0" zoomScale="76" zoomScaleNormal="85" workbookViewId="0">
      <pane xSplit="15" ySplit="5" topLeftCell="P25" activePane="bottomRight" state="frozen"/>
      <selection pane="topRight" activeCell="S36" sqref="S36"/>
      <selection pane="bottomLeft" activeCell="S36" sqref="S36"/>
      <selection pane="bottomRight" activeCell="U49" sqref="U49"/>
    </sheetView>
  </sheetViews>
  <sheetFormatPr defaultColWidth="9" defaultRowHeight="10.35" customHeight="1" zeroHeight="1" outlineLevelRow="1" outlineLevelCol="3" x14ac:dyDescent="0.3"/>
  <cols>
    <col min="1" max="1" width="2.73046875" style="1" customWidth="1"/>
    <col min="2" max="6" width="1.73046875" style="1" customWidth="1"/>
    <col min="7" max="7" width="20.73046875" style="1" customWidth="1"/>
    <col min="8" max="8" width="5.73046875" style="1" customWidth="1"/>
    <col min="9" max="9" width="9" style="1" customWidth="1"/>
    <col min="10" max="14" width="9" style="1" hidden="1" customWidth="1" outlineLevel="3"/>
    <col min="15" max="15" width="9" style="1" hidden="1" customWidth="1" outlineLevel="2"/>
    <col min="16" max="16" width="9" style="1" customWidth="1" collapsed="1"/>
    <col min="17" max="17" width="2.73046875" style="1" customWidth="1"/>
    <col min="18" max="21" width="10.73046875" style="1" customWidth="1" outlineLevel="1"/>
    <col min="22" max="22" width="10.73046875" style="1" customWidth="1"/>
    <col min="23" max="23" width="9" style="1" customWidth="1"/>
    <col min="24" max="24" width="10.73046875" style="1" customWidth="1"/>
    <col min="25" max="47" width="10.73046875" style="1" customWidth="1" outlineLevel="1"/>
    <col min="48" max="80" width="10.73046875" style="1" customWidth="1"/>
    <col min="81" max="16384" width="9" style="1"/>
  </cols>
  <sheetData>
    <row r="1" spans="1:80" ht="10.15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</row>
    <row r="2" spans="1:80" ht="10.15" x14ac:dyDescent="0.3">
      <c r="A2" s="3"/>
      <c r="B2" s="3"/>
      <c r="C2" s="4"/>
      <c r="D2" s="5"/>
      <c r="E2" s="5"/>
      <c r="F2" s="5"/>
      <c r="G2" s="3"/>
      <c r="H2" s="5"/>
      <c r="I2" s="7"/>
      <c r="J2" s="5"/>
      <c r="K2" s="5"/>
      <c r="L2" s="5"/>
      <c r="M2" s="5"/>
      <c r="N2" s="5"/>
      <c r="O2" s="6" t="s">
        <v>3</v>
      </c>
      <c r="P2" s="6"/>
      <c r="Q2" s="6"/>
      <c r="R2" s="6"/>
      <c r="S2" s="6"/>
      <c r="T2" s="6"/>
      <c r="U2" s="6"/>
      <c r="V2" s="6"/>
      <c r="W2" s="3"/>
      <c r="X2" s="7"/>
      <c r="Y2" s="7">
        <v>31</v>
      </c>
      <c r="Z2" s="7">
        <v>30</v>
      </c>
      <c r="AA2" s="7">
        <v>31</v>
      </c>
      <c r="AB2" s="7">
        <v>31</v>
      </c>
      <c r="AC2" s="7">
        <v>30</v>
      </c>
      <c r="AD2" s="7">
        <v>31</v>
      </c>
      <c r="AE2" s="7">
        <v>30</v>
      </c>
      <c r="AF2" s="7">
        <v>31</v>
      </c>
      <c r="AG2" s="7">
        <v>31</v>
      </c>
      <c r="AH2" s="7">
        <v>28</v>
      </c>
      <c r="AI2" s="7">
        <v>31</v>
      </c>
      <c r="AJ2" s="7">
        <v>30</v>
      </c>
      <c r="AK2" s="7">
        <v>31</v>
      </c>
      <c r="AL2" s="7">
        <v>30</v>
      </c>
      <c r="AM2" s="7">
        <v>31</v>
      </c>
      <c r="AN2" s="7">
        <v>31</v>
      </c>
      <c r="AO2" s="7">
        <v>30</v>
      </c>
      <c r="AP2" s="7">
        <v>31</v>
      </c>
      <c r="AQ2" s="7">
        <v>30</v>
      </c>
      <c r="AR2" s="7">
        <v>31</v>
      </c>
      <c r="AS2" s="7">
        <v>31</v>
      </c>
      <c r="AT2" s="7">
        <v>29</v>
      </c>
      <c r="AU2" s="7">
        <v>31</v>
      </c>
      <c r="AV2" s="7">
        <v>30</v>
      </c>
      <c r="AW2" s="7">
        <v>31</v>
      </c>
      <c r="AX2" s="7">
        <v>30</v>
      </c>
      <c r="AY2" s="7">
        <v>31</v>
      </c>
      <c r="AZ2" s="7">
        <v>31</v>
      </c>
      <c r="BA2" s="7">
        <v>30</v>
      </c>
      <c r="BB2" s="7">
        <v>31</v>
      </c>
      <c r="BC2" s="7">
        <v>30</v>
      </c>
      <c r="BD2" s="7">
        <v>31</v>
      </c>
      <c r="BE2" s="7">
        <v>31</v>
      </c>
      <c r="BF2" s="7">
        <v>28</v>
      </c>
      <c r="BG2" s="7">
        <v>31</v>
      </c>
      <c r="BH2" s="7">
        <v>30</v>
      </c>
      <c r="BI2" s="7">
        <v>31</v>
      </c>
      <c r="BJ2" s="7">
        <v>30</v>
      </c>
      <c r="BK2" s="7">
        <v>31</v>
      </c>
      <c r="BL2" s="7">
        <v>31</v>
      </c>
      <c r="BM2" s="7">
        <v>30</v>
      </c>
      <c r="BN2" s="7">
        <v>31</v>
      </c>
      <c r="BO2" s="7">
        <v>30</v>
      </c>
      <c r="BP2" s="7">
        <v>31</v>
      </c>
      <c r="BQ2" s="7">
        <v>31</v>
      </c>
      <c r="BR2" s="7">
        <v>28</v>
      </c>
      <c r="BS2" s="7">
        <v>31</v>
      </c>
      <c r="BT2" s="7">
        <v>30</v>
      </c>
      <c r="BU2" s="7">
        <v>31</v>
      </c>
      <c r="BV2" s="7">
        <v>30</v>
      </c>
      <c r="BW2" s="7">
        <v>31</v>
      </c>
      <c r="BX2" s="7">
        <v>31</v>
      </c>
      <c r="BY2" s="7">
        <v>30</v>
      </c>
      <c r="BZ2" s="7">
        <v>31</v>
      </c>
      <c r="CA2" s="7">
        <v>30</v>
      </c>
      <c r="CB2" s="7">
        <v>31</v>
      </c>
    </row>
    <row r="3" spans="1:80" ht="10.15" x14ac:dyDescent="0.3">
      <c r="A3" s="3"/>
      <c r="B3" s="3"/>
      <c r="C3" s="3"/>
      <c r="D3" s="8"/>
      <c r="E3" s="8"/>
      <c r="F3" s="8"/>
      <c r="G3" s="3"/>
      <c r="H3" s="8"/>
      <c r="I3" s="8"/>
      <c r="J3" s="8"/>
      <c r="K3" s="8"/>
      <c r="L3" s="8"/>
      <c r="M3" s="8"/>
      <c r="N3" s="8"/>
      <c r="O3" s="6" t="s">
        <v>4</v>
      </c>
      <c r="P3" s="6"/>
      <c r="Q3" s="3"/>
      <c r="R3" s="9">
        <v>44562</v>
      </c>
      <c r="S3" s="9">
        <v>44927</v>
      </c>
      <c r="T3" s="9">
        <v>45292</v>
      </c>
      <c r="U3" s="9">
        <v>45658</v>
      </c>
      <c r="V3" s="9">
        <v>46023</v>
      </c>
      <c r="W3" s="3"/>
      <c r="X3" s="9">
        <v>44652</v>
      </c>
      <c r="Y3" s="9">
        <v>44682</v>
      </c>
      <c r="Z3" s="9">
        <v>44713</v>
      </c>
      <c r="AA3" s="9">
        <v>44743</v>
      </c>
      <c r="AB3" s="9">
        <v>44774</v>
      </c>
      <c r="AC3" s="9">
        <v>44805</v>
      </c>
      <c r="AD3" s="9">
        <v>44835</v>
      </c>
      <c r="AE3" s="9">
        <v>44866</v>
      </c>
      <c r="AF3" s="9">
        <v>44896</v>
      </c>
      <c r="AG3" s="9">
        <v>44927</v>
      </c>
      <c r="AH3" s="9">
        <v>44958</v>
      </c>
      <c r="AI3" s="9">
        <v>44986</v>
      </c>
      <c r="AJ3" s="9">
        <v>45017</v>
      </c>
      <c r="AK3" s="9">
        <v>45047</v>
      </c>
      <c r="AL3" s="9">
        <v>45078</v>
      </c>
      <c r="AM3" s="9">
        <v>45108</v>
      </c>
      <c r="AN3" s="9">
        <v>45139</v>
      </c>
      <c r="AO3" s="9">
        <v>45170</v>
      </c>
      <c r="AP3" s="9">
        <v>45200</v>
      </c>
      <c r="AQ3" s="9">
        <v>45231</v>
      </c>
      <c r="AR3" s="9">
        <v>45261</v>
      </c>
      <c r="AS3" s="9">
        <v>45292</v>
      </c>
      <c r="AT3" s="9">
        <v>45323</v>
      </c>
      <c r="AU3" s="9">
        <v>45352</v>
      </c>
      <c r="AV3" s="9">
        <v>45383</v>
      </c>
      <c r="AW3" s="9">
        <v>45413</v>
      </c>
      <c r="AX3" s="9">
        <v>45444</v>
      </c>
      <c r="AY3" s="9">
        <v>45474</v>
      </c>
      <c r="AZ3" s="9">
        <v>45505</v>
      </c>
      <c r="BA3" s="9">
        <v>45536</v>
      </c>
      <c r="BB3" s="9">
        <v>45566</v>
      </c>
      <c r="BC3" s="9">
        <v>45597</v>
      </c>
      <c r="BD3" s="9">
        <v>45627</v>
      </c>
      <c r="BE3" s="9">
        <v>45658</v>
      </c>
      <c r="BF3" s="9">
        <v>45689</v>
      </c>
      <c r="BG3" s="9">
        <v>45717</v>
      </c>
      <c r="BH3" s="9">
        <v>45748</v>
      </c>
      <c r="BI3" s="9">
        <v>45778</v>
      </c>
      <c r="BJ3" s="9">
        <v>45809</v>
      </c>
      <c r="BK3" s="9">
        <v>45839</v>
      </c>
      <c r="BL3" s="9">
        <v>45870</v>
      </c>
      <c r="BM3" s="9">
        <v>45901</v>
      </c>
      <c r="BN3" s="9">
        <v>45931</v>
      </c>
      <c r="BO3" s="9">
        <v>45962</v>
      </c>
      <c r="BP3" s="9">
        <v>45992</v>
      </c>
      <c r="BQ3" s="9">
        <v>46023</v>
      </c>
      <c r="BR3" s="9">
        <v>46054</v>
      </c>
      <c r="BS3" s="9">
        <v>46082</v>
      </c>
      <c r="BT3" s="9">
        <v>46113</v>
      </c>
      <c r="BU3" s="9">
        <v>46143</v>
      </c>
      <c r="BV3" s="9">
        <v>46174</v>
      </c>
      <c r="BW3" s="9">
        <v>46204</v>
      </c>
      <c r="BX3" s="9">
        <v>46235</v>
      </c>
      <c r="BY3" s="9">
        <v>46266</v>
      </c>
      <c r="BZ3" s="9">
        <v>46296</v>
      </c>
      <c r="CA3" s="9">
        <v>46327</v>
      </c>
      <c r="CB3" s="9">
        <v>46357</v>
      </c>
    </row>
    <row r="4" spans="1:80" ht="10.15" x14ac:dyDescent="0.3">
      <c r="A4" s="3"/>
      <c r="B4" s="3"/>
      <c r="C4" s="3"/>
      <c r="D4" s="3"/>
      <c r="E4" s="3"/>
      <c r="F4" s="3"/>
      <c r="G4" s="3"/>
      <c r="H4" s="3"/>
      <c r="I4" s="3"/>
      <c r="J4" s="10" t="s">
        <v>5</v>
      </c>
      <c r="K4" s="11"/>
      <c r="L4" s="11"/>
      <c r="M4" s="11"/>
      <c r="N4" s="11"/>
      <c r="O4" s="6" t="s">
        <v>6</v>
      </c>
      <c r="P4" s="6"/>
      <c r="Q4" s="3"/>
      <c r="R4" s="9">
        <v>44926</v>
      </c>
      <c r="S4" s="9">
        <v>45291</v>
      </c>
      <c r="T4" s="9">
        <v>45657</v>
      </c>
      <c r="U4" s="9">
        <v>46022</v>
      </c>
      <c r="V4" s="9">
        <v>46387</v>
      </c>
      <c r="W4" s="3"/>
      <c r="X4" s="9">
        <v>44681</v>
      </c>
      <c r="Y4" s="9">
        <v>44712</v>
      </c>
      <c r="Z4" s="9">
        <v>44742</v>
      </c>
      <c r="AA4" s="9">
        <v>44773</v>
      </c>
      <c r="AB4" s="9">
        <v>44804</v>
      </c>
      <c r="AC4" s="9">
        <v>44834</v>
      </c>
      <c r="AD4" s="9">
        <v>44865</v>
      </c>
      <c r="AE4" s="9">
        <v>44895</v>
      </c>
      <c r="AF4" s="9">
        <v>44926</v>
      </c>
      <c r="AG4" s="9">
        <v>44957</v>
      </c>
      <c r="AH4" s="9">
        <v>44985</v>
      </c>
      <c r="AI4" s="9">
        <v>45016</v>
      </c>
      <c r="AJ4" s="9">
        <v>45046</v>
      </c>
      <c r="AK4" s="9">
        <v>45077</v>
      </c>
      <c r="AL4" s="9">
        <v>45107</v>
      </c>
      <c r="AM4" s="9">
        <v>45138</v>
      </c>
      <c r="AN4" s="9">
        <v>45169</v>
      </c>
      <c r="AO4" s="9">
        <v>45199</v>
      </c>
      <c r="AP4" s="9">
        <v>45230</v>
      </c>
      <c r="AQ4" s="9">
        <v>45260</v>
      </c>
      <c r="AR4" s="9">
        <v>45291</v>
      </c>
      <c r="AS4" s="9">
        <v>45322</v>
      </c>
      <c r="AT4" s="9">
        <v>45351</v>
      </c>
      <c r="AU4" s="9">
        <v>45382</v>
      </c>
      <c r="AV4" s="9">
        <v>45412</v>
      </c>
      <c r="AW4" s="9">
        <v>45443</v>
      </c>
      <c r="AX4" s="9">
        <v>45473</v>
      </c>
      <c r="AY4" s="9">
        <v>45504</v>
      </c>
      <c r="AZ4" s="9">
        <v>45535</v>
      </c>
      <c r="BA4" s="9">
        <v>45565</v>
      </c>
      <c r="BB4" s="9">
        <v>45596</v>
      </c>
      <c r="BC4" s="9">
        <v>45626</v>
      </c>
      <c r="BD4" s="9">
        <v>45657</v>
      </c>
      <c r="BE4" s="9">
        <v>45688</v>
      </c>
      <c r="BF4" s="9">
        <v>45716</v>
      </c>
      <c r="BG4" s="9">
        <v>45747</v>
      </c>
      <c r="BH4" s="9">
        <v>45777</v>
      </c>
      <c r="BI4" s="9">
        <v>45808</v>
      </c>
      <c r="BJ4" s="9">
        <v>45838</v>
      </c>
      <c r="BK4" s="9">
        <v>45869</v>
      </c>
      <c r="BL4" s="9">
        <v>45900</v>
      </c>
      <c r="BM4" s="9">
        <v>45930</v>
      </c>
      <c r="BN4" s="9">
        <v>45961</v>
      </c>
      <c r="BO4" s="9">
        <v>45991</v>
      </c>
      <c r="BP4" s="9">
        <v>46022</v>
      </c>
      <c r="BQ4" s="9">
        <v>46053</v>
      </c>
      <c r="BR4" s="9">
        <v>46081</v>
      </c>
      <c r="BS4" s="9">
        <v>46112</v>
      </c>
      <c r="BT4" s="9">
        <v>46142</v>
      </c>
      <c r="BU4" s="9">
        <v>46173</v>
      </c>
      <c r="BV4" s="9">
        <v>46203</v>
      </c>
      <c r="BW4" s="9">
        <v>46234</v>
      </c>
      <c r="BX4" s="9">
        <v>46265</v>
      </c>
      <c r="BY4" s="9">
        <v>46295</v>
      </c>
      <c r="BZ4" s="9">
        <v>46326</v>
      </c>
      <c r="CA4" s="9">
        <v>46356</v>
      </c>
      <c r="CB4" s="9">
        <v>46387</v>
      </c>
    </row>
    <row r="5" spans="1:80" ht="10.15" x14ac:dyDescent="0.3">
      <c r="A5" s="3"/>
      <c r="B5" s="3"/>
      <c r="C5" s="3"/>
      <c r="D5" s="3"/>
      <c r="E5" s="3"/>
      <c r="F5" s="3"/>
      <c r="G5" s="3"/>
      <c r="H5" s="3"/>
      <c r="I5" s="12" t="s">
        <v>7</v>
      </c>
      <c r="J5" s="12">
        <v>1</v>
      </c>
      <c r="K5" s="12">
        <v>2</v>
      </c>
      <c r="L5" s="12">
        <v>3</v>
      </c>
      <c r="M5" s="12">
        <v>4</v>
      </c>
      <c r="N5" s="12">
        <v>5</v>
      </c>
      <c r="O5" s="6" t="s">
        <v>8</v>
      </c>
      <c r="P5" s="6"/>
      <c r="Q5" s="6"/>
      <c r="R5" s="7">
        <v>2022</v>
      </c>
      <c r="S5" s="7">
        <v>2023</v>
      </c>
      <c r="T5" s="7">
        <v>2024</v>
      </c>
      <c r="U5" s="7">
        <v>2025</v>
      </c>
      <c r="V5" s="7">
        <v>2026</v>
      </c>
      <c r="W5" s="3"/>
      <c r="X5" s="7">
        <v>2022</v>
      </c>
      <c r="Y5" s="7">
        <v>2022</v>
      </c>
      <c r="Z5" s="7">
        <v>2022</v>
      </c>
      <c r="AA5" s="7">
        <v>2022</v>
      </c>
      <c r="AB5" s="7">
        <v>2022</v>
      </c>
      <c r="AC5" s="7">
        <v>2022</v>
      </c>
      <c r="AD5" s="7">
        <v>2022</v>
      </c>
      <c r="AE5" s="7">
        <v>2022</v>
      </c>
      <c r="AF5" s="7">
        <v>2022</v>
      </c>
      <c r="AG5" s="7">
        <v>2023</v>
      </c>
      <c r="AH5" s="7">
        <v>2023</v>
      </c>
      <c r="AI5" s="7">
        <v>2023</v>
      </c>
      <c r="AJ5" s="7">
        <v>2023</v>
      </c>
      <c r="AK5" s="7">
        <v>2023</v>
      </c>
      <c r="AL5" s="7">
        <v>2023</v>
      </c>
      <c r="AM5" s="7">
        <v>2023</v>
      </c>
      <c r="AN5" s="7">
        <v>2023</v>
      </c>
      <c r="AO5" s="7">
        <v>2023</v>
      </c>
      <c r="AP5" s="7">
        <v>2023</v>
      </c>
      <c r="AQ5" s="7">
        <v>2023</v>
      </c>
      <c r="AR5" s="7">
        <v>2023</v>
      </c>
      <c r="AS5" s="7">
        <v>2024</v>
      </c>
      <c r="AT5" s="7">
        <v>2024</v>
      </c>
      <c r="AU5" s="7">
        <v>2024</v>
      </c>
      <c r="AV5" s="7">
        <v>2024</v>
      </c>
      <c r="AW5" s="7">
        <v>2024</v>
      </c>
      <c r="AX5" s="7">
        <v>2024</v>
      </c>
      <c r="AY5" s="7">
        <v>2024</v>
      </c>
      <c r="AZ5" s="7">
        <v>2024</v>
      </c>
      <c r="BA5" s="7">
        <v>2024</v>
      </c>
      <c r="BB5" s="7">
        <v>2024</v>
      </c>
      <c r="BC5" s="7">
        <v>2024</v>
      </c>
      <c r="BD5" s="7">
        <v>2024</v>
      </c>
      <c r="BE5" s="7">
        <v>2025</v>
      </c>
      <c r="BF5" s="7">
        <v>2025</v>
      </c>
      <c r="BG5" s="7">
        <v>2025</v>
      </c>
      <c r="BH5" s="7">
        <v>2025</v>
      </c>
      <c r="BI5" s="7">
        <v>2025</v>
      </c>
      <c r="BJ5" s="7">
        <v>2025</v>
      </c>
      <c r="BK5" s="7">
        <v>2025</v>
      </c>
      <c r="BL5" s="7">
        <v>2025</v>
      </c>
      <c r="BM5" s="7">
        <v>2025</v>
      </c>
      <c r="BN5" s="7">
        <v>2025</v>
      </c>
      <c r="BO5" s="7">
        <v>2025</v>
      </c>
      <c r="BP5" s="7">
        <v>2025</v>
      </c>
      <c r="BQ5" s="7">
        <v>2026</v>
      </c>
      <c r="BR5" s="7">
        <v>2026</v>
      </c>
      <c r="BS5" s="7">
        <v>2026</v>
      </c>
      <c r="BT5" s="7">
        <v>2026</v>
      </c>
      <c r="BU5" s="7">
        <v>2026</v>
      </c>
      <c r="BV5" s="7">
        <v>2026</v>
      </c>
      <c r="BW5" s="7">
        <v>2026</v>
      </c>
      <c r="BX5" s="7">
        <v>2026</v>
      </c>
      <c r="BY5" s="7">
        <v>2026</v>
      </c>
      <c r="BZ5" s="7">
        <v>2026</v>
      </c>
      <c r="CA5" s="7">
        <v>2026</v>
      </c>
      <c r="CB5" s="7">
        <v>2026</v>
      </c>
    </row>
    <row r="6" spans="1:80" ht="10.15" hidden="1" x14ac:dyDescent="0.3">
      <c r="X6" s="31">
        <v>2400</v>
      </c>
      <c r="Y6" s="31">
        <v>4800</v>
      </c>
    </row>
    <row r="7" spans="1:80" ht="10.15" hidden="1" x14ac:dyDescent="0.3">
      <c r="B7" s="1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</row>
    <row r="8" spans="1:80" ht="10.15" hidden="1" x14ac:dyDescent="0.3">
      <c r="B8" s="14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</row>
    <row r="9" spans="1:80" ht="10.15" hidden="1" x14ac:dyDescent="0.3"/>
    <row r="10" spans="1:80" ht="10.15" hidden="1" x14ac:dyDescent="0.3">
      <c r="B10" s="25" t="s">
        <v>9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</row>
    <row r="11" spans="1:80" ht="10.15" hidden="1" x14ac:dyDescent="0.3"/>
    <row r="12" spans="1:80" ht="10.15" hidden="1" x14ac:dyDescent="0.3">
      <c r="B12" s="1" t="s">
        <v>11</v>
      </c>
      <c r="I12" s="15" t="s">
        <v>2</v>
      </c>
      <c r="R12" s="28">
        <v>0</v>
      </c>
      <c r="S12" s="28">
        <v>3</v>
      </c>
      <c r="T12" s="28">
        <v>5</v>
      </c>
      <c r="U12" s="28">
        <v>6</v>
      </c>
      <c r="V12" s="28">
        <v>7</v>
      </c>
      <c r="X12" s="46" t="e">
        <f>#REF!</f>
        <v>#REF!</v>
      </c>
      <c r="Y12" s="46" t="e">
        <f>#REF!</f>
        <v>#REF!</v>
      </c>
      <c r="Z12" s="46" t="e">
        <f>#REF!</f>
        <v>#REF!</v>
      </c>
      <c r="AA12" s="46" t="e">
        <f>#REF!</f>
        <v>#REF!</v>
      </c>
      <c r="AB12" s="46" t="e">
        <f>#REF!</f>
        <v>#REF!</v>
      </c>
      <c r="AC12" s="46" t="e">
        <f>#REF!</f>
        <v>#REF!</v>
      </c>
      <c r="AD12" s="46" t="e">
        <f>#REF!</f>
        <v>#REF!</v>
      </c>
      <c r="AE12" s="46" t="e">
        <f>#REF!</f>
        <v>#REF!</v>
      </c>
      <c r="AF12" s="46" t="e">
        <f>#REF!</f>
        <v>#REF!</v>
      </c>
      <c r="AG12" s="46" t="e">
        <f>#REF!</f>
        <v>#REF!</v>
      </c>
      <c r="AH12" s="46" t="e">
        <f>#REF!</f>
        <v>#REF!</v>
      </c>
      <c r="AI12" s="46" t="e">
        <f>#REF!</f>
        <v>#REF!</v>
      </c>
      <c r="AJ12" s="46" t="e">
        <f>#REF!</f>
        <v>#REF!</v>
      </c>
      <c r="AK12" s="46" t="e">
        <f>#REF!</f>
        <v>#REF!</v>
      </c>
      <c r="AL12" s="46" t="e">
        <f>#REF!</f>
        <v>#REF!</v>
      </c>
      <c r="AM12" s="46" t="e">
        <f>#REF!</f>
        <v>#REF!</v>
      </c>
      <c r="AN12" s="46" t="e">
        <f>#REF!</f>
        <v>#REF!</v>
      </c>
      <c r="AO12" s="46" t="e">
        <f>#REF!</f>
        <v>#REF!</v>
      </c>
      <c r="AP12" s="46" t="e">
        <f>#REF!</f>
        <v>#REF!</v>
      </c>
      <c r="AQ12" s="46" t="e">
        <f>#REF!</f>
        <v>#REF!</v>
      </c>
      <c r="AR12" s="46" t="e">
        <f>#REF!</f>
        <v>#REF!</v>
      </c>
      <c r="AS12" s="46" t="e">
        <f>#REF!</f>
        <v>#REF!</v>
      </c>
      <c r="AT12" s="46" t="e">
        <f>#REF!</f>
        <v>#REF!</v>
      </c>
      <c r="AU12" s="46" t="e">
        <f>#REF!</f>
        <v>#REF!</v>
      </c>
      <c r="AV12" s="46" t="e">
        <f>#REF!</f>
        <v>#REF!</v>
      </c>
      <c r="AW12" s="46" t="e">
        <f>#REF!</f>
        <v>#REF!</v>
      </c>
      <c r="AX12" s="46" t="e">
        <f>#REF!</f>
        <v>#REF!</v>
      </c>
      <c r="AY12" s="46" t="e">
        <f>#REF!</f>
        <v>#REF!</v>
      </c>
      <c r="AZ12" s="46" t="e">
        <f>#REF!</f>
        <v>#REF!</v>
      </c>
      <c r="BA12" s="46" t="e">
        <f>#REF!</f>
        <v>#REF!</v>
      </c>
      <c r="BB12" s="46" t="e">
        <f>#REF!</f>
        <v>#REF!</v>
      </c>
      <c r="BC12" s="46" t="e">
        <f>#REF!</f>
        <v>#REF!</v>
      </c>
      <c r="BD12" s="46" t="e">
        <f>#REF!</f>
        <v>#REF!</v>
      </c>
      <c r="BE12" s="46" t="e">
        <f>#REF!</f>
        <v>#REF!</v>
      </c>
      <c r="BF12" s="46" t="e">
        <f>#REF!</f>
        <v>#REF!</v>
      </c>
      <c r="BG12" s="46" t="e">
        <f>#REF!</f>
        <v>#REF!</v>
      </c>
      <c r="BH12" s="46" t="e">
        <f>#REF!</f>
        <v>#REF!</v>
      </c>
      <c r="BI12" s="46" t="e">
        <f>#REF!</f>
        <v>#REF!</v>
      </c>
      <c r="BJ12" s="46" t="e">
        <f>#REF!</f>
        <v>#REF!</v>
      </c>
      <c r="BK12" s="46" t="e">
        <f>#REF!</f>
        <v>#REF!</v>
      </c>
      <c r="BL12" s="46" t="e">
        <f>#REF!</f>
        <v>#REF!</v>
      </c>
      <c r="BM12" s="46" t="e">
        <f>#REF!</f>
        <v>#REF!</v>
      </c>
      <c r="BN12" s="46" t="e">
        <f>#REF!</f>
        <v>#REF!</v>
      </c>
      <c r="BO12" s="46" t="e">
        <f>#REF!</f>
        <v>#REF!</v>
      </c>
      <c r="BP12" s="46" t="e">
        <f>#REF!</f>
        <v>#REF!</v>
      </c>
      <c r="BQ12" s="46" t="e">
        <f>#REF!</f>
        <v>#REF!</v>
      </c>
      <c r="BR12" s="46" t="e">
        <f>#REF!</f>
        <v>#REF!</v>
      </c>
      <c r="BS12" s="46" t="e">
        <f>#REF!</f>
        <v>#REF!</v>
      </c>
      <c r="BT12" s="46" t="e">
        <f>#REF!</f>
        <v>#REF!</v>
      </c>
      <c r="BU12" s="46" t="e">
        <f>#REF!</f>
        <v>#REF!</v>
      </c>
      <c r="BV12" s="46" t="e">
        <f>#REF!</f>
        <v>#REF!</v>
      </c>
      <c r="BW12" s="46" t="e">
        <f>#REF!</f>
        <v>#REF!</v>
      </c>
      <c r="BX12" s="46" t="e">
        <f>#REF!</f>
        <v>#REF!</v>
      </c>
      <c r="BY12" s="46" t="e">
        <f>#REF!</f>
        <v>#REF!</v>
      </c>
      <c r="BZ12" s="46" t="e">
        <f>#REF!</f>
        <v>#REF!</v>
      </c>
      <c r="CA12" s="46" t="e">
        <f>#REF!</f>
        <v>#REF!</v>
      </c>
      <c r="CB12" s="46" t="e">
        <f>#REF!</f>
        <v>#REF!</v>
      </c>
    </row>
    <row r="13" spans="1:80" ht="10.15" hidden="1" x14ac:dyDescent="0.3">
      <c r="B13" s="1" t="s">
        <v>10</v>
      </c>
      <c r="I13" s="15" t="s">
        <v>12</v>
      </c>
      <c r="R13" s="34" t="s">
        <v>128</v>
      </c>
      <c r="S13" s="34">
        <v>2</v>
      </c>
      <c r="T13" s="34">
        <v>1</v>
      </c>
      <c r="U13" s="34">
        <v>2.85</v>
      </c>
      <c r="V13" s="34">
        <v>4.21875</v>
      </c>
      <c r="X13" s="48" t="e">
        <f>#REF!</f>
        <v>#REF!</v>
      </c>
      <c r="Y13" s="48" t="e">
        <f>#REF!</f>
        <v>#REF!</v>
      </c>
      <c r="Z13" s="48" t="e">
        <f>#REF!</f>
        <v>#REF!</v>
      </c>
      <c r="AA13" s="48" t="e">
        <f>#REF!</f>
        <v>#REF!</v>
      </c>
      <c r="AB13" s="48" t="e">
        <f>#REF!</f>
        <v>#REF!</v>
      </c>
      <c r="AC13" s="48" t="e">
        <f>#REF!</f>
        <v>#REF!</v>
      </c>
      <c r="AD13" s="48" t="e">
        <f>#REF!</f>
        <v>#REF!</v>
      </c>
      <c r="AE13" s="48" t="e">
        <f>#REF!</f>
        <v>#REF!</v>
      </c>
      <c r="AF13" s="48" t="e">
        <f>#REF!</f>
        <v>#REF!</v>
      </c>
      <c r="AG13" s="48" t="e">
        <f>#REF!</f>
        <v>#REF!</v>
      </c>
      <c r="AH13" s="48" t="e">
        <f>#REF!</f>
        <v>#REF!</v>
      </c>
      <c r="AI13" s="48" t="e">
        <f>#REF!</f>
        <v>#REF!</v>
      </c>
      <c r="AJ13" s="48" t="e">
        <f>#REF!</f>
        <v>#REF!</v>
      </c>
      <c r="AK13" s="48" t="e">
        <f>#REF!</f>
        <v>#REF!</v>
      </c>
      <c r="AL13" s="48" t="e">
        <f>#REF!</f>
        <v>#REF!</v>
      </c>
      <c r="AM13" s="48" t="e">
        <f>#REF!</f>
        <v>#REF!</v>
      </c>
      <c r="AN13" s="48" t="e">
        <f>#REF!</f>
        <v>#REF!</v>
      </c>
      <c r="AO13" s="48" t="e">
        <f>#REF!</f>
        <v>#REF!</v>
      </c>
      <c r="AP13" s="48" t="e">
        <f>#REF!</f>
        <v>#REF!</v>
      </c>
      <c r="AQ13" s="48" t="e">
        <f>#REF!</f>
        <v>#REF!</v>
      </c>
      <c r="AR13" s="48" t="e">
        <f>#REF!</f>
        <v>#REF!</v>
      </c>
      <c r="AS13" s="48" t="e">
        <f>#REF!</f>
        <v>#REF!</v>
      </c>
      <c r="AT13" s="48" t="e">
        <f>#REF!</f>
        <v>#REF!</v>
      </c>
      <c r="AU13" s="48" t="e">
        <f>#REF!</f>
        <v>#REF!</v>
      </c>
      <c r="AV13" s="48" t="e">
        <f>#REF!</f>
        <v>#REF!</v>
      </c>
      <c r="AW13" s="48" t="e">
        <f>#REF!</f>
        <v>#REF!</v>
      </c>
      <c r="AX13" s="48" t="e">
        <f>#REF!</f>
        <v>#REF!</v>
      </c>
      <c r="AY13" s="48" t="e">
        <f>#REF!</f>
        <v>#REF!</v>
      </c>
      <c r="AZ13" s="48" t="e">
        <f>#REF!</f>
        <v>#REF!</v>
      </c>
      <c r="BA13" s="48" t="e">
        <f>#REF!</f>
        <v>#REF!</v>
      </c>
      <c r="BB13" s="48" t="e">
        <f>#REF!</f>
        <v>#REF!</v>
      </c>
      <c r="BC13" s="48" t="e">
        <f>#REF!</f>
        <v>#REF!</v>
      </c>
      <c r="BD13" s="48" t="e">
        <f>#REF!</f>
        <v>#REF!</v>
      </c>
      <c r="BE13" s="48" t="e">
        <f>#REF!</f>
        <v>#REF!</v>
      </c>
      <c r="BF13" s="48" t="e">
        <f>#REF!</f>
        <v>#REF!</v>
      </c>
      <c r="BG13" s="48" t="e">
        <f>#REF!</f>
        <v>#REF!</v>
      </c>
      <c r="BH13" s="48" t="e">
        <f>#REF!</f>
        <v>#REF!</v>
      </c>
      <c r="BI13" s="48" t="e">
        <f>#REF!</f>
        <v>#REF!</v>
      </c>
      <c r="BJ13" s="48" t="e">
        <f>#REF!</f>
        <v>#REF!</v>
      </c>
      <c r="BK13" s="48" t="e">
        <f>#REF!</f>
        <v>#REF!</v>
      </c>
      <c r="BL13" s="48" t="e">
        <f>#REF!</f>
        <v>#REF!</v>
      </c>
      <c r="BM13" s="48" t="e">
        <f>#REF!</f>
        <v>#REF!</v>
      </c>
      <c r="BN13" s="48" t="e">
        <f>#REF!</f>
        <v>#REF!</v>
      </c>
      <c r="BO13" s="48" t="e">
        <f>#REF!</f>
        <v>#REF!</v>
      </c>
      <c r="BP13" s="48" t="e">
        <f>#REF!</f>
        <v>#REF!</v>
      </c>
      <c r="BQ13" s="48" t="e">
        <f>#REF!</f>
        <v>#REF!</v>
      </c>
      <c r="BR13" s="48" t="e">
        <f>#REF!</f>
        <v>#REF!</v>
      </c>
      <c r="BS13" s="48" t="e">
        <f>#REF!</f>
        <v>#REF!</v>
      </c>
      <c r="BT13" s="48" t="e">
        <f>#REF!</f>
        <v>#REF!</v>
      </c>
      <c r="BU13" s="48" t="e">
        <f>#REF!</f>
        <v>#REF!</v>
      </c>
      <c r="BV13" s="48" t="e">
        <f>#REF!</f>
        <v>#REF!</v>
      </c>
      <c r="BW13" s="48" t="e">
        <f>#REF!</f>
        <v>#REF!</v>
      </c>
      <c r="BX13" s="48" t="e">
        <f>#REF!</f>
        <v>#REF!</v>
      </c>
      <c r="BY13" s="48" t="e">
        <f>#REF!</f>
        <v>#REF!</v>
      </c>
      <c r="BZ13" s="48" t="e">
        <f>#REF!</f>
        <v>#REF!</v>
      </c>
      <c r="CA13" s="48" t="e">
        <f>#REF!</f>
        <v>#REF!</v>
      </c>
      <c r="CB13" s="48" t="e">
        <f>#REF!</f>
        <v>#REF!</v>
      </c>
    </row>
    <row r="14" spans="1:80" ht="10.15" hidden="1" x14ac:dyDescent="0.3"/>
    <row r="15" spans="1:80" ht="10.15" hidden="1" x14ac:dyDescent="0.3">
      <c r="B15" s="1" t="s">
        <v>13</v>
      </c>
      <c r="I15" s="15" t="s">
        <v>2</v>
      </c>
      <c r="R15" s="28">
        <v>8</v>
      </c>
      <c r="S15" s="28">
        <v>46</v>
      </c>
      <c r="T15" s="28">
        <v>82</v>
      </c>
      <c r="U15" s="28">
        <v>207.64278095342286</v>
      </c>
      <c r="V15" s="28">
        <v>468.02802012963929</v>
      </c>
      <c r="X15" s="46" t="e">
        <f>#REF!</f>
        <v>#REF!</v>
      </c>
      <c r="Y15" s="46" t="e">
        <f>#REF!</f>
        <v>#REF!</v>
      </c>
      <c r="Z15" s="46" t="e">
        <f>#REF!</f>
        <v>#REF!</v>
      </c>
      <c r="AA15" s="46" t="e">
        <f>#REF!</f>
        <v>#REF!</v>
      </c>
      <c r="AB15" s="46" t="e">
        <f>#REF!</f>
        <v>#REF!</v>
      </c>
      <c r="AC15" s="46" t="e">
        <f>#REF!</f>
        <v>#REF!</v>
      </c>
      <c r="AD15" s="46" t="e">
        <f>#REF!</f>
        <v>#REF!</v>
      </c>
      <c r="AE15" s="46" t="e">
        <f>#REF!</f>
        <v>#REF!</v>
      </c>
      <c r="AF15" s="46" t="e">
        <f>#REF!</f>
        <v>#REF!</v>
      </c>
      <c r="AG15" s="46" t="e">
        <f>#REF!</f>
        <v>#REF!</v>
      </c>
      <c r="AH15" s="46" t="e">
        <f>#REF!</f>
        <v>#REF!</v>
      </c>
      <c r="AI15" s="46" t="e">
        <f>#REF!</f>
        <v>#REF!</v>
      </c>
      <c r="AJ15" s="46" t="e">
        <f>#REF!</f>
        <v>#REF!</v>
      </c>
      <c r="AK15" s="46" t="e">
        <f>#REF!</f>
        <v>#REF!</v>
      </c>
      <c r="AL15" s="46" t="e">
        <f>#REF!</f>
        <v>#REF!</v>
      </c>
      <c r="AM15" s="46" t="e">
        <f>#REF!</f>
        <v>#REF!</v>
      </c>
      <c r="AN15" s="46" t="e">
        <f>#REF!</f>
        <v>#REF!</v>
      </c>
      <c r="AO15" s="46" t="e">
        <f>#REF!</f>
        <v>#REF!</v>
      </c>
      <c r="AP15" s="46" t="e">
        <f>#REF!</f>
        <v>#REF!</v>
      </c>
      <c r="AQ15" s="46" t="e">
        <f>#REF!</f>
        <v>#REF!</v>
      </c>
      <c r="AR15" s="46" t="e">
        <f>#REF!</f>
        <v>#REF!</v>
      </c>
      <c r="AS15" s="46" t="e">
        <f>#REF!</f>
        <v>#REF!</v>
      </c>
      <c r="AT15" s="46" t="e">
        <f>#REF!</f>
        <v>#REF!</v>
      </c>
      <c r="AU15" s="46" t="e">
        <f>#REF!</f>
        <v>#REF!</v>
      </c>
      <c r="AV15" s="46" t="e">
        <f>#REF!</f>
        <v>#REF!</v>
      </c>
      <c r="AW15" s="46" t="e">
        <f>#REF!</f>
        <v>#REF!</v>
      </c>
      <c r="AX15" s="46" t="e">
        <f>#REF!</f>
        <v>#REF!</v>
      </c>
      <c r="AY15" s="46" t="e">
        <f>#REF!</f>
        <v>#REF!</v>
      </c>
      <c r="AZ15" s="46" t="e">
        <f>#REF!</f>
        <v>#REF!</v>
      </c>
      <c r="BA15" s="46" t="e">
        <f>#REF!</f>
        <v>#REF!</v>
      </c>
      <c r="BB15" s="46" t="e">
        <f>#REF!</f>
        <v>#REF!</v>
      </c>
      <c r="BC15" s="46" t="e">
        <f>#REF!</f>
        <v>#REF!</v>
      </c>
      <c r="BD15" s="46" t="e">
        <f>#REF!</f>
        <v>#REF!</v>
      </c>
      <c r="BE15" s="46" t="e">
        <f>#REF!</f>
        <v>#REF!</v>
      </c>
      <c r="BF15" s="46" t="e">
        <f>#REF!</f>
        <v>#REF!</v>
      </c>
      <c r="BG15" s="46" t="e">
        <f>#REF!</f>
        <v>#REF!</v>
      </c>
      <c r="BH15" s="46" t="e">
        <f>#REF!</f>
        <v>#REF!</v>
      </c>
      <c r="BI15" s="46" t="e">
        <f>#REF!</f>
        <v>#REF!</v>
      </c>
      <c r="BJ15" s="46" t="e">
        <f>#REF!</f>
        <v>#REF!</v>
      </c>
      <c r="BK15" s="46" t="e">
        <f>#REF!</f>
        <v>#REF!</v>
      </c>
      <c r="BL15" s="46" t="e">
        <f>#REF!</f>
        <v>#REF!</v>
      </c>
      <c r="BM15" s="46" t="e">
        <f>#REF!</f>
        <v>#REF!</v>
      </c>
      <c r="BN15" s="46" t="e">
        <f>#REF!</f>
        <v>#REF!</v>
      </c>
      <c r="BO15" s="46" t="e">
        <f>#REF!</f>
        <v>#REF!</v>
      </c>
      <c r="BP15" s="46" t="e">
        <f>#REF!</f>
        <v>#REF!</v>
      </c>
      <c r="BQ15" s="46" t="e">
        <f>#REF!</f>
        <v>#REF!</v>
      </c>
      <c r="BR15" s="46" t="e">
        <f>#REF!</f>
        <v>#REF!</v>
      </c>
      <c r="BS15" s="46" t="e">
        <f>#REF!</f>
        <v>#REF!</v>
      </c>
      <c r="BT15" s="46" t="e">
        <f>#REF!</f>
        <v>#REF!</v>
      </c>
      <c r="BU15" s="46" t="e">
        <f>#REF!</f>
        <v>#REF!</v>
      </c>
      <c r="BV15" s="46" t="e">
        <f>#REF!</f>
        <v>#REF!</v>
      </c>
      <c r="BW15" s="46" t="e">
        <f>#REF!</f>
        <v>#REF!</v>
      </c>
      <c r="BX15" s="46" t="e">
        <f>#REF!</f>
        <v>#REF!</v>
      </c>
      <c r="BY15" s="46" t="e">
        <f>#REF!</f>
        <v>#REF!</v>
      </c>
      <c r="BZ15" s="46" t="e">
        <f>#REF!</f>
        <v>#REF!</v>
      </c>
      <c r="CA15" s="46" t="e">
        <f>#REF!</f>
        <v>#REF!</v>
      </c>
      <c r="CB15" s="46" t="e">
        <f>#REF!</f>
        <v>#REF!</v>
      </c>
    </row>
    <row r="16" spans="1:80" ht="10.15" hidden="1" x14ac:dyDescent="0.3">
      <c r="B16" s="1" t="s">
        <v>14</v>
      </c>
      <c r="I16" s="15" t="s">
        <v>2</v>
      </c>
      <c r="R16" s="28">
        <v>5</v>
      </c>
      <c r="S16" s="28">
        <v>17</v>
      </c>
      <c r="T16" s="28">
        <v>15</v>
      </c>
      <c r="U16" s="28">
        <v>33.5256653</v>
      </c>
      <c r="V16" s="28">
        <v>98.166337567712304</v>
      </c>
      <c r="X16" s="46" t="e">
        <f>#REF!</f>
        <v>#REF!</v>
      </c>
      <c r="Y16" s="46" t="e">
        <f>#REF!</f>
        <v>#REF!</v>
      </c>
      <c r="Z16" s="46" t="e">
        <f>#REF!</f>
        <v>#REF!</v>
      </c>
      <c r="AA16" s="46" t="e">
        <f>#REF!</f>
        <v>#REF!</v>
      </c>
      <c r="AB16" s="46" t="e">
        <f>#REF!</f>
        <v>#REF!</v>
      </c>
      <c r="AC16" s="46" t="e">
        <f>#REF!</f>
        <v>#REF!</v>
      </c>
      <c r="AD16" s="46" t="e">
        <f>#REF!</f>
        <v>#REF!</v>
      </c>
      <c r="AE16" s="46" t="e">
        <f>#REF!</f>
        <v>#REF!</v>
      </c>
      <c r="AF16" s="46" t="e">
        <f>#REF!</f>
        <v>#REF!</v>
      </c>
      <c r="AG16" s="46" t="e">
        <f>#REF!</f>
        <v>#REF!</v>
      </c>
      <c r="AH16" s="46" t="e">
        <f>#REF!</f>
        <v>#REF!</v>
      </c>
      <c r="AI16" s="46" t="e">
        <f>#REF!</f>
        <v>#REF!</v>
      </c>
      <c r="AJ16" s="46" t="e">
        <f>#REF!</f>
        <v>#REF!</v>
      </c>
      <c r="AK16" s="46" t="e">
        <f>#REF!</f>
        <v>#REF!</v>
      </c>
      <c r="AL16" s="46" t="e">
        <f>#REF!</f>
        <v>#REF!</v>
      </c>
      <c r="AM16" s="46" t="e">
        <f>#REF!</f>
        <v>#REF!</v>
      </c>
      <c r="AN16" s="46" t="e">
        <f>#REF!</f>
        <v>#REF!</v>
      </c>
      <c r="AO16" s="46" t="e">
        <f>#REF!</f>
        <v>#REF!</v>
      </c>
      <c r="AP16" s="46" t="e">
        <f>#REF!</f>
        <v>#REF!</v>
      </c>
      <c r="AQ16" s="46" t="e">
        <f>#REF!</f>
        <v>#REF!</v>
      </c>
      <c r="AR16" s="46" t="e">
        <f>#REF!</f>
        <v>#REF!</v>
      </c>
      <c r="AS16" s="46" t="e">
        <f>#REF!</f>
        <v>#REF!</v>
      </c>
      <c r="AT16" s="46" t="e">
        <f>#REF!</f>
        <v>#REF!</v>
      </c>
      <c r="AU16" s="46" t="e">
        <f>#REF!</f>
        <v>#REF!</v>
      </c>
      <c r="AV16" s="46" t="e">
        <f>#REF!</f>
        <v>#REF!</v>
      </c>
      <c r="AW16" s="46" t="e">
        <f>#REF!</f>
        <v>#REF!</v>
      </c>
      <c r="AX16" s="46" t="e">
        <f>#REF!</f>
        <v>#REF!</v>
      </c>
      <c r="AY16" s="46" t="e">
        <f>#REF!</f>
        <v>#REF!</v>
      </c>
      <c r="AZ16" s="46" t="e">
        <f>#REF!</f>
        <v>#REF!</v>
      </c>
      <c r="BA16" s="46" t="e">
        <f>#REF!</f>
        <v>#REF!</v>
      </c>
      <c r="BB16" s="46" t="e">
        <f>#REF!</f>
        <v>#REF!</v>
      </c>
      <c r="BC16" s="46" t="e">
        <f>#REF!</f>
        <v>#REF!</v>
      </c>
      <c r="BD16" s="46" t="e">
        <f>#REF!</f>
        <v>#REF!</v>
      </c>
      <c r="BE16" s="46" t="e">
        <f>#REF!</f>
        <v>#REF!</v>
      </c>
      <c r="BF16" s="46" t="e">
        <f>#REF!</f>
        <v>#REF!</v>
      </c>
      <c r="BG16" s="46" t="e">
        <f>#REF!</f>
        <v>#REF!</v>
      </c>
      <c r="BH16" s="46" t="e">
        <f>#REF!</f>
        <v>#REF!</v>
      </c>
      <c r="BI16" s="46" t="e">
        <f>#REF!</f>
        <v>#REF!</v>
      </c>
      <c r="BJ16" s="46" t="e">
        <f>#REF!</f>
        <v>#REF!</v>
      </c>
      <c r="BK16" s="46" t="e">
        <f>#REF!</f>
        <v>#REF!</v>
      </c>
      <c r="BL16" s="46" t="e">
        <f>#REF!</f>
        <v>#REF!</v>
      </c>
      <c r="BM16" s="46" t="e">
        <f>#REF!</f>
        <v>#REF!</v>
      </c>
      <c r="BN16" s="46" t="e">
        <f>#REF!</f>
        <v>#REF!</v>
      </c>
      <c r="BO16" s="46" t="e">
        <f>#REF!</f>
        <v>#REF!</v>
      </c>
      <c r="BP16" s="46" t="e">
        <f>#REF!</f>
        <v>#REF!</v>
      </c>
      <c r="BQ16" s="46" t="e">
        <f>#REF!</f>
        <v>#REF!</v>
      </c>
      <c r="BR16" s="46" t="e">
        <f>#REF!</f>
        <v>#REF!</v>
      </c>
      <c r="BS16" s="46" t="e">
        <f>#REF!</f>
        <v>#REF!</v>
      </c>
      <c r="BT16" s="46" t="e">
        <f>#REF!</f>
        <v>#REF!</v>
      </c>
      <c r="BU16" s="46" t="e">
        <f>#REF!</f>
        <v>#REF!</v>
      </c>
      <c r="BV16" s="46" t="e">
        <f>#REF!</f>
        <v>#REF!</v>
      </c>
      <c r="BW16" s="46" t="e">
        <f>#REF!</f>
        <v>#REF!</v>
      </c>
      <c r="BX16" s="46" t="e">
        <f>#REF!</f>
        <v>#REF!</v>
      </c>
      <c r="BY16" s="46" t="e">
        <f>#REF!</f>
        <v>#REF!</v>
      </c>
      <c r="BZ16" s="46" t="e">
        <f>#REF!</f>
        <v>#REF!</v>
      </c>
      <c r="CA16" s="46" t="e">
        <f>#REF!</f>
        <v>#REF!</v>
      </c>
      <c r="CB16" s="46" t="e">
        <f>#REF!</f>
        <v>#REF!</v>
      </c>
    </row>
    <row r="17" spans="2:80" ht="10.15" hidden="1" x14ac:dyDescent="0.3">
      <c r="B17" s="1" t="s">
        <v>15</v>
      </c>
      <c r="I17" s="15" t="s">
        <v>0</v>
      </c>
      <c r="R17" s="28">
        <v>4583054.9088409822</v>
      </c>
      <c r="S17" s="28">
        <v>23628999.20812178</v>
      </c>
      <c r="T17" s="28">
        <v>35824193.74252864</v>
      </c>
      <c r="U17" s="28">
        <v>68991116.479724571</v>
      </c>
      <c r="V17" s="28">
        <v>130094466.02979186</v>
      </c>
      <c r="X17" s="28">
        <f>X68</f>
        <v>0</v>
      </c>
      <c r="Y17" s="28">
        <f t="shared" ref="Y17:CB17" si="0">Y68</f>
        <v>0</v>
      </c>
      <c r="Z17" s="28">
        <f t="shared" si="0"/>
        <v>0</v>
      </c>
      <c r="AA17" s="28">
        <f t="shared" si="0"/>
        <v>0</v>
      </c>
      <c r="AB17" s="28">
        <f t="shared" si="0"/>
        <v>0</v>
      </c>
      <c r="AC17" s="28">
        <f t="shared" si="0"/>
        <v>3697971.4562988328</v>
      </c>
      <c r="AD17" s="28">
        <f t="shared" si="0"/>
        <v>4072801.6308107283</v>
      </c>
      <c r="AE17" s="28">
        <f t="shared" si="0"/>
        <v>4062628.7499817023</v>
      </c>
      <c r="AF17" s="28">
        <f t="shared" si="0"/>
        <v>4583054.9088409822</v>
      </c>
      <c r="AG17" s="28">
        <f t="shared" si="0"/>
        <v>5801489.1459743232</v>
      </c>
      <c r="AH17" s="28">
        <f t="shared" si="0"/>
        <v>8819700.6762781683</v>
      </c>
      <c r="AI17" s="28">
        <f t="shared" si="0"/>
        <v>7670519.9535800181</v>
      </c>
      <c r="AJ17" s="28">
        <f t="shared" si="0"/>
        <v>8276996.7982365787</v>
      </c>
      <c r="AK17" s="28">
        <f t="shared" si="0"/>
        <v>8816229.3368651941</v>
      </c>
      <c r="AL17" s="28">
        <f t="shared" si="0"/>
        <v>10371024.161393169</v>
      </c>
      <c r="AM17" s="28">
        <f t="shared" si="0"/>
        <v>13001830.078867571</v>
      </c>
      <c r="AN17" s="28">
        <f t="shared" si="0"/>
        <v>14924223.014728487</v>
      </c>
      <c r="AO17" s="28">
        <f t="shared" si="0"/>
        <v>15188578.5746141</v>
      </c>
      <c r="AP17" s="28">
        <f t="shared" si="0"/>
        <v>14987420.111245718</v>
      </c>
      <c r="AQ17" s="28">
        <f t="shared" si="0"/>
        <v>18296462.201504875</v>
      </c>
      <c r="AR17" s="28">
        <f t="shared" si="0"/>
        <v>23628999.20812178</v>
      </c>
      <c r="AS17" s="28">
        <f t="shared" si="0"/>
        <v>23085572.440644123</v>
      </c>
      <c r="AT17" s="28">
        <f t="shared" si="0"/>
        <v>22752609.011372332</v>
      </c>
      <c r="AU17" s="28">
        <f t="shared" si="0"/>
        <v>26799852.743736994</v>
      </c>
      <c r="AV17" s="28">
        <f t="shared" si="0"/>
        <v>29254474.629960492</v>
      </c>
      <c r="AW17" s="28">
        <f t="shared" si="0"/>
        <v>28628778.435384829</v>
      </c>
      <c r="AX17" s="28">
        <f t="shared" si="0"/>
        <v>29153717.870336059</v>
      </c>
      <c r="AY17" s="28">
        <f t="shared" si="0"/>
        <v>31208385.416688107</v>
      </c>
      <c r="AZ17" s="28">
        <f t="shared" si="0"/>
        <v>33822794.875570327</v>
      </c>
      <c r="BA17" s="28">
        <f t="shared" si="0"/>
        <v>31449948.964254007</v>
      </c>
      <c r="BB17" s="28">
        <f t="shared" si="0"/>
        <v>30561235.021237951</v>
      </c>
      <c r="BC17" s="28">
        <f t="shared" si="0"/>
        <v>32254664.868087657</v>
      </c>
      <c r="BD17" s="28">
        <f t="shared" si="0"/>
        <v>35824193.74252864</v>
      </c>
      <c r="BE17" s="28">
        <f t="shared" si="0"/>
        <v>37865239.63796553</v>
      </c>
      <c r="BF17" s="28">
        <f t="shared" si="0"/>
        <v>44338329.168439671</v>
      </c>
      <c r="BG17" s="28">
        <f t="shared" si="0"/>
        <v>50982007.021976091</v>
      </c>
      <c r="BH17" s="28">
        <f t="shared" si="0"/>
        <v>49693915.59110038</v>
      </c>
      <c r="BI17" s="28">
        <f t="shared" si="0"/>
        <v>49356363.873873092</v>
      </c>
      <c r="BJ17" s="28">
        <f t="shared" si="0"/>
        <v>47123539.901026487</v>
      </c>
      <c r="BK17" s="28">
        <f t="shared" si="0"/>
        <v>57245904.442609929</v>
      </c>
      <c r="BL17" s="28">
        <f t="shared" si="0"/>
        <v>54411184.028584987</v>
      </c>
      <c r="BM17" s="28">
        <f t="shared" si="0"/>
        <v>53639709.984336346</v>
      </c>
      <c r="BN17" s="28">
        <f t="shared" si="0"/>
        <v>56555608.516320914</v>
      </c>
      <c r="BO17" s="28">
        <f t="shared" si="0"/>
        <v>63113838.766461112</v>
      </c>
      <c r="BP17" s="28">
        <f t="shared" si="0"/>
        <v>68991116.479724571</v>
      </c>
      <c r="BQ17" s="28">
        <f t="shared" si="0"/>
        <v>68161556.746064827</v>
      </c>
      <c r="BR17" s="28">
        <f t="shared" si="0"/>
        <v>74365335.393081382</v>
      </c>
      <c r="BS17" s="28">
        <f t="shared" si="0"/>
        <v>79314045.952869594</v>
      </c>
      <c r="BT17" s="28">
        <f t="shared" si="0"/>
        <v>95268108.969421342</v>
      </c>
      <c r="BU17" s="28">
        <f t="shared" si="0"/>
        <v>94486702.171957776</v>
      </c>
      <c r="BV17" s="28">
        <f t="shared" si="0"/>
        <v>109535301.20488426</v>
      </c>
      <c r="BW17" s="28">
        <f t="shared" si="0"/>
        <v>122558718.35497926</v>
      </c>
      <c r="BX17" s="28">
        <f t="shared" si="0"/>
        <v>132273640.792759</v>
      </c>
      <c r="BY17" s="28">
        <f t="shared" si="0"/>
        <v>134179392.03168</v>
      </c>
      <c r="BZ17" s="28">
        <f t="shared" si="0"/>
        <v>133415608.25443225</v>
      </c>
      <c r="CA17" s="28">
        <f t="shared" si="0"/>
        <v>131391005.32731606</v>
      </c>
      <c r="CB17" s="28">
        <f t="shared" si="0"/>
        <v>130094466.02979191</v>
      </c>
    </row>
    <row r="18" spans="2:80" ht="10.15" hidden="1" x14ac:dyDescent="0.3"/>
    <row r="19" spans="2:80" ht="10.15" hidden="1" x14ac:dyDescent="0.3">
      <c r="B19" s="1" t="s">
        <v>16</v>
      </c>
      <c r="I19" s="15" t="s">
        <v>1</v>
      </c>
      <c r="R19" s="47">
        <v>0</v>
      </c>
      <c r="S19" s="47">
        <v>5.2314642424821125</v>
      </c>
      <c r="T19" s="47">
        <v>1.5259561199113674</v>
      </c>
      <c r="U19" s="47">
        <v>2.1495439481539922</v>
      </c>
      <c r="V19" s="47">
        <v>2.0623503452494876</v>
      </c>
      <c r="X19" s="47">
        <f>X33</f>
        <v>0</v>
      </c>
      <c r="Y19" s="47">
        <f t="shared" ref="Y19:CB19" si="1">Y33</f>
        <v>1.1963024874800507</v>
      </c>
      <c r="Z19" s="47">
        <f t="shared" si="1"/>
        <v>1.9432089295192005</v>
      </c>
      <c r="AA19" s="47">
        <f t="shared" si="1"/>
        <v>2.0951197282293479</v>
      </c>
      <c r="AB19" s="47">
        <f t="shared" si="1"/>
        <v>1.4795959367690761</v>
      </c>
      <c r="AC19" s="47">
        <f t="shared" si="1"/>
        <v>0.78406151800914148</v>
      </c>
      <c r="AD19" s="47">
        <f t="shared" si="1"/>
        <v>0.97797301048510021</v>
      </c>
      <c r="AE19" s="47">
        <f t="shared" si="1"/>
        <v>1.0197240259740259</v>
      </c>
      <c r="AF19" s="47">
        <f t="shared" si="1"/>
        <v>3.4329791289935532</v>
      </c>
      <c r="AG19" s="47">
        <f t="shared" si="1"/>
        <v>0.6096078455933579</v>
      </c>
      <c r="AH19" s="47">
        <f t="shared" si="1"/>
        <v>1.2123980250105959</v>
      </c>
      <c r="AI19" s="47">
        <f t="shared" si="1"/>
        <v>0.7942251524314321</v>
      </c>
      <c r="AJ19" s="47">
        <f t="shared" si="1"/>
        <v>1.5034959113961444</v>
      </c>
      <c r="AK19" s="47">
        <f t="shared" si="1"/>
        <v>0.44873949162664023</v>
      </c>
      <c r="AL19" s="47">
        <f t="shared" si="1"/>
        <v>2.8550161329207611</v>
      </c>
      <c r="AM19" s="47">
        <f t="shared" si="1"/>
        <v>0.7847925206679367</v>
      </c>
      <c r="AN19" s="47">
        <f t="shared" si="1"/>
        <v>1.7080495818590569</v>
      </c>
      <c r="AO19" s="47">
        <f t="shared" si="1"/>
        <v>0.78360192614829671</v>
      </c>
      <c r="AP19" s="47">
        <f t="shared" si="1"/>
        <v>0.81385096864987949</v>
      </c>
      <c r="AQ19" s="47">
        <f t="shared" si="1"/>
        <v>2.3587319183689872</v>
      </c>
      <c r="AR19" s="47">
        <f t="shared" si="1"/>
        <v>1.3206109551657179</v>
      </c>
      <c r="AS19" s="47">
        <f t="shared" si="1"/>
        <v>0.26829504747230049</v>
      </c>
      <c r="AT19" s="47">
        <f t="shared" si="1"/>
        <v>1.8012027135895188</v>
      </c>
      <c r="AU19" s="47">
        <f t="shared" si="1"/>
        <v>1.734104039461454</v>
      </c>
      <c r="AV19" s="47">
        <f t="shared" si="1"/>
        <v>0.43545624066675004</v>
      </c>
      <c r="AW19" s="47">
        <f t="shared" si="1"/>
        <v>1.8334302048958453</v>
      </c>
      <c r="AX19" s="47">
        <f t="shared" si="1"/>
        <v>1.0531175899182728</v>
      </c>
      <c r="AY19" s="47">
        <f t="shared" si="1"/>
        <v>1.2314669251513868</v>
      </c>
      <c r="AZ19" s="47">
        <f t="shared" si="1"/>
        <v>0.55777310911786848</v>
      </c>
      <c r="BA19" s="47">
        <f t="shared" si="1"/>
        <v>0.80974125983555501</v>
      </c>
      <c r="BB19" s="47">
        <f t="shared" si="1"/>
        <v>1.0508608774286612</v>
      </c>
      <c r="BC19" s="47">
        <f t="shared" si="1"/>
        <v>1.9167421918924121</v>
      </c>
      <c r="BD19" s="47">
        <f t="shared" si="1"/>
        <v>1.2462974419401467</v>
      </c>
      <c r="BE19" s="47">
        <f t="shared" si="1"/>
        <v>0.87365037151287817</v>
      </c>
      <c r="BF19" s="47">
        <f t="shared" si="1"/>
        <v>1.1404320114586708</v>
      </c>
      <c r="BG19" s="47">
        <f t="shared" si="1"/>
        <v>1.2373683089478542</v>
      </c>
      <c r="BH19" s="47">
        <f t="shared" si="1"/>
        <v>0.79230433295403535</v>
      </c>
      <c r="BI19" s="47">
        <f t="shared" si="1"/>
        <v>1.2063101687412909</v>
      </c>
      <c r="BJ19" s="47">
        <f t="shared" si="1"/>
        <v>0.91747452617582459</v>
      </c>
      <c r="BK19" s="47">
        <f t="shared" si="1"/>
        <v>2.0957895003474745</v>
      </c>
      <c r="BL19" s="47">
        <f t="shared" si="1"/>
        <v>0.31947326412472499</v>
      </c>
      <c r="BM19" s="47">
        <f t="shared" si="1"/>
        <v>1.3091308261893617</v>
      </c>
      <c r="BN19" s="47">
        <f t="shared" si="1"/>
        <v>1.7404963119344765</v>
      </c>
      <c r="BO19" s="47">
        <f t="shared" si="1"/>
        <v>1.1289656860492689</v>
      </c>
      <c r="BP19" s="47">
        <f t="shared" si="1"/>
        <v>1.4349820545206156</v>
      </c>
      <c r="BQ19" s="47">
        <f t="shared" si="1"/>
        <v>0.65020137161347691</v>
      </c>
      <c r="BR19" s="47">
        <f t="shared" si="1"/>
        <v>1.025974025974026</v>
      </c>
      <c r="BS19" s="47">
        <f t="shared" si="1"/>
        <v>1.030379746835443</v>
      </c>
      <c r="BT19" s="47">
        <f t="shared" si="1"/>
        <v>1.4692874692874693</v>
      </c>
      <c r="BU19" s="47">
        <f t="shared" si="1"/>
        <v>1.040133779264214</v>
      </c>
      <c r="BV19" s="47">
        <f t="shared" si="1"/>
        <v>1.1864951768488745</v>
      </c>
      <c r="BW19" s="47">
        <f t="shared" si="1"/>
        <v>1</v>
      </c>
      <c r="BX19" s="47">
        <f t="shared" si="1"/>
        <v>1</v>
      </c>
      <c r="BY19" s="47">
        <f t="shared" si="1"/>
        <v>0.88414634146341464</v>
      </c>
      <c r="BZ19" s="47">
        <f t="shared" si="1"/>
        <v>0.99148573861217537</v>
      </c>
      <c r="CA19" s="47">
        <f t="shared" si="1"/>
        <v>0.98711893516530702</v>
      </c>
      <c r="CB19" s="47">
        <f t="shared" si="1"/>
        <v>1.0361026533275337</v>
      </c>
    </row>
    <row r="20" spans="2:80" ht="10.15" hidden="1" x14ac:dyDescent="0.3">
      <c r="B20" s="1" t="s">
        <v>17</v>
      </c>
      <c r="I20" s="15" t="s">
        <v>1</v>
      </c>
      <c r="R20" s="47">
        <v>0.61185084993725469</v>
      </c>
      <c r="S20" s="47">
        <v>0.6096772212730891</v>
      </c>
      <c r="T20" s="47">
        <v>0.74485450355997163</v>
      </c>
      <c r="U20" s="47">
        <v>0.5271044825371326</v>
      </c>
      <c r="V20" s="47">
        <v>0.59897793268113453</v>
      </c>
      <c r="X20" s="47">
        <f t="shared" ref="X20:BC20" si="2">X43</f>
        <v>1</v>
      </c>
      <c r="Y20" s="47">
        <f t="shared" si="2"/>
        <v>1</v>
      </c>
      <c r="Z20" s="47">
        <f t="shared" si="2"/>
        <v>0.7705763289655907</v>
      </c>
      <c r="AA20" s="47">
        <f t="shared" si="2"/>
        <v>1</v>
      </c>
      <c r="AB20" s="47">
        <f t="shared" si="2"/>
        <v>1</v>
      </c>
      <c r="AC20" s="47">
        <f t="shared" si="2"/>
        <v>-1.5808674435932775</v>
      </c>
      <c r="AD20" s="47">
        <f t="shared" si="2"/>
        <v>0.32135447374711174</v>
      </c>
      <c r="AE20" s="47">
        <f t="shared" si="2"/>
        <v>0.3279562294379883</v>
      </c>
      <c r="AF20" s="47">
        <f t="shared" si="2"/>
        <v>1.1125301315483171</v>
      </c>
      <c r="AG20" s="47">
        <f t="shared" si="2"/>
        <v>0.98985460685720694</v>
      </c>
      <c r="AH20" s="47">
        <f t="shared" si="2"/>
        <v>0.86534626078127219</v>
      </c>
      <c r="AI20" s="47">
        <f t="shared" si="2"/>
        <v>1.1675855673813601E-2</v>
      </c>
      <c r="AJ20" s="47">
        <f t="shared" si="2"/>
        <v>0.94478358301067344</v>
      </c>
      <c r="AK20" s="47">
        <f t="shared" si="2"/>
        <v>0.87268239222953004</v>
      </c>
      <c r="AL20" s="47">
        <f t="shared" si="2"/>
        <v>0.57137330639496264</v>
      </c>
      <c r="AM20" s="47">
        <f t="shared" si="2"/>
        <v>0.83836534527887407</v>
      </c>
      <c r="AN20" s="47">
        <f t="shared" si="2"/>
        <v>0.92318573476872323</v>
      </c>
      <c r="AO20" s="47">
        <f t="shared" si="2"/>
        <v>0.36853923406293976</v>
      </c>
      <c r="AP20" s="47">
        <f t="shared" si="2"/>
        <v>0.88962207344845923</v>
      </c>
      <c r="AQ20" s="47">
        <f t="shared" si="2"/>
        <v>0.95539671655740777</v>
      </c>
      <c r="AR20" s="47">
        <f t="shared" si="2"/>
        <v>-2.3198499618001241E-2</v>
      </c>
      <c r="AS20" s="47">
        <f t="shared" si="2"/>
        <v>0.64699704604385599</v>
      </c>
      <c r="AT20" s="47">
        <f t="shared" si="2"/>
        <v>0.75968527816055098</v>
      </c>
      <c r="AU20" s="47">
        <f t="shared" si="2"/>
        <v>0.75756093138800251</v>
      </c>
      <c r="AV20" s="47">
        <f t="shared" si="2"/>
        <v>0.67297920383719656</v>
      </c>
      <c r="AW20" s="47">
        <f t="shared" si="2"/>
        <v>0.71631132404789144</v>
      </c>
      <c r="AX20" s="47">
        <f t="shared" si="2"/>
        <v>0.73920205493207103</v>
      </c>
      <c r="AY20" s="47">
        <f t="shared" si="2"/>
        <v>0.78013449743678731</v>
      </c>
      <c r="AZ20" s="47">
        <f t="shared" si="2"/>
        <v>0.72723693454859517</v>
      </c>
      <c r="BA20" s="47">
        <f t="shared" si="2"/>
        <v>0.70730169836685419</v>
      </c>
      <c r="BB20" s="47">
        <f t="shared" si="2"/>
        <v>0.48881468729849126</v>
      </c>
      <c r="BC20" s="47">
        <f t="shared" si="2"/>
        <v>0.67397076967822667</v>
      </c>
      <c r="BD20" s="47">
        <f t="shared" ref="BD20:CB20" si="3">BD43</f>
        <v>0.96688760136458851</v>
      </c>
      <c r="BE20" s="47">
        <f t="shared" si="3"/>
        <v>0.63537052535633132</v>
      </c>
      <c r="BF20" s="47">
        <f t="shared" si="3"/>
        <v>0.6459678995596817</v>
      </c>
      <c r="BG20" s="47">
        <f t="shared" si="3"/>
        <v>0.63962103446332164</v>
      </c>
      <c r="BH20" s="47">
        <f t="shared" si="3"/>
        <v>0.55139916145841505</v>
      </c>
      <c r="BI20" s="47">
        <f t="shared" si="3"/>
        <v>0.61344952215920923</v>
      </c>
      <c r="BJ20" s="47">
        <f t="shared" si="3"/>
        <v>0.53610998555100353</v>
      </c>
      <c r="BK20" s="47">
        <f t="shared" si="3"/>
        <v>0.78632221471276298</v>
      </c>
      <c r="BL20" s="47">
        <f t="shared" si="3"/>
        <v>0.26853089634303035</v>
      </c>
      <c r="BM20" s="47">
        <f t="shared" si="3"/>
        <v>0.41218478509613649</v>
      </c>
      <c r="BN20" s="47">
        <f t="shared" si="3"/>
        <v>0.44391469258180616</v>
      </c>
      <c r="BO20" s="47">
        <f t="shared" si="3"/>
        <v>0.28433248804638911</v>
      </c>
      <c r="BP20" s="47">
        <f t="shared" si="3"/>
        <v>0.57327734372883854</v>
      </c>
      <c r="BQ20" s="47">
        <f t="shared" si="3"/>
        <v>0.69080842359003269</v>
      </c>
      <c r="BR20" s="47">
        <f t="shared" si="3"/>
        <v>0.63617119772665631</v>
      </c>
      <c r="BS20" s="47">
        <f t="shared" si="3"/>
        <v>0.541210970636258</v>
      </c>
      <c r="BT20" s="47">
        <f t="shared" si="3"/>
        <v>0.68300013761889411</v>
      </c>
      <c r="BU20" s="47">
        <f t="shared" si="3"/>
        <v>0.71229036500080745</v>
      </c>
      <c r="BV20" s="47">
        <f t="shared" si="3"/>
        <v>0.64628682436123364</v>
      </c>
      <c r="BW20" s="47">
        <f t="shared" si="3"/>
        <v>0.59961845576886252</v>
      </c>
      <c r="BX20" s="47">
        <f t="shared" si="3"/>
        <v>0.64011500165095681</v>
      </c>
      <c r="BY20" s="47">
        <f t="shared" si="3"/>
        <v>0.49570281784492998</v>
      </c>
      <c r="BZ20" s="47">
        <f t="shared" si="3"/>
        <v>0.47527973485811686</v>
      </c>
      <c r="CA20" s="47">
        <f t="shared" si="3"/>
        <v>0.56674271772579088</v>
      </c>
      <c r="CB20" s="47">
        <f t="shared" si="3"/>
        <v>0.48816795187503353</v>
      </c>
    </row>
    <row r="21" spans="2:80" ht="10.15" hidden="1" x14ac:dyDescent="0.3">
      <c r="B21" s="1" t="s">
        <v>18</v>
      </c>
      <c r="I21" s="15" t="s">
        <v>1</v>
      </c>
      <c r="R21" s="47">
        <v>0.22937413209399088</v>
      </c>
      <c r="S21" s="47">
        <v>3.3040759935643975E-2</v>
      </c>
      <c r="T21" s="47">
        <v>-0.35891430327631707</v>
      </c>
      <c r="U21" s="47">
        <v>-0.36332845589764751</v>
      </c>
      <c r="V21" s="47">
        <v>-7.4424802766504067E-2</v>
      </c>
      <c r="X21" s="47">
        <f>X50</f>
        <v>0.92213086786638054</v>
      </c>
      <c r="Y21" s="47">
        <f t="shared" ref="Y21:CB21" si="4">Y50</f>
        <v>-0.36706932153986011</v>
      </c>
      <c r="Z21" s="47">
        <f t="shared" si="4"/>
        <v>-0.22422404507415705</v>
      </c>
      <c r="AA21" s="47">
        <f t="shared" si="4"/>
        <v>0.55658376741505744</v>
      </c>
      <c r="AB21" s="47">
        <f t="shared" si="4"/>
        <v>0.92836734182682723</v>
      </c>
      <c r="AC21" s="47">
        <f t="shared" si="4"/>
        <v>-2.2044227350868564</v>
      </c>
      <c r="AD21" s="47">
        <f t="shared" si="4"/>
        <v>-0.42123197354792447</v>
      </c>
      <c r="AE21" s="47">
        <f t="shared" si="4"/>
        <v>2.1357877768439022E-3</v>
      </c>
      <c r="AF21" s="47">
        <f t="shared" si="4"/>
        <v>0.90510849050151998</v>
      </c>
      <c r="AG21" s="47">
        <f t="shared" si="4"/>
        <v>0.37242984011523877</v>
      </c>
      <c r="AH21" s="47">
        <f t="shared" si="4"/>
        <v>0.42829239259549612</v>
      </c>
      <c r="AI21" s="47">
        <f t="shared" si="4"/>
        <v>-0.60508378521145356</v>
      </c>
      <c r="AJ21" s="47">
        <f t="shared" si="4"/>
        <v>0.45884194581892718</v>
      </c>
      <c r="AK21" s="47">
        <f t="shared" si="4"/>
        <v>-0.49799419622887153</v>
      </c>
      <c r="AL21" s="47">
        <f t="shared" si="4"/>
        <v>9.7039748513662996E-2</v>
      </c>
      <c r="AM21" s="47">
        <f t="shared" si="4"/>
        <v>5.1551565159069085E-2</v>
      </c>
      <c r="AN21" s="47">
        <f t="shared" si="4"/>
        <v>0.35623307056628589</v>
      </c>
      <c r="AO21" s="47">
        <f t="shared" si="4"/>
        <v>-0.29018544180615025</v>
      </c>
      <c r="AP21" s="47">
        <f t="shared" si="4"/>
        <v>-2.7083822783105869E-2</v>
      </c>
      <c r="AQ21" s="47">
        <f t="shared" si="4"/>
        <v>0.51108077333664403</v>
      </c>
      <c r="AR21" s="47">
        <f t="shared" si="4"/>
        <v>-0.49424003948154743</v>
      </c>
      <c r="AS21" s="47">
        <f t="shared" si="4"/>
        <v>-0.80540178646110749</v>
      </c>
      <c r="AT21" s="47">
        <f t="shared" si="4"/>
        <v>-0.13698772524212471</v>
      </c>
      <c r="AU21" s="47">
        <f t="shared" si="4"/>
        <v>0.11094641817385383</v>
      </c>
      <c r="AV21" s="47">
        <f t="shared" si="4"/>
        <v>-0.77179814067190389</v>
      </c>
      <c r="AW21" s="47">
        <f t="shared" si="4"/>
        <v>-0.22224043452759221</v>
      </c>
      <c r="AX21" s="47">
        <f t="shared" si="4"/>
        <v>-8.3923883348487965E-2</v>
      </c>
      <c r="AY21" s="47">
        <f t="shared" si="4"/>
        <v>5.725340335212447E-2</v>
      </c>
      <c r="AZ21" s="47">
        <f t="shared" si="4"/>
        <v>-0.82908490565392989</v>
      </c>
      <c r="BA21" s="47">
        <f t="shared" si="4"/>
        <v>-1.2546427898463768</v>
      </c>
      <c r="BB21" s="47">
        <f t="shared" si="4"/>
        <v>-1.587823738210951</v>
      </c>
      <c r="BC21" s="47">
        <f t="shared" si="4"/>
        <v>-0.30437046855777444</v>
      </c>
      <c r="BD21" s="47">
        <f t="shared" si="4"/>
        <v>-0.15538633211192279</v>
      </c>
      <c r="BE21" s="47">
        <f t="shared" si="4"/>
        <v>-0.368807642155905</v>
      </c>
      <c r="BF21" s="47">
        <f t="shared" si="4"/>
        <v>-0.24490103399747593</v>
      </c>
      <c r="BG21" s="47">
        <f t="shared" si="4"/>
        <v>-6.1122800629048922E-2</v>
      </c>
      <c r="BH21" s="47">
        <f t="shared" si="4"/>
        <v>-0.387067459985593</v>
      </c>
      <c r="BI21" s="47">
        <f t="shared" si="4"/>
        <v>-0.24995540761256932</v>
      </c>
      <c r="BJ21" s="47">
        <f t="shared" si="4"/>
        <v>-0.5666010912342142</v>
      </c>
      <c r="BK21" s="47">
        <f t="shared" si="4"/>
        <v>0.2111005324136267</v>
      </c>
      <c r="BL21" s="47">
        <f t="shared" si="4"/>
        <v>-1.2981290753731052</v>
      </c>
      <c r="BM21" s="47">
        <f t="shared" si="4"/>
        <v>-0.9708749643700505</v>
      </c>
      <c r="BN21" s="47">
        <f t="shared" si="4"/>
        <v>-0.53968195204028946</v>
      </c>
      <c r="BO21" s="47">
        <f t="shared" si="4"/>
        <v>-0.38227570740319955</v>
      </c>
      <c r="BP21" s="47">
        <f t="shared" si="4"/>
        <v>-6.3555042476044599E-2</v>
      </c>
      <c r="BQ21" s="47">
        <f t="shared" si="4"/>
        <v>-0.23471802804009997</v>
      </c>
      <c r="BR21" s="47">
        <f t="shared" si="4"/>
        <v>-0.27842119291084444</v>
      </c>
      <c r="BS21" s="47">
        <f t="shared" si="4"/>
        <v>-0.38817559876585128</v>
      </c>
      <c r="BT21" s="47">
        <f t="shared" si="4"/>
        <v>7.9665617800548805E-3</v>
      </c>
      <c r="BU21" s="47">
        <f t="shared" si="4"/>
        <v>8.1641838993571261E-2</v>
      </c>
      <c r="BV21" s="47">
        <f t="shared" si="4"/>
        <v>0.10298463594386234</v>
      </c>
      <c r="BW21" s="47">
        <f t="shared" si="4"/>
        <v>1.6570250253313514E-2</v>
      </c>
      <c r="BX21" s="47">
        <f t="shared" si="4"/>
        <v>7.5744514355825798E-2</v>
      </c>
      <c r="BY21" s="47">
        <f t="shared" si="4"/>
        <v>-0.14582772271378816</v>
      </c>
      <c r="BZ21" s="47">
        <f t="shared" si="4"/>
        <v>-0.19855620978908359</v>
      </c>
      <c r="CA21" s="47">
        <f t="shared" si="4"/>
        <v>-9.5277792940211201E-2</v>
      </c>
      <c r="CB21" s="47">
        <f t="shared" si="4"/>
        <v>-0.18529783162978794</v>
      </c>
    </row>
    <row r="22" spans="2:80" ht="10.15" hidden="1" x14ac:dyDescent="0.3"/>
    <row r="23" spans="2:80" ht="10.15" hidden="1" x14ac:dyDescent="0.3">
      <c r="B23" s="1" t="s">
        <v>19</v>
      </c>
      <c r="I23" s="15" t="s">
        <v>20</v>
      </c>
      <c r="R23" s="53">
        <v>0</v>
      </c>
      <c r="S23" s="53">
        <v>0</v>
      </c>
      <c r="T23" s="53">
        <v>0.9045161687506944</v>
      </c>
      <c r="U23" s="53">
        <v>0.91008554077776338</v>
      </c>
      <c r="V23" s="53">
        <v>0</v>
      </c>
      <c r="X23" s="53" t="str">
        <f t="shared" ref="X23:BC23" si="5">IFERROR(X79/SUM(X92:X96),"n/a")</f>
        <v>n/a</v>
      </c>
      <c r="Y23" s="53" t="str">
        <f t="shared" si="5"/>
        <v>n/a</v>
      </c>
      <c r="Z23" s="53" t="str">
        <f t="shared" si="5"/>
        <v>n/a</v>
      </c>
      <c r="AA23" s="53" t="str">
        <f t="shared" si="5"/>
        <v>n/a</v>
      </c>
      <c r="AB23" s="53" t="str">
        <f t="shared" si="5"/>
        <v>n/a</v>
      </c>
      <c r="AC23" s="53">
        <f t="shared" si="5"/>
        <v>0</v>
      </c>
      <c r="AD23" s="53">
        <f t="shared" si="5"/>
        <v>0</v>
      </c>
      <c r="AE23" s="53">
        <f t="shared" si="5"/>
        <v>0</v>
      </c>
      <c r="AF23" s="53">
        <f t="shared" si="5"/>
        <v>0</v>
      </c>
      <c r="AG23" s="53">
        <f t="shared" si="5"/>
        <v>0</v>
      </c>
      <c r="AH23" s="53">
        <f t="shared" si="5"/>
        <v>0</v>
      </c>
      <c r="AI23" s="53">
        <f t="shared" si="5"/>
        <v>0</v>
      </c>
      <c r="AJ23" s="53">
        <f t="shared" si="5"/>
        <v>0</v>
      </c>
      <c r="AK23" s="53">
        <f t="shared" si="5"/>
        <v>0</v>
      </c>
      <c r="AL23" s="53">
        <f t="shared" si="5"/>
        <v>0</v>
      </c>
      <c r="AM23" s="53">
        <f t="shared" si="5"/>
        <v>0</v>
      </c>
      <c r="AN23" s="53">
        <f t="shared" si="5"/>
        <v>0</v>
      </c>
      <c r="AO23" s="53">
        <f t="shared" si="5"/>
        <v>0</v>
      </c>
      <c r="AP23" s="53">
        <f t="shared" si="5"/>
        <v>0</v>
      </c>
      <c r="AQ23" s="53">
        <f t="shared" si="5"/>
        <v>0</v>
      </c>
      <c r="AR23" s="53">
        <f t="shared" si="5"/>
        <v>0</v>
      </c>
      <c r="AS23" s="53">
        <f t="shared" si="5"/>
        <v>0</v>
      </c>
      <c r="AT23" s="53">
        <f t="shared" si="5"/>
        <v>0</v>
      </c>
      <c r="AU23" s="53">
        <f t="shared" si="5"/>
        <v>0</v>
      </c>
      <c r="AV23" s="53">
        <f t="shared" si="5"/>
        <v>0</v>
      </c>
      <c r="AW23" s="53">
        <f t="shared" si="5"/>
        <v>0</v>
      </c>
      <c r="AX23" s="53">
        <f t="shared" si="5"/>
        <v>0</v>
      </c>
      <c r="AY23" s="53">
        <f t="shared" si="5"/>
        <v>0</v>
      </c>
      <c r="AZ23" s="53">
        <f t="shared" si="5"/>
        <v>0</v>
      </c>
      <c r="BA23" s="53">
        <f t="shared" si="5"/>
        <v>0</v>
      </c>
      <c r="BB23" s="53">
        <f t="shared" si="5"/>
        <v>0.45374685575792195</v>
      </c>
      <c r="BC23" s="53">
        <f t="shared" si="5"/>
        <v>0.89608628501387211</v>
      </c>
      <c r="BD23" s="53">
        <f t="shared" ref="BD23:CB23" si="6">IFERROR(BD79/SUM(BD92:BD96),"n/a")</f>
        <v>0.9045161687506944</v>
      </c>
      <c r="BE23" s="53">
        <f t="shared" si="6"/>
        <v>0.91862845845880581</v>
      </c>
      <c r="BF23" s="53">
        <f t="shared" si="6"/>
        <v>1.4056649024701533</v>
      </c>
      <c r="BG23" s="53">
        <f t="shared" si="6"/>
        <v>1.4111545308034796</v>
      </c>
      <c r="BH23" s="53">
        <f t="shared" si="6"/>
        <v>1.437445089771455</v>
      </c>
      <c r="BI23" s="53">
        <f t="shared" si="6"/>
        <v>1.4588431898123619</v>
      </c>
      <c r="BJ23" s="53">
        <f t="shared" si="6"/>
        <v>1.5045880604972435</v>
      </c>
      <c r="BK23" s="53">
        <f t="shared" si="6"/>
        <v>1.4699166193733242</v>
      </c>
      <c r="BL23" s="53">
        <f t="shared" si="6"/>
        <v>1.5429755475013922</v>
      </c>
      <c r="BM23" s="53">
        <f t="shared" si="6"/>
        <v>1.4764712637615212</v>
      </c>
      <c r="BN23" s="53">
        <f t="shared" si="6"/>
        <v>0.88482491861015755</v>
      </c>
      <c r="BO23" s="53">
        <f t="shared" si="6"/>
        <v>0.90487816044999936</v>
      </c>
      <c r="BP23" s="53">
        <f t="shared" si="6"/>
        <v>0.91008554077776338</v>
      </c>
      <c r="BQ23" s="53">
        <f t="shared" si="6"/>
        <v>0.92191925184587986</v>
      </c>
      <c r="BR23" s="53">
        <f t="shared" si="6"/>
        <v>0.93667565198822822</v>
      </c>
      <c r="BS23" s="53">
        <f t="shared" si="6"/>
        <v>0.95856203248929339</v>
      </c>
      <c r="BT23" s="53">
        <f t="shared" si="6"/>
        <v>0</v>
      </c>
      <c r="BU23" s="53">
        <f t="shared" si="6"/>
        <v>0</v>
      </c>
      <c r="BV23" s="53">
        <f t="shared" si="6"/>
        <v>0</v>
      </c>
      <c r="BW23" s="53">
        <f t="shared" si="6"/>
        <v>0</v>
      </c>
      <c r="BX23" s="53">
        <f t="shared" si="6"/>
        <v>0</v>
      </c>
      <c r="BY23" s="53">
        <f t="shared" si="6"/>
        <v>0</v>
      </c>
      <c r="BZ23" s="53">
        <f t="shared" si="6"/>
        <v>0</v>
      </c>
      <c r="CA23" s="53">
        <f t="shared" si="6"/>
        <v>0</v>
      </c>
      <c r="CB23" s="53">
        <f t="shared" si="6"/>
        <v>0</v>
      </c>
    </row>
    <row r="24" spans="2:80" ht="10.15" hidden="1" x14ac:dyDescent="0.3"/>
    <row r="25" spans="2:80" ht="10.15" x14ac:dyDescent="0.3">
      <c r="B25" s="25" t="s">
        <v>21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62"/>
      <c r="T25" s="62"/>
      <c r="U25" s="62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</row>
    <row r="26" spans="2:80" ht="10.15" x14ac:dyDescent="0.3">
      <c r="R26" s="28"/>
      <c r="S26" s="28"/>
      <c r="T26" s="28"/>
      <c r="U26" s="28"/>
      <c r="V26" s="28"/>
      <c r="W26" s="30"/>
      <c r="AS26" s="28"/>
      <c r="AT26" s="28"/>
      <c r="AU26" s="28"/>
      <c r="AV26" s="28"/>
      <c r="AW26" s="28"/>
      <c r="AX26" s="28"/>
      <c r="BA26" s="28"/>
      <c r="BD26" s="31"/>
      <c r="BE26" s="28"/>
      <c r="BF26" s="28"/>
      <c r="BG26" s="28"/>
      <c r="BH26" s="28"/>
      <c r="BI26" s="28"/>
      <c r="BJ26" s="31"/>
      <c r="BM26" s="31"/>
      <c r="BP26" s="31"/>
      <c r="BQ26" s="52"/>
      <c r="BR26" s="31"/>
    </row>
    <row r="27" spans="2:80" ht="10.15" hidden="1" outlineLevel="1" x14ac:dyDescent="0.3">
      <c r="C27" s="1" t="s">
        <v>22</v>
      </c>
      <c r="I27" s="15" t="s">
        <v>0</v>
      </c>
      <c r="R27" s="28" t="e">
        <v>#REF!</v>
      </c>
      <c r="S27" s="28" t="e">
        <v>#REF!</v>
      </c>
      <c r="T27" s="28" t="e">
        <v>#REF!</v>
      </c>
      <c r="U27" s="28" t="e">
        <v>#REF!</v>
      </c>
      <c r="V27" s="28" t="e">
        <v>#REF!</v>
      </c>
      <c r="X27" s="28" t="e">
        <f>#REF!</f>
        <v>#REF!</v>
      </c>
      <c r="Y27" s="28" t="e">
        <f>#REF!</f>
        <v>#REF!</v>
      </c>
      <c r="Z27" s="28" t="e">
        <f>#REF!</f>
        <v>#REF!</v>
      </c>
      <c r="AA27" s="28" t="e">
        <f>#REF!</f>
        <v>#REF!</v>
      </c>
      <c r="AB27" s="28" t="e">
        <f>#REF!</f>
        <v>#REF!</v>
      </c>
      <c r="AC27" s="28" t="e">
        <f>#REF!</f>
        <v>#REF!</v>
      </c>
      <c r="AD27" s="28" t="e">
        <f>#REF!</f>
        <v>#REF!</v>
      </c>
      <c r="AE27" s="28" t="e">
        <f>#REF!</f>
        <v>#REF!</v>
      </c>
      <c r="AF27" s="28" t="e">
        <f>#REF!</f>
        <v>#REF!</v>
      </c>
      <c r="AG27" s="28" t="e">
        <f>#REF!</f>
        <v>#REF!</v>
      </c>
      <c r="AH27" s="28" t="e">
        <f>#REF!</f>
        <v>#REF!</v>
      </c>
      <c r="AI27" s="28" t="e">
        <f>#REF!</f>
        <v>#REF!</v>
      </c>
      <c r="AJ27" s="28" t="e">
        <f>#REF!</f>
        <v>#REF!</v>
      </c>
      <c r="AK27" s="28" t="e">
        <f>#REF!</f>
        <v>#REF!</v>
      </c>
      <c r="AL27" s="28" t="e">
        <f>#REF!</f>
        <v>#REF!</v>
      </c>
      <c r="AM27" s="28" t="e">
        <f>#REF!</f>
        <v>#REF!</v>
      </c>
      <c r="AN27" s="28" t="e">
        <f>#REF!</f>
        <v>#REF!</v>
      </c>
      <c r="AO27" s="28" t="e">
        <f>#REF!</f>
        <v>#REF!</v>
      </c>
      <c r="AP27" s="28" t="e">
        <f>#REF!</f>
        <v>#REF!</v>
      </c>
      <c r="AQ27" s="28" t="e">
        <f>#REF!</f>
        <v>#REF!</v>
      </c>
      <c r="AR27" s="28" t="e">
        <f>#REF!</f>
        <v>#REF!</v>
      </c>
      <c r="AS27" s="28" t="e">
        <f>#REF!</f>
        <v>#REF!</v>
      </c>
      <c r="AT27" s="28" t="e">
        <f>#REF!</f>
        <v>#REF!</v>
      </c>
      <c r="AU27" s="28" t="e">
        <f>#REF!</f>
        <v>#REF!</v>
      </c>
      <c r="AV27" s="28" t="e">
        <f>#REF!</f>
        <v>#REF!</v>
      </c>
      <c r="AW27" s="28" t="e">
        <f>#REF!</f>
        <v>#REF!</v>
      </c>
      <c r="AX27" s="28" t="e">
        <f>#REF!</f>
        <v>#REF!</v>
      </c>
      <c r="AY27" s="28" t="e">
        <f>#REF!</f>
        <v>#REF!</v>
      </c>
      <c r="AZ27" s="28" t="e">
        <f>#REF!</f>
        <v>#REF!</v>
      </c>
      <c r="BA27" s="28" t="e">
        <f>#REF!</f>
        <v>#REF!</v>
      </c>
      <c r="BB27" s="28" t="e">
        <f>#REF!</f>
        <v>#REF!</v>
      </c>
      <c r="BC27" s="28" t="e">
        <f>#REF!</f>
        <v>#REF!</v>
      </c>
      <c r="BD27" s="28" t="e">
        <f>#REF!</f>
        <v>#REF!</v>
      </c>
      <c r="BE27" s="28" t="e">
        <f>#REF!</f>
        <v>#REF!</v>
      </c>
      <c r="BF27" s="28" t="e">
        <f>#REF!</f>
        <v>#REF!</v>
      </c>
      <c r="BG27" s="28" t="e">
        <f>#REF!</f>
        <v>#REF!</v>
      </c>
      <c r="BH27" s="28" t="e">
        <f>#REF!</f>
        <v>#REF!</v>
      </c>
      <c r="BI27" s="28" t="e">
        <f>#REF!</f>
        <v>#REF!</v>
      </c>
      <c r="BJ27" s="28" t="e">
        <f>#REF!</f>
        <v>#REF!</v>
      </c>
      <c r="BK27" s="28" t="e">
        <f>#REF!</f>
        <v>#REF!</v>
      </c>
      <c r="BL27" s="28" t="e">
        <f>#REF!</f>
        <v>#REF!</v>
      </c>
      <c r="BM27" s="28" t="e">
        <f>#REF!</f>
        <v>#REF!</v>
      </c>
      <c r="BN27" s="28" t="e">
        <f>#REF!</f>
        <v>#REF!</v>
      </c>
      <c r="BO27" s="28" t="e">
        <f>#REF!</f>
        <v>#REF!</v>
      </c>
      <c r="BP27" s="28" t="e">
        <f>#REF!</f>
        <v>#REF!</v>
      </c>
      <c r="BQ27" s="28" t="e">
        <f>#REF!</f>
        <v>#REF!</v>
      </c>
      <c r="BR27" s="28" t="e">
        <f>#REF!</f>
        <v>#REF!</v>
      </c>
      <c r="BS27" s="28" t="e">
        <f>#REF!</f>
        <v>#REF!</v>
      </c>
      <c r="BT27" s="28" t="e">
        <f>#REF!</f>
        <v>#REF!</v>
      </c>
      <c r="BU27" s="28" t="e">
        <f>#REF!</f>
        <v>#REF!</v>
      </c>
      <c r="BV27" s="28" t="e">
        <f>#REF!</f>
        <v>#REF!</v>
      </c>
      <c r="BW27" s="28" t="e">
        <f>#REF!</f>
        <v>#REF!</v>
      </c>
      <c r="BX27" s="28" t="e">
        <f>#REF!</f>
        <v>#REF!</v>
      </c>
      <c r="BY27" s="28" t="e">
        <f>#REF!</f>
        <v>#REF!</v>
      </c>
      <c r="BZ27" s="28" t="e">
        <f>#REF!</f>
        <v>#REF!</v>
      </c>
      <c r="CA27" s="28" t="e">
        <f>#REF!</f>
        <v>#REF!</v>
      </c>
      <c r="CB27" s="28" t="e">
        <f>#REF!</f>
        <v>#REF!</v>
      </c>
    </row>
    <row r="28" spans="2:80" ht="10.15" collapsed="1" x14ac:dyDescent="0.3">
      <c r="C28" s="1" t="s">
        <v>23</v>
      </c>
      <c r="I28" s="15" t="s">
        <v>0</v>
      </c>
      <c r="R28" s="28">
        <v>114409.4342</v>
      </c>
      <c r="S28" s="28">
        <v>553991.41</v>
      </c>
      <c r="T28" s="28">
        <v>786170.21870000008</v>
      </c>
      <c r="U28" s="28">
        <v>2017692.2881500002</v>
      </c>
      <c r="V28" s="28">
        <v>3899190</v>
      </c>
      <c r="X28" s="46">
        <v>6057</v>
      </c>
      <c r="Y28" s="46">
        <v>4347.6025</v>
      </c>
      <c r="Z28" s="46">
        <v>6034.5</v>
      </c>
      <c r="AA28" s="46">
        <v>12643</v>
      </c>
      <c r="AB28" s="46">
        <v>14447.59</v>
      </c>
      <c r="AC28" s="46">
        <v>17402.579999999998</v>
      </c>
      <c r="AD28" s="46">
        <v>15231.2</v>
      </c>
      <c r="AE28" s="46">
        <v>16376.550000000001</v>
      </c>
      <c r="AF28" s="46">
        <v>21869.411700000001</v>
      </c>
      <c r="AG28" s="46">
        <v>25988.296300000002</v>
      </c>
      <c r="AH28" s="46">
        <v>39394.100799999993</v>
      </c>
      <c r="AI28" s="46">
        <v>20425.800999999999</v>
      </c>
      <c r="AJ28" s="46">
        <v>23984.920100000003</v>
      </c>
      <c r="AK28" s="46">
        <v>40536.154999999999</v>
      </c>
      <c r="AL28" s="46">
        <v>36647.631700000005</v>
      </c>
      <c r="AM28" s="46">
        <v>32698.576000000001</v>
      </c>
      <c r="AN28" s="46">
        <v>59964.717750000003</v>
      </c>
      <c r="AO28" s="46">
        <v>39321.578699999998</v>
      </c>
      <c r="AP28" s="46">
        <v>42793.366799999989</v>
      </c>
      <c r="AQ28" s="46">
        <v>65844.179600000003</v>
      </c>
      <c r="AR28" s="46">
        <v>126392.08625000002</v>
      </c>
      <c r="AS28" s="46">
        <v>24408.620999999999</v>
      </c>
      <c r="AT28" s="46">
        <v>45592.368250000007</v>
      </c>
      <c r="AU28" s="46">
        <v>85326.710950000008</v>
      </c>
      <c r="AV28" s="46">
        <v>52411.778400000003</v>
      </c>
      <c r="AW28" s="46">
        <v>63906.030399999996</v>
      </c>
      <c r="AX28" s="46">
        <v>76392.102050000001</v>
      </c>
      <c r="AY28" s="46">
        <v>82378.976850000006</v>
      </c>
      <c r="AZ28" s="46">
        <v>57280.823099999994</v>
      </c>
      <c r="BA28" s="46">
        <v>39551.850000000006</v>
      </c>
      <c r="BB28" s="46">
        <v>49308.34825000001</v>
      </c>
      <c r="BC28" s="46">
        <v>91278.749550000008</v>
      </c>
      <c r="BD28" s="46">
        <v>118333.85990000001</v>
      </c>
      <c r="BE28" s="46">
        <v>101110.21375</v>
      </c>
      <c r="BF28" s="46">
        <v>141102.49604999999</v>
      </c>
      <c r="BG28" s="46">
        <v>175908.99854999996</v>
      </c>
      <c r="BH28" s="46">
        <v>118515.15255</v>
      </c>
      <c r="BI28" s="46">
        <v>138594.9362</v>
      </c>
      <c r="BJ28" s="46">
        <v>127697.2439</v>
      </c>
      <c r="BK28" s="46">
        <v>281446.46249999997</v>
      </c>
      <c r="BL28" s="46">
        <v>95861.409750000006</v>
      </c>
      <c r="BM28" s="46">
        <v>132023.55179999999</v>
      </c>
      <c r="BN28" s="46">
        <v>197047.66205000007</v>
      </c>
      <c r="BO28" s="46">
        <v>254374.24979999993</v>
      </c>
      <c r="BP28" s="46">
        <v>254009.91125000003</v>
      </c>
      <c r="BQ28" s="46">
        <v>207900</v>
      </c>
      <c r="BR28" s="46">
        <v>213300</v>
      </c>
      <c r="BS28" s="46">
        <v>219780</v>
      </c>
      <c r="BT28" s="46">
        <v>322920</v>
      </c>
      <c r="BU28" s="46">
        <v>335880</v>
      </c>
      <c r="BV28" s="46">
        <v>398520</v>
      </c>
      <c r="BW28" s="46">
        <v>398520</v>
      </c>
      <c r="BX28" s="46">
        <v>398520</v>
      </c>
      <c r="BY28" s="46">
        <v>352350</v>
      </c>
      <c r="BZ28" s="46">
        <v>349350</v>
      </c>
      <c r="CA28" s="46">
        <v>344850</v>
      </c>
      <c r="CB28" s="46">
        <v>357300</v>
      </c>
    </row>
    <row r="29" spans="2:80" ht="10.15" x14ac:dyDescent="0.3">
      <c r="C29" s="1" t="s">
        <v>24</v>
      </c>
      <c r="I29" s="15" t="s">
        <v>0</v>
      </c>
      <c r="R29" s="28">
        <v>693831.16020000004</v>
      </c>
      <c r="S29" s="28">
        <v>4065466.6738560004</v>
      </c>
      <c r="T29" s="28">
        <v>6479299.79</v>
      </c>
      <c r="U29" s="28">
        <v>14374265.750144001</v>
      </c>
      <c r="V29" s="28">
        <v>30023763</v>
      </c>
      <c r="X29" s="46">
        <v>12114</v>
      </c>
      <c r="Y29" s="46">
        <v>17390.41</v>
      </c>
      <c r="Z29" s="46">
        <v>36207</v>
      </c>
      <c r="AA29" s="46">
        <v>75858</v>
      </c>
      <c r="AB29" s="46">
        <v>116498.13</v>
      </c>
      <c r="AC29" s="46">
        <v>85266.92</v>
      </c>
      <c r="AD29" s="46">
        <v>85176.8</v>
      </c>
      <c r="AE29" s="46">
        <v>86011.9</v>
      </c>
      <c r="AF29" s="46">
        <v>179308.00019999998</v>
      </c>
      <c r="AG29" s="46">
        <v>188258.84239999999</v>
      </c>
      <c r="AH29" s="46">
        <v>220393.16619999998</v>
      </c>
      <c r="AI29" s="46">
        <v>185903.796</v>
      </c>
      <c r="AJ29" s="46">
        <v>138858.33309599999</v>
      </c>
      <c r="AK29" s="46">
        <v>258358.12000000002</v>
      </c>
      <c r="AL29" s="46">
        <v>360792.65059999999</v>
      </c>
      <c r="AM29" s="46">
        <v>279229.60726000002</v>
      </c>
      <c r="AN29" s="46">
        <v>361068.13959999999</v>
      </c>
      <c r="AO29" s="46">
        <v>392275.24739999999</v>
      </c>
      <c r="AP29" s="46">
        <v>258627.23119999998</v>
      </c>
      <c r="AQ29" s="46">
        <v>648533.5098</v>
      </c>
      <c r="AR29" s="46">
        <v>773168.03029999998</v>
      </c>
      <c r="AS29" s="46">
        <v>259532.57640000002</v>
      </c>
      <c r="AT29" s="46">
        <v>353008.255</v>
      </c>
      <c r="AU29" s="46">
        <v>778208.67510000011</v>
      </c>
      <c r="AV29" s="46">
        <v>321315.4963</v>
      </c>
      <c r="AW29" s="46">
        <v>627534.4450999999</v>
      </c>
      <c r="AX29" s="46">
        <v>637639.85510000004</v>
      </c>
      <c r="AY29" s="46">
        <v>657354.40560000006</v>
      </c>
      <c r="AZ29" s="46">
        <v>446981.75189999997</v>
      </c>
      <c r="BA29" s="46">
        <v>368520.69999999995</v>
      </c>
      <c r="BB29" s="46">
        <v>388377.48359999998</v>
      </c>
      <c r="BC29" s="46">
        <v>697292.84810000006</v>
      </c>
      <c r="BD29" s="46">
        <v>943533.29779999994</v>
      </c>
      <c r="BE29" s="46">
        <v>721077.21550000005</v>
      </c>
      <c r="BF29" s="46">
        <v>901077.45359999989</v>
      </c>
      <c r="BG29" s="46">
        <v>1099768.0862200002</v>
      </c>
      <c r="BH29" s="46">
        <v>877394.22481999989</v>
      </c>
      <c r="BI29" s="46">
        <v>1136062.6034000001</v>
      </c>
      <c r="BJ29" s="46">
        <v>960306.68001999985</v>
      </c>
      <c r="BK29" s="46">
        <v>2181203.6166499997</v>
      </c>
      <c r="BL29" s="46">
        <v>654418.92934999999</v>
      </c>
      <c r="BM29" s="46">
        <v>878644.57926000003</v>
      </c>
      <c r="BN29" s="46">
        <v>1494359.47224</v>
      </c>
      <c r="BO29" s="46">
        <v>1824557.51324</v>
      </c>
      <c r="BP29" s="46">
        <v>1645395.3758439997</v>
      </c>
      <c r="BQ29" s="46">
        <v>1600830</v>
      </c>
      <c r="BR29" s="46">
        <v>1642410</v>
      </c>
      <c r="BS29" s="46">
        <v>1692306</v>
      </c>
      <c r="BT29" s="46">
        <v>2486484</v>
      </c>
      <c r="BU29" s="46">
        <v>2586276</v>
      </c>
      <c r="BV29" s="46">
        <v>3068604</v>
      </c>
      <c r="BW29" s="46">
        <v>3068604</v>
      </c>
      <c r="BX29" s="46">
        <v>3068604</v>
      </c>
      <c r="BY29" s="46">
        <v>2713095</v>
      </c>
      <c r="BZ29" s="46">
        <v>2689995</v>
      </c>
      <c r="CA29" s="46">
        <v>2655345</v>
      </c>
      <c r="CB29" s="46">
        <v>2751210</v>
      </c>
    </row>
    <row r="30" spans="2:80" ht="10.15" x14ac:dyDescent="0.3">
      <c r="C30" s="1" t="s">
        <v>25</v>
      </c>
      <c r="I30" s="15" t="s">
        <v>0</v>
      </c>
      <c r="R30" s="28">
        <v>150320</v>
      </c>
      <c r="S30" s="28">
        <v>395217.38999999996</v>
      </c>
      <c r="T30" s="28">
        <v>293478.27</v>
      </c>
      <c r="U30" s="28">
        <v>65217.39</v>
      </c>
      <c r="V30" s="28">
        <v>0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33">
        <v>0</v>
      </c>
      <c r="AD30" s="33">
        <v>0</v>
      </c>
      <c r="AE30" s="33">
        <v>0</v>
      </c>
      <c r="AF30" s="33">
        <v>150320</v>
      </c>
      <c r="AG30" s="33">
        <v>0</v>
      </c>
      <c r="AH30" s="33">
        <v>0</v>
      </c>
      <c r="AI30" s="33">
        <v>0</v>
      </c>
      <c r="AJ30" s="33">
        <v>0</v>
      </c>
      <c r="AK30" s="33">
        <v>0</v>
      </c>
      <c r="AL30" s="33">
        <v>0</v>
      </c>
      <c r="AM30" s="33">
        <v>0</v>
      </c>
      <c r="AN30" s="33">
        <v>105000</v>
      </c>
      <c r="AO30" s="33">
        <v>0</v>
      </c>
      <c r="AP30" s="33">
        <v>45652.17</v>
      </c>
      <c r="AQ30" s="33">
        <v>84782.61</v>
      </c>
      <c r="AR30" s="33">
        <v>159782.60999999999</v>
      </c>
      <c r="AS30" s="33">
        <v>0</v>
      </c>
      <c r="AT30" s="33">
        <v>104347.83</v>
      </c>
      <c r="AU30" s="33">
        <v>19565.22</v>
      </c>
      <c r="AV30" s="33">
        <v>0</v>
      </c>
      <c r="AW30" s="33">
        <v>0</v>
      </c>
      <c r="AX30" s="33">
        <v>0</v>
      </c>
      <c r="AY30" s="33">
        <v>143478.26</v>
      </c>
      <c r="AZ30" s="33">
        <v>0</v>
      </c>
      <c r="BA30" s="33">
        <v>0</v>
      </c>
      <c r="BB30" s="33">
        <v>0</v>
      </c>
      <c r="BC30" s="33">
        <v>0</v>
      </c>
      <c r="BD30" s="33">
        <v>26086.959999999999</v>
      </c>
      <c r="BE30" s="33">
        <v>65217.39</v>
      </c>
      <c r="BF30" s="33">
        <v>0</v>
      </c>
      <c r="BG30" s="33">
        <v>0</v>
      </c>
      <c r="BH30" s="33">
        <v>0</v>
      </c>
      <c r="BI30" s="33">
        <v>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3">
        <v>0</v>
      </c>
      <c r="BQ30" s="33">
        <v>0</v>
      </c>
      <c r="BR30" s="33">
        <v>0</v>
      </c>
      <c r="BS30" s="33">
        <v>0</v>
      </c>
      <c r="BT30" s="33">
        <v>0</v>
      </c>
      <c r="BU30" s="33">
        <v>0</v>
      </c>
      <c r="BV30" s="33">
        <v>0</v>
      </c>
      <c r="BW30" s="33">
        <v>0</v>
      </c>
      <c r="BX30" s="33">
        <v>0</v>
      </c>
      <c r="BY30" s="33">
        <v>0</v>
      </c>
      <c r="BZ30" s="33">
        <v>0</v>
      </c>
      <c r="CA30" s="33">
        <v>0</v>
      </c>
      <c r="CB30" s="33">
        <v>0</v>
      </c>
    </row>
    <row r="31" spans="2:80" ht="10.15" x14ac:dyDescent="0.3">
      <c r="C31" s="1" t="s">
        <v>26</v>
      </c>
      <c r="I31" s="15" t="s">
        <v>0</v>
      </c>
      <c r="R31" s="28">
        <v>0</v>
      </c>
      <c r="S31" s="28">
        <v>0</v>
      </c>
      <c r="T31" s="28">
        <v>93226.449999999983</v>
      </c>
      <c r="U31" s="28">
        <v>-8489.5500000000065</v>
      </c>
      <c r="V31" s="28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33">
        <v>0</v>
      </c>
      <c r="AP31" s="33">
        <v>0</v>
      </c>
      <c r="AQ31" s="33">
        <v>0</v>
      </c>
      <c r="AR31" s="33">
        <v>0</v>
      </c>
      <c r="AS31" s="33">
        <v>0</v>
      </c>
      <c r="AT31" s="33">
        <v>8488.56</v>
      </c>
      <c r="AU31" s="33">
        <v>11033.03</v>
      </c>
      <c r="AV31" s="33">
        <v>12475.34</v>
      </c>
      <c r="AW31" s="33">
        <v>5820.46</v>
      </c>
      <c r="AX31" s="33">
        <v>0</v>
      </c>
      <c r="AY31" s="33">
        <v>39587.379999999997</v>
      </c>
      <c r="AZ31" s="33">
        <v>7915.43</v>
      </c>
      <c r="BA31" s="33">
        <v>6670</v>
      </c>
      <c r="BB31" s="33">
        <v>1236.25</v>
      </c>
      <c r="BC31" s="33">
        <v>0</v>
      </c>
      <c r="BD31" s="33">
        <v>0</v>
      </c>
      <c r="BE31" s="33">
        <v>0</v>
      </c>
      <c r="BF31" s="33">
        <v>4140</v>
      </c>
      <c r="BG31" s="33">
        <v>7728.16</v>
      </c>
      <c r="BH31" s="33">
        <v>-11638.83</v>
      </c>
      <c r="BI31" s="33">
        <v>-16277.710000000006</v>
      </c>
      <c r="BJ31" s="33">
        <v>7558.83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28">
        <v>0</v>
      </c>
      <c r="BR31" s="28">
        <v>0</v>
      </c>
      <c r="BS31" s="28">
        <v>0</v>
      </c>
      <c r="BT31" s="28">
        <v>0</v>
      </c>
      <c r="BU31" s="28">
        <v>0</v>
      </c>
      <c r="BV31" s="28">
        <v>0</v>
      </c>
      <c r="BW31" s="28">
        <v>0</v>
      </c>
      <c r="BX31" s="28">
        <v>0</v>
      </c>
      <c r="BY31" s="28">
        <v>0</v>
      </c>
      <c r="BZ31" s="28">
        <v>0</v>
      </c>
      <c r="CA31" s="28">
        <v>0</v>
      </c>
      <c r="CB31" s="28">
        <v>0</v>
      </c>
    </row>
    <row r="32" spans="2:80" ht="10.15" x14ac:dyDescent="0.3">
      <c r="B32" s="17" t="s">
        <v>27</v>
      </c>
      <c r="C32" s="17"/>
      <c r="D32" s="17"/>
      <c r="E32" s="17"/>
      <c r="F32" s="17"/>
      <c r="G32" s="17"/>
      <c r="H32" s="17"/>
      <c r="I32" s="18" t="s">
        <v>0</v>
      </c>
      <c r="J32" s="17"/>
      <c r="K32" s="17"/>
      <c r="L32" s="17"/>
      <c r="M32" s="17"/>
      <c r="N32" s="17"/>
      <c r="O32" s="17"/>
      <c r="P32" s="17"/>
      <c r="Q32" s="17"/>
      <c r="R32" s="27">
        <v>958560.59440000006</v>
      </c>
      <c r="S32" s="27">
        <v>5014675.4738560002</v>
      </c>
      <c r="T32" s="27">
        <v>7652174.7286999999</v>
      </c>
      <c r="U32" s="27">
        <v>16448685.878294</v>
      </c>
      <c r="V32" s="27">
        <v>33922953</v>
      </c>
      <c r="W32" s="17"/>
      <c r="X32" s="27">
        <v>18171</v>
      </c>
      <c r="Y32" s="27">
        <v>21738.012500000001</v>
      </c>
      <c r="Z32" s="27">
        <v>42241.5</v>
      </c>
      <c r="AA32" s="27">
        <v>88501</v>
      </c>
      <c r="AB32" s="27">
        <v>130945.72</v>
      </c>
      <c r="AC32" s="27">
        <v>102669.5</v>
      </c>
      <c r="AD32" s="27">
        <v>100408</v>
      </c>
      <c r="AE32" s="27">
        <v>102388.45</v>
      </c>
      <c r="AF32" s="27">
        <v>351497.41189999995</v>
      </c>
      <c r="AG32" s="40">
        <v>214275.58000000007</v>
      </c>
      <c r="AH32" s="40">
        <v>259787.29000000004</v>
      </c>
      <c r="AI32" s="40">
        <v>206329.5999999987</v>
      </c>
      <c r="AJ32" s="40">
        <v>310215.70999999996</v>
      </c>
      <c r="AK32" s="40">
        <v>139206.03999999724</v>
      </c>
      <c r="AL32" s="40">
        <v>397435.49000000488</v>
      </c>
      <c r="AM32" s="40">
        <v>311904.40000000037</v>
      </c>
      <c r="AN32" s="40">
        <v>532748.18000000063</v>
      </c>
      <c r="AO32" s="40">
        <v>417462.5</v>
      </c>
      <c r="AP32" s="40">
        <v>339752.2600000003</v>
      </c>
      <c r="AQ32" s="40">
        <v>801384.49999999965</v>
      </c>
      <c r="AR32" s="40">
        <v>1058317.1500000008</v>
      </c>
      <c r="AS32" s="40">
        <v>283941.25</v>
      </c>
      <c r="AT32" s="40">
        <v>511435.74999999994</v>
      </c>
      <c r="AU32" s="40">
        <v>886882.79999999818</v>
      </c>
      <c r="AV32" s="40">
        <v>386198.65000000037</v>
      </c>
      <c r="AW32" s="40">
        <v>708068.26999999955</v>
      </c>
      <c r="AX32" s="40">
        <v>745679.15000000037</v>
      </c>
      <c r="AY32" s="40">
        <v>918279.2100000002</v>
      </c>
      <c r="AZ32" s="40">
        <v>512191.45000000019</v>
      </c>
      <c r="BA32" s="40">
        <v>414742.54999999981</v>
      </c>
      <c r="BB32" s="40">
        <v>435836.7200000002</v>
      </c>
      <c r="BC32" s="40">
        <v>835386.62999999989</v>
      </c>
      <c r="BD32" s="40">
        <v>1041140.2199999997</v>
      </c>
      <c r="BE32" s="40">
        <v>909592.53999999946</v>
      </c>
      <c r="BF32" s="40">
        <v>1037328.4500000008</v>
      </c>
      <c r="BG32" s="40">
        <v>1283557.3499999996</v>
      </c>
      <c r="BH32" s="40">
        <v>1016968.049999999</v>
      </c>
      <c r="BI32" s="40">
        <v>1226778.9000000004</v>
      </c>
      <c r="BJ32" s="40">
        <v>1125538.3899999997</v>
      </c>
      <c r="BK32" s="40">
        <v>2358891.54</v>
      </c>
      <c r="BL32" s="40">
        <v>753602.77999999933</v>
      </c>
      <c r="BM32" s="40">
        <v>986564.62999999896</v>
      </c>
      <c r="BN32" s="40">
        <v>1717112.0999999996</v>
      </c>
      <c r="BO32" s="40">
        <v>1938560.6400000006</v>
      </c>
      <c r="BP32" s="40">
        <v>2781799.7300000004</v>
      </c>
      <c r="BQ32" s="27">
        <v>1808730</v>
      </c>
      <c r="BR32" s="27">
        <v>1855710</v>
      </c>
      <c r="BS32" s="27">
        <v>1912086</v>
      </c>
      <c r="BT32" s="27">
        <v>2809404</v>
      </c>
      <c r="BU32" s="27">
        <v>2922156</v>
      </c>
      <c r="BV32" s="27">
        <v>3467124</v>
      </c>
      <c r="BW32" s="27">
        <v>3467124</v>
      </c>
      <c r="BX32" s="27">
        <v>3467124</v>
      </c>
      <c r="BY32" s="27">
        <v>3065445</v>
      </c>
      <c r="BZ32" s="27">
        <v>3039345</v>
      </c>
      <c r="CA32" s="27">
        <v>3000195</v>
      </c>
      <c r="CB32" s="27">
        <v>3108510</v>
      </c>
    </row>
    <row r="33" spans="2:80" s="21" customFormat="1" ht="10.15" x14ac:dyDescent="0.3">
      <c r="C33" s="21" t="s">
        <v>16</v>
      </c>
      <c r="I33" s="29" t="s">
        <v>1</v>
      </c>
      <c r="R33" s="36">
        <v>0</v>
      </c>
      <c r="S33" s="36">
        <v>5.2314642424821125</v>
      </c>
      <c r="T33" s="36">
        <v>1.5259561199113674</v>
      </c>
      <c r="U33" s="36">
        <v>2.1495439481539922</v>
      </c>
      <c r="V33" s="36">
        <v>2.0623503452494876</v>
      </c>
      <c r="X33" s="36">
        <f>IFERROR(X32/W32,0)</f>
        <v>0</v>
      </c>
      <c r="Y33" s="36">
        <f t="shared" ref="Y33:CB33" si="7">IFERROR(Y32/X32,0)</f>
        <v>1.1963024874800507</v>
      </c>
      <c r="Z33" s="36">
        <f t="shared" si="7"/>
        <v>1.9432089295192005</v>
      </c>
      <c r="AA33" s="36">
        <f t="shared" si="7"/>
        <v>2.0951197282293479</v>
      </c>
      <c r="AB33" s="36">
        <f t="shared" si="7"/>
        <v>1.4795959367690761</v>
      </c>
      <c r="AC33" s="36">
        <f t="shared" si="7"/>
        <v>0.78406151800914148</v>
      </c>
      <c r="AD33" s="36">
        <f t="shared" si="7"/>
        <v>0.97797301048510021</v>
      </c>
      <c r="AE33" s="36">
        <f t="shared" si="7"/>
        <v>1.0197240259740259</v>
      </c>
      <c r="AF33" s="36">
        <f t="shared" si="7"/>
        <v>3.4329791289935532</v>
      </c>
      <c r="AG33" s="36">
        <f t="shared" si="7"/>
        <v>0.6096078455933579</v>
      </c>
      <c r="AH33" s="36">
        <f t="shared" si="7"/>
        <v>1.2123980250105959</v>
      </c>
      <c r="AI33" s="36">
        <f t="shared" si="7"/>
        <v>0.7942251524314321</v>
      </c>
      <c r="AJ33" s="36">
        <f t="shared" si="7"/>
        <v>1.5034959113961444</v>
      </c>
      <c r="AK33" s="36">
        <f t="shared" si="7"/>
        <v>0.44873949162664023</v>
      </c>
      <c r="AL33" s="36">
        <f t="shared" si="7"/>
        <v>2.8550161329207611</v>
      </c>
      <c r="AM33" s="36">
        <f t="shared" si="7"/>
        <v>0.7847925206679367</v>
      </c>
      <c r="AN33" s="36">
        <f t="shared" si="7"/>
        <v>1.7080495818590569</v>
      </c>
      <c r="AO33" s="36">
        <f t="shared" si="7"/>
        <v>0.78360192614829671</v>
      </c>
      <c r="AP33" s="36">
        <f t="shared" si="7"/>
        <v>0.81385096864987949</v>
      </c>
      <c r="AQ33" s="36">
        <f t="shared" si="7"/>
        <v>2.3587319183689872</v>
      </c>
      <c r="AR33" s="36">
        <f t="shared" si="7"/>
        <v>1.3206109551657179</v>
      </c>
      <c r="AS33" s="36">
        <f t="shared" si="7"/>
        <v>0.26829504747230049</v>
      </c>
      <c r="AT33" s="36">
        <f t="shared" si="7"/>
        <v>1.8012027135895188</v>
      </c>
      <c r="AU33" s="36">
        <f t="shared" si="7"/>
        <v>1.734104039461454</v>
      </c>
      <c r="AV33" s="36">
        <f t="shared" si="7"/>
        <v>0.43545624066675004</v>
      </c>
      <c r="AW33" s="36">
        <f t="shared" si="7"/>
        <v>1.8334302048958453</v>
      </c>
      <c r="AX33" s="36">
        <f t="shared" si="7"/>
        <v>1.0531175899182728</v>
      </c>
      <c r="AY33" s="36">
        <f t="shared" si="7"/>
        <v>1.2314669251513868</v>
      </c>
      <c r="AZ33" s="36">
        <f t="shared" si="7"/>
        <v>0.55777310911786848</v>
      </c>
      <c r="BA33" s="36">
        <f t="shared" si="7"/>
        <v>0.80974125983555501</v>
      </c>
      <c r="BB33" s="36">
        <f t="shared" si="7"/>
        <v>1.0508608774286612</v>
      </c>
      <c r="BC33" s="36">
        <f t="shared" si="7"/>
        <v>1.9167421918924121</v>
      </c>
      <c r="BD33" s="36">
        <f t="shared" si="7"/>
        <v>1.2462974419401467</v>
      </c>
      <c r="BE33" s="36">
        <f t="shared" si="7"/>
        <v>0.87365037151287817</v>
      </c>
      <c r="BF33" s="36">
        <f t="shared" si="7"/>
        <v>1.1404320114586708</v>
      </c>
      <c r="BG33" s="36">
        <f t="shared" si="7"/>
        <v>1.2373683089478542</v>
      </c>
      <c r="BH33" s="36">
        <f t="shared" si="7"/>
        <v>0.79230433295403535</v>
      </c>
      <c r="BI33" s="36">
        <f t="shared" si="7"/>
        <v>1.2063101687412909</v>
      </c>
      <c r="BJ33" s="36">
        <f t="shared" si="7"/>
        <v>0.91747452617582459</v>
      </c>
      <c r="BK33" s="36">
        <f t="shared" si="7"/>
        <v>2.0957895003474745</v>
      </c>
      <c r="BL33" s="36">
        <f t="shared" si="7"/>
        <v>0.31947326412472499</v>
      </c>
      <c r="BM33" s="36">
        <f t="shared" si="7"/>
        <v>1.3091308261893617</v>
      </c>
      <c r="BN33" s="36">
        <f t="shared" si="7"/>
        <v>1.7404963119344765</v>
      </c>
      <c r="BO33" s="36">
        <f t="shared" si="7"/>
        <v>1.1289656860492689</v>
      </c>
      <c r="BP33" s="36">
        <f t="shared" si="7"/>
        <v>1.4349820545206156</v>
      </c>
      <c r="BQ33" s="36">
        <f t="shared" si="7"/>
        <v>0.65020137161347691</v>
      </c>
      <c r="BR33" s="36">
        <f t="shared" si="7"/>
        <v>1.025974025974026</v>
      </c>
      <c r="BS33" s="36">
        <f t="shared" si="7"/>
        <v>1.030379746835443</v>
      </c>
      <c r="BT33" s="36">
        <f t="shared" si="7"/>
        <v>1.4692874692874693</v>
      </c>
      <c r="BU33" s="36">
        <f t="shared" si="7"/>
        <v>1.040133779264214</v>
      </c>
      <c r="BV33" s="36">
        <f t="shared" si="7"/>
        <v>1.1864951768488745</v>
      </c>
      <c r="BW33" s="36">
        <f t="shared" si="7"/>
        <v>1</v>
      </c>
      <c r="BX33" s="36">
        <f t="shared" si="7"/>
        <v>1</v>
      </c>
      <c r="BY33" s="36">
        <f t="shared" si="7"/>
        <v>0.88414634146341464</v>
      </c>
      <c r="BZ33" s="36">
        <f t="shared" si="7"/>
        <v>0.99148573861217537</v>
      </c>
      <c r="CA33" s="36">
        <f t="shared" si="7"/>
        <v>0.98711893516530702</v>
      </c>
      <c r="CB33" s="36">
        <f t="shared" si="7"/>
        <v>1.0361026533275337</v>
      </c>
    </row>
    <row r="34" spans="2:80" ht="10.15" x14ac:dyDescent="0.3">
      <c r="R34" s="28"/>
      <c r="S34" s="28"/>
      <c r="T34" s="28"/>
      <c r="U34" s="28"/>
      <c r="V34" s="28"/>
      <c r="W34" s="52"/>
      <c r="X34" s="28"/>
      <c r="AX34" s="28"/>
      <c r="BA34" s="28"/>
      <c r="BC34" s="31"/>
      <c r="BD34" s="31"/>
      <c r="BE34" s="28"/>
      <c r="BH34" s="28"/>
      <c r="BI34" s="54"/>
      <c r="BJ34" s="28"/>
      <c r="BK34" s="28"/>
      <c r="BM34" s="31"/>
      <c r="BN34" s="28"/>
      <c r="BO34" s="31"/>
      <c r="BP34" s="31"/>
      <c r="BQ34" s="31"/>
      <c r="BR34" s="31"/>
      <c r="BS34" s="31"/>
      <c r="BT34" s="31"/>
      <c r="BU34" s="31"/>
      <c r="BY34" s="31"/>
      <c r="BZ34" s="31"/>
      <c r="CA34" s="31"/>
      <c r="CB34" s="31"/>
    </row>
    <row r="35" spans="2:80" ht="10.15" hidden="1" outlineLevel="1" x14ac:dyDescent="0.3">
      <c r="C35" s="1" t="s">
        <v>28</v>
      </c>
      <c r="I35" s="15" t="s">
        <v>29</v>
      </c>
      <c r="R35" s="28">
        <v>-11937533.42</v>
      </c>
      <c r="S35" s="28">
        <v>-52736675.560000002</v>
      </c>
      <c r="T35" s="28">
        <v>-69143596.969999999</v>
      </c>
      <c r="U35" s="28">
        <v>-140302098.20000002</v>
      </c>
      <c r="V35" s="28">
        <v>-324932500</v>
      </c>
      <c r="X35" s="28">
        <v>-605705</v>
      </c>
      <c r="Y35" s="28">
        <v>-434767.25</v>
      </c>
      <c r="Z35" s="28">
        <v>-603460</v>
      </c>
      <c r="AA35" s="28">
        <v>-1264300</v>
      </c>
      <c r="AB35" s="28">
        <v>-1444821</v>
      </c>
      <c r="AC35" s="28">
        <v>-1740333</v>
      </c>
      <c r="AD35" s="28">
        <v>-1523177</v>
      </c>
      <c r="AE35" s="28">
        <v>-1637676</v>
      </c>
      <c r="AF35" s="28">
        <v>-2683294.17</v>
      </c>
      <c r="AG35" s="28">
        <v>-3105904.63</v>
      </c>
      <c r="AH35" s="28">
        <v>-3939522.08</v>
      </c>
      <c r="AI35" s="28">
        <v>-2042652.1</v>
      </c>
      <c r="AJ35" s="28">
        <v>-2398552.0099999998</v>
      </c>
      <c r="AK35" s="28">
        <v>-4053686.5</v>
      </c>
      <c r="AL35" s="28">
        <v>-3664853.17</v>
      </c>
      <c r="AM35" s="28">
        <v>-3269988.7800000003</v>
      </c>
      <c r="AN35" s="28">
        <v>-5606642.2199999997</v>
      </c>
      <c r="AO35" s="28">
        <v>-3435469.3399999994</v>
      </c>
      <c r="AP35" s="28">
        <v>-4124591.2800000003</v>
      </c>
      <c r="AQ35" s="28">
        <v>-5713200.46</v>
      </c>
      <c r="AR35" s="28">
        <v>-11381612.990000002</v>
      </c>
      <c r="AS35" s="28">
        <v>-2156941.4</v>
      </c>
      <c r="AT35" s="28">
        <v>-4407391.05</v>
      </c>
      <c r="AU35" s="28">
        <v>-9054370.3900000006</v>
      </c>
      <c r="AV35" s="28">
        <v>-4527197.09</v>
      </c>
      <c r="AW35" s="28">
        <v>-6980233.3599999994</v>
      </c>
      <c r="AX35" s="28">
        <v>-6212145.4700000007</v>
      </c>
      <c r="AY35" s="28">
        <v>-6535688.7899999991</v>
      </c>
      <c r="AZ35" s="28">
        <v>-6268449.9699999997</v>
      </c>
      <c r="BA35" s="28">
        <v>-3901388</v>
      </c>
      <c r="BB35" s="28">
        <v>-3670894.5500000003</v>
      </c>
      <c r="BC35" s="28">
        <v>-6410414.9700000007</v>
      </c>
      <c r="BD35" s="28">
        <v>-9018481.9300000016</v>
      </c>
      <c r="BE35" s="28">
        <v>-7154677.2399999993</v>
      </c>
      <c r="BF35" s="28">
        <v>-9631999.0700000003</v>
      </c>
      <c r="BG35" s="28">
        <v>-12403554.220000001</v>
      </c>
      <c r="BH35" s="28">
        <v>-8589581.3300000001</v>
      </c>
      <c r="BI35" s="28">
        <v>-9762752.0800000001</v>
      </c>
      <c r="BJ35" s="28">
        <v>-9405921.7299999986</v>
      </c>
      <c r="BK35" s="28">
        <v>-19325624.300000001</v>
      </c>
      <c r="BL35" s="28">
        <v>-6628685.6500000004</v>
      </c>
      <c r="BM35" s="28">
        <v>-9126416.1199999992</v>
      </c>
      <c r="BN35" s="28">
        <v>-13637714.390000002</v>
      </c>
      <c r="BO35" s="28">
        <v>-16958601.32</v>
      </c>
      <c r="BP35" s="28">
        <v>-17676570.75</v>
      </c>
      <c r="BQ35" s="28">
        <v>-17325000</v>
      </c>
      <c r="BR35" s="28">
        <v>-17775000</v>
      </c>
      <c r="BS35" s="28">
        <v>-18315000</v>
      </c>
      <c r="BT35" s="28">
        <v>-26910000</v>
      </c>
      <c r="BU35" s="28">
        <v>-27990000</v>
      </c>
      <c r="BV35" s="28">
        <v>-33210000</v>
      </c>
      <c r="BW35" s="28">
        <v>-33210000</v>
      </c>
      <c r="BX35" s="28">
        <v>-33210000</v>
      </c>
      <c r="BY35" s="28">
        <v>-29362500</v>
      </c>
      <c r="BZ35" s="28">
        <v>-29112500</v>
      </c>
      <c r="CA35" s="28">
        <v>-28737500</v>
      </c>
      <c r="CB35" s="28">
        <v>-29775000</v>
      </c>
    </row>
    <row r="36" spans="2:80" ht="10.15" collapsed="1" x14ac:dyDescent="0.3">
      <c r="C36" s="1" t="s">
        <v>30</v>
      </c>
      <c r="I36" s="15" t="s">
        <v>0</v>
      </c>
      <c r="R36" s="28">
        <v>0</v>
      </c>
      <c r="S36" s="28">
        <v>-203000</v>
      </c>
      <c r="T36" s="28">
        <v>-203011.78</v>
      </c>
      <c r="U36" s="28">
        <v>-2044437.4100000001</v>
      </c>
      <c r="V36" s="28">
        <v>0</v>
      </c>
      <c r="AR36" s="33">
        <v>-203000</v>
      </c>
      <c r="BD36" s="33">
        <v>-203011.78</v>
      </c>
      <c r="BE36" s="33">
        <v>-25000</v>
      </c>
      <c r="BF36" s="33">
        <v>-25000</v>
      </c>
      <c r="BG36" s="33">
        <v>-25000</v>
      </c>
      <c r="BH36" s="33">
        <v>-25000</v>
      </c>
      <c r="BI36" s="33">
        <v>-23991.16</v>
      </c>
      <c r="BJ36" s="33">
        <v>-25000</v>
      </c>
      <c r="BK36" s="33">
        <v>-25000</v>
      </c>
      <c r="BL36" s="33">
        <v>-25000</v>
      </c>
      <c r="BM36" s="33">
        <v>-25000</v>
      </c>
      <c r="BN36" s="33">
        <v>-437283.39</v>
      </c>
      <c r="BO36" s="33">
        <v>-857099.96</v>
      </c>
      <c r="BP36" s="33">
        <v>-526062.9</v>
      </c>
      <c r="BQ36" s="46">
        <v>0</v>
      </c>
      <c r="BR36" s="46">
        <v>0</v>
      </c>
      <c r="BS36" s="46">
        <v>0</v>
      </c>
      <c r="BT36" s="46">
        <v>0</v>
      </c>
      <c r="BU36" s="46">
        <v>0</v>
      </c>
      <c r="BV36" s="46">
        <v>0</v>
      </c>
      <c r="BW36" s="46">
        <v>0</v>
      </c>
      <c r="BX36" s="46">
        <v>0</v>
      </c>
      <c r="BY36" s="46">
        <v>0</v>
      </c>
      <c r="BZ36" s="46">
        <v>0</v>
      </c>
      <c r="CA36" s="46">
        <v>0</v>
      </c>
      <c r="CB36" s="46">
        <v>0</v>
      </c>
    </row>
    <row r="37" spans="2:80" ht="10.15" x14ac:dyDescent="0.3">
      <c r="C37" s="1" t="s">
        <v>31</v>
      </c>
      <c r="I37" s="15" t="s">
        <v>0</v>
      </c>
      <c r="R37" s="28">
        <v>-372064.48000000004</v>
      </c>
      <c r="S37" s="28">
        <v>-1754342.0653691629</v>
      </c>
      <c r="T37" s="28">
        <v>-1749406.1400000001</v>
      </c>
      <c r="U37" s="28">
        <v>-5614405.75</v>
      </c>
      <c r="V37" s="28">
        <v>-1975333.0370574163</v>
      </c>
      <c r="X37" s="33">
        <v>0</v>
      </c>
      <c r="Y37" s="33">
        <v>0</v>
      </c>
      <c r="Z37" s="33">
        <v>-9691.2000000000007</v>
      </c>
      <c r="AA37" s="33">
        <v>0</v>
      </c>
      <c r="AB37" s="33">
        <v>0</v>
      </c>
      <c r="AC37" s="33">
        <v>-264976.37</v>
      </c>
      <c r="AD37" s="33">
        <v>-68141.440000000002</v>
      </c>
      <c r="AE37" s="33">
        <v>-68809.52</v>
      </c>
      <c r="AF37" s="33">
        <v>39554.050000000003</v>
      </c>
      <c r="AG37" s="33">
        <v>-2173.91</v>
      </c>
      <c r="AH37" s="33">
        <v>-34981.33</v>
      </c>
      <c r="AI37" s="33">
        <v>-203920.52536916302</v>
      </c>
      <c r="AJ37" s="33">
        <v>-17129</v>
      </c>
      <c r="AK37" s="33">
        <v>-17723.379999999997</v>
      </c>
      <c r="AL37" s="33">
        <v>-170351.46</v>
      </c>
      <c r="AM37" s="33">
        <v>-50414.559999999998</v>
      </c>
      <c r="AN37" s="33">
        <v>-40922.660000000003</v>
      </c>
      <c r="AO37" s="33">
        <v>-263611.19</v>
      </c>
      <c r="AP37" s="33">
        <v>-37501.15</v>
      </c>
      <c r="AQ37" s="33">
        <v>-35744.379999999997</v>
      </c>
      <c r="AR37" s="33">
        <v>-879868.52</v>
      </c>
      <c r="AS37" s="33">
        <v>-100232.09999999999</v>
      </c>
      <c r="AT37" s="33">
        <v>-122905.54000000001</v>
      </c>
      <c r="AU37" s="33">
        <v>-215015.03999999998</v>
      </c>
      <c r="AV37" s="33">
        <v>-126294.99</v>
      </c>
      <c r="AW37" s="33">
        <v>-200870.95</v>
      </c>
      <c r="AX37" s="33">
        <v>-194471.59000000003</v>
      </c>
      <c r="AY37" s="33">
        <v>-201897.91999999998</v>
      </c>
      <c r="AZ37" s="33">
        <v>-139706.90999999997</v>
      </c>
      <c r="BA37" s="33">
        <v>-121394.44</v>
      </c>
      <c r="BB37" s="33">
        <v>-222793.33000000002</v>
      </c>
      <c r="BC37" s="33">
        <v>-272360.46000000002</v>
      </c>
      <c r="BD37" s="33">
        <v>168537.13</v>
      </c>
      <c r="BE37" s="46">
        <v>-306664.25</v>
      </c>
      <c r="BF37" s="46">
        <v>-342247.57</v>
      </c>
      <c r="BG37" s="46">
        <v>-437567.07</v>
      </c>
      <c r="BH37" s="46">
        <v>-431212.72000000003</v>
      </c>
      <c r="BI37" s="46">
        <v>-450220.80999999994</v>
      </c>
      <c r="BJ37" s="46">
        <v>-497126.01999999996</v>
      </c>
      <c r="BK37" s="46">
        <v>-479042.72000000003</v>
      </c>
      <c r="BL37" s="46">
        <v>-526237.15</v>
      </c>
      <c r="BM37" s="46">
        <v>-554917.69999999995</v>
      </c>
      <c r="BN37" s="46">
        <v>-517577.42000000004</v>
      </c>
      <c r="BO37" s="46">
        <v>-530264.91</v>
      </c>
      <c r="BP37" s="46">
        <v>-541327.41</v>
      </c>
      <c r="BQ37" s="46">
        <v>-505077.41333333333</v>
      </c>
      <c r="BR37" s="46">
        <v>-512660.7466666667</v>
      </c>
      <c r="BS37" s="46">
        <v>-512660.7466666667</v>
      </c>
      <c r="BT37" s="46">
        <v>-125591.29666666666</v>
      </c>
      <c r="BU37" s="46">
        <v>-74242.896866975585</v>
      </c>
      <c r="BV37" s="46">
        <v>-49606.998733951172</v>
      </c>
      <c r="BW37" s="46">
        <v>-34465.333733951171</v>
      </c>
      <c r="BX37" s="46">
        <v>-34465.333733951171</v>
      </c>
      <c r="BY37" s="46">
        <v>-34465.333733951171</v>
      </c>
      <c r="BZ37" s="46">
        <v>-34465.333733951171</v>
      </c>
      <c r="CA37" s="46">
        <v>-30698.978973767487</v>
      </c>
      <c r="CB37" s="46">
        <v>-26932.6242135838</v>
      </c>
    </row>
    <row r="38" spans="2:80" ht="10.15" x14ac:dyDescent="0.3">
      <c r="C38" s="1" t="s">
        <v>32</v>
      </c>
      <c r="I38" s="15" t="s">
        <v>0</v>
      </c>
      <c r="R38" s="28">
        <v>0</v>
      </c>
      <c r="S38" s="28">
        <v>0</v>
      </c>
      <c r="T38" s="28">
        <v>0</v>
      </c>
      <c r="U38" s="28">
        <v>-119666.66</v>
      </c>
      <c r="V38" s="28">
        <v>-5112219.7901000977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33">
        <v>0</v>
      </c>
      <c r="AP38" s="33">
        <v>0</v>
      </c>
      <c r="AQ38" s="33">
        <v>0</v>
      </c>
      <c r="AR38" s="33">
        <v>0</v>
      </c>
      <c r="AS38" s="33">
        <v>0</v>
      </c>
      <c r="AT38" s="33">
        <v>0</v>
      </c>
      <c r="AU38" s="33">
        <v>0</v>
      </c>
      <c r="AV38" s="33">
        <v>0</v>
      </c>
      <c r="AW38" s="33">
        <v>0</v>
      </c>
      <c r="AX38" s="33">
        <v>0</v>
      </c>
      <c r="AY38" s="33">
        <v>0</v>
      </c>
      <c r="AZ38" s="33">
        <v>0</v>
      </c>
      <c r="BA38" s="33">
        <v>0</v>
      </c>
      <c r="BB38" s="33">
        <v>0</v>
      </c>
      <c r="BC38" s="33">
        <v>0</v>
      </c>
      <c r="BD38" s="33">
        <v>0</v>
      </c>
      <c r="BE38" s="46">
        <v>0</v>
      </c>
      <c r="BF38" s="46">
        <v>0</v>
      </c>
      <c r="BG38" s="46">
        <v>0</v>
      </c>
      <c r="BH38" s="46">
        <v>0</v>
      </c>
      <c r="BI38" s="46">
        <v>0</v>
      </c>
      <c r="BJ38" s="46">
        <v>0</v>
      </c>
      <c r="BK38" s="46">
        <v>0</v>
      </c>
      <c r="BL38" s="46">
        <v>0</v>
      </c>
      <c r="BM38" s="46">
        <v>0</v>
      </c>
      <c r="BN38" s="46">
        <v>0</v>
      </c>
      <c r="BO38" s="46">
        <v>0</v>
      </c>
      <c r="BP38" s="46">
        <v>-119666.66</v>
      </c>
      <c r="BQ38" s="46">
        <v>-54166.666666666672</v>
      </c>
      <c r="BR38" s="46">
        <v>-162500</v>
      </c>
      <c r="BS38" s="46">
        <v>-364583.33333333337</v>
      </c>
      <c r="BT38" s="46">
        <v>-594630.20833333337</v>
      </c>
      <c r="BU38" s="46">
        <v>-333890.625</v>
      </c>
      <c r="BV38" s="46">
        <v>-596830.72916666663</v>
      </c>
      <c r="BW38" s="46">
        <v>-598605.44921875</v>
      </c>
      <c r="BX38" s="46">
        <v>-337894.47265625</v>
      </c>
      <c r="BY38" s="46">
        <v>-600841.728515625</v>
      </c>
      <c r="BZ38" s="46">
        <v>-602645.28776855464</v>
      </c>
      <c r="CA38" s="46">
        <v>-341963.38283691404</v>
      </c>
      <c r="CB38" s="46">
        <v>-604917.90660400386</v>
      </c>
    </row>
    <row r="39" spans="2:80" ht="10.15" x14ac:dyDescent="0.3">
      <c r="C39" s="1" t="s">
        <v>33</v>
      </c>
      <c r="I39" s="15" t="s">
        <v>0</v>
      </c>
      <c r="R39" s="28">
        <v>0</v>
      </c>
      <c r="S39" s="28">
        <v>0</v>
      </c>
      <c r="T39" s="28">
        <v>0</v>
      </c>
      <c r="U39" s="28">
        <v>0</v>
      </c>
      <c r="V39" s="28">
        <v>-6516299.9144631959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3">
        <v>0</v>
      </c>
      <c r="AH39" s="33">
        <v>0</v>
      </c>
      <c r="AI39" s="33">
        <v>0</v>
      </c>
      <c r="AJ39" s="33">
        <v>0</v>
      </c>
      <c r="AK39" s="33">
        <v>0</v>
      </c>
      <c r="AL39" s="33">
        <v>0</v>
      </c>
      <c r="AM39" s="33">
        <v>0</v>
      </c>
      <c r="AN39" s="33">
        <v>0</v>
      </c>
      <c r="AO39" s="33">
        <v>0</v>
      </c>
      <c r="AP39" s="33">
        <v>0</v>
      </c>
      <c r="AQ39" s="33">
        <v>0</v>
      </c>
      <c r="AR39" s="33">
        <v>0</v>
      </c>
      <c r="AS39" s="33">
        <v>0</v>
      </c>
      <c r="AT39" s="33">
        <v>0</v>
      </c>
      <c r="AU39" s="33">
        <v>0</v>
      </c>
      <c r="AV39" s="33">
        <v>0</v>
      </c>
      <c r="AW39" s="33">
        <v>0</v>
      </c>
      <c r="AX39" s="33">
        <v>0</v>
      </c>
      <c r="AY39" s="33">
        <v>0</v>
      </c>
      <c r="AZ39" s="33">
        <v>0</v>
      </c>
      <c r="BA39" s="33">
        <v>0</v>
      </c>
      <c r="BB39" s="33">
        <v>0</v>
      </c>
      <c r="BC39" s="33">
        <v>0</v>
      </c>
      <c r="BD39" s="33">
        <v>0</v>
      </c>
      <c r="BE39" s="46">
        <v>0</v>
      </c>
      <c r="BF39" s="46">
        <v>0</v>
      </c>
      <c r="BG39" s="46">
        <v>0</v>
      </c>
      <c r="BH39" s="46">
        <v>0</v>
      </c>
      <c r="BI39" s="46">
        <v>0</v>
      </c>
      <c r="BJ39" s="46">
        <v>0</v>
      </c>
      <c r="BK39" s="46">
        <v>0</v>
      </c>
      <c r="BL39" s="46">
        <v>0</v>
      </c>
      <c r="BM39" s="46">
        <v>0</v>
      </c>
      <c r="BN39" s="46">
        <v>0</v>
      </c>
      <c r="BO39" s="46">
        <v>0</v>
      </c>
      <c r="BP39" s="46">
        <v>0</v>
      </c>
      <c r="BQ39" s="46">
        <v>0</v>
      </c>
      <c r="BR39" s="46">
        <v>0</v>
      </c>
      <c r="BS39" s="46">
        <v>0</v>
      </c>
      <c r="BT39" s="46">
        <v>-170359.17637292811</v>
      </c>
      <c r="BU39" s="46">
        <v>-432598.914303725</v>
      </c>
      <c r="BV39" s="46">
        <v>-579929.71247276419</v>
      </c>
      <c r="BW39" s="46">
        <v>-755101.67820813693</v>
      </c>
      <c r="BX39" s="46">
        <v>-875406.10862572666</v>
      </c>
      <c r="BY39" s="46">
        <v>-910588.21330177248</v>
      </c>
      <c r="BZ39" s="46">
        <v>-957695.29275515128</v>
      </c>
      <c r="CA39" s="46">
        <v>-927193.9701819889</v>
      </c>
      <c r="CB39" s="46">
        <v>-959184.50909935159</v>
      </c>
    </row>
    <row r="40" spans="2:80" ht="10.15" x14ac:dyDescent="0.3">
      <c r="C40" s="1" t="s">
        <v>122</v>
      </c>
      <c r="I40" s="15" t="s">
        <v>0</v>
      </c>
      <c r="R40" s="28">
        <v>0</v>
      </c>
      <c r="S40" s="28">
        <v>0</v>
      </c>
      <c r="T40" s="28">
        <v>0</v>
      </c>
      <c r="U40" s="28">
        <v>0</v>
      </c>
      <c r="V40" s="28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  <c r="AQ40" s="33">
        <v>0</v>
      </c>
      <c r="AR40" s="33">
        <v>0</v>
      </c>
      <c r="AS40" s="33">
        <v>0</v>
      </c>
      <c r="AT40" s="33">
        <v>0</v>
      </c>
      <c r="AU40" s="33">
        <v>0</v>
      </c>
      <c r="AV40" s="33">
        <v>0</v>
      </c>
      <c r="AW40" s="33">
        <v>0</v>
      </c>
      <c r="AX40" s="33">
        <v>0</v>
      </c>
      <c r="AY40" s="33">
        <v>0</v>
      </c>
      <c r="AZ40" s="33">
        <v>0</v>
      </c>
      <c r="BA40" s="33">
        <v>0</v>
      </c>
      <c r="BB40" s="33">
        <v>0</v>
      </c>
      <c r="BC40" s="33">
        <v>0</v>
      </c>
      <c r="BD40" s="33">
        <v>0</v>
      </c>
      <c r="BE40" s="46">
        <v>0</v>
      </c>
      <c r="BF40" s="46">
        <v>0</v>
      </c>
      <c r="BG40" s="46">
        <v>0</v>
      </c>
      <c r="BH40" s="46">
        <v>0</v>
      </c>
      <c r="BI40" s="46">
        <v>0</v>
      </c>
      <c r="BJ40" s="46">
        <v>0</v>
      </c>
      <c r="BK40" s="46">
        <v>0</v>
      </c>
      <c r="BL40" s="46">
        <v>0</v>
      </c>
      <c r="BM40" s="46">
        <v>0</v>
      </c>
      <c r="BN40" s="46">
        <v>0</v>
      </c>
      <c r="BO40" s="46">
        <v>0</v>
      </c>
      <c r="BP40" s="46">
        <v>0</v>
      </c>
      <c r="BQ40" s="46">
        <v>0</v>
      </c>
      <c r="BR40" s="46">
        <v>0</v>
      </c>
      <c r="BS40" s="46">
        <v>0</v>
      </c>
      <c r="BT40" s="46">
        <v>0</v>
      </c>
      <c r="BU40" s="46">
        <v>0</v>
      </c>
      <c r="BV40" s="46">
        <v>0</v>
      </c>
      <c r="BW40" s="46">
        <v>0</v>
      </c>
      <c r="BX40" s="46">
        <v>0</v>
      </c>
      <c r="BY40" s="46">
        <v>0</v>
      </c>
      <c r="BZ40" s="46">
        <v>0</v>
      </c>
      <c r="CA40" s="46">
        <v>0</v>
      </c>
      <c r="CB40" s="46">
        <v>0</v>
      </c>
    </row>
    <row r="41" spans="2:80" ht="10.15" x14ac:dyDescent="0.3">
      <c r="C41" s="1" t="s">
        <v>34</v>
      </c>
      <c r="I41" s="15" t="s">
        <v>0</v>
      </c>
      <c r="R41" s="28">
        <v>0</v>
      </c>
      <c r="S41" s="28">
        <v>0</v>
      </c>
      <c r="T41" s="28">
        <v>0</v>
      </c>
      <c r="U41" s="28">
        <v>0</v>
      </c>
      <c r="V41" s="28">
        <v>0</v>
      </c>
      <c r="X41" s="33">
        <v>0</v>
      </c>
      <c r="Y41" s="33">
        <v>0</v>
      </c>
      <c r="Z41" s="33">
        <v>0</v>
      </c>
      <c r="AA41" s="33">
        <v>0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0</v>
      </c>
      <c r="AR41" s="33">
        <v>0</v>
      </c>
      <c r="AS41" s="33">
        <v>0</v>
      </c>
      <c r="AT41" s="33">
        <v>0</v>
      </c>
      <c r="AU41" s="33">
        <v>0</v>
      </c>
      <c r="AV41" s="33">
        <v>0</v>
      </c>
      <c r="AW41" s="33">
        <v>0</v>
      </c>
      <c r="AX41" s="33">
        <v>0</v>
      </c>
      <c r="AY41" s="33">
        <v>0</v>
      </c>
      <c r="AZ41" s="33">
        <v>0</v>
      </c>
      <c r="BA41" s="33">
        <v>0</v>
      </c>
      <c r="BB41" s="33">
        <v>0</v>
      </c>
      <c r="BC41" s="33">
        <v>0</v>
      </c>
      <c r="BD41" s="33">
        <v>0</v>
      </c>
      <c r="BE41" s="46">
        <v>0</v>
      </c>
      <c r="BF41" s="46">
        <v>0</v>
      </c>
      <c r="BG41" s="46">
        <v>0</v>
      </c>
      <c r="BH41" s="46">
        <v>0</v>
      </c>
      <c r="BI41" s="46">
        <v>0</v>
      </c>
      <c r="BJ41" s="46">
        <v>0</v>
      </c>
      <c r="BK41" s="46">
        <v>0</v>
      </c>
      <c r="BL41" s="46">
        <v>0</v>
      </c>
      <c r="BM41" s="46">
        <v>0</v>
      </c>
      <c r="BN41" s="46">
        <v>0</v>
      </c>
      <c r="BO41" s="46">
        <v>0</v>
      </c>
      <c r="BP41" s="46">
        <v>0</v>
      </c>
      <c r="BQ41" s="46">
        <v>0</v>
      </c>
      <c r="BR41" s="46">
        <v>0</v>
      </c>
      <c r="BS41" s="46">
        <v>0</v>
      </c>
      <c r="BT41" s="46">
        <v>0</v>
      </c>
      <c r="BU41" s="46">
        <v>0</v>
      </c>
      <c r="BV41" s="46">
        <v>0</v>
      </c>
      <c r="BW41" s="46">
        <v>0</v>
      </c>
      <c r="BX41" s="46">
        <v>0</v>
      </c>
      <c r="BY41" s="46">
        <v>0</v>
      </c>
      <c r="BZ41" s="46">
        <v>0</v>
      </c>
      <c r="CA41" s="46">
        <v>0</v>
      </c>
      <c r="CB41" s="46">
        <v>0</v>
      </c>
    </row>
    <row r="42" spans="2:80" ht="10.15" x14ac:dyDescent="0.3">
      <c r="B42" s="17" t="s">
        <v>35</v>
      </c>
      <c r="C42" s="17"/>
      <c r="D42" s="17"/>
      <c r="E42" s="17"/>
      <c r="F42" s="17"/>
      <c r="G42" s="17"/>
      <c r="H42" s="17"/>
      <c r="I42" s="18" t="s">
        <v>0</v>
      </c>
      <c r="J42" s="17"/>
      <c r="K42" s="17"/>
      <c r="L42" s="17"/>
      <c r="M42" s="17"/>
      <c r="N42" s="17"/>
      <c r="O42" s="17"/>
      <c r="P42" s="17"/>
      <c r="Q42" s="17"/>
      <c r="R42" s="27">
        <v>586496.11440000008</v>
      </c>
      <c r="S42" s="27">
        <v>3057333.4084868375</v>
      </c>
      <c r="T42" s="27">
        <v>5699756.808699999</v>
      </c>
      <c r="U42" s="27">
        <v>8670176.0582940001</v>
      </c>
      <c r="V42" s="27">
        <v>20319100.258379292</v>
      </c>
      <c r="W42" s="17"/>
      <c r="X42" s="27">
        <v>18171</v>
      </c>
      <c r="Y42" s="27">
        <v>21738.012500000001</v>
      </c>
      <c r="Z42" s="27">
        <v>32550.3</v>
      </c>
      <c r="AA42" s="27">
        <v>88501</v>
      </c>
      <c r="AB42" s="27">
        <v>130945.72</v>
      </c>
      <c r="AC42" s="27">
        <v>-162306.87</v>
      </c>
      <c r="AD42" s="27">
        <v>32266.559999999998</v>
      </c>
      <c r="AE42" s="27">
        <v>33578.929999999993</v>
      </c>
      <c r="AF42" s="27">
        <v>391051.46189999994</v>
      </c>
      <c r="AG42" s="27">
        <v>212101.67000000007</v>
      </c>
      <c r="AH42" s="27">
        <v>224805.96000000002</v>
      </c>
      <c r="AI42" s="27">
        <v>2409.0746308356756</v>
      </c>
      <c r="AJ42" s="27">
        <v>293086.70999999996</v>
      </c>
      <c r="AK42" s="27">
        <v>121482.65999999724</v>
      </c>
      <c r="AL42" s="27">
        <v>227084.03000000489</v>
      </c>
      <c r="AM42" s="27">
        <v>261489.84000000037</v>
      </c>
      <c r="AN42" s="27">
        <v>491825.5200000006</v>
      </c>
      <c r="AO42" s="27">
        <v>153851.31</v>
      </c>
      <c r="AP42" s="27">
        <v>302251.11000000028</v>
      </c>
      <c r="AQ42" s="27">
        <v>765640.11999999965</v>
      </c>
      <c r="AR42" s="27">
        <v>-24551.36999999918</v>
      </c>
      <c r="AS42" s="27">
        <v>183709.15000000002</v>
      </c>
      <c r="AT42" s="27">
        <v>388530.20999999996</v>
      </c>
      <c r="AU42" s="27">
        <v>671867.75999999815</v>
      </c>
      <c r="AV42" s="27">
        <v>259903.66000000038</v>
      </c>
      <c r="AW42" s="27">
        <v>507197.31999999954</v>
      </c>
      <c r="AX42" s="27">
        <v>551207.56000000029</v>
      </c>
      <c r="AY42" s="27">
        <v>716381.29000000027</v>
      </c>
      <c r="AZ42" s="27">
        <v>372484.54000000021</v>
      </c>
      <c r="BA42" s="27">
        <v>293348.10999999981</v>
      </c>
      <c r="BB42" s="27">
        <v>213043.39000000019</v>
      </c>
      <c r="BC42" s="27">
        <v>563026.16999999993</v>
      </c>
      <c r="BD42" s="27">
        <v>1006665.5699999997</v>
      </c>
      <c r="BE42" s="27">
        <v>577928.28999999946</v>
      </c>
      <c r="BF42" s="27">
        <v>670080.88000000082</v>
      </c>
      <c r="BG42" s="27">
        <v>820990.27999999956</v>
      </c>
      <c r="BH42" s="27">
        <v>560755.32999999891</v>
      </c>
      <c r="BI42" s="27">
        <v>752566.93000000052</v>
      </c>
      <c r="BJ42" s="27">
        <v>603412.36999999965</v>
      </c>
      <c r="BK42" s="27">
        <v>1854848.82</v>
      </c>
      <c r="BL42" s="27">
        <v>202365.62999999931</v>
      </c>
      <c r="BM42" s="27">
        <v>406646.929999999</v>
      </c>
      <c r="BN42" s="27">
        <v>762251.28999999946</v>
      </c>
      <c r="BO42" s="27">
        <v>551195.7700000006</v>
      </c>
      <c r="BP42" s="27">
        <v>1594742.7600000005</v>
      </c>
      <c r="BQ42" s="27">
        <v>1249485.92</v>
      </c>
      <c r="BR42" s="27">
        <v>1180549.2533333334</v>
      </c>
      <c r="BS42" s="27">
        <v>1034841.92</v>
      </c>
      <c r="BT42" s="27">
        <v>1918823.3186270716</v>
      </c>
      <c r="BU42" s="27">
        <v>2081423.5638292995</v>
      </c>
      <c r="BV42" s="27">
        <v>2240756.5596266179</v>
      </c>
      <c r="BW42" s="27">
        <v>2078951.5388391619</v>
      </c>
      <c r="BX42" s="27">
        <v>2219358.084984072</v>
      </c>
      <c r="BY42" s="27">
        <v>1519549.7244486513</v>
      </c>
      <c r="BZ42" s="27">
        <v>1444539.0857423432</v>
      </c>
      <c r="CA42" s="27">
        <v>1700338.6680073291</v>
      </c>
      <c r="CB42" s="27">
        <v>1517474.9600830604</v>
      </c>
    </row>
    <row r="43" spans="2:80" s="21" customFormat="1" ht="10.15" x14ac:dyDescent="0.3">
      <c r="C43" s="21" t="s">
        <v>36</v>
      </c>
      <c r="I43" s="29" t="s">
        <v>1</v>
      </c>
      <c r="R43" s="36">
        <v>0.61185084993725469</v>
      </c>
      <c r="S43" s="36">
        <v>0.6096772212730891</v>
      </c>
      <c r="T43" s="36">
        <v>0.74485450355997163</v>
      </c>
      <c r="U43" s="36">
        <v>0.5271044825371326</v>
      </c>
      <c r="V43" s="36">
        <v>0.59897793268113453</v>
      </c>
      <c r="X43" s="36">
        <f t="shared" ref="X43:CB43" si="8">IFERROR(X42/X$32,"n/a")</f>
        <v>1</v>
      </c>
      <c r="Y43" s="36">
        <f t="shared" si="8"/>
        <v>1</v>
      </c>
      <c r="Z43" s="36">
        <f t="shared" si="8"/>
        <v>0.7705763289655907</v>
      </c>
      <c r="AA43" s="36">
        <f t="shared" si="8"/>
        <v>1</v>
      </c>
      <c r="AB43" s="36">
        <f t="shared" si="8"/>
        <v>1</v>
      </c>
      <c r="AC43" s="36">
        <f t="shared" si="8"/>
        <v>-1.5808674435932775</v>
      </c>
      <c r="AD43" s="36">
        <f t="shared" si="8"/>
        <v>0.32135447374711174</v>
      </c>
      <c r="AE43" s="36">
        <f t="shared" si="8"/>
        <v>0.3279562294379883</v>
      </c>
      <c r="AF43" s="36">
        <f t="shared" si="8"/>
        <v>1.1125301315483171</v>
      </c>
      <c r="AG43" s="36">
        <f t="shared" si="8"/>
        <v>0.98985460685720694</v>
      </c>
      <c r="AH43" s="36">
        <f t="shared" si="8"/>
        <v>0.86534626078127219</v>
      </c>
      <c r="AI43" s="36">
        <f t="shared" si="8"/>
        <v>1.1675855673813601E-2</v>
      </c>
      <c r="AJ43" s="36">
        <f t="shared" si="8"/>
        <v>0.94478358301067344</v>
      </c>
      <c r="AK43" s="36">
        <f t="shared" si="8"/>
        <v>0.87268239222953004</v>
      </c>
      <c r="AL43" s="36">
        <f t="shared" si="8"/>
        <v>0.57137330639496264</v>
      </c>
      <c r="AM43" s="36">
        <f t="shared" si="8"/>
        <v>0.83836534527887407</v>
      </c>
      <c r="AN43" s="36">
        <f t="shared" si="8"/>
        <v>0.92318573476872323</v>
      </c>
      <c r="AO43" s="36">
        <f t="shared" si="8"/>
        <v>0.36853923406293976</v>
      </c>
      <c r="AP43" s="36">
        <f t="shared" si="8"/>
        <v>0.88962207344845923</v>
      </c>
      <c r="AQ43" s="36">
        <f t="shared" si="8"/>
        <v>0.95539671655740777</v>
      </c>
      <c r="AR43" s="36">
        <f t="shared" si="8"/>
        <v>-2.3198499618001241E-2</v>
      </c>
      <c r="AS43" s="36">
        <f t="shared" si="8"/>
        <v>0.64699704604385599</v>
      </c>
      <c r="AT43" s="36">
        <f t="shared" si="8"/>
        <v>0.75968527816055098</v>
      </c>
      <c r="AU43" s="36">
        <f t="shared" si="8"/>
        <v>0.75756093138800251</v>
      </c>
      <c r="AV43" s="36">
        <f t="shared" si="8"/>
        <v>0.67297920383719656</v>
      </c>
      <c r="AW43" s="36">
        <f t="shared" si="8"/>
        <v>0.71631132404789144</v>
      </c>
      <c r="AX43" s="36">
        <f t="shared" si="8"/>
        <v>0.73920205493207103</v>
      </c>
      <c r="AY43" s="36">
        <f t="shared" si="8"/>
        <v>0.78013449743678731</v>
      </c>
      <c r="AZ43" s="36">
        <f t="shared" si="8"/>
        <v>0.72723693454859517</v>
      </c>
      <c r="BA43" s="36">
        <f t="shared" si="8"/>
        <v>0.70730169836685419</v>
      </c>
      <c r="BB43" s="36">
        <f t="shared" si="8"/>
        <v>0.48881468729849126</v>
      </c>
      <c r="BC43" s="36">
        <f t="shared" si="8"/>
        <v>0.67397076967822667</v>
      </c>
      <c r="BD43" s="36">
        <f t="shared" si="8"/>
        <v>0.96688760136458851</v>
      </c>
      <c r="BE43" s="36">
        <f t="shared" si="8"/>
        <v>0.63537052535633132</v>
      </c>
      <c r="BF43" s="36">
        <f t="shared" si="8"/>
        <v>0.6459678995596817</v>
      </c>
      <c r="BG43" s="36">
        <f t="shared" si="8"/>
        <v>0.63962103446332164</v>
      </c>
      <c r="BH43" s="36">
        <f t="shared" si="8"/>
        <v>0.55139916145841505</v>
      </c>
      <c r="BI43" s="36">
        <f t="shared" si="8"/>
        <v>0.61344952215920923</v>
      </c>
      <c r="BJ43" s="36">
        <f t="shared" si="8"/>
        <v>0.53610998555100353</v>
      </c>
      <c r="BK43" s="36">
        <f t="shared" si="8"/>
        <v>0.78632221471276298</v>
      </c>
      <c r="BL43" s="36">
        <f t="shared" si="8"/>
        <v>0.26853089634303035</v>
      </c>
      <c r="BM43" s="36">
        <f t="shared" si="8"/>
        <v>0.41218478509613649</v>
      </c>
      <c r="BN43" s="36">
        <f t="shared" si="8"/>
        <v>0.44391469258180616</v>
      </c>
      <c r="BO43" s="36">
        <f t="shared" si="8"/>
        <v>0.28433248804638911</v>
      </c>
      <c r="BP43" s="36">
        <f t="shared" si="8"/>
        <v>0.57327734372883854</v>
      </c>
      <c r="BQ43" s="36">
        <f t="shared" si="8"/>
        <v>0.69080842359003269</v>
      </c>
      <c r="BR43" s="36">
        <f t="shared" si="8"/>
        <v>0.63617119772665631</v>
      </c>
      <c r="BS43" s="36">
        <f t="shared" si="8"/>
        <v>0.541210970636258</v>
      </c>
      <c r="BT43" s="36">
        <f t="shared" si="8"/>
        <v>0.68300013761889411</v>
      </c>
      <c r="BU43" s="36">
        <f t="shared" si="8"/>
        <v>0.71229036500080745</v>
      </c>
      <c r="BV43" s="36">
        <f t="shared" si="8"/>
        <v>0.64628682436123364</v>
      </c>
      <c r="BW43" s="36">
        <f t="shared" si="8"/>
        <v>0.59961845576886252</v>
      </c>
      <c r="BX43" s="36">
        <f t="shared" si="8"/>
        <v>0.64011500165095681</v>
      </c>
      <c r="BY43" s="36">
        <f t="shared" si="8"/>
        <v>0.49570281784492998</v>
      </c>
      <c r="BZ43" s="36">
        <f t="shared" si="8"/>
        <v>0.47527973485811686</v>
      </c>
      <c r="CA43" s="36">
        <f t="shared" si="8"/>
        <v>0.56674271772579088</v>
      </c>
      <c r="CB43" s="36">
        <f t="shared" si="8"/>
        <v>0.48816795187503353</v>
      </c>
    </row>
    <row r="44" spans="2:80" ht="10.15" x14ac:dyDescent="0.3">
      <c r="R44" s="28"/>
      <c r="S44" s="28"/>
      <c r="T44" s="28"/>
      <c r="U44" s="28"/>
      <c r="V44" s="28"/>
      <c r="W44" s="28"/>
      <c r="AX44" s="28"/>
      <c r="BA44" s="28"/>
      <c r="BE44" s="28"/>
      <c r="BH44" s="28"/>
      <c r="BI44" s="54"/>
      <c r="BJ44" s="28"/>
      <c r="BM44" s="28"/>
      <c r="BP44" s="28"/>
    </row>
    <row r="45" spans="2:80" ht="10.15" x14ac:dyDescent="0.3">
      <c r="C45" s="1" t="s">
        <v>37</v>
      </c>
      <c r="I45" s="15" t="s">
        <v>0</v>
      </c>
      <c r="R45" s="28">
        <v>-79370.039999999994</v>
      </c>
      <c r="S45" s="28">
        <v>-422802.98</v>
      </c>
      <c r="T45" s="28">
        <v>-979553.68</v>
      </c>
      <c r="U45" s="28">
        <v>-1853355.7</v>
      </c>
      <c r="V45" s="28">
        <v>-3283824.307993148</v>
      </c>
      <c r="X45" s="46">
        <v>-1414.96</v>
      </c>
      <c r="Y45" s="46">
        <v>-1822.44</v>
      </c>
      <c r="Z45" s="46">
        <v>-7639.67</v>
      </c>
      <c r="AA45" s="46">
        <v>-7119.4600000000009</v>
      </c>
      <c r="AB45" s="46">
        <v>-4442.9799999999996</v>
      </c>
      <c r="AC45" s="46">
        <v>-13198.660000000002</v>
      </c>
      <c r="AD45" s="46">
        <v>-13891.92</v>
      </c>
      <c r="AE45" s="46">
        <v>-13087.720000000001</v>
      </c>
      <c r="AF45" s="46">
        <v>-16752.23</v>
      </c>
      <c r="AG45" s="46">
        <v>-16925.989999999998</v>
      </c>
      <c r="AH45" s="46">
        <v>-10463.64</v>
      </c>
      <c r="AI45" s="46">
        <v>-23725.54</v>
      </c>
      <c r="AJ45" s="46">
        <v>-13435.05</v>
      </c>
      <c r="AK45" s="46">
        <v>-44210.44</v>
      </c>
      <c r="AL45" s="46">
        <v>-16948.649999999998</v>
      </c>
      <c r="AM45" s="46">
        <v>-51368.619999999995</v>
      </c>
      <c r="AN45" s="46">
        <v>-47970.649999999994</v>
      </c>
      <c r="AO45" s="46">
        <v>-34460.949999999997</v>
      </c>
      <c r="AP45" s="46">
        <v>-39937.32</v>
      </c>
      <c r="AQ45" s="46">
        <v>-40150.89</v>
      </c>
      <c r="AR45" s="46">
        <v>-83205.240000000005</v>
      </c>
      <c r="AS45" s="46">
        <v>-64127.12</v>
      </c>
      <c r="AT45" s="46">
        <v>-62984.01</v>
      </c>
      <c r="AU45" s="46">
        <v>-49312.7</v>
      </c>
      <c r="AV45" s="46">
        <v>-64710.33</v>
      </c>
      <c r="AW45" s="46">
        <v>-74299.569999999992</v>
      </c>
      <c r="AX45" s="46">
        <v>-56417.98</v>
      </c>
      <c r="AY45" s="46">
        <v>-68026.540000000008</v>
      </c>
      <c r="AZ45" s="46">
        <v>-54605.200000000004</v>
      </c>
      <c r="BA45" s="46">
        <v>-99971.22</v>
      </c>
      <c r="BB45" s="46">
        <v>-143554.49</v>
      </c>
      <c r="BC45" s="46">
        <v>-118089.73999999999</v>
      </c>
      <c r="BD45" s="46">
        <v>-123454.78000000001</v>
      </c>
      <c r="BE45" s="46">
        <v>-100881.16</v>
      </c>
      <c r="BF45" s="46">
        <v>-129366.63</v>
      </c>
      <c r="BG45" s="46">
        <v>-121726.20999999999</v>
      </c>
      <c r="BH45" s="46">
        <v>-112861.83000000002</v>
      </c>
      <c r="BI45" s="46">
        <v>-123902.11</v>
      </c>
      <c r="BJ45" s="46">
        <v>-131566.79999999999</v>
      </c>
      <c r="BK45" s="46">
        <v>-167964.47999999998</v>
      </c>
      <c r="BL45" s="46">
        <v>-123023.47</v>
      </c>
      <c r="BM45" s="46">
        <v>-187030.81999999998</v>
      </c>
      <c r="BN45" s="46">
        <v>-259058.97</v>
      </c>
      <c r="BO45" s="46">
        <v>-143355.50999999998</v>
      </c>
      <c r="BP45" s="46">
        <v>-252617.71</v>
      </c>
      <c r="BQ45" s="46">
        <v>-256102.7791986923</v>
      </c>
      <c r="BR45" s="46">
        <v>-258301.259843787</v>
      </c>
      <c r="BS45" s="46">
        <v>-260537.33178751305</v>
      </c>
      <c r="BT45" s="46">
        <v>-265467.65024143358</v>
      </c>
      <c r="BU45" s="46">
        <v>-265918.74582500994</v>
      </c>
      <c r="BV45" s="46">
        <v>-268769.2158629417</v>
      </c>
      <c r="BW45" s="46">
        <v>-270109.56529756694</v>
      </c>
      <c r="BX45" s="46">
        <v>-270779.74001487956</v>
      </c>
      <c r="BY45" s="46">
        <v>-269172.71199838875</v>
      </c>
      <c r="BZ45" s="46">
        <v>-269068.29172441276</v>
      </c>
      <c r="CA45" s="46">
        <v>-269581.83603076136</v>
      </c>
      <c r="CB45" s="46">
        <v>-360015.18016776181</v>
      </c>
    </row>
    <row r="46" spans="2:80" ht="10.15" x14ac:dyDescent="0.3">
      <c r="C46" s="1" t="s">
        <v>38</v>
      </c>
      <c r="I46" s="15" t="s">
        <v>0</v>
      </c>
      <c r="R46" s="28">
        <v>-13285.65</v>
      </c>
      <c r="S46" s="28">
        <v>-178775.77</v>
      </c>
      <c r="T46" s="28">
        <v>-771628.3600000001</v>
      </c>
      <c r="U46" s="28">
        <v>-1571090.4700000002</v>
      </c>
      <c r="V46" s="28">
        <v>-2029065.0141054559</v>
      </c>
      <c r="X46" s="46">
        <v>0</v>
      </c>
      <c r="Y46" s="46">
        <v>0</v>
      </c>
      <c r="Z46" s="46">
        <v>0</v>
      </c>
      <c r="AA46" s="46">
        <v>0</v>
      </c>
      <c r="AB46" s="46">
        <v>0</v>
      </c>
      <c r="AC46" s="46">
        <v>0</v>
      </c>
      <c r="AD46" s="46">
        <v>-8165.12</v>
      </c>
      <c r="AE46" s="46">
        <v>-3060.44</v>
      </c>
      <c r="AF46" s="46">
        <v>-2060.09</v>
      </c>
      <c r="AG46" s="46">
        <v>-886.78</v>
      </c>
      <c r="AH46" s="46">
        <v>-2667.73</v>
      </c>
      <c r="AI46" s="46">
        <v>-5286.1399999999994</v>
      </c>
      <c r="AJ46" s="46">
        <v>-778.35000000000059</v>
      </c>
      <c r="AK46" s="46">
        <v>-10814.6</v>
      </c>
      <c r="AL46" s="46">
        <v>-9802.3499999999985</v>
      </c>
      <c r="AM46" s="46">
        <v>-23705.809999999998</v>
      </c>
      <c r="AN46" s="46">
        <v>-18125.489999999998</v>
      </c>
      <c r="AO46" s="46">
        <v>-16830.080000000002</v>
      </c>
      <c r="AP46" s="46">
        <v>-21903.79</v>
      </c>
      <c r="AQ46" s="46">
        <v>-19879.68</v>
      </c>
      <c r="AR46" s="46">
        <v>-48094.97</v>
      </c>
      <c r="AS46" s="46">
        <v>-29131.09</v>
      </c>
      <c r="AT46" s="46">
        <v>-36500.94</v>
      </c>
      <c r="AU46" s="46">
        <v>-50926.29</v>
      </c>
      <c r="AV46" s="46">
        <v>-52679.199999999997</v>
      </c>
      <c r="AW46" s="46">
        <v>-62547.350000000006</v>
      </c>
      <c r="AX46" s="46">
        <v>-58829.31</v>
      </c>
      <c r="AY46" s="46">
        <v>-55377.2</v>
      </c>
      <c r="AZ46" s="46">
        <v>-52412.659999999989</v>
      </c>
      <c r="BA46" s="46">
        <v>-110136.53</v>
      </c>
      <c r="BB46" s="46">
        <v>-75531.100000000006</v>
      </c>
      <c r="BC46" s="46">
        <v>-99215.19</v>
      </c>
      <c r="BD46" s="46">
        <v>-88341.5</v>
      </c>
      <c r="BE46" s="46">
        <v>-92728.61</v>
      </c>
      <c r="BF46" s="46">
        <v>-146872.35</v>
      </c>
      <c r="BG46" s="46">
        <v>-80583.56</v>
      </c>
      <c r="BH46" s="46">
        <v>-81635.820000000007</v>
      </c>
      <c r="BI46" s="46">
        <v>-116546.4</v>
      </c>
      <c r="BJ46" s="46">
        <v>-147728.59000000003</v>
      </c>
      <c r="BK46" s="46">
        <v>-199260.6</v>
      </c>
      <c r="BL46" s="46">
        <v>-99390.5</v>
      </c>
      <c r="BM46" s="46">
        <v>-170596.63999999998</v>
      </c>
      <c r="BN46" s="46">
        <v>-147735.35999999999</v>
      </c>
      <c r="BO46" s="46">
        <v>-132778.29</v>
      </c>
      <c r="BP46" s="46">
        <v>-155233.75</v>
      </c>
      <c r="BQ46" s="46">
        <v>-144774.34325878799</v>
      </c>
      <c r="BR46" s="46">
        <v>-148979.04325878801</v>
      </c>
      <c r="BS46" s="46">
        <v>-156824.68325878799</v>
      </c>
      <c r="BT46" s="46">
        <v>-170284.45325878798</v>
      </c>
      <c r="BU46" s="46">
        <v>-171975.73325878801</v>
      </c>
      <c r="BV46" s="46">
        <v>-180150.253258788</v>
      </c>
      <c r="BW46" s="46">
        <v>-180150.253258788</v>
      </c>
      <c r="BX46" s="46">
        <v>-180150.253258788</v>
      </c>
      <c r="BY46" s="46">
        <v>-174125.06825878797</v>
      </c>
      <c r="BZ46" s="46">
        <v>-173733.56825878797</v>
      </c>
      <c r="CA46" s="46">
        <v>-173146.31825878797</v>
      </c>
      <c r="CB46" s="46">
        <v>-174771.04325878801</v>
      </c>
    </row>
    <row r="47" spans="2:80" ht="10.15" x14ac:dyDescent="0.3">
      <c r="C47" s="1" t="s">
        <v>39</v>
      </c>
      <c r="I47" s="15" t="s">
        <v>0</v>
      </c>
      <c r="R47" s="28">
        <v>-218528.40000000002</v>
      </c>
      <c r="S47" s="28">
        <v>-502326.65999999992</v>
      </c>
      <c r="T47" s="28">
        <v>-912663.55999999994</v>
      </c>
      <c r="U47" s="28">
        <v>-1908882.7599999998</v>
      </c>
      <c r="V47" s="28">
        <v>-3100423.0401069336</v>
      </c>
      <c r="X47" s="46">
        <v>0</v>
      </c>
      <c r="Y47" s="46">
        <v>-27894.93</v>
      </c>
      <c r="Z47" s="46">
        <v>-34382.19</v>
      </c>
      <c r="AA47" s="46">
        <v>-30123.32</v>
      </c>
      <c r="AB47" s="46">
        <v>-4937.01</v>
      </c>
      <c r="AC47" s="46">
        <v>-37744.93</v>
      </c>
      <c r="AD47" s="46">
        <v>-33893.659999999996</v>
      </c>
      <c r="AE47" s="46">
        <v>-9547.07</v>
      </c>
      <c r="AF47" s="46">
        <v>-40005.289999999994</v>
      </c>
      <c r="AG47" s="46">
        <v>-20572.809999999998</v>
      </c>
      <c r="AH47" s="46">
        <v>-36418.49</v>
      </c>
      <c r="AI47" s="46">
        <v>-20834.160000000003</v>
      </c>
      <c r="AJ47" s="46">
        <v>-40024.539999999994</v>
      </c>
      <c r="AK47" s="46">
        <v>-31374</v>
      </c>
      <c r="AL47" s="46">
        <v>-28525.550000000003</v>
      </c>
      <c r="AM47" s="46">
        <v>-43536.509999999995</v>
      </c>
      <c r="AN47" s="46">
        <v>-39120.369999999995</v>
      </c>
      <c r="AO47" s="46">
        <v>-19285.669999999998</v>
      </c>
      <c r="AP47" s="46">
        <v>-47168.409999999996</v>
      </c>
      <c r="AQ47" s="46">
        <v>-88022.739999999991</v>
      </c>
      <c r="AR47" s="46">
        <v>-87443.41</v>
      </c>
      <c r="AS47" s="46">
        <v>-58736.139999999992</v>
      </c>
      <c r="AT47" s="46">
        <v>-77215.75</v>
      </c>
      <c r="AU47" s="46">
        <v>-30360.14</v>
      </c>
      <c r="AV47" s="46">
        <v>-39553.479999999996</v>
      </c>
      <c r="AW47" s="46">
        <v>-37970.74</v>
      </c>
      <c r="AX47" s="46">
        <v>-33792.089999999997</v>
      </c>
      <c r="AY47" s="46">
        <v>-54510.549999999996</v>
      </c>
      <c r="AZ47" s="46">
        <v>-99963.44</v>
      </c>
      <c r="BA47" s="46">
        <v>-55589.369999999995</v>
      </c>
      <c r="BB47" s="46">
        <v>-133065.9</v>
      </c>
      <c r="BC47" s="46">
        <v>-50847.840000000004</v>
      </c>
      <c r="BD47" s="46">
        <v>-241058.12</v>
      </c>
      <c r="BE47" s="46">
        <v>-84743.76999999999</v>
      </c>
      <c r="BF47" s="46">
        <v>-87766.58</v>
      </c>
      <c r="BG47" s="46">
        <v>-78865.639999999985</v>
      </c>
      <c r="BH47" s="46">
        <v>-260236.33</v>
      </c>
      <c r="BI47" s="46">
        <v>-161206.18</v>
      </c>
      <c r="BJ47" s="46">
        <v>-225166.96999999997</v>
      </c>
      <c r="BK47" s="46">
        <v>-182941.1</v>
      </c>
      <c r="BL47" s="46">
        <v>-144346.14000000001</v>
      </c>
      <c r="BM47" s="46">
        <v>-179123.65</v>
      </c>
      <c r="BN47" s="46">
        <v>-211762.33</v>
      </c>
      <c r="BO47" s="46">
        <v>-143698.88</v>
      </c>
      <c r="BP47" s="46">
        <v>-149025.19</v>
      </c>
      <c r="BQ47" s="46">
        <v>-255054.2869258055</v>
      </c>
      <c r="BR47" s="46">
        <v>-255207.21212734157</v>
      </c>
      <c r="BS47" s="46">
        <v>-255390.72236918486</v>
      </c>
      <c r="BT47" s="46">
        <v>-258311.59371852383</v>
      </c>
      <c r="BU47" s="46">
        <v>-258678.61420221042</v>
      </c>
      <c r="BV47" s="46">
        <v>-260452.54654002885</v>
      </c>
      <c r="BW47" s="46">
        <v>-260452.54654002885</v>
      </c>
      <c r="BX47" s="46">
        <v>-260452.54654002885</v>
      </c>
      <c r="BY47" s="46">
        <v>-259145.03606689544</v>
      </c>
      <c r="BZ47" s="46">
        <v>-259060.07762159762</v>
      </c>
      <c r="CA47" s="46">
        <v>-258932.63995365088</v>
      </c>
      <c r="CB47" s="46">
        <v>-259285.21750163683</v>
      </c>
    </row>
    <row r="48" spans="2:80" ht="10.15" x14ac:dyDescent="0.3">
      <c r="C48" s="1" t="s">
        <v>40</v>
      </c>
      <c r="I48" s="15" t="s">
        <v>0</v>
      </c>
      <c r="R48" s="28">
        <v>-55443.020000000004</v>
      </c>
      <c r="S48" s="28">
        <v>-1787739.3099999998</v>
      </c>
      <c r="T48" s="28">
        <v>-5782386.1699999999</v>
      </c>
      <c r="U48" s="28">
        <v>-9313122.7699999996</v>
      </c>
      <c r="V48" s="28">
        <v>-14430496.982456142</v>
      </c>
      <c r="X48" s="46">
        <v>0</v>
      </c>
      <c r="Y48" s="46">
        <v>0</v>
      </c>
      <c r="Z48" s="46">
        <v>0</v>
      </c>
      <c r="AA48" s="46">
        <v>-2000</v>
      </c>
      <c r="AB48" s="46">
        <v>0</v>
      </c>
      <c r="AC48" s="46">
        <v>-13076.52</v>
      </c>
      <c r="AD48" s="46">
        <v>-18610.919999999998</v>
      </c>
      <c r="AE48" s="46">
        <v>-7665.02</v>
      </c>
      <c r="AF48" s="46">
        <v>-14090.56</v>
      </c>
      <c r="AG48" s="46">
        <v>-93913.47</v>
      </c>
      <c r="AH48" s="46">
        <v>-63991.18</v>
      </c>
      <c r="AI48" s="46">
        <v>-77409.930000000008</v>
      </c>
      <c r="AJ48" s="46">
        <v>-96508.790000000008</v>
      </c>
      <c r="AK48" s="46">
        <v>-104407.42</v>
      </c>
      <c r="AL48" s="46">
        <v>-133240.43999999997</v>
      </c>
      <c r="AM48" s="46">
        <v>-126799.74</v>
      </c>
      <c r="AN48" s="46">
        <v>-196826.49</v>
      </c>
      <c r="AO48" s="46">
        <v>-204416.15</v>
      </c>
      <c r="AP48" s="46">
        <v>-202443.37999999998</v>
      </c>
      <c r="AQ48" s="46">
        <v>-208014.59999999998</v>
      </c>
      <c r="AR48" s="46">
        <v>-279767.71999999997</v>
      </c>
      <c r="AS48" s="46">
        <v>-260401.59</v>
      </c>
      <c r="AT48" s="46">
        <v>-281889.92999999993</v>
      </c>
      <c r="AU48" s="46">
        <v>-442872.16</v>
      </c>
      <c r="AV48" s="46">
        <v>-401028.05000000005</v>
      </c>
      <c r="AW48" s="46">
        <v>-489741.05999999994</v>
      </c>
      <c r="AX48" s="46">
        <v>-464748.47</v>
      </c>
      <c r="AY48" s="46">
        <v>-485892.39</v>
      </c>
      <c r="AZ48" s="46">
        <v>-590153.43999999994</v>
      </c>
      <c r="BA48" s="46">
        <v>-548004.74</v>
      </c>
      <c r="BB48" s="46">
        <v>-552923.79</v>
      </c>
      <c r="BC48" s="46">
        <v>-549140.42000000004</v>
      </c>
      <c r="BD48" s="46">
        <v>-715590.13</v>
      </c>
      <c r="BE48" s="46">
        <v>-635039.42999999993</v>
      </c>
      <c r="BF48" s="46">
        <v>-560118.13</v>
      </c>
      <c r="BG48" s="46">
        <v>-618269.48999999987</v>
      </c>
      <c r="BH48" s="46">
        <v>-499656.59</v>
      </c>
      <c r="BI48" s="46">
        <v>-657552.26</v>
      </c>
      <c r="BJ48" s="46">
        <v>-736681.29</v>
      </c>
      <c r="BK48" s="46">
        <v>-806719.38000000012</v>
      </c>
      <c r="BL48" s="46">
        <v>-813879.20000000007</v>
      </c>
      <c r="BM48" s="46">
        <v>-827726.72000000009</v>
      </c>
      <c r="BN48" s="46">
        <v>-1070389.04</v>
      </c>
      <c r="BO48" s="46">
        <v>-872427.73</v>
      </c>
      <c r="BP48" s="46">
        <v>-1214663.51</v>
      </c>
      <c r="BQ48" s="46">
        <v>-1018096.0494736842</v>
      </c>
      <c r="BR48" s="46">
        <v>-1034730.73</v>
      </c>
      <c r="BS48" s="46">
        <v>-1104314.3105263158</v>
      </c>
      <c r="BT48" s="46">
        <v>-1202378.3308771928</v>
      </c>
      <c r="BU48" s="46">
        <v>-1146280.280877193</v>
      </c>
      <c r="BV48" s="46">
        <v>-1174324.0410526316</v>
      </c>
      <c r="BW48" s="46">
        <v>-1310788.0614035088</v>
      </c>
      <c r="BX48" s="46">
        <v>-1245359.9215789475</v>
      </c>
      <c r="BY48" s="46">
        <v>-1264133.7715789473</v>
      </c>
      <c r="BZ48" s="46">
        <v>-1346157.9715789473</v>
      </c>
      <c r="CA48" s="46">
        <v>-1284529.831754386</v>
      </c>
      <c r="CB48" s="46">
        <v>-1299403.6817543858</v>
      </c>
    </row>
    <row r="49" spans="2:80" ht="10.15" x14ac:dyDescent="0.3">
      <c r="B49" s="17" t="s">
        <v>41</v>
      </c>
      <c r="C49" s="17"/>
      <c r="D49" s="17"/>
      <c r="E49" s="17"/>
      <c r="F49" s="17"/>
      <c r="G49" s="17"/>
      <c r="H49" s="17"/>
      <c r="I49" s="18" t="s">
        <v>0</v>
      </c>
      <c r="J49" s="17"/>
      <c r="K49" s="17"/>
      <c r="L49" s="17"/>
      <c r="M49" s="17"/>
      <c r="N49" s="17"/>
      <c r="O49" s="17"/>
      <c r="P49" s="17"/>
      <c r="Q49" s="17"/>
      <c r="R49" s="27">
        <v>219869.00440000003</v>
      </c>
      <c r="S49" s="27">
        <v>165688.68848683778</v>
      </c>
      <c r="T49" s="27">
        <v>-2746474.961300001</v>
      </c>
      <c r="U49" s="27">
        <v>-5976275.6417059992</v>
      </c>
      <c r="V49" s="27">
        <v>-2524709.0862823874</v>
      </c>
      <c r="W49" s="17"/>
      <c r="X49" s="27">
        <v>16756.04</v>
      </c>
      <c r="Y49" s="27">
        <v>-7979.3574999999983</v>
      </c>
      <c r="Z49" s="27">
        <v>-9471.5600000000049</v>
      </c>
      <c r="AA49" s="27">
        <v>49258.219999999994</v>
      </c>
      <c r="AB49" s="27">
        <v>121565.73000000001</v>
      </c>
      <c r="AC49" s="27">
        <v>-226326.97999999998</v>
      </c>
      <c r="AD49" s="27">
        <v>-42295.06</v>
      </c>
      <c r="AE49" s="27">
        <v>218.67999999999302</v>
      </c>
      <c r="AF49" s="27">
        <v>318143.29189999995</v>
      </c>
      <c r="AG49" s="27">
        <v>79802.620000000083</v>
      </c>
      <c r="AH49" s="27">
        <v>111264.92000000001</v>
      </c>
      <c r="AI49" s="27">
        <v>-124846.69536916434</v>
      </c>
      <c r="AJ49" s="27">
        <v>142339.98000000001</v>
      </c>
      <c r="AK49" s="27">
        <v>-69323.800000002768</v>
      </c>
      <c r="AL49" s="27">
        <v>38567.040000004898</v>
      </c>
      <c r="AM49" s="27">
        <v>16079.160000000367</v>
      </c>
      <c r="AN49" s="27">
        <v>189782.5200000006</v>
      </c>
      <c r="AO49" s="27">
        <v>-121141.54</v>
      </c>
      <c r="AP49" s="27">
        <v>-9201.7899999997171</v>
      </c>
      <c r="AQ49" s="27">
        <v>409572.20999999961</v>
      </c>
      <c r="AR49" s="27">
        <v>-523062.70999999915</v>
      </c>
      <c r="AS49" s="27">
        <v>-228686.78999999995</v>
      </c>
      <c r="AT49" s="27">
        <v>-70060.419999999984</v>
      </c>
      <c r="AU49" s="27">
        <v>98396.469999998168</v>
      </c>
      <c r="AV49" s="27">
        <v>-298067.39999999967</v>
      </c>
      <c r="AW49" s="27">
        <v>-157361.40000000037</v>
      </c>
      <c r="AX49" s="27">
        <v>-62580.289999999688</v>
      </c>
      <c r="AY49" s="27">
        <v>52574.610000000219</v>
      </c>
      <c r="AZ49" s="27">
        <v>-424650.19999999972</v>
      </c>
      <c r="BA49" s="27">
        <v>-520353.75000000017</v>
      </c>
      <c r="BB49" s="27">
        <v>-692031.8899999999</v>
      </c>
      <c r="BC49" s="27">
        <v>-254267.02000000014</v>
      </c>
      <c r="BD49" s="27">
        <v>-161778.96000000031</v>
      </c>
      <c r="BE49" s="27">
        <v>-335464.68000000052</v>
      </c>
      <c r="BF49" s="27">
        <v>-254042.80999999918</v>
      </c>
      <c r="BG49" s="27">
        <v>-78454.620000000345</v>
      </c>
      <c r="BH49" s="27">
        <v>-393635.24000000115</v>
      </c>
      <c r="BI49" s="27">
        <v>-306640.01999999949</v>
      </c>
      <c r="BJ49" s="27">
        <v>-637731.28000000038</v>
      </c>
      <c r="BK49" s="27">
        <v>497963.25999999978</v>
      </c>
      <c r="BL49" s="27">
        <v>-978273.68000000075</v>
      </c>
      <c r="BM49" s="27">
        <v>-957830.90000000107</v>
      </c>
      <c r="BN49" s="27">
        <v>-926694.4100000005</v>
      </c>
      <c r="BO49" s="27">
        <v>-741064.63999999943</v>
      </c>
      <c r="BP49" s="27">
        <v>-176797.39999999944</v>
      </c>
      <c r="BQ49" s="27">
        <v>-424541.53885697003</v>
      </c>
      <c r="BR49" s="27">
        <v>-516668.99189658312</v>
      </c>
      <c r="BS49" s="27">
        <v>-742225.12794180156</v>
      </c>
      <c r="BT49" s="27">
        <v>22381.290531133302</v>
      </c>
      <c r="BU49" s="27">
        <v>238570.18966609822</v>
      </c>
      <c r="BV49" s="27">
        <v>357060.50291222776</v>
      </c>
      <c r="BW49" s="27">
        <v>57451.11233926937</v>
      </c>
      <c r="BX49" s="27">
        <v>262615.62359142816</v>
      </c>
      <c r="BY49" s="27">
        <v>-447026.86345436831</v>
      </c>
      <c r="BZ49" s="27">
        <v>-603480.82344140229</v>
      </c>
      <c r="CA49" s="27">
        <v>-285851.95799025695</v>
      </c>
      <c r="CB49" s="27">
        <v>-576000.16259951214</v>
      </c>
    </row>
    <row r="50" spans="2:80" s="21" customFormat="1" ht="10.15" x14ac:dyDescent="0.3">
      <c r="C50" s="21" t="s">
        <v>42</v>
      </c>
      <c r="I50" s="29" t="s">
        <v>1</v>
      </c>
      <c r="R50" s="36">
        <v>0.22937413209399088</v>
      </c>
      <c r="S50" s="36">
        <v>3.3040759935643975E-2</v>
      </c>
      <c r="T50" s="36">
        <v>-0.35891430327631707</v>
      </c>
      <c r="U50" s="36">
        <v>-0.36332845589764751</v>
      </c>
      <c r="V50" s="36">
        <v>-7.4424802766504067E-2</v>
      </c>
      <c r="X50" s="36">
        <f t="shared" ref="X50:CB50" si="9">IFERROR(X49/X$32,"n/a")</f>
        <v>0.92213086786638054</v>
      </c>
      <c r="Y50" s="36">
        <f t="shared" si="9"/>
        <v>-0.36706932153986011</v>
      </c>
      <c r="Z50" s="36">
        <f t="shared" si="9"/>
        <v>-0.22422404507415705</v>
      </c>
      <c r="AA50" s="36">
        <f t="shared" si="9"/>
        <v>0.55658376741505744</v>
      </c>
      <c r="AB50" s="36">
        <f t="shared" si="9"/>
        <v>0.92836734182682723</v>
      </c>
      <c r="AC50" s="36">
        <f t="shared" si="9"/>
        <v>-2.2044227350868564</v>
      </c>
      <c r="AD50" s="36">
        <f t="shared" si="9"/>
        <v>-0.42123197354792447</v>
      </c>
      <c r="AE50" s="36">
        <f t="shared" si="9"/>
        <v>2.1357877768439022E-3</v>
      </c>
      <c r="AF50" s="36">
        <f t="shared" si="9"/>
        <v>0.90510849050151998</v>
      </c>
      <c r="AG50" s="36">
        <f t="shared" si="9"/>
        <v>0.37242984011523877</v>
      </c>
      <c r="AH50" s="36">
        <f t="shared" si="9"/>
        <v>0.42829239259549612</v>
      </c>
      <c r="AI50" s="36">
        <f t="shared" si="9"/>
        <v>-0.60508378521145356</v>
      </c>
      <c r="AJ50" s="36">
        <f t="shared" si="9"/>
        <v>0.45884194581892718</v>
      </c>
      <c r="AK50" s="36">
        <f t="shared" si="9"/>
        <v>-0.49799419622887153</v>
      </c>
      <c r="AL50" s="36">
        <f t="shared" si="9"/>
        <v>9.7039748513662996E-2</v>
      </c>
      <c r="AM50" s="36">
        <f t="shared" si="9"/>
        <v>5.1551565159069085E-2</v>
      </c>
      <c r="AN50" s="36">
        <f t="shared" si="9"/>
        <v>0.35623307056628589</v>
      </c>
      <c r="AO50" s="36">
        <f t="shared" si="9"/>
        <v>-0.29018544180615025</v>
      </c>
      <c r="AP50" s="36">
        <f t="shared" si="9"/>
        <v>-2.7083822783105869E-2</v>
      </c>
      <c r="AQ50" s="36">
        <f t="shared" si="9"/>
        <v>0.51108077333664403</v>
      </c>
      <c r="AR50" s="36">
        <f t="shared" si="9"/>
        <v>-0.49424003948154743</v>
      </c>
      <c r="AS50" s="36">
        <f t="shared" si="9"/>
        <v>-0.80540178646110749</v>
      </c>
      <c r="AT50" s="36">
        <f t="shared" si="9"/>
        <v>-0.13698772524212471</v>
      </c>
      <c r="AU50" s="36">
        <f t="shared" si="9"/>
        <v>0.11094641817385383</v>
      </c>
      <c r="AV50" s="36">
        <f t="shared" si="9"/>
        <v>-0.77179814067190389</v>
      </c>
      <c r="AW50" s="36">
        <f t="shared" si="9"/>
        <v>-0.22224043452759221</v>
      </c>
      <c r="AX50" s="36">
        <f t="shared" si="9"/>
        <v>-8.3923883348487965E-2</v>
      </c>
      <c r="AY50" s="36">
        <f t="shared" si="9"/>
        <v>5.725340335212447E-2</v>
      </c>
      <c r="AZ50" s="36">
        <f t="shared" si="9"/>
        <v>-0.82908490565392989</v>
      </c>
      <c r="BA50" s="36">
        <f t="shared" si="9"/>
        <v>-1.2546427898463768</v>
      </c>
      <c r="BB50" s="36">
        <f t="shared" si="9"/>
        <v>-1.587823738210951</v>
      </c>
      <c r="BC50" s="36">
        <f t="shared" si="9"/>
        <v>-0.30437046855777444</v>
      </c>
      <c r="BD50" s="36">
        <f t="shared" si="9"/>
        <v>-0.15538633211192279</v>
      </c>
      <c r="BE50" s="36">
        <f t="shared" si="9"/>
        <v>-0.368807642155905</v>
      </c>
      <c r="BF50" s="36">
        <f t="shared" si="9"/>
        <v>-0.24490103399747593</v>
      </c>
      <c r="BG50" s="36">
        <f t="shared" si="9"/>
        <v>-6.1122800629048922E-2</v>
      </c>
      <c r="BH50" s="36">
        <f t="shared" si="9"/>
        <v>-0.387067459985593</v>
      </c>
      <c r="BI50" s="36">
        <f t="shared" si="9"/>
        <v>-0.24995540761256932</v>
      </c>
      <c r="BJ50" s="36">
        <f t="shared" si="9"/>
        <v>-0.5666010912342142</v>
      </c>
      <c r="BK50" s="36">
        <f t="shared" si="9"/>
        <v>0.2111005324136267</v>
      </c>
      <c r="BL50" s="36">
        <f t="shared" si="9"/>
        <v>-1.2981290753731052</v>
      </c>
      <c r="BM50" s="36">
        <f t="shared" si="9"/>
        <v>-0.9708749643700505</v>
      </c>
      <c r="BN50" s="36">
        <f t="shared" si="9"/>
        <v>-0.53968195204028946</v>
      </c>
      <c r="BO50" s="36">
        <f t="shared" si="9"/>
        <v>-0.38227570740319955</v>
      </c>
      <c r="BP50" s="36">
        <f t="shared" si="9"/>
        <v>-6.3555042476044599E-2</v>
      </c>
      <c r="BQ50" s="36">
        <f t="shared" si="9"/>
        <v>-0.23471802804009997</v>
      </c>
      <c r="BR50" s="36">
        <f t="shared" si="9"/>
        <v>-0.27842119291084444</v>
      </c>
      <c r="BS50" s="36">
        <f t="shared" si="9"/>
        <v>-0.38817559876585128</v>
      </c>
      <c r="BT50" s="36">
        <f t="shared" si="9"/>
        <v>7.9665617800548805E-3</v>
      </c>
      <c r="BU50" s="36">
        <f t="shared" si="9"/>
        <v>8.1641838993571261E-2</v>
      </c>
      <c r="BV50" s="36">
        <f t="shared" si="9"/>
        <v>0.10298463594386234</v>
      </c>
      <c r="BW50" s="36">
        <f t="shared" si="9"/>
        <v>1.6570250253313514E-2</v>
      </c>
      <c r="BX50" s="36">
        <f t="shared" si="9"/>
        <v>7.5744514355825798E-2</v>
      </c>
      <c r="BY50" s="36">
        <f t="shared" si="9"/>
        <v>-0.14582772271378816</v>
      </c>
      <c r="BZ50" s="36">
        <f t="shared" si="9"/>
        <v>-0.19855620978908359</v>
      </c>
      <c r="CA50" s="36">
        <f t="shared" si="9"/>
        <v>-9.5277792940211201E-2</v>
      </c>
      <c r="CB50" s="36">
        <f t="shared" si="9"/>
        <v>-0.18529783162978794</v>
      </c>
    </row>
    <row r="51" spans="2:80" ht="10.15" x14ac:dyDescent="0.3">
      <c r="R51" s="28"/>
      <c r="S51" s="28"/>
      <c r="T51" s="28"/>
      <c r="U51" s="28"/>
      <c r="V51" s="28"/>
    </row>
    <row r="52" spans="2:80" ht="10.15" x14ac:dyDescent="0.3">
      <c r="C52" s="1" t="s">
        <v>43</v>
      </c>
      <c r="I52" s="15" t="s">
        <v>0</v>
      </c>
      <c r="R52" s="28">
        <v>-3215.67</v>
      </c>
      <c r="S52" s="28">
        <v>-52413.214027777773</v>
      </c>
      <c r="T52" s="28">
        <v>-88776.89</v>
      </c>
      <c r="U52" s="28">
        <v>-123740.05000000002</v>
      </c>
      <c r="V52" s="28">
        <v>-175392.95316326534</v>
      </c>
      <c r="X52" s="46">
        <v>0</v>
      </c>
      <c r="Y52" s="46">
        <v>0</v>
      </c>
      <c r="Z52" s="46">
        <v>0</v>
      </c>
      <c r="AA52" s="46">
        <v>0</v>
      </c>
      <c r="AB52" s="46">
        <v>0</v>
      </c>
      <c r="AC52" s="46">
        <v>-184.06</v>
      </c>
      <c r="AD52" s="46">
        <v>-229.31</v>
      </c>
      <c r="AE52" s="46">
        <v>-963.47</v>
      </c>
      <c r="AF52" s="46">
        <v>-1838.83</v>
      </c>
      <c r="AG52" s="46">
        <v>-1976.44</v>
      </c>
      <c r="AH52" s="46">
        <v>-1976.44</v>
      </c>
      <c r="AI52" s="46">
        <v>-2925.5499999999997</v>
      </c>
      <c r="AJ52" s="46">
        <v>-3143.7000000000007</v>
      </c>
      <c r="AK52" s="46">
        <v>-4720.2700000000004</v>
      </c>
      <c r="AL52" s="46">
        <v>-4795.09</v>
      </c>
      <c r="AM52" s="46">
        <v>-5179.1104166666673</v>
      </c>
      <c r="AN52" s="46">
        <v>-5271.9484722222232</v>
      </c>
      <c r="AO52" s="46">
        <v>-5398.6151388888902</v>
      </c>
      <c r="AP52" s="46">
        <v>-5563.3600000000006</v>
      </c>
      <c r="AQ52" s="46">
        <v>-5707.81</v>
      </c>
      <c r="AR52" s="46">
        <v>-5754.88</v>
      </c>
      <c r="AS52" s="46">
        <v>-6000.35</v>
      </c>
      <c r="AT52" s="46">
        <v>-6347.16</v>
      </c>
      <c r="AU52" s="46">
        <v>-6736.65</v>
      </c>
      <c r="AV52" s="46">
        <v>-6736.65</v>
      </c>
      <c r="AW52" s="46">
        <v>-6736.65</v>
      </c>
      <c r="AX52" s="46">
        <v>-6736.65</v>
      </c>
      <c r="AY52" s="46">
        <v>-7334.85</v>
      </c>
      <c r="AZ52" s="46">
        <v>-8623.0999999999985</v>
      </c>
      <c r="BA52" s="46">
        <v>-8533.2099999999991</v>
      </c>
      <c r="BB52" s="46">
        <v>-8623.61</v>
      </c>
      <c r="BC52" s="46">
        <v>-7889.45</v>
      </c>
      <c r="BD52" s="46">
        <v>-8478.56</v>
      </c>
      <c r="BE52" s="46">
        <v>-7611.42</v>
      </c>
      <c r="BF52" s="46">
        <v>-7611.62</v>
      </c>
      <c r="BG52" s="46">
        <v>-7344.9400000000005</v>
      </c>
      <c r="BH52" s="46">
        <v>-8101.59</v>
      </c>
      <c r="BI52" s="46">
        <v>-7497.24</v>
      </c>
      <c r="BJ52" s="46">
        <v>-7870.34</v>
      </c>
      <c r="BK52" s="46">
        <v>-11250.400000000001</v>
      </c>
      <c r="BL52" s="46">
        <v>-11932.21</v>
      </c>
      <c r="BM52" s="46">
        <v>-12213.52</v>
      </c>
      <c r="BN52" s="46">
        <v>-13171.779999999999</v>
      </c>
      <c r="BO52" s="46">
        <v>-14427.880000000001</v>
      </c>
      <c r="BP52" s="46">
        <v>-14707.11</v>
      </c>
      <c r="BQ52" s="46">
        <v>-12686.048622448981</v>
      </c>
      <c r="BR52" s="46">
        <v>-13067.634770408165</v>
      </c>
      <c r="BS52" s="46">
        <v>-13434.43841836735</v>
      </c>
      <c r="BT52" s="46">
        <v>-13716.397423469391</v>
      </c>
      <c r="BU52" s="46">
        <v>-14224.412142857145</v>
      </c>
      <c r="BV52" s="46">
        <v>-14522.023290816331</v>
      </c>
      <c r="BW52" s="46">
        <v>-14732.770867346942</v>
      </c>
      <c r="BX52" s="46">
        <v>-14906.931301020413</v>
      </c>
      <c r="BY52" s="46">
        <v>-15414.94602040817</v>
      </c>
      <c r="BZ52" s="46">
        <v>-15922.960739795924</v>
      </c>
      <c r="CA52" s="46">
        <v>-16430.975459183679</v>
      </c>
      <c r="CB52" s="46">
        <v>-16333.414107142864</v>
      </c>
    </row>
    <row r="53" spans="2:80" ht="10.15" x14ac:dyDescent="0.3">
      <c r="C53" s="1" t="s">
        <v>44</v>
      </c>
      <c r="I53" s="15" t="s">
        <v>0</v>
      </c>
      <c r="R53" s="28">
        <v>0</v>
      </c>
      <c r="S53" s="28">
        <v>0</v>
      </c>
      <c r="T53" s="28">
        <v>-45856.159999999996</v>
      </c>
      <c r="U53" s="28">
        <v>-36544.03</v>
      </c>
      <c r="V53" s="28">
        <v>0</v>
      </c>
      <c r="AS53" s="33">
        <v>0</v>
      </c>
      <c r="AT53" s="33">
        <v>0.01</v>
      </c>
      <c r="AU53" s="33">
        <v>0</v>
      </c>
      <c r="AV53" s="33">
        <v>-224.74</v>
      </c>
      <c r="AW53" s="33">
        <v>0</v>
      </c>
      <c r="AX53" s="33">
        <v>0.03</v>
      </c>
      <c r="AY53" s="33">
        <v>-0.05</v>
      </c>
      <c r="AZ53" s="33">
        <v>-1737.46</v>
      </c>
      <c r="BA53" s="33">
        <v>0.02</v>
      </c>
      <c r="BB53" s="33">
        <v>299.81</v>
      </c>
      <c r="BC53" s="33">
        <v>-1238.18</v>
      </c>
      <c r="BD53" s="33">
        <v>-42955.6</v>
      </c>
      <c r="BE53" s="33">
        <v>-29.919999999999998</v>
      </c>
      <c r="BF53" s="33">
        <v>-602.32999999999993</v>
      </c>
      <c r="BG53" s="33">
        <v>8.07000000000005</v>
      </c>
      <c r="BH53" s="33">
        <v>-49.98</v>
      </c>
      <c r="BI53" s="33">
        <v>-2190.15</v>
      </c>
      <c r="BJ53" s="33">
        <v>-465.85</v>
      </c>
      <c r="BK53" s="33">
        <v>-727.4</v>
      </c>
      <c r="BL53" s="33">
        <v>-8374.99</v>
      </c>
      <c r="BM53" s="33">
        <v>0</v>
      </c>
      <c r="BN53" s="33">
        <v>-12960.58</v>
      </c>
      <c r="BO53" s="33">
        <v>-6631.6799999999994</v>
      </c>
      <c r="BP53" s="33">
        <v>-4519.22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</row>
    <row r="54" spans="2:80" ht="10.15" x14ac:dyDescent="0.3">
      <c r="B54" s="17" t="s">
        <v>45</v>
      </c>
      <c r="C54" s="17"/>
      <c r="D54" s="17"/>
      <c r="E54" s="17"/>
      <c r="F54" s="17"/>
      <c r="G54" s="17"/>
      <c r="H54" s="17"/>
      <c r="I54" s="18" t="s">
        <v>0</v>
      </c>
      <c r="J54" s="17"/>
      <c r="K54" s="17"/>
      <c r="L54" s="17"/>
      <c r="M54" s="17"/>
      <c r="N54" s="17"/>
      <c r="O54" s="17"/>
      <c r="P54" s="17"/>
      <c r="Q54" s="17"/>
      <c r="R54" s="27">
        <v>216653.33440000002</v>
      </c>
      <c r="S54" s="27">
        <v>113275.47445906</v>
      </c>
      <c r="T54" s="27">
        <v>-2881108.0113000013</v>
      </c>
      <c r="U54" s="27">
        <v>-6136559.7217059992</v>
      </c>
      <c r="V54" s="27">
        <v>-2700102.0394456526</v>
      </c>
      <c r="W54" s="17"/>
      <c r="X54" s="27">
        <v>16756.04</v>
      </c>
      <c r="Y54" s="27">
        <v>-7979.3574999999983</v>
      </c>
      <c r="Z54" s="27">
        <v>-9471.5600000000049</v>
      </c>
      <c r="AA54" s="27">
        <v>49258.219999999994</v>
      </c>
      <c r="AB54" s="27">
        <v>121565.73000000001</v>
      </c>
      <c r="AC54" s="27">
        <v>-226511.03999999998</v>
      </c>
      <c r="AD54" s="27">
        <v>-42524.369999999995</v>
      </c>
      <c r="AE54" s="27">
        <v>-744.79000000000701</v>
      </c>
      <c r="AF54" s="27">
        <v>316304.46189999994</v>
      </c>
      <c r="AG54" s="27">
        <v>77826.18000000008</v>
      </c>
      <c r="AH54" s="27">
        <v>109288.48000000001</v>
      </c>
      <c r="AI54" s="27">
        <v>-127772.24536916435</v>
      </c>
      <c r="AJ54" s="27">
        <v>139196.28</v>
      </c>
      <c r="AK54" s="27">
        <v>-74044.070000002772</v>
      </c>
      <c r="AL54" s="27">
        <v>33771.950000004901</v>
      </c>
      <c r="AM54" s="27">
        <v>10900.049583333701</v>
      </c>
      <c r="AN54" s="27">
        <v>184510.57152777837</v>
      </c>
      <c r="AO54" s="27">
        <v>-126540.15513888889</v>
      </c>
      <c r="AP54" s="27">
        <v>-14765.149999999718</v>
      </c>
      <c r="AQ54" s="27">
        <v>403864.39999999962</v>
      </c>
      <c r="AR54" s="27">
        <v>-528817.58999999915</v>
      </c>
      <c r="AS54" s="27">
        <v>-234687.13999999996</v>
      </c>
      <c r="AT54" s="27">
        <v>-76407.569999999992</v>
      </c>
      <c r="AU54" s="27">
        <v>91659.819999998173</v>
      </c>
      <c r="AV54" s="27">
        <v>-305028.78999999969</v>
      </c>
      <c r="AW54" s="27">
        <v>-164098.05000000037</v>
      </c>
      <c r="AX54" s="27">
        <v>-69316.909999999683</v>
      </c>
      <c r="AY54" s="27">
        <v>45239.710000000217</v>
      </c>
      <c r="AZ54" s="27">
        <v>-435010.75999999972</v>
      </c>
      <c r="BA54" s="27">
        <v>-528886.94000000018</v>
      </c>
      <c r="BB54" s="27">
        <v>-700355.68999999983</v>
      </c>
      <c r="BC54" s="27">
        <v>-263394.65000000014</v>
      </c>
      <c r="BD54" s="27">
        <v>-213213.12000000032</v>
      </c>
      <c r="BE54" s="27">
        <v>-343106.02000000048</v>
      </c>
      <c r="BF54" s="27">
        <v>-262256.75999999919</v>
      </c>
      <c r="BG54" s="27">
        <v>-85791.49000000034</v>
      </c>
      <c r="BH54" s="27">
        <v>-401786.81000000116</v>
      </c>
      <c r="BI54" s="27">
        <v>-316327.40999999951</v>
      </c>
      <c r="BJ54" s="27">
        <v>-646067.47000000032</v>
      </c>
      <c r="BK54" s="27">
        <v>485985.45999999973</v>
      </c>
      <c r="BL54" s="27">
        <v>-998580.8800000007</v>
      </c>
      <c r="BM54" s="27">
        <v>-970044.42000000109</v>
      </c>
      <c r="BN54" s="27">
        <v>-952826.77000000048</v>
      </c>
      <c r="BO54" s="27">
        <v>-762124.19999999949</v>
      </c>
      <c r="BP54" s="27">
        <v>-196023.72999999943</v>
      </c>
      <c r="BQ54" s="27">
        <v>-437227.58747941902</v>
      </c>
      <c r="BR54" s="27">
        <v>-529736.62666699127</v>
      </c>
      <c r="BS54" s="27">
        <v>-755659.56636016886</v>
      </c>
      <c r="BT54" s="27">
        <v>8664.893107663911</v>
      </c>
      <c r="BU54" s="27">
        <v>224345.77752324106</v>
      </c>
      <c r="BV54" s="27">
        <v>342538.47962141142</v>
      </c>
      <c r="BW54" s="27">
        <v>42718.341471922424</v>
      </c>
      <c r="BX54" s="27">
        <v>247708.69229040775</v>
      </c>
      <c r="BY54" s="27">
        <v>-462441.8094747765</v>
      </c>
      <c r="BZ54" s="27">
        <v>-619403.78418119822</v>
      </c>
      <c r="CA54" s="27">
        <v>-302282.93344944064</v>
      </c>
      <c r="CB54" s="27">
        <v>-592333.57670665497</v>
      </c>
    </row>
    <row r="55" spans="2:80" s="21" customFormat="1" ht="10.15" x14ac:dyDescent="0.3">
      <c r="C55" s="21" t="s">
        <v>46</v>
      </c>
      <c r="I55" s="29" t="s">
        <v>1</v>
      </c>
      <c r="R55" s="36">
        <v>0.22601944589179745</v>
      </c>
      <c r="S55" s="36">
        <v>2.2588794638780007E-2</v>
      </c>
      <c r="T55" s="36">
        <v>-0.37650839316230073</v>
      </c>
      <c r="U55" s="36">
        <v>-0.37307294741423208</v>
      </c>
      <c r="V55" s="36">
        <v>-7.9595135466115005E-2</v>
      </c>
      <c r="X55" s="36">
        <f t="shared" ref="X55:CB55" si="10">IFERROR(X54/X$32,"n/a")</f>
        <v>0.92213086786638054</v>
      </c>
      <c r="Y55" s="36">
        <f t="shared" si="10"/>
        <v>-0.36706932153986011</v>
      </c>
      <c r="Z55" s="36">
        <f t="shared" si="10"/>
        <v>-0.22422404507415705</v>
      </c>
      <c r="AA55" s="36">
        <f t="shared" si="10"/>
        <v>0.55658376741505744</v>
      </c>
      <c r="AB55" s="36">
        <f t="shared" si="10"/>
        <v>0.92836734182682723</v>
      </c>
      <c r="AC55" s="36">
        <f t="shared" si="10"/>
        <v>-2.2062154778196055</v>
      </c>
      <c r="AD55" s="36">
        <f t="shared" si="10"/>
        <v>-0.42351575571667593</v>
      </c>
      <c r="AE55" s="36">
        <f t="shared" si="10"/>
        <v>-7.2741603178874863E-3</v>
      </c>
      <c r="AF55" s="36">
        <f t="shared" si="10"/>
        <v>0.89987707218165147</v>
      </c>
      <c r="AG55" s="36">
        <f t="shared" si="10"/>
        <v>0.36320601722324147</v>
      </c>
      <c r="AH55" s="36">
        <f t="shared" si="10"/>
        <v>0.42068447613430199</v>
      </c>
      <c r="AI55" s="36">
        <f t="shared" si="10"/>
        <v>-0.61926279782040561</v>
      </c>
      <c r="AJ55" s="36">
        <f t="shared" si="10"/>
        <v>0.44870802964814394</v>
      </c>
      <c r="AK55" s="36">
        <f t="shared" si="10"/>
        <v>-0.53190271054333738</v>
      </c>
      <c r="AL55" s="36">
        <f t="shared" si="10"/>
        <v>8.4974670983722383E-2</v>
      </c>
      <c r="AM55" s="36">
        <f t="shared" si="10"/>
        <v>3.4946764403880448E-2</v>
      </c>
      <c r="AN55" s="36">
        <f t="shared" si="10"/>
        <v>0.34633730992338285</v>
      </c>
      <c r="AO55" s="36">
        <f t="shared" si="10"/>
        <v>-0.3031174180648295</v>
      </c>
      <c r="AP55" s="36">
        <f t="shared" si="10"/>
        <v>-4.3458577729548302E-2</v>
      </c>
      <c r="AQ55" s="36">
        <f t="shared" si="10"/>
        <v>0.50395833710285109</v>
      </c>
      <c r="AR55" s="36">
        <f t="shared" si="10"/>
        <v>-0.49967780452201754</v>
      </c>
      <c r="AS55" s="36">
        <f t="shared" si="10"/>
        <v>-0.82653415099074179</v>
      </c>
      <c r="AT55" s="36">
        <f t="shared" si="10"/>
        <v>-0.14939817953672577</v>
      </c>
      <c r="AU55" s="36">
        <f t="shared" si="10"/>
        <v>0.10335054417562091</v>
      </c>
      <c r="AV55" s="36">
        <f t="shared" si="10"/>
        <v>-0.78982355324131603</v>
      </c>
      <c r="AW55" s="36">
        <f t="shared" si="10"/>
        <v>-0.23175455948619259</v>
      </c>
      <c r="AX55" s="36">
        <f t="shared" si="10"/>
        <v>-9.2958090621146711E-2</v>
      </c>
      <c r="AY55" s="36">
        <f t="shared" si="10"/>
        <v>4.9265745654853942E-2</v>
      </c>
      <c r="AZ55" s="36">
        <f t="shared" si="10"/>
        <v>-0.8493128106687442</v>
      </c>
      <c r="BA55" s="36">
        <f t="shared" si="10"/>
        <v>-1.2752174571912152</v>
      </c>
      <c r="BB55" s="36">
        <f t="shared" si="10"/>
        <v>-1.6069221748915499</v>
      </c>
      <c r="BC55" s="36">
        <f t="shared" si="10"/>
        <v>-0.31529670279736244</v>
      </c>
      <c r="BD55" s="36">
        <f t="shared" si="10"/>
        <v>-0.20478809280847912</v>
      </c>
      <c r="BE55" s="36">
        <f t="shared" si="10"/>
        <v>-0.37720848062364354</v>
      </c>
      <c r="BF55" s="36">
        <f t="shared" si="10"/>
        <v>-0.25281940353607291</v>
      </c>
      <c r="BG55" s="36">
        <f t="shared" si="10"/>
        <v>-6.6838844403797282E-2</v>
      </c>
      <c r="BH55" s="36">
        <f t="shared" si="10"/>
        <v>-0.3950830215364205</v>
      </c>
      <c r="BI55" s="36">
        <f t="shared" si="10"/>
        <v>-0.25785201392035634</v>
      </c>
      <c r="BJ55" s="36">
        <f t="shared" si="10"/>
        <v>-0.57400749342721269</v>
      </c>
      <c r="BK55" s="36">
        <f t="shared" si="10"/>
        <v>0.20602280849250057</v>
      </c>
      <c r="BL55" s="36">
        <f t="shared" si="10"/>
        <v>-1.3250758974111023</v>
      </c>
      <c r="BM55" s="36">
        <f t="shared" si="10"/>
        <v>-0.98325481220627398</v>
      </c>
      <c r="BN55" s="36">
        <f t="shared" si="10"/>
        <v>-0.55490073711553289</v>
      </c>
      <c r="BO55" s="36">
        <f t="shared" si="10"/>
        <v>-0.39313921074968244</v>
      </c>
      <c r="BP55" s="36">
        <f t="shared" si="10"/>
        <v>-7.0466514136874756E-2</v>
      </c>
      <c r="BQ55" s="36">
        <f t="shared" si="10"/>
        <v>-0.24173181595894302</v>
      </c>
      <c r="BR55" s="36">
        <f t="shared" si="10"/>
        <v>-0.28546304469286216</v>
      </c>
      <c r="BS55" s="36">
        <f t="shared" si="10"/>
        <v>-0.39520166266588891</v>
      </c>
      <c r="BT55" s="36">
        <f t="shared" si="10"/>
        <v>3.084246020744582E-3</v>
      </c>
      <c r="BU55" s="36">
        <f t="shared" si="10"/>
        <v>7.6774059127315955E-2</v>
      </c>
      <c r="BV55" s="36">
        <f t="shared" si="10"/>
        <v>9.8796143322653421E-2</v>
      </c>
      <c r="BW55" s="36">
        <f t="shared" si="10"/>
        <v>1.2320973080836574E-2</v>
      </c>
      <c r="BX55" s="36">
        <f t="shared" si="10"/>
        <v>7.1445005223466987E-2</v>
      </c>
      <c r="BY55" s="36">
        <f t="shared" si="10"/>
        <v>-0.15085633879413152</v>
      </c>
      <c r="BZ55" s="36">
        <f t="shared" si="10"/>
        <v>-0.20379515460771916</v>
      </c>
      <c r="CA55" s="36">
        <f t="shared" si="10"/>
        <v>-0.1007544287786096</v>
      </c>
      <c r="CB55" s="36">
        <f t="shared" si="10"/>
        <v>-0.19055225066242507</v>
      </c>
    </row>
    <row r="56" spans="2:80" ht="10.15" x14ac:dyDescent="0.3">
      <c r="U56" s="28"/>
      <c r="BA56" s="28"/>
      <c r="BJ56" s="28"/>
      <c r="BM56" s="28"/>
    </row>
    <row r="57" spans="2:80" ht="10.15" x14ac:dyDescent="0.3">
      <c r="C57" s="1" t="s">
        <v>47</v>
      </c>
      <c r="I57" s="15" t="s">
        <v>0</v>
      </c>
      <c r="R57" s="28">
        <v>-17141</v>
      </c>
      <c r="S57" s="28">
        <v>-53144</v>
      </c>
      <c r="T57" s="28">
        <v>5910.49</v>
      </c>
      <c r="U57" s="28">
        <v>0</v>
      </c>
      <c r="V57" s="28">
        <v>-9196.3585714285709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3">
        <v>0</v>
      </c>
      <c r="AD57" s="33">
        <v>0</v>
      </c>
      <c r="AE57" s="33">
        <v>0</v>
      </c>
      <c r="AF57" s="33">
        <v>-17141</v>
      </c>
      <c r="AG57" s="33">
        <v>0</v>
      </c>
      <c r="AH57" s="33">
        <v>0</v>
      </c>
      <c r="AI57" s="33">
        <v>0</v>
      </c>
      <c r="AJ57" s="33">
        <v>0</v>
      </c>
      <c r="AK57" s="33">
        <v>0</v>
      </c>
      <c r="AL57" s="33">
        <v>0</v>
      </c>
      <c r="AM57" s="33">
        <v>0</v>
      </c>
      <c r="AN57" s="33">
        <v>0</v>
      </c>
      <c r="AO57" s="33">
        <v>0</v>
      </c>
      <c r="AP57" s="33">
        <v>0</v>
      </c>
      <c r="AQ57" s="33">
        <v>0</v>
      </c>
      <c r="AR57" s="33">
        <v>-53144</v>
      </c>
      <c r="AS57" s="33">
        <v>0</v>
      </c>
      <c r="AT57" s="33">
        <v>0</v>
      </c>
      <c r="AU57" s="33">
        <v>0</v>
      </c>
      <c r="AV57" s="33">
        <v>0</v>
      </c>
      <c r="AW57" s="33">
        <v>5910.49</v>
      </c>
      <c r="AX57" s="33">
        <v>0</v>
      </c>
      <c r="AY57" s="33">
        <v>0</v>
      </c>
      <c r="AZ57" s="33">
        <v>0</v>
      </c>
      <c r="BA57" s="33">
        <v>0</v>
      </c>
      <c r="BB57" s="33">
        <v>0</v>
      </c>
      <c r="BC57" s="33">
        <v>0</v>
      </c>
      <c r="BD57" s="33">
        <v>0</v>
      </c>
      <c r="BE57" s="33">
        <v>0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33">
        <v>0</v>
      </c>
      <c r="BL57" s="33">
        <v>0</v>
      </c>
      <c r="BM57" s="33">
        <v>0</v>
      </c>
      <c r="BN57" s="28">
        <v>0</v>
      </c>
      <c r="BO57" s="28">
        <v>0</v>
      </c>
      <c r="BP57" s="28">
        <v>0</v>
      </c>
      <c r="BQ57" s="28">
        <v>0</v>
      </c>
      <c r="BR57" s="28">
        <v>0</v>
      </c>
      <c r="BS57" s="28">
        <v>0</v>
      </c>
      <c r="BT57" s="28">
        <v>-1839.2717142857143</v>
      </c>
      <c r="BU57" s="28">
        <v>-1839.2717142857143</v>
      </c>
      <c r="BV57" s="28">
        <v>-1839.2717142857143</v>
      </c>
      <c r="BW57" s="28">
        <v>-1839.2717142857143</v>
      </c>
      <c r="BX57" s="28">
        <v>-1839.2717142857143</v>
      </c>
      <c r="BY57" s="28">
        <v>0</v>
      </c>
      <c r="BZ57" s="28">
        <v>0</v>
      </c>
      <c r="CA57" s="28">
        <v>0</v>
      </c>
      <c r="CB57" s="28">
        <v>0</v>
      </c>
    </row>
    <row r="58" spans="2:80" ht="10.15" x14ac:dyDescent="0.3">
      <c r="B58" s="17" t="s">
        <v>48</v>
      </c>
      <c r="C58" s="17"/>
      <c r="D58" s="17"/>
      <c r="E58" s="17"/>
      <c r="F58" s="17"/>
      <c r="G58" s="17"/>
      <c r="H58" s="17"/>
      <c r="I58" s="18" t="s">
        <v>0</v>
      </c>
      <c r="J58" s="17"/>
      <c r="K58" s="17"/>
      <c r="L58" s="17"/>
      <c r="M58" s="17"/>
      <c r="N58" s="17"/>
      <c r="O58" s="17"/>
      <c r="P58" s="17"/>
      <c r="Q58" s="17"/>
      <c r="R58" s="27">
        <v>199512.33440000002</v>
      </c>
      <c r="S58" s="27">
        <v>60131.474459060002</v>
      </c>
      <c r="T58" s="27">
        <v>-2875197.5213000011</v>
      </c>
      <c r="U58" s="27">
        <v>-6136559.7217059992</v>
      </c>
      <c r="V58" s="27">
        <v>-2709298.398017081</v>
      </c>
      <c r="W58" s="17"/>
      <c r="X58" s="27">
        <v>16756.04</v>
      </c>
      <c r="Y58" s="27">
        <v>-7979.3574999999983</v>
      </c>
      <c r="Z58" s="27">
        <v>-9471.5600000000049</v>
      </c>
      <c r="AA58" s="27">
        <v>49258.219999999994</v>
      </c>
      <c r="AB58" s="27">
        <v>121565.73000000001</v>
      </c>
      <c r="AC58" s="27">
        <v>-226511.03999999998</v>
      </c>
      <c r="AD58" s="27">
        <v>-42524.369999999995</v>
      </c>
      <c r="AE58" s="27">
        <v>-744.79000000000701</v>
      </c>
      <c r="AF58" s="27">
        <v>299163.46189999994</v>
      </c>
      <c r="AG58" s="27">
        <v>77826.18000000008</v>
      </c>
      <c r="AH58" s="27">
        <v>109288.48000000001</v>
      </c>
      <c r="AI58" s="27">
        <v>-127772.24536916435</v>
      </c>
      <c r="AJ58" s="27">
        <v>139196.28</v>
      </c>
      <c r="AK58" s="27">
        <v>-74044.070000002772</v>
      </c>
      <c r="AL58" s="27">
        <v>33771.950000004901</v>
      </c>
      <c r="AM58" s="27">
        <v>10900.049583333701</v>
      </c>
      <c r="AN58" s="27">
        <v>184510.57152777837</v>
      </c>
      <c r="AO58" s="27">
        <v>-126540.15513888889</v>
      </c>
      <c r="AP58" s="27">
        <v>-14765.149999999718</v>
      </c>
      <c r="AQ58" s="27">
        <v>403864.39999999962</v>
      </c>
      <c r="AR58" s="27">
        <v>-581961.58999999915</v>
      </c>
      <c r="AS58" s="27">
        <v>-234687.13999999996</v>
      </c>
      <c r="AT58" s="27">
        <v>-76407.569999999992</v>
      </c>
      <c r="AU58" s="27">
        <v>91659.819999998173</v>
      </c>
      <c r="AV58" s="27">
        <v>-305028.78999999969</v>
      </c>
      <c r="AW58" s="27">
        <v>-158187.56000000038</v>
      </c>
      <c r="AX58" s="27">
        <v>-69316.909999999683</v>
      </c>
      <c r="AY58" s="27">
        <v>45239.710000000217</v>
      </c>
      <c r="AZ58" s="27">
        <v>-435010.75999999972</v>
      </c>
      <c r="BA58" s="27">
        <v>-528886.94000000018</v>
      </c>
      <c r="BB58" s="27">
        <v>-700355.68999999983</v>
      </c>
      <c r="BC58" s="27">
        <v>-263394.65000000014</v>
      </c>
      <c r="BD58" s="27">
        <v>-213213.12000000032</v>
      </c>
      <c r="BE58" s="27">
        <v>-343106.02000000048</v>
      </c>
      <c r="BF58" s="27">
        <v>-262256.75999999919</v>
      </c>
      <c r="BG58" s="27">
        <v>-85791.49000000034</v>
      </c>
      <c r="BH58" s="27">
        <v>-401786.81000000116</v>
      </c>
      <c r="BI58" s="27">
        <v>-316327.40999999951</v>
      </c>
      <c r="BJ58" s="27">
        <v>-646067.47000000032</v>
      </c>
      <c r="BK58" s="27">
        <v>485985.45999999973</v>
      </c>
      <c r="BL58" s="27">
        <v>-998580.8800000007</v>
      </c>
      <c r="BM58" s="27">
        <v>-970044.42000000109</v>
      </c>
      <c r="BN58" s="27">
        <v>-952826.77000000048</v>
      </c>
      <c r="BO58" s="27">
        <v>-762124.19999999949</v>
      </c>
      <c r="BP58" s="27">
        <v>-196023.72999999943</v>
      </c>
      <c r="BQ58" s="27">
        <v>-437227.58747941902</v>
      </c>
      <c r="BR58" s="27">
        <v>-529736.62666699127</v>
      </c>
      <c r="BS58" s="27">
        <v>-755659.56636016886</v>
      </c>
      <c r="BT58" s="27">
        <v>6825.6213933781964</v>
      </c>
      <c r="BU58" s="27">
        <v>222506.50580895535</v>
      </c>
      <c r="BV58" s="27">
        <v>340699.2079071257</v>
      </c>
      <c r="BW58" s="27">
        <v>40879.069757636709</v>
      </c>
      <c r="BX58" s="27">
        <v>245869.42057612204</v>
      </c>
      <c r="BY58" s="27">
        <v>-462441.8094747765</v>
      </c>
      <c r="BZ58" s="27">
        <v>-619403.78418119822</v>
      </c>
      <c r="CA58" s="27">
        <v>-302282.93344944064</v>
      </c>
      <c r="CB58" s="27">
        <v>-592333.57670665497</v>
      </c>
    </row>
    <row r="59" spans="2:80" s="21" customFormat="1" ht="10.15" x14ac:dyDescent="0.3">
      <c r="C59" s="21" t="s">
        <v>49</v>
      </c>
      <c r="I59" s="29" t="s">
        <v>1</v>
      </c>
      <c r="R59" s="36">
        <v>0.2081374255999773</v>
      </c>
      <c r="S59" s="36">
        <v>1.1991099877261314E-2</v>
      </c>
      <c r="T59" s="36">
        <v>-0.37573599966508581</v>
      </c>
      <c r="U59" s="36">
        <v>-0.37307294741423208</v>
      </c>
      <c r="V59" s="36">
        <v>-7.9866230926802895E-2</v>
      </c>
      <c r="X59" s="36">
        <f t="shared" ref="X59:CB59" si="11">IFERROR(X58/X$32,"n/a")</f>
        <v>0.92213086786638054</v>
      </c>
      <c r="Y59" s="36">
        <f t="shared" si="11"/>
        <v>-0.36706932153986011</v>
      </c>
      <c r="Z59" s="36">
        <f t="shared" si="11"/>
        <v>-0.22422404507415705</v>
      </c>
      <c r="AA59" s="36">
        <f t="shared" si="11"/>
        <v>0.55658376741505744</v>
      </c>
      <c r="AB59" s="36">
        <f t="shared" si="11"/>
        <v>0.92836734182682723</v>
      </c>
      <c r="AC59" s="36">
        <f t="shared" si="11"/>
        <v>-2.2062154778196055</v>
      </c>
      <c r="AD59" s="36">
        <f t="shared" si="11"/>
        <v>-0.42351575571667593</v>
      </c>
      <c r="AE59" s="36">
        <f t="shared" si="11"/>
        <v>-7.2741603178874863E-3</v>
      </c>
      <c r="AF59" s="36">
        <f t="shared" si="11"/>
        <v>0.85111142151200569</v>
      </c>
      <c r="AG59" s="36">
        <f t="shared" si="11"/>
        <v>0.36320601722324147</v>
      </c>
      <c r="AH59" s="36">
        <f t="shared" si="11"/>
        <v>0.42068447613430199</v>
      </c>
      <c r="AI59" s="36">
        <f t="shared" si="11"/>
        <v>-0.61926279782040561</v>
      </c>
      <c r="AJ59" s="36">
        <f t="shared" si="11"/>
        <v>0.44870802964814394</v>
      </c>
      <c r="AK59" s="36">
        <f t="shared" si="11"/>
        <v>-0.53190271054333738</v>
      </c>
      <c r="AL59" s="36">
        <f t="shared" si="11"/>
        <v>8.4974670983722383E-2</v>
      </c>
      <c r="AM59" s="36">
        <f t="shared" si="11"/>
        <v>3.4946764403880448E-2</v>
      </c>
      <c r="AN59" s="36">
        <f t="shared" si="11"/>
        <v>0.34633730992338285</v>
      </c>
      <c r="AO59" s="36">
        <f t="shared" si="11"/>
        <v>-0.3031174180648295</v>
      </c>
      <c r="AP59" s="36">
        <f t="shared" si="11"/>
        <v>-4.3458577729548302E-2</v>
      </c>
      <c r="AQ59" s="36">
        <f t="shared" si="11"/>
        <v>0.50395833710285109</v>
      </c>
      <c r="AR59" s="36">
        <f t="shared" si="11"/>
        <v>-0.54989337553492235</v>
      </c>
      <c r="AS59" s="36">
        <f t="shared" si="11"/>
        <v>-0.82653415099074179</v>
      </c>
      <c r="AT59" s="36">
        <f t="shared" si="11"/>
        <v>-0.14939817953672577</v>
      </c>
      <c r="AU59" s="36">
        <f t="shared" si="11"/>
        <v>0.10335054417562091</v>
      </c>
      <c r="AV59" s="36">
        <f t="shared" si="11"/>
        <v>-0.78982355324131603</v>
      </c>
      <c r="AW59" s="36">
        <f t="shared" si="11"/>
        <v>-0.223407214674371</v>
      </c>
      <c r="AX59" s="36">
        <f t="shared" si="11"/>
        <v>-9.2958090621146711E-2</v>
      </c>
      <c r="AY59" s="36">
        <f t="shared" si="11"/>
        <v>4.9265745654853942E-2</v>
      </c>
      <c r="AZ59" s="36">
        <f t="shared" si="11"/>
        <v>-0.8493128106687442</v>
      </c>
      <c r="BA59" s="36">
        <f t="shared" si="11"/>
        <v>-1.2752174571912152</v>
      </c>
      <c r="BB59" s="36">
        <f t="shared" si="11"/>
        <v>-1.6069221748915499</v>
      </c>
      <c r="BC59" s="36">
        <f t="shared" si="11"/>
        <v>-0.31529670279736244</v>
      </c>
      <c r="BD59" s="36">
        <f t="shared" si="11"/>
        <v>-0.20478809280847912</v>
      </c>
      <c r="BE59" s="36">
        <f t="shared" si="11"/>
        <v>-0.37720848062364354</v>
      </c>
      <c r="BF59" s="36">
        <f t="shared" si="11"/>
        <v>-0.25281940353607291</v>
      </c>
      <c r="BG59" s="36">
        <f t="shared" si="11"/>
        <v>-6.6838844403797282E-2</v>
      </c>
      <c r="BH59" s="36">
        <f t="shared" si="11"/>
        <v>-0.3950830215364205</v>
      </c>
      <c r="BI59" s="36">
        <f t="shared" si="11"/>
        <v>-0.25785201392035634</v>
      </c>
      <c r="BJ59" s="36">
        <f t="shared" si="11"/>
        <v>-0.57400749342721269</v>
      </c>
      <c r="BK59" s="36">
        <f t="shared" si="11"/>
        <v>0.20602280849250057</v>
      </c>
      <c r="BL59" s="36">
        <f t="shared" si="11"/>
        <v>-1.3250758974111023</v>
      </c>
      <c r="BM59" s="36">
        <f t="shared" si="11"/>
        <v>-0.98325481220627398</v>
      </c>
      <c r="BN59" s="36">
        <f t="shared" si="11"/>
        <v>-0.55490073711553289</v>
      </c>
      <c r="BO59" s="36">
        <f t="shared" si="11"/>
        <v>-0.39313921074968244</v>
      </c>
      <c r="BP59" s="36">
        <f t="shared" si="11"/>
        <v>-7.0466514136874756E-2</v>
      </c>
      <c r="BQ59" s="36">
        <f t="shared" si="11"/>
        <v>-0.24173181595894302</v>
      </c>
      <c r="BR59" s="36">
        <f t="shared" si="11"/>
        <v>-0.28546304469286216</v>
      </c>
      <c r="BS59" s="36">
        <f t="shared" si="11"/>
        <v>-0.39520166266588891</v>
      </c>
      <c r="BT59" s="36">
        <f t="shared" si="11"/>
        <v>2.4295620684594301E-3</v>
      </c>
      <c r="BU59" s="36">
        <f t="shared" si="11"/>
        <v>7.6144636292160769E-2</v>
      </c>
      <c r="BV59" s="36">
        <f t="shared" si="11"/>
        <v>9.8265654158064639E-2</v>
      </c>
      <c r="BW59" s="36">
        <f t="shared" si="11"/>
        <v>1.1790483916247792E-2</v>
      </c>
      <c r="BX59" s="36">
        <f t="shared" si="11"/>
        <v>7.0914516058878205E-2</v>
      </c>
      <c r="BY59" s="36">
        <f t="shared" si="11"/>
        <v>-0.15085633879413152</v>
      </c>
      <c r="BZ59" s="36">
        <f t="shared" si="11"/>
        <v>-0.20379515460771916</v>
      </c>
      <c r="CA59" s="36">
        <f t="shared" si="11"/>
        <v>-0.1007544287786096</v>
      </c>
      <c r="CB59" s="36">
        <f t="shared" si="11"/>
        <v>-0.19055225066242507</v>
      </c>
    </row>
    <row r="60" spans="2:80" s="21" customFormat="1" ht="10.15" x14ac:dyDescent="0.3">
      <c r="I60" s="29"/>
      <c r="R60" s="36"/>
      <c r="S60" s="36"/>
      <c r="T60" s="37"/>
      <c r="U60" s="36"/>
      <c r="V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55"/>
      <c r="BE60" s="55"/>
      <c r="BF60" s="55"/>
      <c r="BG60" s="55"/>
      <c r="BH60" s="55"/>
      <c r="BI60" s="55"/>
      <c r="BJ60" s="55"/>
      <c r="BK60" s="28"/>
      <c r="BL60" s="36"/>
      <c r="BM60" s="36"/>
      <c r="BN60" s="28"/>
      <c r="BO60" s="36"/>
      <c r="BP60" s="28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</row>
    <row r="61" spans="2:80" ht="10.15" x14ac:dyDescent="0.3">
      <c r="Y61" s="31"/>
      <c r="BD61" s="28"/>
      <c r="BE61" s="28"/>
      <c r="BF61" s="55"/>
      <c r="BG61" s="55"/>
      <c r="BH61" s="55"/>
      <c r="BI61" s="55"/>
      <c r="BJ61" s="55"/>
      <c r="BM61" s="28"/>
      <c r="BN61" s="28"/>
      <c r="BO61" s="28"/>
      <c r="BP61" s="28"/>
    </row>
    <row r="62" spans="2:80" ht="10.15" x14ac:dyDescent="0.3">
      <c r="B62" s="25" t="s">
        <v>50</v>
      </c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63"/>
      <c r="BK62" s="24"/>
      <c r="BL62" s="24"/>
      <c r="BM62" s="63"/>
      <c r="BN62" s="24"/>
      <c r="BO62" s="24"/>
      <c r="BP62" s="63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</row>
    <row r="63" spans="2:80" ht="10.15" x14ac:dyDescent="0.3">
      <c r="U63" s="28"/>
      <c r="V63" s="28"/>
      <c r="AU63" s="28"/>
      <c r="AX63" s="28"/>
      <c r="BA63" s="28"/>
      <c r="BD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52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</row>
    <row r="64" spans="2:80" ht="10.15" x14ac:dyDescent="0.3">
      <c r="B64" s="2" t="s">
        <v>51</v>
      </c>
      <c r="V64" s="31"/>
      <c r="AS64" s="28"/>
      <c r="AT64" s="28"/>
      <c r="AU64" s="51"/>
      <c r="AV64" s="51"/>
      <c r="AW64" s="51"/>
      <c r="AX64" s="51"/>
      <c r="AY64" s="51"/>
      <c r="AZ64" s="51"/>
      <c r="BA64" s="51"/>
      <c r="BB64" s="28"/>
      <c r="BC64" s="28"/>
      <c r="BD64" s="51"/>
      <c r="BE64" s="28"/>
      <c r="BF64" s="28"/>
      <c r="BG64" s="51"/>
      <c r="BJ64" s="51"/>
      <c r="BK64" s="52"/>
      <c r="BL64" s="52"/>
      <c r="BM64" s="52"/>
      <c r="BN64" s="52"/>
      <c r="BO64" s="52"/>
      <c r="BP64" s="31"/>
      <c r="BU64" s="28"/>
      <c r="BW64" s="31"/>
      <c r="CB64" s="31"/>
    </row>
    <row r="65" spans="2:80" ht="10.15" x14ac:dyDescent="0.3">
      <c r="B65" s="1" t="s">
        <v>52</v>
      </c>
      <c r="I65" s="15" t="s">
        <v>0</v>
      </c>
      <c r="R65" s="28">
        <v>1841669.75</v>
      </c>
      <c r="S65" s="28">
        <v>10523351.529999999</v>
      </c>
      <c r="T65" s="28">
        <v>12456987.33</v>
      </c>
      <c r="U65" s="28">
        <v>9859678.7999999989</v>
      </c>
      <c r="V65" s="28">
        <v>58437.45827917906</v>
      </c>
      <c r="X65" s="38"/>
      <c r="Y65" s="38"/>
      <c r="Z65" s="38"/>
      <c r="AA65" s="38"/>
      <c r="AB65" s="38"/>
      <c r="AC65" s="38">
        <v>1224068.1300000001</v>
      </c>
      <c r="AD65" s="38">
        <v>653840.24</v>
      </c>
      <c r="AE65" s="38">
        <v>2210824.9000000004</v>
      </c>
      <c r="AF65" s="38">
        <v>1841669.75</v>
      </c>
      <c r="AG65" s="38">
        <v>1849193.53</v>
      </c>
      <c r="AH65" s="38">
        <v>1960170.4099999997</v>
      </c>
      <c r="AI65" s="38">
        <v>2867551.3299999996</v>
      </c>
      <c r="AJ65" s="38">
        <v>2115338.46</v>
      </c>
      <c r="AK65" s="38">
        <v>4067119.4599999995</v>
      </c>
      <c r="AL65" s="38">
        <v>2209988.4300000002</v>
      </c>
      <c r="AM65" s="38">
        <v>4324448.08</v>
      </c>
      <c r="AN65" s="38">
        <v>2599806.62</v>
      </c>
      <c r="AO65" s="38">
        <v>2559466.9299999997</v>
      </c>
      <c r="AP65" s="38">
        <v>4019166.0600000005</v>
      </c>
      <c r="AQ65" s="38">
        <v>15482869.050000001</v>
      </c>
      <c r="AR65" s="38">
        <v>10523351.529999999</v>
      </c>
      <c r="AS65" s="38">
        <v>9223746.7100000009</v>
      </c>
      <c r="AT65" s="38">
        <v>10286185.110000001</v>
      </c>
      <c r="AU65" s="38">
        <v>7488416.4900000002</v>
      </c>
      <c r="AV65" s="38">
        <v>4214016.68</v>
      </c>
      <c r="AW65" s="38">
        <v>4780224.53</v>
      </c>
      <c r="AX65" s="38">
        <v>10870209.370000001</v>
      </c>
      <c r="AY65" s="38">
        <v>8545313.1400000006</v>
      </c>
      <c r="AZ65" s="38">
        <v>5011742.37</v>
      </c>
      <c r="BA65" s="38">
        <v>7073737.0200000005</v>
      </c>
      <c r="BB65" s="38">
        <v>17152411.400000002</v>
      </c>
      <c r="BC65" s="38">
        <v>15983086.730000002</v>
      </c>
      <c r="BD65" s="38">
        <v>12456987.33</v>
      </c>
      <c r="BE65" s="38">
        <v>7221443.0499999998</v>
      </c>
      <c r="BF65" s="38">
        <v>12590939.640000001</v>
      </c>
      <c r="BG65" s="38">
        <v>5588615.0100000007</v>
      </c>
      <c r="BH65" s="38">
        <v>7215143.7100000009</v>
      </c>
      <c r="BI65" s="38">
        <v>6242870.5599999996</v>
      </c>
      <c r="BJ65" s="38">
        <v>6993032.6699999999</v>
      </c>
      <c r="BK65" s="38">
        <v>2142832.8000000007</v>
      </c>
      <c r="BL65" s="38">
        <v>3860728.0599999996</v>
      </c>
      <c r="BM65" s="38">
        <v>5449292.6500000004</v>
      </c>
      <c r="BN65" s="38">
        <v>17065026.48</v>
      </c>
      <c r="BO65" s="38">
        <v>9666339.3100000005</v>
      </c>
      <c r="BP65" s="38">
        <v>9859678.7999999989</v>
      </c>
      <c r="BQ65" s="28">
        <v>24724985.449172556</v>
      </c>
      <c r="BR65" s="28">
        <v>23506982.390013155</v>
      </c>
      <c r="BS65" s="28">
        <v>13344264.236073323</v>
      </c>
      <c r="BT65" s="28">
        <v>0</v>
      </c>
      <c r="BU65" s="28">
        <v>0</v>
      </c>
      <c r="BV65" s="28">
        <v>0</v>
      </c>
      <c r="BW65" s="28">
        <v>0</v>
      </c>
      <c r="BX65" s="28">
        <v>0</v>
      </c>
      <c r="BY65" s="28">
        <v>3.7252902984619141E-9</v>
      </c>
      <c r="BZ65" s="28">
        <v>3.7252902984619141E-9</v>
      </c>
      <c r="CA65" s="28">
        <v>5.7043507695198059E-9</v>
      </c>
      <c r="CB65" s="28">
        <v>58437.45827917906</v>
      </c>
    </row>
    <row r="66" spans="2:80" ht="10.15" x14ac:dyDescent="0.3">
      <c r="B66" s="1" t="s">
        <v>116</v>
      </c>
      <c r="I66" s="15" t="s">
        <v>0</v>
      </c>
      <c r="R66" s="28">
        <v>0</v>
      </c>
      <c r="S66" s="28">
        <v>0</v>
      </c>
      <c r="T66" s="28">
        <v>0</v>
      </c>
      <c r="U66" s="28">
        <v>0</v>
      </c>
      <c r="V66" s="28">
        <v>5670404.1394053651</v>
      </c>
      <c r="X66" s="38"/>
      <c r="Y66" s="38"/>
      <c r="Z66" s="38"/>
      <c r="AA66" s="38"/>
      <c r="AB66" s="38"/>
      <c r="AC66" s="38">
        <v>0</v>
      </c>
      <c r="AD66" s="38">
        <v>0</v>
      </c>
      <c r="AE66" s="38">
        <v>0</v>
      </c>
      <c r="AF66" s="38">
        <v>0</v>
      </c>
      <c r="AG66" s="38">
        <v>0</v>
      </c>
      <c r="AH66" s="38">
        <v>0</v>
      </c>
      <c r="AI66" s="38">
        <v>0</v>
      </c>
      <c r="AJ66" s="38">
        <v>0</v>
      </c>
      <c r="AK66" s="38">
        <v>0</v>
      </c>
      <c r="AL66" s="38">
        <v>0</v>
      </c>
      <c r="AM66" s="38">
        <v>0</v>
      </c>
      <c r="AN66" s="38">
        <v>0</v>
      </c>
      <c r="AO66" s="38">
        <v>0</v>
      </c>
      <c r="AP66" s="38">
        <v>0</v>
      </c>
      <c r="AQ66" s="38">
        <v>0</v>
      </c>
      <c r="AR66" s="38">
        <v>0</v>
      </c>
      <c r="AS66" s="38">
        <v>0</v>
      </c>
      <c r="AT66" s="38">
        <v>0</v>
      </c>
      <c r="AU66" s="38">
        <v>0</v>
      </c>
      <c r="AV66" s="38">
        <v>0</v>
      </c>
      <c r="AW66" s="38">
        <v>0</v>
      </c>
      <c r="AX66" s="38">
        <v>0</v>
      </c>
      <c r="AY66" s="38">
        <v>0</v>
      </c>
      <c r="AZ66" s="38">
        <v>0</v>
      </c>
      <c r="BA66" s="38">
        <v>0</v>
      </c>
      <c r="BB66" s="38">
        <v>0</v>
      </c>
      <c r="BC66" s="38">
        <v>0</v>
      </c>
      <c r="BD66" s="38">
        <v>0</v>
      </c>
      <c r="BE66" s="38">
        <v>0</v>
      </c>
      <c r="BF66" s="38">
        <v>0</v>
      </c>
      <c r="BG66" s="38">
        <v>0</v>
      </c>
      <c r="BH66" s="38">
        <v>0</v>
      </c>
      <c r="BI66" s="38">
        <v>0</v>
      </c>
      <c r="BJ66" s="38">
        <v>0</v>
      </c>
      <c r="BK66" s="38">
        <v>0</v>
      </c>
      <c r="BL66" s="38">
        <v>0</v>
      </c>
      <c r="BM66" s="38">
        <v>0</v>
      </c>
      <c r="BN66" s="28">
        <v>0</v>
      </c>
      <c r="BO66" s="28">
        <v>0</v>
      </c>
      <c r="BP66" s="28">
        <v>0</v>
      </c>
      <c r="BQ66" s="28">
        <v>5951399.4873635769</v>
      </c>
      <c r="BR66" s="28">
        <v>4885658.1923366077</v>
      </c>
      <c r="BS66" s="28">
        <v>19336289.962306011</v>
      </c>
      <c r="BT66" s="28">
        <v>14926007.115840569</v>
      </c>
      <c r="BU66" s="28">
        <v>12908199.782129804</v>
      </c>
      <c r="BV66" s="28">
        <v>10530689.455892451</v>
      </c>
      <c r="BW66" s="28">
        <v>8423145.1165752709</v>
      </c>
      <c r="BX66" s="28">
        <v>7072706.5720627382</v>
      </c>
      <c r="BY66" s="28">
        <v>6334407.9761905214</v>
      </c>
      <c r="BZ66" s="28">
        <v>5929026.9967376841</v>
      </c>
      <c r="CA66" s="28">
        <v>5979033.3975621369</v>
      </c>
      <c r="CB66" s="28">
        <v>5670404.1394053651</v>
      </c>
    </row>
    <row r="67" spans="2:80" ht="10.15" x14ac:dyDescent="0.3">
      <c r="B67" s="1" t="s">
        <v>53</v>
      </c>
      <c r="I67" s="15" t="s">
        <v>0</v>
      </c>
      <c r="R67" s="28">
        <v>311027.61555901775</v>
      </c>
      <c r="S67" s="28">
        <v>2153068.0301342248</v>
      </c>
      <c r="T67" s="28">
        <v>3780667.63442737</v>
      </c>
      <c r="U67" s="28">
        <v>6312144.7647329932</v>
      </c>
      <c r="V67" s="28">
        <v>12589709.233218644</v>
      </c>
      <c r="X67" s="35"/>
      <c r="Y67" s="35"/>
      <c r="Z67" s="35"/>
      <c r="AA67" s="35"/>
      <c r="AB67" s="35"/>
      <c r="AC67" s="46">
        <v>233615.25620116678</v>
      </c>
      <c r="AD67" s="46">
        <v>261967.55168927179</v>
      </c>
      <c r="AE67" s="46">
        <v>245142.46251829781</v>
      </c>
      <c r="AF67" s="46">
        <v>311027.61555901775</v>
      </c>
      <c r="AG67" s="46">
        <v>460198.39712567709</v>
      </c>
      <c r="AH67" s="46">
        <v>673304.99382183282</v>
      </c>
      <c r="AI67" s="46">
        <v>682271.17351998261</v>
      </c>
      <c r="AJ67" s="46">
        <v>703493.6020594216</v>
      </c>
      <c r="AK67" s="46">
        <v>727446.25843080855</v>
      </c>
      <c r="AL67" s="46">
        <v>980496.6762028333</v>
      </c>
      <c r="AM67" s="46">
        <v>1245473.131988433</v>
      </c>
      <c r="AN67" s="46">
        <v>1361550.5234775175</v>
      </c>
      <c r="AO67" s="46">
        <v>1467450.6696919028</v>
      </c>
      <c r="AP67" s="46">
        <v>1370142.1610602839</v>
      </c>
      <c r="AQ67" s="46">
        <v>1873578.6502011297</v>
      </c>
      <c r="AR67" s="46">
        <v>2153068.0301342248</v>
      </c>
      <c r="AS67" s="46">
        <v>2179176.8450118834</v>
      </c>
      <c r="AT67" s="46">
        <v>2141615.3875336749</v>
      </c>
      <c r="AU67" s="46">
        <v>2604658.4212190122</v>
      </c>
      <c r="AV67" s="46">
        <v>2755305.4796955106</v>
      </c>
      <c r="AW67" s="46">
        <v>2674873.1497711763</v>
      </c>
      <c r="AX67" s="46">
        <v>2991517.0419699531</v>
      </c>
      <c r="AY67" s="46">
        <v>3281970.4780679112</v>
      </c>
      <c r="AZ67" s="46">
        <v>3483629.4741856894</v>
      </c>
      <c r="BA67" s="46">
        <v>3319191.2155020111</v>
      </c>
      <c r="BB67" s="46">
        <v>3295753.5703680599</v>
      </c>
      <c r="BC67" s="46">
        <v>3505653.2611683579</v>
      </c>
      <c r="BD67" s="46">
        <v>3780667.63442737</v>
      </c>
      <c r="BE67" s="46">
        <v>3959058.2882404788</v>
      </c>
      <c r="BF67" s="46">
        <v>4505047.5474163415</v>
      </c>
      <c r="BG67" s="46">
        <v>5034763.2569107907</v>
      </c>
      <c r="BH67" s="46">
        <v>4856333.6151565015</v>
      </c>
      <c r="BI67" s="46">
        <v>5002693.8719837992</v>
      </c>
      <c r="BJ67" s="46">
        <v>4738968.2787504038</v>
      </c>
      <c r="BK67" s="46">
        <v>5973911.1863169605</v>
      </c>
      <c r="BL67" s="46">
        <v>5581716.1694419142</v>
      </c>
      <c r="BM67" s="46">
        <v>5245668.9147505499</v>
      </c>
      <c r="BN67" s="46">
        <v>5449336.708002666</v>
      </c>
      <c r="BO67" s="46">
        <v>5998736.320902463</v>
      </c>
      <c r="BP67" s="46">
        <v>6312144.7647329932</v>
      </c>
      <c r="BQ67" s="46">
        <v>6554284.9575234437</v>
      </c>
      <c r="BR67" s="46">
        <v>7265857.2606538283</v>
      </c>
      <c r="BS67" s="46">
        <v>7262583.6960759545</v>
      </c>
      <c r="BT67" s="46">
        <v>8408531.2132210936</v>
      </c>
      <c r="BU67" s="46">
        <v>9304628.6337788459</v>
      </c>
      <c r="BV67" s="46">
        <v>10537864.259704331</v>
      </c>
      <c r="BW67" s="46">
        <v>11588207.57578199</v>
      </c>
      <c r="BX67" s="46">
        <v>12401846.116488934</v>
      </c>
      <c r="BY67" s="46">
        <v>12658469.782609997</v>
      </c>
      <c r="BZ67" s="46">
        <v>12683924.370979853</v>
      </c>
      <c r="CA67" s="46">
        <v>12602162.231057381</v>
      </c>
      <c r="CB67" s="46">
        <v>12589709.233218644</v>
      </c>
    </row>
    <row r="68" spans="2:80" ht="10.15" x14ac:dyDescent="0.3">
      <c r="B68" s="1" t="s">
        <v>54</v>
      </c>
      <c r="I68" s="15" t="s">
        <v>0</v>
      </c>
      <c r="R68" s="28">
        <v>4583054.9088409822</v>
      </c>
      <c r="S68" s="28">
        <v>23628999.20812178</v>
      </c>
      <c r="T68" s="28">
        <v>35824193.74252864</v>
      </c>
      <c r="U68" s="28">
        <v>68991116.479724571</v>
      </c>
      <c r="V68" s="28">
        <v>130094466.02979191</v>
      </c>
      <c r="X68" s="28"/>
      <c r="Y68" s="28"/>
      <c r="Z68" s="28"/>
      <c r="AA68" s="28"/>
      <c r="AB68" s="28"/>
      <c r="AC68" s="46">
        <v>3697971.4562988328</v>
      </c>
      <c r="AD68" s="46">
        <v>4072801.6308107283</v>
      </c>
      <c r="AE68" s="46">
        <v>4062628.7499817023</v>
      </c>
      <c r="AF68" s="46">
        <v>4583054.9088409822</v>
      </c>
      <c r="AG68" s="46">
        <v>5801489.1459743232</v>
      </c>
      <c r="AH68" s="46">
        <v>8819700.6762781683</v>
      </c>
      <c r="AI68" s="46">
        <v>7670519.9535800181</v>
      </c>
      <c r="AJ68" s="46">
        <v>8276996.7982365787</v>
      </c>
      <c r="AK68" s="46">
        <v>8816229.3368651941</v>
      </c>
      <c r="AL68" s="46">
        <v>10371024.161393169</v>
      </c>
      <c r="AM68" s="46">
        <v>13001830.078867571</v>
      </c>
      <c r="AN68" s="46">
        <v>14924223.014728487</v>
      </c>
      <c r="AO68" s="46">
        <v>15188578.5746141</v>
      </c>
      <c r="AP68" s="46">
        <v>14987420.111245718</v>
      </c>
      <c r="AQ68" s="46">
        <v>18296462.201504875</v>
      </c>
      <c r="AR68" s="46">
        <v>23628999.20812178</v>
      </c>
      <c r="AS68" s="46">
        <v>23085572.440644123</v>
      </c>
      <c r="AT68" s="46">
        <v>22752609.011372332</v>
      </c>
      <c r="AU68" s="46">
        <v>26799852.743736994</v>
      </c>
      <c r="AV68" s="46">
        <v>29254474.629960492</v>
      </c>
      <c r="AW68" s="46">
        <v>28628778.435384829</v>
      </c>
      <c r="AX68" s="46">
        <v>29153717.870336059</v>
      </c>
      <c r="AY68" s="46">
        <v>31208385.416688107</v>
      </c>
      <c r="AZ68" s="46">
        <v>33822794.875570327</v>
      </c>
      <c r="BA68" s="46">
        <v>31449948.964254007</v>
      </c>
      <c r="BB68" s="46">
        <v>30561235.021237951</v>
      </c>
      <c r="BC68" s="46">
        <v>32254664.868087657</v>
      </c>
      <c r="BD68" s="46">
        <v>35824193.74252864</v>
      </c>
      <c r="BE68" s="46">
        <v>37865239.63796553</v>
      </c>
      <c r="BF68" s="46">
        <v>44338329.168439671</v>
      </c>
      <c r="BG68" s="46">
        <v>50982007.021976091</v>
      </c>
      <c r="BH68" s="46">
        <v>49693915.59110038</v>
      </c>
      <c r="BI68" s="46">
        <v>49356363.873873092</v>
      </c>
      <c r="BJ68" s="46">
        <v>47123539.901026487</v>
      </c>
      <c r="BK68" s="46">
        <v>57245904.442609929</v>
      </c>
      <c r="BL68" s="46">
        <v>54411184.028584987</v>
      </c>
      <c r="BM68" s="46">
        <v>53639709.984336346</v>
      </c>
      <c r="BN68" s="46">
        <v>56555608.516320914</v>
      </c>
      <c r="BO68" s="46">
        <v>63113838.766461112</v>
      </c>
      <c r="BP68" s="46">
        <v>68991116.479724571</v>
      </c>
      <c r="BQ68" s="46">
        <v>68161556.746064827</v>
      </c>
      <c r="BR68" s="46">
        <v>74365335.393081382</v>
      </c>
      <c r="BS68" s="46">
        <v>79314045.952869594</v>
      </c>
      <c r="BT68" s="46">
        <v>95268108.969421342</v>
      </c>
      <c r="BU68" s="46">
        <v>94486702.171957776</v>
      </c>
      <c r="BV68" s="46">
        <v>109535301.20488426</v>
      </c>
      <c r="BW68" s="46">
        <v>122558718.35497926</v>
      </c>
      <c r="BX68" s="46">
        <v>132273640.792759</v>
      </c>
      <c r="BY68" s="46">
        <v>134179392.03168</v>
      </c>
      <c r="BZ68" s="46">
        <v>133415608.25443225</v>
      </c>
      <c r="CA68" s="46">
        <v>131391005.32731606</v>
      </c>
      <c r="CB68" s="46">
        <v>130094466.02979191</v>
      </c>
    </row>
    <row r="69" spans="2:80" ht="10.15" x14ac:dyDescent="0.3">
      <c r="B69" s="1" t="s">
        <v>127</v>
      </c>
      <c r="I69" s="15" t="s">
        <v>0</v>
      </c>
      <c r="R69" s="28">
        <v>0</v>
      </c>
      <c r="S69" s="28">
        <v>-203000</v>
      </c>
      <c r="T69" s="28">
        <v>-406009</v>
      </c>
      <c r="U69" s="28">
        <v>-1152044.25</v>
      </c>
      <c r="V69" s="28">
        <v>-1152044.25</v>
      </c>
      <c r="X69" s="28"/>
      <c r="Y69" s="28"/>
      <c r="Z69" s="28"/>
      <c r="AA69" s="28"/>
      <c r="AB69" s="28"/>
      <c r="AC69" s="46">
        <v>0</v>
      </c>
      <c r="AD69" s="46">
        <v>0</v>
      </c>
      <c r="AE69" s="46">
        <v>0</v>
      </c>
      <c r="AF69" s="46">
        <v>0</v>
      </c>
      <c r="AG69" s="46">
        <v>0</v>
      </c>
      <c r="AH69" s="46">
        <v>0</v>
      </c>
      <c r="AI69" s="46">
        <v>0</v>
      </c>
      <c r="AJ69" s="46">
        <v>0</v>
      </c>
      <c r="AK69" s="46">
        <v>0</v>
      </c>
      <c r="AL69" s="46">
        <v>0</v>
      </c>
      <c r="AM69" s="46">
        <v>0</v>
      </c>
      <c r="AN69" s="46">
        <v>0</v>
      </c>
      <c r="AO69" s="46">
        <v>0</v>
      </c>
      <c r="AP69" s="46">
        <v>0</v>
      </c>
      <c r="AQ69" s="46">
        <v>0</v>
      </c>
      <c r="AR69" s="46">
        <v>-203000</v>
      </c>
      <c r="AS69" s="46">
        <v>-203000</v>
      </c>
      <c r="AT69" s="46">
        <v>-203000</v>
      </c>
      <c r="AU69" s="46">
        <v>-203000</v>
      </c>
      <c r="AV69" s="46">
        <v>-203000</v>
      </c>
      <c r="AW69" s="46">
        <v>-203000</v>
      </c>
      <c r="AX69" s="46">
        <v>-203000</v>
      </c>
      <c r="AY69" s="46">
        <v>-203000</v>
      </c>
      <c r="AZ69" s="46">
        <v>-203000</v>
      </c>
      <c r="BA69" s="46">
        <v>-203000</v>
      </c>
      <c r="BB69" s="46">
        <v>-203000</v>
      </c>
      <c r="BC69" s="46">
        <v>-203000</v>
      </c>
      <c r="BD69" s="46">
        <v>-406009</v>
      </c>
      <c r="BE69" s="46">
        <v>-431009</v>
      </c>
      <c r="BF69" s="46">
        <v>-456009</v>
      </c>
      <c r="BG69" s="46">
        <v>-481009</v>
      </c>
      <c r="BH69" s="46">
        <v>-506009</v>
      </c>
      <c r="BI69" s="46">
        <v>-531009</v>
      </c>
      <c r="BJ69" s="46">
        <v>-556009</v>
      </c>
      <c r="BK69" s="46">
        <v>-1341836.03</v>
      </c>
      <c r="BL69" s="46">
        <v>-1366836.03</v>
      </c>
      <c r="BM69" s="46">
        <v>-678587.63</v>
      </c>
      <c r="BN69" s="46">
        <v>-678587.63</v>
      </c>
      <c r="BO69" s="46">
        <v>-678587.63</v>
      </c>
      <c r="BP69" s="46">
        <v>-1152044.25</v>
      </c>
      <c r="BQ69" s="46">
        <v>-1152044.25</v>
      </c>
      <c r="BR69" s="46">
        <v>-1152044.25</v>
      </c>
      <c r="BS69" s="46">
        <v>-1152044.25</v>
      </c>
      <c r="BT69" s="46">
        <v>-1152044.25</v>
      </c>
      <c r="BU69" s="46">
        <v>-1152044.25</v>
      </c>
      <c r="BV69" s="46">
        <v>-1152044.25</v>
      </c>
      <c r="BW69" s="46">
        <v>-1152044.25</v>
      </c>
      <c r="BX69" s="46">
        <v>-1152044.25</v>
      </c>
      <c r="BY69" s="46">
        <v>-1152044.25</v>
      </c>
      <c r="BZ69" s="46">
        <v>-1152044.25</v>
      </c>
      <c r="CA69" s="46">
        <v>-1152044.25</v>
      </c>
      <c r="CB69" s="46">
        <v>-1152044.25</v>
      </c>
    </row>
    <row r="70" spans="2:80" ht="10.15" x14ac:dyDescent="0.3">
      <c r="B70" s="1" t="s">
        <v>123</v>
      </c>
      <c r="I70" s="15" t="s">
        <v>0</v>
      </c>
      <c r="R70" s="28">
        <v>0</v>
      </c>
      <c r="S70" s="28">
        <v>0</v>
      </c>
      <c r="T70" s="28">
        <v>0</v>
      </c>
      <c r="U70" s="28">
        <v>0</v>
      </c>
      <c r="V70" s="28">
        <v>20111690.600625444</v>
      </c>
      <c r="X70" s="28"/>
      <c r="Y70" s="28"/>
      <c r="Z70" s="28"/>
      <c r="AA70" s="28"/>
      <c r="AB70" s="28"/>
      <c r="AC70" s="46">
        <v>0</v>
      </c>
      <c r="AD70" s="46">
        <v>0</v>
      </c>
      <c r="AE70" s="46">
        <v>0</v>
      </c>
      <c r="AF70" s="46">
        <v>0</v>
      </c>
      <c r="AG70" s="46">
        <v>0</v>
      </c>
      <c r="AH70" s="46">
        <v>0</v>
      </c>
      <c r="AI70" s="46">
        <v>0</v>
      </c>
      <c r="AJ70" s="46">
        <v>0</v>
      </c>
      <c r="AK70" s="46">
        <v>0</v>
      </c>
      <c r="AL70" s="46">
        <v>0</v>
      </c>
      <c r="AM70" s="46">
        <v>0</v>
      </c>
      <c r="AN70" s="46">
        <v>0</v>
      </c>
      <c r="AO70" s="46">
        <v>0</v>
      </c>
      <c r="AP70" s="46">
        <v>0</v>
      </c>
      <c r="AQ70" s="46">
        <v>0</v>
      </c>
      <c r="AR70" s="46">
        <v>0</v>
      </c>
      <c r="AS70" s="46">
        <v>0</v>
      </c>
      <c r="AT70" s="46">
        <v>0</v>
      </c>
      <c r="AU70" s="46">
        <v>0</v>
      </c>
      <c r="AV70" s="46">
        <v>0</v>
      </c>
      <c r="AW70" s="46">
        <v>0</v>
      </c>
      <c r="AX70" s="46">
        <v>0</v>
      </c>
      <c r="AY70" s="46">
        <v>0</v>
      </c>
      <c r="AZ70" s="46">
        <v>0</v>
      </c>
      <c r="BA70" s="46">
        <v>0</v>
      </c>
      <c r="BB70" s="46">
        <v>0</v>
      </c>
      <c r="BC70" s="46">
        <v>0</v>
      </c>
      <c r="BD70" s="46">
        <v>0</v>
      </c>
      <c r="BE70" s="46">
        <v>0</v>
      </c>
      <c r="BF70" s="46">
        <v>0</v>
      </c>
      <c r="BG70" s="46">
        <v>0</v>
      </c>
      <c r="BH70" s="46">
        <v>0</v>
      </c>
      <c r="BI70" s="46">
        <v>0</v>
      </c>
      <c r="BJ70" s="46">
        <v>0</v>
      </c>
      <c r="BK70" s="46">
        <v>0</v>
      </c>
      <c r="BL70" s="46">
        <v>0</v>
      </c>
      <c r="BM70" s="46">
        <v>0</v>
      </c>
      <c r="BN70" s="46">
        <v>0</v>
      </c>
      <c r="BO70" s="46">
        <v>0</v>
      </c>
      <c r="BP70" s="46">
        <v>0</v>
      </c>
      <c r="BQ70" s="46">
        <v>0</v>
      </c>
      <c r="BR70" s="46">
        <v>0</v>
      </c>
      <c r="BS70" s="46">
        <v>199783.18200877972</v>
      </c>
      <c r="BT70" s="46">
        <v>420835.5540923262</v>
      </c>
      <c r="BU70" s="46">
        <v>14039776.436324451</v>
      </c>
      <c r="BV70" s="46">
        <v>14440219.598019864</v>
      </c>
      <c r="BW70" s="46">
        <v>15016761.16661456</v>
      </c>
      <c r="BX70" s="46">
        <v>15767322.600081781</v>
      </c>
      <c r="BY70" s="46">
        <v>16702244.897142017</v>
      </c>
      <c r="BZ70" s="46">
        <v>17742712.81634824</v>
      </c>
      <c r="CA70" s="46">
        <v>18887813.173523333</v>
      </c>
      <c r="CB70" s="46">
        <v>20111690.600625444</v>
      </c>
    </row>
    <row r="71" spans="2:80" ht="10.15" x14ac:dyDescent="0.3">
      <c r="B71" s="1" t="s">
        <v>55</v>
      </c>
      <c r="I71" s="15" t="s">
        <v>0</v>
      </c>
      <c r="R71" s="28">
        <v>315891.99</v>
      </c>
      <c r="S71" s="28">
        <v>288133.90999999997</v>
      </c>
      <c r="T71" s="28">
        <v>1394325.1800000002</v>
      </c>
      <c r="U71" s="28">
        <v>16939902.780000001</v>
      </c>
      <c r="V71" s="28">
        <v>13668359.129999999</v>
      </c>
      <c r="X71" s="38"/>
      <c r="Y71" s="38"/>
      <c r="Z71" s="38"/>
      <c r="AA71" s="38"/>
      <c r="AB71" s="38"/>
      <c r="AC71" s="38">
        <v>86902.2</v>
      </c>
      <c r="AD71" s="38">
        <v>307660.54000000004</v>
      </c>
      <c r="AE71" s="38">
        <v>543628.80000000005</v>
      </c>
      <c r="AF71" s="38">
        <v>315891.99</v>
      </c>
      <c r="AG71" s="38">
        <v>527510.41999999993</v>
      </c>
      <c r="AH71" s="38">
        <v>1226577.23</v>
      </c>
      <c r="AI71" s="38">
        <v>159811.66</v>
      </c>
      <c r="AJ71" s="38">
        <v>550884.12</v>
      </c>
      <c r="AK71" s="38">
        <v>1161718.93</v>
      </c>
      <c r="AL71" s="38">
        <v>168126.27000000002</v>
      </c>
      <c r="AM71" s="38">
        <v>703899.15</v>
      </c>
      <c r="AN71" s="38">
        <v>1609259.78</v>
      </c>
      <c r="AO71" s="38">
        <v>255677.43</v>
      </c>
      <c r="AP71" s="38">
        <v>861399.74</v>
      </c>
      <c r="AQ71" s="38">
        <v>2377743.86</v>
      </c>
      <c r="AR71" s="38">
        <v>288133.90999999997</v>
      </c>
      <c r="AS71" s="38">
        <v>202111.25</v>
      </c>
      <c r="AT71" s="38">
        <v>279587.24</v>
      </c>
      <c r="AU71" s="38">
        <v>-1232590.02</v>
      </c>
      <c r="AV71" s="38">
        <v>333037.43000000005</v>
      </c>
      <c r="AW71" s="38">
        <v>362968.6</v>
      </c>
      <c r="AX71" s="38">
        <v>318307.75</v>
      </c>
      <c r="AY71" s="38">
        <v>354588.47000000009</v>
      </c>
      <c r="AZ71" s="38">
        <v>502238.68</v>
      </c>
      <c r="BA71" s="38">
        <v>489615.78999999992</v>
      </c>
      <c r="BB71" s="38">
        <v>887519.67</v>
      </c>
      <c r="BC71" s="38">
        <v>1370961.05</v>
      </c>
      <c r="BD71" s="38">
        <v>1394325.1800000002</v>
      </c>
      <c r="BE71" s="38">
        <v>3358429.59</v>
      </c>
      <c r="BF71" s="38">
        <v>1915055.77</v>
      </c>
      <c r="BG71" s="38">
        <v>1631148.19</v>
      </c>
      <c r="BH71" s="38">
        <v>3791217.5999999992</v>
      </c>
      <c r="BI71" s="38">
        <v>5202187.4499999993</v>
      </c>
      <c r="BJ71" s="38">
        <v>8118961.7199999997</v>
      </c>
      <c r="BK71" s="38">
        <v>9159158.6800000016</v>
      </c>
      <c r="BL71" s="38">
        <v>9313400.9800000004</v>
      </c>
      <c r="BM71" s="38">
        <v>13171091.140000001</v>
      </c>
      <c r="BN71" s="38">
        <v>12910766.129999999</v>
      </c>
      <c r="BO71" s="33">
        <v>13668359.129999999</v>
      </c>
      <c r="BP71" s="33">
        <v>16939902.780000001</v>
      </c>
      <c r="BQ71" s="46">
        <v>13668359.129999999</v>
      </c>
      <c r="BR71" s="46">
        <v>13668359.129999999</v>
      </c>
      <c r="BS71" s="46">
        <v>13668359.129999999</v>
      </c>
      <c r="BT71" s="46">
        <v>13668359.129999999</v>
      </c>
      <c r="BU71" s="46">
        <v>13668359.129999999</v>
      </c>
      <c r="BV71" s="46">
        <v>13668359.129999999</v>
      </c>
      <c r="BW71" s="46">
        <v>13668359.129999999</v>
      </c>
      <c r="BX71" s="46">
        <v>13668359.129999999</v>
      </c>
      <c r="BY71" s="46">
        <v>13668359.129999999</v>
      </c>
      <c r="BZ71" s="46">
        <v>13668359.129999999</v>
      </c>
      <c r="CA71" s="46">
        <v>13668359.129999999</v>
      </c>
      <c r="CB71" s="46">
        <v>13668359.129999999</v>
      </c>
    </row>
    <row r="72" spans="2:80" ht="10.15" x14ac:dyDescent="0.3">
      <c r="B72" s="1" t="s">
        <v>56</v>
      </c>
      <c r="I72" s="15" t="s">
        <v>0</v>
      </c>
      <c r="R72" s="28">
        <v>72429.399999999994</v>
      </c>
      <c r="S72" s="28">
        <v>128828.72</v>
      </c>
      <c r="T72" s="28">
        <v>219131.08000000002</v>
      </c>
      <c r="U72" s="28">
        <v>468028.79000000004</v>
      </c>
      <c r="V72" s="28">
        <v>463328.78255102038</v>
      </c>
      <c r="X72" s="38"/>
      <c r="Y72" s="38"/>
      <c r="Z72" s="38"/>
      <c r="AA72" s="38"/>
      <c r="AB72" s="38"/>
      <c r="AC72" s="38">
        <v>4233.3399999999992</v>
      </c>
      <c r="AD72" s="38">
        <v>5090.12</v>
      </c>
      <c r="AE72" s="38">
        <v>21746.49</v>
      </c>
      <c r="AF72" s="38">
        <v>72429.399999999994</v>
      </c>
      <c r="AG72" s="38">
        <v>73755.569999999992</v>
      </c>
      <c r="AH72" s="38">
        <v>72582.599999999991</v>
      </c>
      <c r="AI72" s="38">
        <v>91632.18</v>
      </c>
      <c r="AJ72" s="38">
        <v>93724.13</v>
      </c>
      <c r="AK72" s="38">
        <v>138508.21</v>
      </c>
      <c r="AL72" s="38">
        <v>135508.78</v>
      </c>
      <c r="AM72" s="38">
        <v>142328.81</v>
      </c>
      <c r="AN72" s="38">
        <v>137429.91</v>
      </c>
      <c r="AO72" s="38">
        <v>135571.29999999999</v>
      </c>
      <c r="AP72" s="38">
        <v>133961.85</v>
      </c>
      <c r="AQ72" s="38">
        <v>134583.6</v>
      </c>
      <c r="AR72" s="38">
        <v>128828.72</v>
      </c>
      <c r="AS72" s="38">
        <v>128719.66999999998</v>
      </c>
      <c r="AT72" s="38">
        <v>130695.98999999999</v>
      </c>
      <c r="AU72" s="38">
        <v>133307.26</v>
      </c>
      <c r="AV72" s="38">
        <v>126570.61000000002</v>
      </c>
      <c r="AW72" s="38">
        <v>119833.95999999999</v>
      </c>
      <c r="AX72" s="38">
        <v>113097.31</v>
      </c>
      <c r="AY72" s="38">
        <v>122718.59000000003</v>
      </c>
      <c r="AZ72" s="38">
        <v>172270.04</v>
      </c>
      <c r="BA72" s="38">
        <v>165997.69999999998</v>
      </c>
      <c r="BB72" s="38">
        <v>157374.09</v>
      </c>
      <c r="BC72" s="38">
        <v>172967.58</v>
      </c>
      <c r="BD72" s="38">
        <v>219131.08000000002</v>
      </c>
      <c r="BE72" s="38">
        <v>267304.08999999997</v>
      </c>
      <c r="BF72" s="38">
        <v>339555.05</v>
      </c>
      <c r="BG72" s="38">
        <v>351017.85</v>
      </c>
      <c r="BH72" s="38">
        <v>419471.5</v>
      </c>
      <c r="BI72" s="38">
        <v>412974.26999999996</v>
      </c>
      <c r="BJ72" s="38">
        <v>421675.50999999995</v>
      </c>
      <c r="BK72" s="38">
        <v>418912.51</v>
      </c>
      <c r="BL72" s="38">
        <v>430059.49</v>
      </c>
      <c r="BM72" s="38">
        <v>432055.98000000004</v>
      </c>
      <c r="BN72" s="38">
        <v>454186.45999999996</v>
      </c>
      <c r="BO72" s="38">
        <v>474910.67</v>
      </c>
      <c r="BP72" s="33">
        <v>468028.79000000004</v>
      </c>
      <c r="BQ72" s="28">
        <v>469567.1535204082</v>
      </c>
      <c r="BR72" s="28">
        <v>470723.9308928572</v>
      </c>
      <c r="BS72" s="28">
        <v>471513.904617347</v>
      </c>
      <c r="BT72" s="28">
        <v>472021.91933673475</v>
      </c>
      <c r="BU72" s="28">
        <v>472021.91933673475</v>
      </c>
      <c r="BV72" s="28">
        <v>471724.30818877555</v>
      </c>
      <c r="BW72" s="28">
        <v>471215.94946428575</v>
      </c>
      <c r="BX72" s="28">
        <v>470533.43030612246</v>
      </c>
      <c r="BY72" s="28">
        <v>469342.89642857143</v>
      </c>
      <c r="BZ72" s="28">
        <v>467644.34783163265</v>
      </c>
      <c r="CA72" s="28">
        <v>465437.78451530612</v>
      </c>
      <c r="CB72" s="28">
        <v>463328.78255102038</v>
      </c>
    </row>
    <row r="73" spans="2:80" ht="10.15" x14ac:dyDescent="0.3">
      <c r="B73" s="1" t="s">
        <v>57</v>
      </c>
      <c r="I73" s="15" t="s">
        <v>0</v>
      </c>
      <c r="R73" s="28">
        <v>3725320.02</v>
      </c>
      <c r="S73" s="28">
        <v>17348137.66</v>
      </c>
      <c r="T73" s="28">
        <v>12098.74</v>
      </c>
      <c r="U73" s="28">
        <v>280855.65999999997</v>
      </c>
      <c r="V73" s="28">
        <v>280855.65999999997</v>
      </c>
      <c r="X73" s="38"/>
      <c r="Y73" s="38"/>
      <c r="Z73" s="38"/>
      <c r="AA73" s="38"/>
      <c r="AB73" s="38"/>
      <c r="AC73" s="38">
        <v>1925000.04</v>
      </c>
      <c r="AD73" s="38">
        <v>1975000.04</v>
      </c>
      <c r="AE73" s="38">
        <v>3275000.02</v>
      </c>
      <c r="AF73" s="38">
        <v>3725320.02</v>
      </c>
      <c r="AG73" s="38">
        <v>3725320.02</v>
      </c>
      <c r="AH73" s="38">
        <v>3725320.02</v>
      </c>
      <c r="AI73" s="38">
        <v>3725320.02</v>
      </c>
      <c r="AJ73" s="38">
        <v>3725320.02</v>
      </c>
      <c r="AK73" s="38">
        <v>3725320.02</v>
      </c>
      <c r="AL73" s="38">
        <v>3725320.02</v>
      </c>
      <c r="AM73" s="38">
        <v>4289020.0199999996</v>
      </c>
      <c r="AN73" s="38">
        <v>7577270.0199999996</v>
      </c>
      <c r="AO73" s="38">
        <v>7577270.0199999996</v>
      </c>
      <c r="AP73" s="38">
        <v>7577270.0199999996</v>
      </c>
      <c r="AQ73" s="38">
        <v>17348137.66</v>
      </c>
      <c r="AR73" s="38">
        <v>17348137.66</v>
      </c>
      <c r="AS73" s="38">
        <v>4479.2300000000005</v>
      </c>
      <c r="AT73" s="38">
        <v>4479.2300000000005</v>
      </c>
      <c r="AU73" s="38">
        <v>4479.2300000000005</v>
      </c>
      <c r="AV73" s="38">
        <v>4479.2300000000005</v>
      </c>
      <c r="AW73" s="38">
        <v>4479.2300000000005</v>
      </c>
      <c r="AX73" s="38">
        <v>4479.2300000000005</v>
      </c>
      <c r="AY73" s="38">
        <v>6598.74</v>
      </c>
      <c r="AZ73" s="38">
        <v>10098.74</v>
      </c>
      <c r="BA73" s="38">
        <v>10098.74</v>
      </c>
      <c r="BB73" s="38">
        <v>60648.229999994634</v>
      </c>
      <c r="BC73" s="38">
        <v>59432.229999994634</v>
      </c>
      <c r="BD73" s="38">
        <v>12098.74</v>
      </c>
      <c r="BE73" s="38">
        <v>16565.96</v>
      </c>
      <c r="BF73" s="38">
        <v>16565.96</v>
      </c>
      <c r="BG73" s="38">
        <v>16599.71</v>
      </c>
      <c r="BH73" s="38">
        <v>20634.410000000003</v>
      </c>
      <c r="BI73" s="38">
        <v>28684.409999999996</v>
      </c>
      <c r="BJ73" s="38">
        <v>31938.57</v>
      </c>
      <c r="BK73" s="38">
        <v>71939</v>
      </c>
      <c r="BL73" s="38">
        <v>74139</v>
      </c>
      <c r="BM73" s="38">
        <v>78118.38</v>
      </c>
      <c r="BN73" s="38">
        <v>268721.85999999993</v>
      </c>
      <c r="BO73" s="38">
        <v>270704.37999999995</v>
      </c>
      <c r="BP73" s="38">
        <v>280855.65999999997</v>
      </c>
      <c r="BQ73" s="42">
        <v>280855.65999999997</v>
      </c>
      <c r="BR73" s="42">
        <v>280855.65999999997</v>
      </c>
      <c r="BS73" s="42">
        <v>280855.65999999997</v>
      </c>
      <c r="BT73" s="42">
        <v>280855.65999999997</v>
      </c>
      <c r="BU73" s="42">
        <v>280855.65999999997</v>
      </c>
      <c r="BV73" s="42">
        <v>280855.65999999997</v>
      </c>
      <c r="BW73" s="42">
        <v>280855.65999999997</v>
      </c>
      <c r="BX73" s="42">
        <v>280855.65999999997</v>
      </c>
      <c r="BY73" s="42">
        <v>280855.65999999997</v>
      </c>
      <c r="BZ73" s="42">
        <v>280855.65999999997</v>
      </c>
      <c r="CA73" s="42">
        <v>280855.65999999997</v>
      </c>
      <c r="CB73" s="42">
        <v>280855.65999999997</v>
      </c>
    </row>
    <row r="74" spans="2:80" ht="10.15" x14ac:dyDescent="0.3">
      <c r="B74" s="17" t="s">
        <v>58</v>
      </c>
      <c r="C74" s="17"/>
      <c r="D74" s="17"/>
      <c r="E74" s="17"/>
      <c r="F74" s="17"/>
      <c r="G74" s="17"/>
      <c r="H74" s="17"/>
      <c r="I74" s="18" t="s">
        <v>0</v>
      </c>
      <c r="J74" s="17"/>
      <c r="K74" s="17"/>
      <c r="L74" s="17"/>
      <c r="M74" s="17"/>
      <c r="N74" s="17"/>
      <c r="O74" s="17"/>
      <c r="P74" s="17"/>
      <c r="Q74" s="17"/>
      <c r="R74" s="27">
        <v>10849393.6844</v>
      </c>
      <c r="S74" s="27">
        <v>53867519.058256</v>
      </c>
      <c r="T74" s="27">
        <v>53281394.706956014</v>
      </c>
      <c r="U74" s="27">
        <v>101699683.02445756</v>
      </c>
      <c r="V74" s="27">
        <v>181785206.78387156</v>
      </c>
      <c r="W74" s="17"/>
      <c r="X74" s="27"/>
      <c r="Y74" s="27"/>
      <c r="Z74" s="27"/>
      <c r="AA74" s="27"/>
      <c r="AB74" s="27"/>
      <c r="AC74" s="27">
        <v>7171790.4224999994</v>
      </c>
      <c r="AD74" s="27">
        <v>7276360.1225000005</v>
      </c>
      <c r="AE74" s="27">
        <v>10358971.422500001</v>
      </c>
      <c r="AF74" s="27">
        <v>10849393.6844</v>
      </c>
      <c r="AG74" s="27">
        <v>12437467.0831</v>
      </c>
      <c r="AH74" s="27">
        <v>16477655.9301</v>
      </c>
      <c r="AI74" s="27">
        <v>15197106.3171</v>
      </c>
      <c r="AJ74" s="27">
        <v>15465757.130295999</v>
      </c>
      <c r="AK74" s="27">
        <v>18636342.215296004</v>
      </c>
      <c r="AL74" s="27">
        <v>17590464.337596003</v>
      </c>
      <c r="AM74" s="27">
        <v>23706999.270856</v>
      </c>
      <c r="AN74" s="27">
        <v>28209539.868206006</v>
      </c>
      <c r="AO74" s="27">
        <v>27184014.924306002</v>
      </c>
      <c r="AP74" s="27">
        <v>28949359.942306001</v>
      </c>
      <c r="AQ74" s="27">
        <v>55513375.021706015</v>
      </c>
      <c r="AR74" s="27">
        <v>53867519.058256</v>
      </c>
      <c r="AS74" s="27">
        <v>34620806.145656005</v>
      </c>
      <c r="AT74" s="27">
        <v>35392171.968906008</v>
      </c>
      <c r="AU74" s="27">
        <v>35595124.124955997</v>
      </c>
      <c r="AV74" s="27">
        <v>36484884.059655994</v>
      </c>
      <c r="AW74" s="27">
        <v>36368157.905156001</v>
      </c>
      <c r="AX74" s="27">
        <v>43248328.572306015</v>
      </c>
      <c r="AY74" s="27">
        <v>43316574.834756024</v>
      </c>
      <c r="AZ74" s="27">
        <v>42799774.179756016</v>
      </c>
      <c r="BA74" s="27">
        <v>42305589.429756023</v>
      </c>
      <c r="BB74" s="27">
        <v>51911941.981606014</v>
      </c>
      <c r="BC74" s="27">
        <v>53143765.719256006</v>
      </c>
      <c r="BD74" s="27">
        <v>53281394.706956014</v>
      </c>
      <c r="BE74" s="27">
        <v>52257031.616206013</v>
      </c>
      <c r="BF74" s="27">
        <v>63249484.135856017</v>
      </c>
      <c r="BG74" s="27">
        <v>63123142.038886882</v>
      </c>
      <c r="BH74" s="27">
        <v>65490707.42625688</v>
      </c>
      <c r="BI74" s="27">
        <v>65714765.435856886</v>
      </c>
      <c r="BJ74" s="27">
        <v>66872107.649776891</v>
      </c>
      <c r="BK74" s="27">
        <v>73670822.588926896</v>
      </c>
      <c r="BL74" s="27">
        <v>72304391.698026896</v>
      </c>
      <c r="BM74" s="27">
        <v>77337349.419086888</v>
      </c>
      <c r="BN74" s="27">
        <v>92025058.524323583</v>
      </c>
      <c r="BO74" s="27">
        <v>92514300.94736357</v>
      </c>
      <c r="BP74" s="27">
        <v>101699683.02445756</v>
      </c>
      <c r="BQ74" s="27">
        <v>118658964.33364481</v>
      </c>
      <c r="BR74" s="27">
        <v>123291727.70697781</v>
      </c>
      <c r="BS74" s="27">
        <v>132725651.473951</v>
      </c>
      <c r="BT74" s="27">
        <v>132292675.31191207</v>
      </c>
      <c r="BU74" s="27">
        <v>144008499.4835276</v>
      </c>
      <c r="BV74" s="27">
        <v>158312969.36668965</v>
      </c>
      <c r="BW74" s="27">
        <v>170855218.70341536</v>
      </c>
      <c r="BX74" s="27">
        <v>180783220.05169857</v>
      </c>
      <c r="BY74" s="27">
        <v>183141028.12405112</v>
      </c>
      <c r="BZ74" s="27">
        <v>183036087.32632965</v>
      </c>
      <c r="CA74" s="27">
        <v>182122622.45397422</v>
      </c>
      <c r="CB74" s="27">
        <v>181785206.78387156</v>
      </c>
    </row>
    <row r="75" spans="2:80" ht="10.15" x14ac:dyDescent="0.3">
      <c r="V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28"/>
      <c r="BR75" s="31"/>
    </row>
    <row r="76" spans="2:80" ht="10.15" x14ac:dyDescent="0.3">
      <c r="BD76" s="28"/>
      <c r="BJ76" s="52"/>
      <c r="BK76" s="52"/>
      <c r="BL76" s="52"/>
      <c r="BM76" s="28"/>
      <c r="BN76" s="28"/>
      <c r="BO76" s="28"/>
      <c r="BP76" s="28"/>
      <c r="BQ76" s="28"/>
      <c r="CB76" s="31"/>
    </row>
    <row r="77" spans="2:80" ht="10.15" x14ac:dyDescent="0.3">
      <c r="B77" s="2" t="s">
        <v>59</v>
      </c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55"/>
      <c r="BE77" s="55"/>
      <c r="BF77" s="55"/>
      <c r="BG77" s="55"/>
      <c r="BH77" s="55"/>
      <c r="BI77" s="55"/>
      <c r="BJ77" s="55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</row>
    <row r="78" spans="2:80" ht="10.15" x14ac:dyDescent="0.3">
      <c r="B78" s="1" t="s">
        <v>60</v>
      </c>
      <c r="I78" s="15" t="s">
        <v>0</v>
      </c>
      <c r="R78" s="28">
        <v>366160.13999999996</v>
      </c>
      <c r="S78" s="28">
        <v>1785461.79</v>
      </c>
      <c r="T78" s="28">
        <v>1691332.43</v>
      </c>
      <c r="U78" s="28">
        <v>15434157.379999999</v>
      </c>
      <c r="V78" s="28">
        <v>12776499.610000001</v>
      </c>
      <c r="X78" s="38"/>
      <c r="Y78" s="38"/>
      <c r="Z78" s="38"/>
      <c r="AA78" s="38"/>
      <c r="AB78" s="38"/>
      <c r="AC78" s="38">
        <v>344952.93000000005</v>
      </c>
      <c r="AD78" s="38">
        <v>491989.83999999997</v>
      </c>
      <c r="AE78" s="38">
        <v>850164.34</v>
      </c>
      <c r="AF78" s="38">
        <v>366160.13999999996</v>
      </c>
      <c r="AG78" s="38">
        <v>876358.49</v>
      </c>
      <c r="AH78" s="38">
        <v>1564414.0699999998</v>
      </c>
      <c r="AI78" s="38">
        <v>498348.93999999994</v>
      </c>
      <c r="AJ78" s="38">
        <v>791728.12</v>
      </c>
      <c r="AK78" s="38">
        <v>1944485.21</v>
      </c>
      <c r="AL78" s="38">
        <v>956938.83999999973</v>
      </c>
      <c r="AM78" s="38">
        <v>906892.98999999987</v>
      </c>
      <c r="AN78" s="38">
        <v>1511701.62</v>
      </c>
      <c r="AO78" s="38">
        <v>575196.85000000009</v>
      </c>
      <c r="AP78" s="38">
        <v>1174733.81</v>
      </c>
      <c r="AQ78" s="38">
        <v>2604388.56</v>
      </c>
      <c r="AR78" s="38">
        <v>1785461.79</v>
      </c>
      <c r="AS78" s="38">
        <v>1031185.6000000001</v>
      </c>
      <c r="AT78" s="38">
        <v>1243053.53</v>
      </c>
      <c r="AU78" s="38">
        <v>54276.380000000063</v>
      </c>
      <c r="AV78" s="38">
        <v>1242624.0399999998</v>
      </c>
      <c r="AW78" s="38">
        <v>1294748.7799999998</v>
      </c>
      <c r="AX78" s="38">
        <v>2656046.38</v>
      </c>
      <c r="AY78" s="38">
        <v>1672255.3899999997</v>
      </c>
      <c r="AZ78" s="38">
        <v>1590287.3399999999</v>
      </c>
      <c r="BA78" s="38">
        <v>1626345.37</v>
      </c>
      <c r="BB78" s="38">
        <v>9379299.2799999993</v>
      </c>
      <c r="BC78" s="38">
        <v>1438053.07</v>
      </c>
      <c r="BD78" s="38">
        <v>1691332.43</v>
      </c>
      <c r="BE78" s="38">
        <v>1206069.49</v>
      </c>
      <c r="BF78" s="38">
        <v>1870612.5199999998</v>
      </c>
      <c r="BG78" s="38">
        <v>1830664.19</v>
      </c>
      <c r="BH78" s="38">
        <v>3468365.57</v>
      </c>
      <c r="BI78" s="38">
        <v>3643150.2300000004</v>
      </c>
      <c r="BJ78" s="38">
        <v>6860981.6699999999</v>
      </c>
      <c r="BK78" s="38">
        <v>8121996.3799999999</v>
      </c>
      <c r="BL78" s="38">
        <v>8017241.7299999995</v>
      </c>
      <c r="BM78" s="38">
        <v>11068871.780000001</v>
      </c>
      <c r="BN78" s="38">
        <v>11162921.860000001</v>
      </c>
      <c r="BO78" s="33">
        <v>12776499.610000001</v>
      </c>
      <c r="BP78" s="33">
        <v>15434157.379999999</v>
      </c>
      <c r="BQ78" s="46">
        <v>12776499.610000001</v>
      </c>
      <c r="BR78" s="46">
        <v>12776499.610000001</v>
      </c>
      <c r="BS78" s="46">
        <v>12776499.610000001</v>
      </c>
      <c r="BT78" s="46">
        <v>12776499.610000001</v>
      </c>
      <c r="BU78" s="46">
        <v>12776499.610000001</v>
      </c>
      <c r="BV78" s="46">
        <v>12776499.610000001</v>
      </c>
      <c r="BW78" s="46">
        <v>12776499.610000001</v>
      </c>
      <c r="BX78" s="46">
        <v>12776499.610000001</v>
      </c>
      <c r="BY78" s="46">
        <v>12776499.610000001</v>
      </c>
      <c r="BZ78" s="46">
        <v>12776499.610000001</v>
      </c>
      <c r="CA78" s="46">
        <v>12776499.610000001</v>
      </c>
      <c r="CB78" s="46">
        <v>12776499.610000001</v>
      </c>
    </row>
    <row r="79" spans="2:80" ht="10.15" x14ac:dyDescent="0.3">
      <c r="B79" s="1" t="s">
        <v>117</v>
      </c>
      <c r="I79" s="15" t="s">
        <v>0</v>
      </c>
      <c r="R79" s="28">
        <v>0</v>
      </c>
      <c r="S79" s="28">
        <v>0</v>
      </c>
      <c r="T79" s="28">
        <v>20500000</v>
      </c>
      <c r="U79" s="28">
        <v>31000000</v>
      </c>
      <c r="V79" s="28">
        <v>0</v>
      </c>
      <c r="X79" s="38"/>
      <c r="Y79" s="38"/>
      <c r="Z79" s="38"/>
      <c r="AA79" s="38"/>
      <c r="AB79" s="38"/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10500000</v>
      </c>
      <c r="BC79" s="48">
        <v>20500000</v>
      </c>
      <c r="BD79" s="48">
        <v>20500000</v>
      </c>
      <c r="BE79" s="48">
        <v>20500000</v>
      </c>
      <c r="BF79" s="48">
        <v>31000000</v>
      </c>
      <c r="BG79" s="48">
        <v>31000000</v>
      </c>
      <c r="BH79" s="48">
        <v>31000000</v>
      </c>
      <c r="BI79" s="48">
        <v>31000000</v>
      </c>
      <c r="BJ79" s="48">
        <v>31000000</v>
      </c>
      <c r="BK79" s="48">
        <v>31000000</v>
      </c>
      <c r="BL79" s="48">
        <v>31000000</v>
      </c>
      <c r="BM79" s="48">
        <v>31000000</v>
      </c>
      <c r="BN79" s="48">
        <v>31000000</v>
      </c>
      <c r="BO79" s="48">
        <v>31000000</v>
      </c>
      <c r="BP79" s="48">
        <v>31000000</v>
      </c>
      <c r="BQ79" s="48">
        <v>31000000</v>
      </c>
      <c r="BR79" s="48">
        <v>31000000</v>
      </c>
      <c r="BS79" s="48">
        <v>31000000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0</v>
      </c>
      <c r="CA79" s="48">
        <v>0</v>
      </c>
      <c r="CB79" s="48">
        <v>0</v>
      </c>
    </row>
    <row r="80" spans="2:80" ht="10.15" x14ac:dyDescent="0.3">
      <c r="B80" s="1" t="s">
        <v>118</v>
      </c>
      <c r="I80" s="15" t="s">
        <v>0</v>
      </c>
      <c r="R80" s="28">
        <v>0</v>
      </c>
      <c r="S80" s="28">
        <v>0</v>
      </c>
      <c r="T80" s="28">
        <v>0</v>
      </c>
      <c r="U80" s="28">
        <v>10000000</v>
      </c>
      <c r="V80" s="28">
        <v>47655969.790100098</v>
      </c>
      <c r="X80" s="38"/>
      <c r="Y80" s="38"/>
      <c r="Z80" s="38"/>
      <c r="AA80" s="38"/>
      <c r="AB80" s="38"/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10000000</v>
      </c>
      <c r="BQ80" s="48">
        <v>30054166.666666668</v>
      </c>
      <c r="BR80" s="48">
        <v>35216666.666666664</v>
      </c>
      <c r="BS80" s="48">
        <v>45406250.000000007</v>
      </c>
      <c r="BT80" s="48">
        <v>45650880.208333328</v>
      </c>
      <c r="BU80" s="48">
        <v>45897270.833333336</v>
      </c>
      <c r="BV80" s="48">
        <v>46144101.5625</v>
      </c>
      <c r="BW80" s="48">
        <v>46392707.01171875</v>
      </c>
      <c r="BX80" s="48">
        <v>46643101.484375</v>
      </c>
      <c r="BY80" s="48">
        <v>46893943.212890625</v>
      </c>
      <c r="BZ80" s="48">
        <v>47146588.500659183</v>
      </c>
      <c r="CA80" s="48">
        <v>47401051.883496098</v>
      </c>
      <c r="CB80" s="48">
        <v>47655969.790100098</v>
      </c>
    </row>
    <row r="81" spans="2:80" ht="10.15" x14ac:dyDescent="0.3">
      <c r="B81" s="1" t="s">
        <v>101</v>
      </c>
      <c r="I81" s="15" t="s">
        <v>0</v>
      </c>
      <c r="R81" s="28">
        <v>0</v>
      </c>
      <c r="S81" s="28">
        <v>0</v>
      </c>
      <c r="T81" s="28">
        <v>5620500</v>
      </c>
      <c r="U81" s="28">
        <v>4500000</v>
      </c>
      <c r="V81" s="28">
        <v>2834494.1386181251</v>
      </c>
      <c r="X81" s="38"/>
      <c r="Y81" s="38"/>
      <c r="Z81" s="38"/>
      <c r="AA81" s="38"/>
      <c r="AB81" s="38"/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5620500</v>
      </c>
      <c r="AY81" s="48">
        <v>5620500</v>
      </c>
      <c r="AZ81" s="48">
        <v>5620500</v>
      </c>
      <c r="BA81" s="48">
        <v>5620500</v>
      </c>
      <c r="BB81" s="48">
        <v>5620500</v>
      </c>
      <c r="BC81" s="48">
        <v>5620500</v>
      </c>
      <c r="BD81" s="48">
        <v>5620500</v>
      </c>
      <c r="BE81" s="48">
        <v>4500000</v>
      </c>
      <c r="BF81" s="48">
        <v>4500000</v>
      </c>
      <c r="BG81" s="48">
        <v>4500000</v>
      </c>
      <c r="BH81" s="48">
        <v>4500000</v>
      </c>
      <c r="BI81" s="48">
        <v>4500000</v>
      </c>
      <c r="BJ81" s="48">
        <v>4500000</v>
      </c>
      <c r="BK81" s="48">
        <v>4500000</v>
      </c>
      <c r="BL81" s="48">
        <v>4500000</v>
      </c>
      <c r="BM81" s="48">
        <v>4500000</v>
      </c>
      <c r="BN81" s="48">
        <v>4500000</v>
      </c>
      <c r="BO81" s="48">
        <v>4500000</v>
      </c>
      <c r="BP81" s="48">
        <v>4500000</v>
      </c>
      <c r="BQ81" s="48">
        <v>4500000</v>
      </c>
      <c r="BR81" s="48">
        <v>4500000</v>
      </c>
      <c r="BS81" s="48">
        <v>4500000</v>
      </c>
      <c r="BT81" s="48">
        <v>4500000</v>
      </c>
      <c r="BU81" s="48">
        <v>3703443.9358631251</v>
      </c>
      <c r="BV81" s="48">
        <v>3703443.9358631251</v>
      </c>
      <c r="BW81" s="48">
        <v>3703443.9358631251</v>
      </c>
      <c r="BX81" s="48">
        <v>3703443.9358631251</v>
      </c>
      <c r="BY81" s="48">
        <v>3703443.9358631251</v>
      </c>
      <c r="BZ81" s="48">
        <v>3703443.9358631251</v>
      </c>
      <c r="CA81" s="48">
        <v>2834494.1386181251</v>
      </c>
      <c r="CB81" s="48">
        <v>2834494.1386181251</v>
      </c>
    </row>
    <row r="82" spans="2:80" ht="10.15" x14ac:dyDescent="0.3">
      <c r="B82" s="1" t="s">
        <v>102</v>
      </c>
      <c r="I82" s="15" t="s">
        <v>0</v>
      </c>
      <c r="R82" s="28">
        <v>0</v>
      </c>
      <c r="S82" s="28">
        <v>2205406.2599999998</v>
      </c>
      <c r="T82" s="28">
        <v>2000000</v>
      </c>
      <c r="U82" s="28">
        <v>2000000</v>
      </c>
      <c r="V82" s="28">
        <v>0</v>
      </c>
      <c r="X82" s="38"/>
      <c r="Y82" s="38"/>
      <c r="Z82" s="38"/>
      <c r="AA82" s="38"/>
      <c r="AB82" s="38"/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1129992</v>
      </c>
      <c r="AI82" s="48">
        <v>1044731.45</v>
      </c>
      <c r="AJ82" s="48">
        <v>957946.36</v>
      </c>
      <c r="AK82" s="48">
        <v>869609.46</v>
      </c>
      <c r="AL82" s="48">
        <v>779693.01</v>
      </c>
      <c r="AM82" s="48">
        <v>2688168.77</v>
      </c>
      <c r="AN82" s="48">
        <v>2595007.9900000002</v>
      </c>
      <c r="AO82" s="48">
        <v>2500181.4</v>
      </c>
      <c r="AP82" s="48">
        <v>2403659.2199999997</v>
      </c>
      <c r="AQ82" s="48">
        <v>2305411.13</v>
      </c>
      <c r="AR82" s="48">
        <v>2205406.2599999998</v>
      </c>
      <c r="AS82" s="48">
        <v>2000000</v>
      </c>
      <c r="AT82" s="48">
        <v>2000000</v>
      </c>
      <c r="AU82" s="48">
        <v>2000000</v>
      </c>
      <c r="AV82" s="48">
        <v>2000000</v>
      </c>
      <c r="AW82" s="48">
        <v>2000000</v>
      </c>
      <c r="AX82" s="48">
        <v>2000000</v>
      </c>
      <c r="AY82" s="48">
        <v>2000000</v>
      </c>
      <c r="AZ82" s="48">
        <v>2000000</v>
      </c>
      <c r="BA82" s="48">
        <v>2000000</v>
      </c>
      <c r="BB82" s="48">
        <v>2000000</v>
      </c>
      <c r="BC82" s="48">
        <v>2000000</v>
      </c>
      <c r="BD82" s="48">
        <v>2000000</v>
      </c>
      <c r="BE82" s="48">
        <v>2000000</v>
      </c>
      <c r="BF82" s="48">
        <v>2000000</v>
      </c>
      <c r="BG82" s="48">
        <v>2000000</v>
      </c>
      <c r="BH82" s="48">
        <v>2000000</v>
      </c>
      <c r="BI82" s="48">
        <v>2000000</v>
      </c>
      <c r="BJ82" s="48">
        <v>2000000</v>
      </c>
      <c r="BK82" s="48">
        <v>2000000</v>
      </c>
      <c r="BL82" s="48">
        <v>2000000</v>
      </c>
      <c r="BM82" s="48">
        <v>2000000</v>
      </c>
      <c r="BN82" s="48">
        <v>2000000</v>
      </c>
      <c r="BO82" s="48">
        <v>2000000</v>
      </c>
      <c r="BP82" s="48">
        <v>2000000</v>
      </c>
      <c r="BQ82" s="48">
        <v>2000000</v>
      </c>
      <c r="BR82" s="48">
        <v>2000000</v>
      </c>
      <c r="BS82" s="48">
        <v>2000000</v>
      </c>
      <c r="BT82" s="48">
        <v>2000000</v>
      </c>
      <c r="BU82" s="48">
        <v>2000000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48">
        <v>0</v>
      </c>
      <c r="CB82" s="48">
        <v>0</v>
      </c>
    </row>
    <row r="83" spans="2:80" ht="10.15" x14ac:dyDescent="0.3">
      <c r="B83" s="1" t="s">
        <v>119</v>
      </c>
      <c r="I83" s="15" t="s">
        <v>0</v>
      </c>
      <c r="R83" s="28">
        <v>0</v>
      </c>
      <c r="S83" s="28">
        <v>0</v>
      </c>
      <c r="T83" s="28">
        <v>0</v>
      </c>
      <c r="U83" s="28">
        <v>3850000</v>
      </c>
      <c r="V83" s="28">
        <v>0</v>
      </c>
      <c r="X83" s="38"/>
      <c r="Y83" s="38"/>
      <c r="Z83" s="38"/>
      <c r="AA83" s="38"/>
      <c r="AB83" s="38"/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1450000</v>
      </c>
      <c r="BI83" s="48">
        <v>2850000</v>
      </c>
      <c r="BJ83" s="48">
        <v>3850000</v>
      </c>
      <c r="BK83" s="48">
        <v>6850000</v>
      </c>
      <c r="BL83" s="48">
        <v>6850000</v>
      </c>
      <c r="BM83" s="48">
        <v>6850000</v>
      </c>
      <c r="BN83" s="48">
        <v>6850000</v>
      </c>
      <c r="BO83" s="48">
        <v>6850000</v>
      </c>
      <c r="BP83" s="48">
        <v>3850000</v>
      </c>
      <c r="BQ83" s="48">
        <v>3850000</v>
      </c>
      <c r="BR83" s="48">
        <v>3850000</v>
      </c>
      <c r="BS83" s="48">
        <v>3850000</v>
      </c>
      <c r="BT83" s="48">
        <v>2400000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</row>
    <row r="84" spans="2:80" ht="10.15" x14ac:dyDescent="0.3">
      <c r="B84" s="1" t="s">
        <v>103</v>
      </c>
      <c r="I84" s="15" t="s">
        <v>0</v>
      </c>
      <c r="R84" s="28">
        <v>0</v>
      </c>
      <c r="S84" s="28">
        <v>0</v>
      </c>
      <c r="T84" s="28">
        <v>0</v>
      </c>
      <c r="U84" s="28">
        <v>0</v>
      </c>
      <c r="V84" s="28">
        <v>86445023.659571186</v>
      </c>
      <c r="X84" s="38"/>
      <c r="Y84" s="38"/>
      <c r="Z84" s="38"/>
      <c r="AA84" s="38"/>
      <c r="AB84" s="38"/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31765568.008234352</v>
      </c>
      <c r="BU84" s="48">
        <v>46209051.113177799</v>
      </c>
      <c r="BV84" s="48">
        <v>61925991.059266083</v>
      </c>
      <c r="BW84" s="48">
        <v>74178755.877015382</v>
      </c>
      <c r="BX84" s="48">
        <v>83610493.332066223</v>
      </c>
      <c r="BY84" s="48">
        <v>86179901.485377908</v>
      </c>
      <c r="BZ84" s="48">
        <v>86441719.184069112</v>
      </c>
      <c r="CA84" s="48">
        <v>86445023.659571186</v>
      </c>
      <c r="CB84" s="48">
        <v>86445023.659571186</v>
      </c>
    </row>
    <row r="85" spans="2:80" ht="10.15" x14ac:dyDescent="0.3">
      <c r="B85" s="1" t="s">
        <v>124</v>
      </c>
      <c r="I85" s="15" t="s">
        <v>0</v>
      </c>
      <c r="R85" s="28">
        <v>0</v>
      </c>
      <c r="S85" s="28">
        <v>0</v>
      </c>
      <c r="T85" s="28">
        <v>0</v>
      </c>
      <c r="U85" s="28">
        <v>0</v>
      </c>
      <c r="V85" s="28">
        <v>0</v>
      </c>
      <c r="X85" s="38"/>
      <c r="Y85" s="38"/>
      <c r="Z85" s="38"/>
      <c r="AA85" s="38"/>
      <c r="AB85" s="38"/>
      <c r="AC85" s="48">
        <v>0</v>
      </c>
      <c r="AD85" s="48">
        <v>0</v>
      </c>
      <c r="AE85" s="48">
        <v>0</v>
      </c>
      <c r="AF85" s="48">
        <v>0</v>
      </c>
      <c r="AG85" s="48">
        <v>0</v>
      </c>
      <c r="AH85" s="48">
        <v>0</v>
      </c>
      <c r="AI85" s="48">
        <v>0</v>
      </c>
      <c r="AJ85" s="48">
        <v>0</v>
      </c>
      <c r="AK85" s="48">
        <v>0</v>
      </c>
      <c r="AL85" s="48">
        <v>0</v>
      </c>
      <c r="AM85" s="48">
        <v>0</v>
      </c>
      <c r="AN85" s="48">
        <v>0</v>
      </c>
      <c r="AO85" s="48">
        <v>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0</v>
      </c>
      <c r="BS85" s="48">
        <v>0</v>
      </c>
      <c r="BT85" s="48">
        <v>0</v>
      </c>
      <c r="BU85" s="48">
        <v>0</v>
      </c>
      <c r="BV85" s="48">
        <v>0</v>
      </c>
      <c r="BW85" s="48">
        <v>0</v>
      </c>
      <c r="BX85" s="48">
        <v>0</v>
      </c>
      <c r="BY85" s="48">
        <v>0</v>
      </c>
      <c r="BZ85" s="48">
        <v>0</v>
      </c>
      <c r="CA85" s="48">
        <v>0</v>
      </c>
      <c r="CB85" s="48">
        <v>0</v>
      </c>
    </row>
    <row r="86" spans="2:80" ht="10.15" x14ac:dyDescent="0.3">
      <c r="B86" s="1" t="s">
        <v>125</v>
      </c>
      <c r="I86" s="15" t="s">
        <v>0</v>
      </c>
      <c r="R86" s="28">
        <v>0</v>
      </c>
      <c r="S86" s="28">
        <v>0</v>
      </c>
      <c r="T86" s="28">
        <v>0</v>
      </c>
      <c r="U86" s="28">
        <v>0</v>
      </c>
      <c r="V86" s="28">
        <v>0</v>
      </c>
      <c r="X86" s="38"/>
      <c r="Y86" s="38"/>
      <c r="Z86" s="38"/>
      <c r="AA86" s="38"/>
      <c r="AB86" s="38"/>
      <c r="AC86" s="48">
        <v>0</v>
      </c>
      <c r="AD86" s="48">
        <v>0</v>
      </c>
      <c r="AE86" s="48">
        <v>0</v>
      </c>
      <c r="AF86" s="48">
        <v>0</v>
      </c>
      <c r="AG86" s="48">
        <v>0</v>
      </c>
      <c r="AH86" s="48">
        <v>0</v>
      </c>
      <c r="AI86" s="48">
        <v>0</v>
      </c>
      <c r="AJ86" s="48">
        <v>0</v>
      </c>
      <c r="AK86" s="48">
        <v>0</v>
      </c>
      <c r="AL86" s="48">
        <v>0</v>
      </c>
      <c r="AM86" s="48">
        <v>0</v>
      </c>
      <c r="AN86" s="48">
        <v>0</v>
      </c>
      <c r="AO86" s="48">
        <v>0</v>
      </c>
      <c r="AP86" s="48">
        <v>0</v>
      </c>
      <c r="AQ86" s="48">
        <v>0</v>
      </c>
      <c r="AR86" s="48">
        <v>0</v>
      </c>
      <c r="AS86" s="48">
        <v>0</v>
      </c>
      <c r="AT86" s="48">
        <v>0</v>
      </c>
      <c r="AU86" s="48">
        <v>0</v>
      </c>
      <c r="AV86" s="48">
        <v>0</v>
      </c>
      <c r="AW86" s="48">
        <v>0</v>
      </c>
      <c r="AX86" s="48">
        <v>0</v>
      </c>
      <c r="AY86" s="48">
        <v>0</v>
      </c>
      <c r="AZ86" s="48">
        <v>0</v>
      </c>
      <c r="BA86" s="48">
        <v>0</v>
      </c>
      <c r="BB86" s="48">
        <v>0</v>
      </c>
      <c r="BC86" s="48">
        <v>0</v>
      </c>
      <c r="BD86" s="48">
        <v>0</v>
      </c>
      <c r="BE86" s="48">
        <v>0</v>
      </c>
      <c r="BF86" s="48">
        <v>0</v>
      </c>
      <c r="BG86" s="48">
        <v>0</v>
      </c>
      <c r="BH86" s="48">
        <v>0</v>
      </c>
      <c r="BI86" s="48">
        <v>0</v>
      </c>
      <c r="BJ86" s="48">
        <v>0</v>
      </c>
      <c r="BK86" s="48">
        <v>0</v>
      </c>
      <c r="BL86" s="48">
        <v>0</v>
      </c>
      <c r="BM86" s="48">
        <v>0</v>
      </c>
      <c r="BN86" s="48">
        <v>0</v>
      </c>
      <c r="BO86" s="48">
        <v>0</v>
      </c>
      <c r="BP86" s="48">
        <v>0</v>
      </c>
      <c r="BQ86" s="48">
        <v>0</v>
      </c>
      <c r="BR86" s="48">
        <v>0</v>
      </c>
      <c r="BS86" s="48">
        <v>0</v>
      </c>
      <c r="BT86" s="48">
        <v>0</v>
      </c>
      <c r="BU86" s="48">
        <v>0</v>
      </c>
      <c r="BV86" s="48">
        <v>0</v>
      </c>
      <c r="BW86" s="48">
        <v>0</v>
      </c>
      <c r="BX86" s="48">
        <v>0</v>
      </c>
      <c r="BY86" s="48">
        <v>0</v>
      </c>
      <c r="BZ86" s="48">
        <v>0</v>
      </c>
      <c r="CA86" s="48">
        <v>0</v>
      </c>
      <c r="CB86" s="48">
        <v>0</v>
      </c>
    </row>
    <row r="87" spans="2:80" ht="10.15" x14ac:dyDescent="0.3">
      <c r="B87" s="1" t="s">
        <v>61</v>
      </c>
      <c r="I87" s="15" t="s">
        <v>0</v>
      </c>
      <c r="R87" s="28">
        <v>0</v>
      </c>
      <c r="S87" s="28">
        <v>33407</v>
      </c>
      <c r="T87" s="28">
        <v>139978.12</v>
      </c>
      <c r="U87" s="28">
        <v>124703.99</v>
      </c>
      <c r="V87" s="28">
        <v>124703.99</v>
      </c>
      <c r="X87" s="38"/>
      <c r="Y87" s="38"/>
      <c r="Z87" s="38"/>
      <c r="AA87" s="38"/>
      <c r="AB87" s="38"/>
      <c r="AC87" s="38">
        <v>0</v>
      </c>
      <c r="AD87" s="38">
        <v>0</v>
      </c>
      <c r="AE87" s="38">
        <v>0</v>
      </c>
      <c r="AF87" s="38">
        <v>0</v>
      </c>
      <c r="AG87" s="38">
        <v>0</v>
      </c>
      <c r="AH87" s="38">
        <v>0</v>
      </c>
      <c r="AI87" s="38">
        <v>0</v>
      </c>
      <c r="AJ87" s="38">
        <v>0</v>
      </c>
      <c r="AK87" s="38">
        <v>0</v>
      </c>
      <c r="AL87" s="38">
        <v>0</v>
      </c>
      <c r="AM87" s="38">
        <v>0</v>
      </c>
      <c r="AN87" s="38">
        <v>0</v>
      </c>
      <c r="AO87" s="38">
        <v>0</v>
      </c>
      <c r="AP87" s="38">
        <v>0</v>
      </c>
      <c r="AQ87" s="38">
        <v>0</v>
      </c>
      <c r="AR87" s="38">
        <v>33407</v>
      </c>
      <c r="AS87" s="38">
        <v>33406.83</v>
      </c>
      <c r="AT87" s="38">
        <v>33406.83</v>
      </c>
      <c r="AU87" s="38">
        <v>33406.83</v>
      </c>
      <c r="AV87" s="38">
        <v>33406.83</v>
      </c>
      <c r="AW87" s="38">
        <v>33406.83</v>
      </c>
      <c r="AX87" s="38">
        <v>33406.83</v>
      </c>
      <c r="AY87" s="38">
        <v>33406.83</v>
      </c>
      <c r="AZ87" s="38">
        <v>33406.83</v>
      </c>
      <c r="BA87" s="38">
        <v>33406.83</v>
      </c>
      <c r="BB87" s="38">
        <v>33406.83</v>
      </c>
      <c r="BC87" s="38">
        <v>33406.83</v>
      </c>
      <c r="BD87" s="38">
        <v>139978.12</v>
      </c>
      <c r="BE87" s="38">
        <v>139978.12</v>
      </c>
      <c r="BF87" s="33">
        <v>139978.12</v>
      </c>
      <c r="BG87" s="33">
        <v>127478.12</v>
      </c>
      <c r="BH87" s="33">
        <v>127478.12</v>
      </c>
      <c r="BI87" s="33">
        <v>127478.12</v>
      </c>
      <c r="BJ87" s="33">
        <v>125144.79</v>
      </c>
      <c r="BK87" s="33">
        <v>112762.13</v>
      </c>
      <c r="BL87" s="33">
        <v>89603.8</v>
      </c>
      <c r="BM87" s="33">
        <v>89603.8</v>
      </c>
      <c r="BN87" s="33">
        <v>81964.61</v>
      </c>
      <c r="BO87" s="33">
        <v>76302.11</v>
      </c>
      <c r="BP87" s="33">
        <v>124703.99</v>
      </c>
      <c r="BQ87" s="42">
        <v>124703.99</v>
      </c>
      <c r="BR87" s="42">
        <v>124703.99</v>
      </c>
      <c r="BS87" s="42">
        <v>124703.99</v>
      </c>
      <c r="BT87" s="42">
        <v>124703.99</v>
      </c>
      <c r="BU87" s="42">
        <v>124703.99</v>
      </c>
      <c r="BV87" s="42">
        <v>124703.99</v>
      </c>
      <c r="BW87" s="42">
        <v>124703.99</v>
      </c>
      <c r="BX87" s="42">
        <v>124703.99</v>
      </c>
      <c r="BY87" s="42">
        <v>124703.99</v>
      </c>
      <c r="BZ87" s="42">
        <v>124703.99</v>
      </c>
      <c r="CA87" s="42">
        <v>124703.99</v>
      </c>
      <c r="CB87" s="42">
        <v>124703.99</v>
      </c>
    </row>
    <row r="88" spans="2:80" ht="10.15" x14ac:dyDescent="0.3">
      <c r="B88" s="1" t="s">
        <v>62</v>
      </c>
      <c r="I88" s="15" t="s">
        <v>0</v>
      </c>
      <c r="R88" s="28">
        <v>6725320.3499999996</v>
      </c>
      <c r="S88" s="28">
        <v>25311738.010000002</v>
      </c>
      <c r="T88" s="28">
        <v>0</v>
      </c>
      <c r="U88" s="28">
        <v>0</v>
      </c>
      <c r="V88" s="28">
        <v>0</v>
      </c>
      <c r="X88" s="48"/>
      <c r="Y88" s="48"/>
      <c r="Z88" s="48"/>
      <c r="AA88" s="48"/>
      <c r="AB88" s="48"/>
      <c r="AC88" s="48">
        <v>3000000</v>
      </c>
      <c r="AD88" s="48">
        <v>3000000</v>
      </c>
      <c r="AE88" s="48">
        <v>3125160.35</v>
      </c>
      <c r="AF88" s="48">
        <v>6725320.3499999996</v>
      </c>
      <c r="AG88" s="48">
        <v>7725320.3499999996</v>
      </c>
      <c r="AH88" s="48">
        <v>9725320.3499999996</v>
      </c>
      <c r="AI88" s="48">
        <v>9725320.3499999996</v>
      </c>
      <c r="AJ88" s="48">
        <v>9725320.3499999996</v>
      </c>
      <c r="AK88" s="48">
        <v>11725320.35</v>
      </c>
      <c r="AL88" s="48">
        <v>11725320.35</v>
      </c>
      <c r="AM88" s="48">
        <v>12099771.25</v>
      </c>
      <c r="AN88" s="48">
        <v>15563685.390000001</v>
      </c>
      <c r="AO88" s="48">
        <v>15563685.390000001</v>
      </c>
      <c r="AP88" s="48">
        <v>15563685.390000001</v>
      </c>
      <c r="AQ88" s="48">
        <v>25298085.390000001</v>
      </c>
      <c r="AR88" s="48">
        <v>25311738.010000002</v>
      </c>
      <c r="AS88" s="48">
        <v>7209302.1399999997</v>
      </c>
      <c r="AT88" s="48">
        <v>7950109.3399999999</v>
      </c>
      <c r="AU88" s="48">
        <v>7950109.3399999896</v>
      </c>
      <c r="AV88" s="48">
        <v>7950109.3399999999</v>
      </c>
      <c r="AW88" s="48">
        <v>7950109.3399999999</v>
      </c>
      <c r="AX88" s="48">
        <v>7949334.5099999998</v>
      </c>
      <c r="AY88" s="48">
        <v>7949334.5099999998</v>
      </c>
      <c r="AZ88" s="48">
        <v>7949412.1100000003</v>
      </c>
      <c r="BA88" s="48">
        <v>7949418.5099999998</v>
      </c>
      <c r="BB88" s="48">
        <v>0</v>
      </c>
      <c r="BC88" s="48">
        <v>0</v>
      </c>
      <c r="BD88" s="48">
        <v>0</v>
      </c>
      <c r="BE88" s="48">
        <v>0</v>
      </c>
      <c r="BF88" s="48">
        <v>0</v>
      </c>
      <c r="BG88" s="28">
        <v>0</v>
      </c>
      <c r="BH88" s="28">
        <v>0</v>
      </c>
      <c r="BI88" s="28">
        <v>0</v>
      </c>
      <c r="BJ88" s="28">
        <v>0</v>
      </c>
      <c r="BK88" s="28">
        <v>0</v>
      </c>
      <c r="BL88" s="28">
        <v>0</v>
      </c>
      <c r="BM88" s="28">
        <v>0</v>
      </c>
      <c r="BN88" s="28">
        <v>0</v>
      </c>
      <c r="BO88" s="28">
        <v>0</v>
      </c>
      <c r="BP88" s="28">
        <v>0</v>
      </c>
      <c r="BQ88" s="28">
        <v>0</v>
      </c>
      <c r="BR88" s="28">
        <v>0</v>
      </c>
      <c r="BS88" s="28">
        <v>0</v>
      </c>
      <c r="BT88" s="28">
        <v>0</v>
      </c>
      <c r="BU88" s="28">
        <v>0</v>
      </c>
      <c r="BV88" s="28">
        <v>0</v>
      </c>
      <c r="BW88" s="28">
        <v>0</v>
      </c>
      <c r="BX88" s="28">
        <v>0</v>
      </c>
      <c r="BY88" s="28">
        <v>0</v>
      </c>
      <c r="BZ88" s="28">
        <v>0</v>
      </c>
      <c r="CA88" s="28">
        <v>0</v>
      </c>
      <c r="CB88" s="28">
        <v>0</v>
      </c>
    </row>
    <row r="89" spans="2:80" ht="10.15" x14ac:dyDescent="0.3">
      <c r="B89" s="22" t="s">
        <v>63</v>
      </c>
      <c r="C89" s="22"/>
      <c r="D89" s="22"/>
      <c r="E89" s="22"/>
      <c r="F89" s="22"/>
      <c r="G89" s="22"/>
      <c r="H89" s="22"/>
      <c r="I89" s="23" t="s">
        <v>0</v>
      </c>
      <c r="J89" s="22"/>
      <c r="K89" s="22"/>
      <c r="L89" s="22"/>
      <c r="M89" s="22"/>
      <c r="N89" s="22"/>
      <c r="O89" s="22"/>
      <c r="P89" s="22"/>
      <c r="Q89" s="22"/>
      <c r="R89" s="27">
        <v>7091480.4899999993</v>
      </c>
      <c r="S89" s="27">
        <v>29336013.060000002</v>
      </c>
      <c r="T89" s="27">
        <v>29951810.550000001</v>
      </c>
      <c r="U89" s="27">
        <v>66908861.369999997</v>
      </c>
      <c r="V89" s="27">
        <v>149836691.1882894</v>
      </c>
      <c r="W89" s="22"/>
      <c r="X89" s="45"/>
      <c r="Y89" s="45"/>
      <c r="Z89" s="45"/>
      <c r="AA89" s="45"/>
      <c r="AB89" s="45"/>
      <c r="AC89" s="45">
        <v>3344952.93</v>
      </c>
      <c r="AD89" s="45">
        <v>3491989.84</v>
      </c>
      <c r="AE89" s="45">
        <v>3975324.69</v>
      </c>
      <c r="AF89" s="45">
        <v>7091480.4899999993</v>
      </c>
      <c r="AG89" s="45">
        <v>8601678.8399999999</v>
      </c>
      <c r="AH89" s="45">
        <v>12419726.42</v>
      </c>
      <c r="AI89" s="45">
        <v>11268400.74</v>
      </c>
      <c r="AJ89" s="45">
        <v>11474994.83</v>
      </c>
      <c r="AK89" s="45">
        <v>14539415.02</v>
      </c>
      <c r="AL89" s="45">
        <v>13461952.199999999</v>
      </c>
      <c r="AM89" s="45">
        <v>15694833.01</v>
      </c>
      <c r="AN89" s="45">
        <v>19670395</v>
      </c>
      <c r="AO89" s="45">
        <v>18639063.640000001</v>
      </c>
      <c r="AP89" s="45">
        <v>19142078.420000002</v>
      </c>
      <c r="AQ89" s="45">
        <v>30207885.079999998</v>
      </c>
      <c r="AR89" s="45">
        <v>29336013.060000002</v>
      </c>
      <c r="AS89" s="45">
        <v>10273894.57</v>
      </c>
      <c r="AT89" s="45">
        <v>11226569.699999999</v>
      </c>
      <c r="AU89" s="45">
        <v>10037792.54999999</v>
      </c>
      <c r="AV89" s="45">
        <v>11226140.210000001</v>
      </c>
      <c r="AW89" s="45">
        <v>11278264.949999999</v>
      </c>
      <c r="AX89" s="45">
        <v>18259287.719999999</v>
      </c>
      <c r="AY89" s="45">
        <v>17275496.73</v>
      </c>
      <c r="AZ89" s="45">
        <v>17193606.280000001</v>
      </c>
      <c r="BA89" s="45">
        <v>17229670.710000001</v>
      </c>
      <c r="BB89" s="45">
        <v>27533206.109999999</v>
      </c>
      <c r="BC89" s="45">
        <v>29591959.899999999</v>
      </c>
      <c r="BD89" s="45">
        <v>29951810.550000001</v>
      </c>
      <c r="BE89" s="45">
        <v>28346047.609999999</v>
      </c>
      <c r="BF89" s="45">
        <v>39510590.639999993</v>
      </c>
      <c r="BG89" s="45">
        <v>39458142.309999995</v>
      </c>
      <c r="BH89" s="45">
        <v>42545843.689999998</v>
      </c>
      <c r="BI89" s="45">
        <v>44120628.350000001</v>
      </c>
      <c r="BJ89" s="45">
        <v>48336126.460000001</v>
      </c>
      <c r="BK89" s="45">
        <v>52584758.510000005</v>
      </c>
      <c r="BL89" s="45">
        <v>52456845.529999994</v>
      </c>
      <c r="BM89" s="45">
        <v>55508475.579999998</v>
      </c>
      <c r="BN89" s="45">
        <v>55594886.469999999</v>
      </c>
      <c r="BO89" s="45">
        <v>57202801.719999999</v>
      </c>
      <c r="BP89" s="45">
        <v>66908861.369999997</v>
      </c>
      <c r="BQ89" s="45">
        <v>84305370.266666666</v>
      </c>
      <c r="BR89" s="45">
        <v>89467870.266666666</v>
      </c>
      <c r="BS89" s="45">
        <v>99657453.600000009</v>
      </c>
      <c r="BT89" s="45">
        <v>99217651.816567674</v>
      </c>
      <c r="BU89" s="45">
        <v>110710969.48237425</v>
      </c>
      <c r="BV89" s="45">
        <v>124674740.15762921</v>
      </c>
      <c r="BW89" s="45">
        <v>137176110.42459726</v>
      </c>
      <c r="BX89" s="45">
        <v>146858242.35230434</v>
      </c>
      <c r="BY89" s="45">
        <v>149678492.23413166</v>
      </c>
      <c r="BZ89" s="45">
        <v>150192955.22059143</v>
      </c>
      <c r="CA89" s="45">
        <v>149581773.28168541</v>
      </c>
      <c r="CB89" s="45">
        <v>149836691.1882894</v>
      </c>
    </row>
    <row r="90" spans="2:80" ht="10.15" x14ac:dyDescent="0.3">
      <c r="BP90" s="28"/>
    </row>
    <row r="91" spans="2:80" ht="10.15" x14ac:dyDescent="0.3">
      <c r="B91" s="2" t="s">
        <v>64</v>
      </c>
      <c r="I91" s="15"/>
      <c r="U91" s="28"/>
      <c r="V91" s="31"/>
      <c r="BA91" s="28"/>
      <c r="BD91" s="28"/>
      <c r="BF91" s="28"/>
      <c r="BJ91" s="28"/>
      <c r="BM91" s="28"/>
      <c r="BP91" s="28"/>
    </row>
    <row r="92" spans="2:80" ht="10.15" x14ac:dyDescent="0.3">
      <c r="B92" s="1" t="s">
        <v>65</v>
      </c>
      <c r="I92" s="15" t="s">
        <v>0</v>
      </c>
      <c r="R92" s="28">
        <v>3562500.02</v>
      </c>
      <c r="S92" s="28">
        <v>24413562.98</v>
      </c>
      <c r="T92" s="28">
        <v>25257006.130000003</v>
      </c>
      <c r="U92" s="28">
        <v>42124006.130000003</v>
      </c>
      <c r="V92" s="28">
        <v>42124006.130000003</v>
      </c>
      <c r="X92" s="38"/>
      <c r="Y92" s="38"/>
      <c r="Z92" s="38"/>
      <c r="AA92" s="38"/>
      <c r="AB92" s="38"/>
      <c r="AC92" s="38">
        <v>1962500.04</v>
      </c>
      <c r="AD92" s="38">
        <v>1962500.04</v>
      </c>
      <c r="AE92" s="38">
        <v>3262500.02</v>
      </c>
      <c r="AF92" s="38">
        <v>3562500.02</v>
      </c>
      <c r="AG92" s="38">
        <v>3562500.02</v>
      </c>
      <c r="AH92" s="38">
        <v>3656250.02</v>
      </c>
      <c r="AI92" s="38">
        <v>3656250.02</v>
      </c>
      <c r="AJ92" s="38">
        <v>3750000.02</v>
      </c>
      <c r="AK92" s="38">
        <v>3750000.02</v>
      </c>
      <c r="AL92" s="38">
        <v>3750000.02</v>
      </c>
      <c r="AM92" s="38">
        <v>7593950.0199999996</v>
      </c>
      <c r="AN92" s="38">
        <v>8063624.8599999994</v>
      </c>
      <c r="AO92" s="38">
        <v>8063624.8599999994</v>
      </c>
      <c r="AP92" s="38">
        <v>9381562.9800000004</v>
      </c>
      <c r="AQ92" s="38">
        <v>24413562.98</v>
      </c>
      <c r="AR92" s="38">
        <v>24413562.98</v>
      </c>
      <c r="AS92" s="38">
        <v>24254910.400000002</v>
      </c>
      <c r="AT92" s="38">
        <v>24254910.400000002</v>
      </c>
      <c r="AU92" s="38">
        <v>24254910.400000002</v>
      </c>
      <c r="AV92" s="38">
        <v>24254910.400000002</v>
      </c>
      <c r="AW92" s="38">
        <v>24254910.400000002</v>
      </c>
      <c r="AX92" s="38">
        <v>24254910.400000002</v>
      </c>
      <c r="AY92" s="38">
        <v>25257006.130000003</v>
      </c>
      <c r="AZ92" s="38">
        <v>25257006.130000003</v>
      </c>
      <c r="BA92" s="38">
        <v>25257006.130000003</v>
      </c>
      <c r="BB92" s="38">
        <v>25257006.130000003</v>
      </c>
      <c r="BC92" s="38">
        <v>25257006.130000003</v>
      </c>
      <c r="BD92" s="38">
        <v>25257006.130000003</v>
      </c>
      <c r="BE92" s="38">
        <v>25257006.130000003</v>
      </c>
      <c r="BF92" s="33">
        <v>25257006.130000003</v>
      </c>
      <c r="BG92" s="33">
        <v>25257006.130000003</v>
      </c>
      <c r="BH92" s="33">
        <v>25257006.130000003</v>
      </c>
      <c r="BI92" s="33">
        <v>25257006.130000003</v>
      </c>
      <c r="BJ92" s="33">
        <v>25257006.130000003</v>
      </c>
      <c r="BK92" s="33">
        <v>25257006.130000003</v>
      </c>
      <c r="BL92" s="33">
        <v>25257006.130000003</v>
      </c>
      <c r="BM92" s="33">
        <v>27132006.130000003</v>
      </c>
      <c r="BN92" s="33">
        <v>42124006.130000003</v>
      </c>
      <c r="BO92" s="33">
        <v>42124006.130000003</v>
      </c>
      <c r="BP92" s="33">
        <v>42124006.130000003</v>
      </c>
      <c r="BQ92" s="28">
        <v>42124006.130000003</v>
      </c>
      <c r="BR92" s="28">
        <v>42124006.130000003</v>
      </c>
      <c r="BS92" s="28">
        <v>42124006.130000003</v>
      </c>
      <c r="BT92" s="28">
        <v>42124006.130000003</v>
      </c>
      <c r="BU92" s="28">
        <v>42124006.130000003</v>
      </c>
      <c r="BV92" s="28">
        <v>42124006.130000003</v>
      </c>
      <c r="BW92" s="28">
        <v>42124006.130000003</v>
      </c>
      <c r="BX92" s="28">
        <v>42124006.130000003</v>
      </c>
      <c r="BY92" s="28">
        <v>42124006.130000003</v>
      </c>
      <c r="BZ92" s="28">
        <v>42124006.130000003</v>
      </c>
      <c r="CA92" s="28">
        <v>42124006.130000003</v>
      </c>
      <c r="CB92" s="28">
        <v>42124006.130000003</v>
      </c>
    </row>
    <row r="93" spans="2:80" ht="10.15" x14ac:dyDescent="0.3">
      <c r="B93" s="1" t="s">
        <v>66</v>
      </c>
      <c r="I93" s="15" t="s">
        <v>0</v>
      </c>
      <c r="R93" s="28">
        <v>25000</v>
      </c>
      <c r="S93" s="28">
        <v>25000</v>
      </c>
      <c r="T93" s="28">
        <v>25000</v>
      </c>
      <c r="U93" s="28">
        <v>25000</v>
      </c>
      <c r="V93" s="28">
        <v>25000</v>
      </c>
      <c r="X93" s="38"/>
      <c r="Y93" s="38"/>
      <c r="Z93" s="38"/>
      <c r="AA93" s="38"/>
      <c r="AB93" s="38"/>
      <c r="AC93" s="38">
        <v>1925000</v>
      </c>
      <c r="AD93" s="38">
        <v>1925000</v>
      </c>
      <c r="AE93" s="38">
        <v>3225000</v>
      </c>
      <c r="AF93" s="38">
        <v>25000</v>
      </c>
      <c r="AG93" s="38">
        <v>25000</v>
      </c>
      <c r="AH93" s="38">
        <v>25000</v>
      </c>
      <c r="AI93" s="38">
        <v>25000</v>
      </c>
      <c r="AJ93" s="38">
        <v>25000</v>
      </c>
      <c r="AK93" s="38">
        <v>25000</v>
      </c>
      <c r="AL93" s="38">
        <v>25000</v>
      </c>
      <c r="AM93" s="38">
        <v>25000</v>
      </c>
      <c r="AN93" s="38">
        <v>25000</v>
      </c>
      <c r="AO93" s="38">
        <v>25000</v>
      </c>
      <c r="AP93" s="38">
        <v>25000</v>
      </c>
      <c r="AQ93" s="38">
        <v>25000</v>
      </c>
      <c r="AR93" s="38">
        <v>25000</v>
      </c>
      <c r="AS93" s="38">
        <v>25000</v>
      </c>
      <c r="AT93" s="38">
        <v>25000</v>
      </c>
      <c r="AU93" s="38">
        <v>25000</v>
      </c>
      <c r="AV93" s="38">
        <v>25000</v>
      </c>
      <c r="AW93" s="38">
        <v>25000</v>
      </c>
      <c r="AX93" s="38">
        <v>25000</v>
      </c>
      <c r="AY93" s="38">
        <v>25000</v>
      </c>
      <c r="AZ93" s="38">
        <v>25000</v>
      </c>
      <c r="BA93" s="38">
        <v>25000</v>
      </c>
      <c r="BB93" s="38">
        <v>25000</v>
      </c>
      <c r="BC93" s="38">
        <v>25000</v>
      </c>
      <c r="BD93" s="38">
        <v>25000</v>
      </c>
      <c r="BE93" s="38">
        <v>25000</v>
      </c>
      <c r="BF93" s="33">
        <v>25000</v>
      </c>
      <c r="BG93" s="33">
        <v>25000</v>
      </c>
      <c r="BH93" s="33">
        <v>25000</v>
      </c>
      <c r="BI93" s="33">
        <v>25000</v>
      </c>
      <c r="BJ93" s="33">
        <v>25000</v>
      </c>
      <c r="BK93" s="33">
        <v>25000</v>
      </c>
      <c r="BL93" s="33">
        <v>25000</v>
      </c>
      <c r="BM93" s="33">
        <v>25000</v>
      </c>
      <c r="BN93" s="33">
        <v>25000</v>
      </c>
      <c r="BO93" s="33">
        <v>25000</v>
      </c>
      <c r="BP93" s="33">
        <v>25000</v>
      </c>
      <c r="BQ93" s="42">
        <v>25000</v>
      </c>
      <c r="BR93" s="42">
        <v>25000</v>
      </c>
      <c r="BS93" s="42">
        <v>25000</v>
      </c>
      <c r="BT93" s="42">
        <v>25000</v>
      </c>
      <c r="BU93" s="42">
        <v>25000</v>
      </c>
      <c r="BV93" s="42">
        <v>25000</v>
      </c>
      <c r="BW93" s="42">
        <v>25000</v>
      </c>
      <c r="BX93" s="42">
        <v>25000</v>
      </c>
      <c r="BY93" s="42">
        <v>25000</v>
      </c>
      <c r="BZ93" s="42">
        <v>25000</v>
      </c>
      <c r="CA93" s="42">
        <v>25000</v>
      </c>
      <c r="CB93" s="42">
        <v>25000</v>
      </c>
    </row>
    <row r="94" spans="2:80" ht="10.15" x14ac:dyDescent="0.3">
      <c r="B94" s="1" t="s">
        <v>67</v>
      </c>
      <c r="I94" s="15" t="s">
        <v>0</v>
      </c>
      <c r="R94" s="28">
        <v>7500</v>
      </c>
      <c r="S94" s="28">
        <v>7500</v>
      </c>
      <c r="T94" s="28">
        <v>7500</v>
      </c>
      <c r="U94" s="28">
        <v>7500</v>
      </c>
      <c r="V94" s="28">
        <v>7500</v>
      </c>
      <c r="X94" s="38"/>
      <c r="Y94" s="38"/>
      <c r="Z94" s="38"/>
      <c r="AA94" s="38"/>
      <c r="AB94" s="38"/>
      <c r="AC94" s="38">
        <v>0</v>
      </c>
      <c r="AD94" s="38">
        <v>0</v>
      </c>
      <c r="AE94" s="38">
        <v>0</v>
      </c>
      <c r="AF94" s="38">
        <v>7500</v>
      </c>
      <c r="AG94" s="38">
        <v>7500</v>
      </c>
      <c r="AH94" s="38">
        <v>7500</v>
      </c>
      <c r="AI94" s="38">
        <v>7500</v>
      </c>
      <c r="AJ94" s="38">
        <v>7500</v>
      </c>
      <c r="AK94" s="38">
        <v>7500</v>
      </c>
      <c r="AL94" s="38">
        <v>7500</v>
      </c>
      <c r="AM94" s="38">
        <v>7500</v>
      </c>
      <c r="AN94" s="38">
        <v>7500</v>
      </c>
      <c r="AO94" s="38">
        <v>7500</v>
      </c>
      <c r="AP94" s="38">
        <v>7500</v>
      </c>
      <c r="AQ94" s="38">
        <v>7500</v>
      </c>
      <c r="AR94" s="38">
        <v>7500</v>
      </c>
      <c r="AS94" s="38">
        <v>7500</v>
      </c>
      <c r="AT94" s="38">
        <v>7500</v>
      </c>
      <c r="AU94" s="38">
        <v>7500</v>
      </c>
      <c r="AV94" s="38">
        <v>7500</v>
      </c>
      <c r="AW94" s="38">
        <v>7500</v>
      </c>
      <c r="AX94" s="38">
        <v>7500</v>
      </c>
      <c r="AY94" s="38">
        <v>7500</v>
      </c>
      <c r="AZ94" s="38">
        <v>7500</v>
      </c>
      <c r="BA94" s="38">
        <v>7500</v>
      </c>
      <c r="BB94" s="38">
        <v>7500</v>
      </c>
      <c r="BC94" s="38">
        <v>7500</v>
      </c>
      <c r="BD94" s="38">
        <v>7500</v>
      </c>
      <c r="BE94" s="38">
        <v>7500</v>
      </c>
      <c r="BF94" s="33">
        <v>7500</v>
      </c>
      <c r="BG94" s="33">
        <v>7500</v>
      </c>
      <c r="BH94" s="33">
        <v>7500</v>
      </c>
      <c r="BI94" s="33">
        <v>7500</v>
      </c>
      <c r="BJ94" s="33">
        <v>7500</v>
      </c>
      <c r="BK94" s="33">
        <v>7500</v>
      </c>
      <c r="BL94" s="33">
        <v>7500</v>
      </c>
      <c r="BM94" s="33">
        <v>7500</v>
      </c>
      <c r="BN94" s="33">
        <v>7500</v>
      </c>
      <c r="BO94" s="33">
        <v>7500</v>
      </c>
      <c r="BP94" s="33">
        <v>7500</v>
      </c>
      <c r="BQ94" s="42">
        <v>7500</v>
      </c>
      <c r="BR94" s="42">
        <v>7500</v>
      </c>
      <c r="BS94" s="42">
        <v>7500</v>
      </c>
      <c r="BT94" s="42">
        <v>7500</v>
      </c>
      <c r="BU94" s="42">
        <v>7500</v>
      </c>
      <c r="BV94" s="42">
        <v>7500</v>
      </c>
      <c r="BW94" s="42">
        <v>7500</v>
      </c>
      <c r="BX94" s="42">
        <v>7500</v>
      </c>
      <c r="BY94" s="42">
        <v>7500</v>
      </c>
      <c r="BZ94" s="42">
        <v>7500</v>
      </c>
      <c r="CA94" s="42">
        <v>7500</v>
      </c>
      <c r="CB94" s="42">
        <v>7500</v>
      </c>
    </row>
    <row r="95" spans="2:80" ht="10.15" x14ac:dyDescent="0.3">
      <c r="B95" s="1" t="s">
        <v>68</v>
      </c>
      <c r="I95" s="15" t="s">
        <v>0</v>
      </c>
      <c r="R95" s="28">
        <v>195097.18</v>
      </c>
      <c r="S95" s="28">
        <v>34401.800000000003</v>
      </c>
      <c r="T95" s="28">
        <v>-2847594.05</v>
      </c>
      <c r="U95" s="28">
        <v>-5463251.2199999997</v>
      </c>
      <c r="V95" s="28">
        <v>-2842306.0588754313</v>
      </c>
      <c r="X95" s="38"/>
      <c r="Y95" s="38"/>
      <c r="Z95" s="38"/>
      <c r="AA95" s="38"/>
      <c r="AB95" s="38"/>
      <c r="AC95" s="38">
        <v>-60822.19</v>
      </c>
      <c r="AD95" s="38">
        <v>-103346.53</v>
      </c>
      <c r="AE95" s="38">
        <v>-104091.39</v>
      </c>
      <c r="AF95" s="38">
        <v>195097.18</v>
      </c>
      <c r="AG95" s="38">
        <v>77826.19</v>
      </c>
      <c r="AH95" s="38">
        <v>187114.67</v>
      </c>
      <c r="AI95" s="38">
        <v>59342.42</v>
      </c>
      <c r="AJ95" s="38">
        <v>198538.62</v>
      </c>
      <c r="AK95" s="38">
        <v>124494.19</v>
      </c>
      <c r="AL95" s="38">
        <v>158266.04</v>
      </c>
      <c r="AM95" s="38">
        <v>169166.25</v>
      </c>
      <c r="AN95" s="38">
        <v>353676.84</v>
      </c>
      <c r="AO95" s="38">
        <v>226231.1</v>
      </c>
      <c r="AP95" s="38">
        <v>212217.48</v>
      </c>
      <c r="AQ95" s="38">
        <v>629803.67000000004</v>
      </c>
      <c r="AR95" s="38">
        <v>34401.800000000003</v>
      </c>
      <c r="AS95" s="38">
        <v>-234687.91999999998</v>
      </c>
      <c r="AT95" s="38">
        <v>-311095.76</v>
      </c>
      <c r="AU95" s="38">
        <v>-219436.44999999995</v>
      </c>
      <c r="AV95" s="38">
        <v>-524465.24</v>
      </c>
      <c r="AW95" s="38">
        <v>-682653.42999999993</v>
      </c>
      <c r="AX95" s="38">
        <v>-751970.34</v>
      </c>
      <c r="AY95" s="38">
        <v>-706732.4</v>
      </c>
      <c r="AZ95" s="38">
        <v>-1141743.56</v>
      </c>
      <c r="BA95" s="38">
        <v>-1670631</v>
      </c>
      <c r="BB95" s="38">
        <v>-2370988.1900000004</v>
      </c>
      <c r="BC95" s="38">
        <v>-2634383.21</v>
      </c>
      <c r="BD95" s="38">
        <v>-2847594.05</v>
      </c>
      <c r="BE95" s="38">
        <v>-343106.01999999996</v>
      </c>
      <c r="BF95" s="33">
        <v>-605363.07999999996</v>
      </c>
      <c r="BG95" s="33">
        <v>-691155.37000000011</v>
      </c>
      <c r="BH95" s="33">
        <v>-1092942.18</v>
      </c>
      <c r="BI95" s="33">
        <v>-1409269.7399999998</v>
      </c>
      <c r="BJ95" s="33">
        <v>-2055337.21</v>
      </c>
      <c r="BK95" s="33">
        <v>-1569351.75</v>
      </c>
      <c r="BL95" s="33">
        <v>-2567932.63</v>
      </c>
      <c r="BM95" s="33">
        <v>-3537977.03</v>
      </c>
      <c r="BN95" s="33">
        <v>-4490803.6899999995</v>
      </c>
      <c r="BO95" s="33">
        <v>-5267227.4799999995</v>
      </c>
      <c r="BP95" s="33">
        <v>-5463251.2199999997</v>
      </c>
      <c r="BQ95" s="28">
        <v>-437227.58747941902</v>
      </c>
      <c r="BR95" s="28">
        <v>-966964.21414641035</v>
      </c>
      <c r="BS95" s="28">
        <v>-1722623.7805065792</v>
      </c>
      <c r="BT95" s="28">
        <v>-1715798.1591132011</v>
      </c>
      <c r="BU95" s="28">
        <v>-1493291.6533042458</v>
      </c>
      <c r="BV95" s="28">
        <v>-1152592.44539712</v>
      </c>
      <c r="BW95" s="28">
        <v>-1111713.3756394833</v>
      </c>
      <c r="BX95" s="28">
        <v>-865843.95506336133</v>
      </c>
      <c r="BY95" s="28">
        <v>-1328285.7645381377</v>
      </c>
      <c r="BZ95" s="28">
        <v>-1947689.5487193358</v>
      </c>
      <c r="CA95" s="28">
        <v>-2249972.4821687764</v>
      </c>
      <c r="CB95" s="28">
        <v>-2842306.0588754313</v>
      </c>
    </row>
    <row r="96" spans="2:80" ht="10.15" x14ac:dyDescent="0.3">
      <c r="B96" s="1" t="s">
        <v>69</v>
      </c>
      <c r="I96" s="15" t="s">
        <v>0</v>
      </c>
      <c r="R96" s="28">
        <v>-32500</v>
      </c>
      <c r="S96" s="28">
        <v>187597.18</v>
      </c>
      <c r="T96" s="28">
        <v>222138.28000000003</v>
      </c>
      <c r="U96" s="28">
        <v>-2630522.77</v>
      </c>
      <c r="V96" s="28">
        <v>-8093773.9900000002</v>
      </c>
      <c r="X96" s="38"/>
      <c r="Y96" s="38"/>
      <c r="Z96" s="38"/>
      <c r="AA96" s="38"/>
      <c r="AB96" s="38"/>
      <c r="AC96" s="38">
        <v>0</v>
      </c>
      <c r="AD96" s="38">
        <v>0</v>
      </c>
      <c r="AE96" s="38">
        <v>0</v>
      </c>
      <c r="AF96" s="38">
        <v>-32500</v>
      </c>
      <c r="AG96" s="38">
        <v>162597.18</v>
      </c>
      <c r="AH96" s="38">
        <v>162597.18</v>
      </c>
      <c r="AI96" s="38">
        <v>162597.18</v>
      </c>
      <c r="AJ96" s="38">
        <v>162597.18</v>
      </c>
      <c r="AK96" s="38">
        <v>162597.18</v>
      </c>
      <c r="AL96" s="38">
        <v>162597.18</v>
      </c>
      <c r="AM96" s="38">
        <v>162597.18</v>
      </c>
      <c r="AN96" s="38">
        <v>162597.18</v>
      </c>
      <c r="AO96" s="38">
        <v>162597.18</v>
      </c>
      <c r="AP96" s="38">
        <v>162597.18</v>
      </c>
      <c r="AQ96" s="38">
        <v>162597.18</v>
      </c>
      <c r="AR96" s="38">
        <v>187597.18</v>
      </c>
      <c r="AS96" s="38">
        <v>222138.28000000003</v>
      </c>
      <c r="AT96" s="38">
        <v>222138.28000000003</v>
      </c>
      <c r="AU96" s="38">
        <v>222138.28000000003</v>
      </c>
      <c r="AV96" s="38">
        <v>222138.28000000003</v>
      </c>
      <c r="AW96" s="38">
        <v>222138.28000000003</v>
      </c>
      <c r="AX96" s="38">
        <v>222138.28000000003</v>
      </c>
      <c r="AY96" s="38">
        <v>222138.28000000003</v>
      </c>
      <c r="AZ96" s="38">
        <v>222138.28000000003</v>
      </c>
      <c r="BA96" s="38">
        <v>222138.28000000003</v>
      </c>
      <c r="BB96" s="38">
        <v>222138.28000000003</v>
      </c>
      <c r="BC96" s="38">
        <v>222138.28000000003</v>
      </c>
      <c r="BD96" s="38">
        <v>222138.28000000003</v>
      </c>
      <c r="BE96" s="38">
        <v>-2630522.77</v>
      </c>
      <c r="BF96" s="33">
        <v>-2630522.77</v>
      </c>
      <c r="BG96" s="33">
        <v>-2630522.77</v>
      </c>
      <c r="BH96" s="33">
        <v>-2630522.77</v>
      </c>
      <c r="BI96" s="33">
        <v>-2630522.77</v>
      </c>
      <c r="BJ96" s="33">
        <v>-2630522.77</v>
      </c>
      <c r="BK96" s="33">
        <v>-2630522.77</v>
      </c>
      <c r="BL96" s="33">
        <v>-2630522.77</v>
      </c>
      <c r="BM96" s="33">
        <v>-2630522.77</v>
      </c>
      <c r="BN96" s="33">
        <v>-2630522.77</v>
      </c>
      <c r="BO96" s="33">
        <v>-2630522.77</v>
      </c>
      <c r="BP96" s="33">
        <v>-2630522.77</v>
      </c>
      <c r="BQ96" s="28">
        <v>-8093773.9900000002</v>
      </c>
      <c r="BR96" s="42">
        <v>-8093773.9900000002</v>
      </c>
      <c r="BS96" s="42">
        <v>-8093773.9900000002</v>
      </c>
      <c r="BT96" s="42">
        <v>-8093773.9900000002</v>
      </c>
      <c r="BU96" s="42">
        <v>-8093773.9900000002</v>
      </c>
      <c r="BV96" s="42">
        <v>-8093773.9900000002</v>
      </c>
      <c r="BW96" s="42">
        <v>-8093773.9900000002</v>
      </c>
      <c r="BX96" s="42">
        <v>-8093773.9900000002</v>
      </c>
      <c r="BY96" s="42">
        <v>-8093773.9900000002</v>
      </c>
      <c r="BZ96" s="42">
        <v>-8093773.9900000002</v>
      </c>
      <c r="CA96" s="42">
        <v>-8093773.9900000002</v>
      </c>
      <c r="CB96" s="42">
        <v>-8093773.9900000002</v>
      </c>
    </row>
    <row r="97" spans="2:80" ht="10.15" x14ac:dyDescent="0.3">
      <c r="B97" s="22" t="s">
        <v>70</v>
      </c>
      <c r="C97" s="22"/>
      <c r="D97" s="22"/>
      <c r="E97" s="22"/>
      <c r="F97" s="22"/>
      <c r="G97" s="22"/>
      <c r="H97" s="22"/>
      <c r="I97" s="23" t="s">
        <v>0</v>
      </c>
      <c r="J97" s="22"/>
      <c r="K97" s="22"/>
      <c r="L97" s="22"/>
      <c r="M97" s="22"/>
      <c r="N97" s="22"/>
      <c r="O97" s="22"/>
      <c r="P97" s="22"/>
      <c r="Q97" s="22"/>
      <c r="R97" s="45">
        <v>3757597.2</v>
      </c>
      <c r="S97" s="45">
        <v>24668061.960000001</v>
      </c>
      <c r="T97" s="45">
        <v>22664050.360000003</v>
      </c>
      <c r="U97" s="45">
        <v>34062732.140000001</v>
      </c>
      <c r="V97" s="45">
        <v>31220426.081124566</v>
      </c>
      <c r="W97" s="22"/>
      <c r="X97" s="45"/>
      <c r="Y97" s="45"/>
      <c r="Z97" s="45"/>
      <c r="AA97" s="45"/>
      <c r="AB97" s="45"/>
      <c r="AC97" s="45">
        <v>3826677.85</v>
      </c>
      <c r="AD97" s="45">
        <v>3784153.5100000002</v>
      </c>
      <c r="AE97" s="45">
        <v>6383408.6299999999</v>
      </c>
      <c r="AF97" s="45">
        <v>3757597.2</v>
      </c>
      <c r="AG97" s="45">
        <v>3835423.39</v>
      </c>
      <c r="AH97" s="45">
        <v>4038461.87</v>
      </c>
      <c r="AI97" s="45">
        <v>3910689.62</v>
      </c>
      <c r="AJ97" s="45">
        <v>4143635.8200000003</v>
      </c>
      <c r="AK97" s="45">
        <v>4069591.39</v>
      </c>
      <c r="AL97" s="45">
        <v>4103363.24</v>
      </c>
      <c r="AM97" s="45">
        <v>7958213.4499999993</v>
      </c>
      <c r="AN97" s="45">
        <v>8612398.879999999</v>
      </c>
      <c r="AO97" s="45">
        <v>8484953.1399999987</v>
      </c>
      <c r="AP97" s="45">
        <v>9788877.6400000006</v>
      </c>
      <c r="AQ97" s="45">
        <v>25238463.830000002</v>
      </c>
      <c r="AR97" s="45">
        <v>24668061.960000001</v>
      </c>
      <c r="AS97" s="45">
        <v>24274860.760000002</v>
      </c>
      <c r="AT97" s="45">
        <v>24198452.920000002</v>
      </c>
      <c r="AU97" s="45">
        <v>24290112.230000004</v>
      </c>
      <c r="AV97" s="45">
        <v>23985083.440000005</v>
      </c>
      <c r="AW97" s="45">
        <v>23826895.250000004</v>
      </c>
      <c r="AX97" s="45">
        <v>23757578.340000004</v>
      </c>
      <c r="AY97" s="45">
        <v>24804912.010000005</v>
      </c>
      <c r="AZ97" s="45">
        <v>24369900.850000005</v>
      </c>
      <c r="BA97" s="45">
        <v>23841013.410000004</v>
      </c>
      <c r="BB97" s="45">
        <v>23140656.220000003</v>
      </c>
      <c r="BC97" s="45">
        <v>22877261.200000003</v>
      </c>
      <c r="BD97" s="45">
        <v>22664050.360000003</v>
      </c>
      <c r="BE97" s="45">
        <v>22315877.340000004</v>
      </c>
      <c r="BF97" s="45">
        <v>22053620.280000005</v>
      </c>
      <c r="BG97" s="45">
        <v>21967827.990000002</v>
      </c>
      <c r="BH97" s="45">
        <v>21566041.180000003</v>
      </c>
      <c r="BI97" s="45">
        <v>21249713.620000005</v>
      </c>
      <c r="BJ97" s="45">
        <v>20603646.150000002</v>
      </c>
      <c r="BK97" s="45">
        <v>21089631.610000003</v>
      </c>
      <c r="BL97" s="45">
        <v>20091050.730000004</v>
      </c>
      <c r="BM97" s="45">
        <v>20996006.330000002</v>
      </c>
      <c r="BN97" s="45">
        <v>35035179.670000002</v>
      </c>
      <c r="BO97" s="45">
        <v>34258755.880000003</v>
      </c>
      <c r="BP97" s="45">
        <v>34062732.140000001</v>
      </c>
      <c r="BQ97" s="45">
        <v>33625504.552520581</v>
      </c>
      <c r="BR97" s="45">
        <v>33095767.925853588</v>
      </c>
      <c r="BS97" s="45">
        <v>32340108.35949342</v>
      </c>
      <c r="BT97" s="45">
        <v>32346933.980886802</v>
      </c>
      <c r="BU97" s="45">
        <v>32569440.486695752</v>
      </c>
      <c r="BV97" s="45">
        <v>32910139.694602884</v>
      </c>
      <c r="BW97" s="45">
        <v>32951018.764360517</v>
      </c>
      <c r="BX97" s="45">
        <v>33196888.184936643</v>
      </c>
      <c r="BY97" s="45">
        <v>32734446.375461861</v>
      </c>
      <c r="BZ97" s="45">
        <v>32115042.591280662</v>
      </c>
      <c r="CA97" s="45">
        <v>31812759.657831222</v>
      </c>
      <c r="CB97" s="45">
        <v>31220426.081124566</v>
      </c>
    </row>
    <row r="98" spans="2:80" ht="10.15" x14ac:dyDescent="0.3">
      <c r="B98" s="19" t="s">
        <v>71</v>
      </c>
      <c r="C98" s="19"/>
      <c r="D98" s="19"/>
      <c r="E98" s="19"/>
      <c r="F98" s="19"/>
      <c r="G98" s="19"/>
      <c r="H98" s="19"/>
      <c r="I98" s="20" t="s">
        <v>0</v>
      </c>
      <c r="J98" s="19"/>
      <c r="K98" s="19"/>
      <c r="L98" s="19"/>
      <c r="M98" s="19"/>
      <c r="N98" s="19"/>
      <c r="O98" s="19"/>
      <c r="P98" s="19"/>
      <c r="Q98" s="19"/>
      <c r="R98" s="44">
        <v>10849077.689999999</v>
      </c>
      <c r="S98" s="44">
        <v>54004075.020000003</v>
      </c>
      <c r="T98" s="44">
        <v>52615860.910000004</v>
      </c>
      <c r="U98" s="44">
        <v>100971593.50999999</v>
      </c>
      <c r="V98" s="44">
        <v>181057117.26941398</v>
      </c>
      <c r="W98" s="19"/>
      <c r="X98" s="44"/>
      <c r="Y98" s="44"/>
      <c r="Z98" s="44"/>
      <c r="AA98" s="44"/>
      <c r="AB98" s="44"/>
      <c r="AC98" s="44">
        <v>7171630.7800000003</v>
      </c>
      <c r="AD98" s="44">
        <v>7276143.3499999996</v>
      </c>
      <c r="AE98" s="44">
        <v>10358733.32</v>
      </c>
      <c r="AF98" s="44">
        <v>10849077.689999999</v>
      </c>
      <c r="AG98" s="44">
        <v>12437102.23</v>
      </c>
      <c r="AH98" s="44">
        <v>16458188.289999999</v>
      </c>
      <c r="AI98" s="44">
        <v>15179090.359999999</v>
      </c>
      <c r="AJ98" s="44">
        <v>15618630.65</v>
      </c>
      <c r="AK98" s="44">
        <v>18609006.41</v>
      </c>
      <c r="AL98" s="44">
        <v>17565315.439999998</v>
      </c>
      <c r="AM98" s="44">
        <v>23653046.460000001</v>
      </c>
      <c r="AN98" s="44">
        <v>28282793.879999999</v>
      </c>
      <c r="AO98" s="44">
        <v>27124016.780000001</v>
      </c>
      <c r="AP98" s="44">
        <v>28930956.060000002</v>
      </c>
      <c r="AQ98" s="44">
        <v>55446348.909999996</v>
      </c>
      <c r="AR98" s="44">
        <v>54004075.020000003</v>
      </c>
      <c r="AS98" s="44">
        <v>34548755.329999998</v>
      </c>
      <c r="AT98" s="44">
        <v>35425022.620000005</v>
      </c>
      <c r="AU98" s="44">
        <v>34327904.779999994</v>
      </c>
      <c r="AV98" s="44">
        <v>35211223.650000006</v>
      </c>
      <c r="AW98" s="44">
        <v>35105160.200000003</v>
      </c>
      <c r="AX98" s="44">
        <v>42016866.060000002</v>
      </c>
      <c r="AY98" s="44">
        <v>42080408.74000001</v>
      </c>
      <c r="AZ98" s="44">
        <v>41563507.13000001</v>
      </c>
      <c r="BA98" s="44">
        <v>41070684.120000005</v>
      </c>
      <c r="BB98" s="44">
        <v>50673862.329999998</v>
      </c>
      <c r="BC98" s="44">
        <v>52469221.100000001</v>
      </c>
      <c r="BD98" s="44">
        <v>52615860.910000004</v>
      </c>
      <c r="BE98" s="44">
        <v>50661924.950000003</v>
      </c>
      <c r="BF98" s="44">
        <v>61564210.920000002</v>
      </c>
      <c r="BG98" s="44">
        <v>61425970.299999997</v>
      </c>
      <c r="BH98" s="44">
        <v>64111884.870000005</v>
      </c>
      <c r="BI98" s="44">
        <v>65370341.970000006</v>
      </c>
      <c r="BJ98" s="44">
        <v>68939772.609999999</v>
      </c>
      <c r="BK98" s="44">
        <v>73674390.120000005</v>
      </c>
      <c r="BL98" s="44">
        <v>72547896.25999999</v>
      </c>
      <c r="BM98" s="44">
        <v>76504481.909999996</v>
      </c>
      <c r="BN98" s="44">
        <v>90630066.140000001</v>
      </c>
      <c r="BO98" s="44">
        <v>91461557.599999994</v>
      </c>
      <c r="BP98" s="44">
        <v>100971593.50999999</v>
      </c>
      <c r="BQ98" s="44">
        <v>117930874.81918725</v>
      </c>
      <c r="BR98" s="44">
        <v>122563638.19252026</v>
      </c>
      <c r="BS98" s="44">
        <v>131997561.95949343</v>
      </c>
      <c r="BT98" s="44">
        <v>131564585.79745448</v>
      </c>
      <c r="BU98" s="44">
        <v>143280409.96907002</v>
      </c>
      <c r="BV98" s="44">
        <v>157584879.8522321</v>
      </c>
      <c r="BW98" s="44">
        <v>170127129.18895778</v>
      </c>
      <c r="BX98" s="44">
        <v>180055130.53724098</v>
      </c>
      <c r="BY98" s="44">
        <v>182412938.60959351</v>
      </c>
      <c r="BZ98" s="44">
        <v>182307997.81187209</v>
      </c>
      <c r="CA98" s="44">
        <v>181394532.93951663</v>
      </c>
      <c r="CB98" s="44">
        <v>181057117.26941398</v>
      </c>
    </row>
    <row r="99" spans="2:80" s="21" customFormat="1" ht="10.15" x14ac:dyDescent="0.3">
      <c r="C99" s="21" t="s">
        <v>72</v>
      </c>
      <c r="R99" s="39">
        <f t="shared" ref="R99:V99" si="12">R74-SUM(R89,R97)</f>
        <v>315.99440000019968</v>
      </c>
      <c r="S99" s="39">
        <f t="shared" si="12"/>
        <v>-136555.961744003</v>
      </c>
      <c r="T99" s="39">
        <f t="shared" si="12"/>
        <v>665533.79695601016</v>
      </c>
      <c r="U99" s="39">
        <f t="shared" si="12"/>
        <v>728089.51445756853</v>
      </c>
      <c r="V99" s="39">
        <f t="shared" si="12"/>
        <v>728089.51445758343</v>
      </c>
      <c r="X99" s="39"/>
      <c r="Y99" s="39"/>
      <c r="Z99" s="39"/>
      <c r="AA99" s="39"/>
      <c r="AB99" s="39"/>
      <c r="AC99" s="39">
        <f t="shared" ref="AC99:BH99" si="13">AC74-SUM(AC89,AC97)</f>
        <v>159.64249999914318</v>
      </c>
      <c r="AD99" s="39">
        <f t="shared" si="13"/>
        <v>216.77250000089407</v>
      </c>
      <c r="AE99" s="39">
        <f t="shared" si="13"/>
        <v>238.10250000096858</v>
      </c>
      <c r="AF99" s="39">
        <f t="shared" si="13"/>
        <v>315.99440000019968</v>
      </c>
      <c r="AG99" s="39">
        <f t="shared" si="13"/>
        <v>364.85309999994934</v>
      </c>
      <c r="AH99" s="39">
        <f t="shared" si="13"/>
        <v>19467.640100000426</v>
      </c>
      <c r="AI99" s="39">
        <f t="shared" si="13"/>
        <v>18015.957100000232</v>
      </c>
      <c r="AJ99" s="39">
        <f t="shared" si="13"/>
        <v>-152873.51970400102</v>
      </c>
      <c r="AK99" s="39">
        <f t="shared" si="13"/>
        <v>27335.805296003819</v>
      </c>
      <c r="AL99" s="39">
        <f t="shared" si="13"/>
        <v>25148.89759600535</v>
      </c>
      <c r="AM99" s="39">
        <f t="shared" si="13"/>
        <v>53952.810855999589</v>
      </c>
      <c r="AN99" s="39">
        <f t="shared" si="13"/>
        <v>-73254.011793993413</v>
      </c>
      <c r="AO99" s="39">
        <f t="shared" si="13"/>
        <v>59998.144306000322</v>
      </c>
      <c r="AP99" s="39">
        <f t="shared" si="13"/>
        <v>18403.882305998355</v>
      </c>
      <c r="AQ99" s="39">
        <f t="shared" si="13"/>
        <v>67026.111706018448</v>
      </c>
      <c r="AR99" s="39">
        <f t="shared" si="13"/>
        <v>-136555.961744003</v>
      </c>
      <c r="AS99" s="39">
        <f t="shared" si="13"/>
        <v>72050.815656006336</v>
      </c>
      <c r="AT99" s="39">
        <f t="shared" si="13"/>
        <v>-32850.651093997061</v>
      </c>
      <c r="AU99" s="39">
        <f t="shared" si="13"/>
        <v>1267219.3449560031</v>
      </c>
      <c r="AV99" s="39">
        <f t="shared" si="13"/>
        <v>1273660.4096559882</v>
      </c>
      <c r="AW99" s="39">
        <f t="shared" si="13"/>
        <v>1262997.7051559985</v>
      </c>
      <c r="AX99" s="39">
        <f t="shared" si="13"/>
        <v>1231462.5123060122</v>
      </c>
      <c r="AY99" s="39">
        <f t="shared" si="13"/>
        <v>1236166.0947560146</v>
      </c>
      <c r="AZ99" s="39">
        <f t="shared" si="13"/>
        <v>1236267.0497560054</v>
      </c>
      <c r="BA99" s="39">
        <f t="shared" si="13"/>
        <v>1234905.3097560182</v>
      </c>
      <c r="BB99" s="39">
        <f t="shared" si="13"/>
        <v>1238079.6516060159</v>
      </c>
      <c r="BC99" s="39">
        <f t="shared" si="13"/>
        <v>674544.61925600469</v>
      </c>
      <c r="BD99" s="39">
        <f t="shared" si="13"/>
        <v>665533.79695601016</v>
      </c>
      <c r="BE99" s="39">
        <f t="shared" si="13"/>
        <v>1595106.6662060097</v>
      </c>
      <c r="BF99" s="39">
        <f t="shared" si="13"/>
        <v>1685273.2158560157</v>
      </c>
      <c r="BG99" s="39">
        <f t="shared" si="13"/>
        <v>1697171.7388868853</v>
      </c>
      <c r="BH99" s="39">
        <f t="shared" si="13"/>
        <v>1378822.5562568754</v>
      </c>
      <c r="BI99" s="39">
        <f t="shared" ref="BI99:CB99" si="14">BI74-SUM(BI89,BI97)</f>
        <v>344423.46585687995</v>
      </c>
      <c r="BJ99" s="39">
        <f t="shared" si="14"/>
        <v>-2067664.9602231085</v>
      </c>
      <c r="BK99" s="39">
        <f t="shared" si="14"/>
        <v>-3567.5310731083155</v>
      </c>
      <c r="BL99" s="39">
        <f t="shared" si="14"/>
        <v>-243504.56197309494</v>
      </c>
      <c r="BM99" s="39">
        <f t="shared" si="14"/>
        <v>832867.50908689201</v>
      </c>
      <c r="BN99" s="39">
        <f t="shared" si="14"/>
        <v>1394992.3843235821</v>
      </c>
      <c r="BO99" s="39">
        <f t="shared" si="14"/>
        <v>1052743.3473635763</v>
      </c>
      <c r="BP99" s="39">
        <f t="shared" si="14"/>
        <v>728089.51445756853</v>
      </c>
      <c r="BQ99" s="39">
        <f>BQ74-SUM(BQ89,BQ97)</f>
        <v>728089.51445755363</v>
      </c>
      <c r="BR99" s="39">
        <f t="shared" si="14"/>
        <v>728089.51445755363</v>
      </c>
      <c r="BS99" s="39">
        <f t="shared" si="14"/>
        <v>728089.51445756853</v>
      </c>
      <c r="BT99" s="39">
        <f t="shared" si="14"/>
        <v>728089.51445759833</v>
      </c>
      <c r="BU99" s="39">
        <f t="shared" si="14"/>
        <v>728089.51445758343</v>
      </c>
      <c r="BV99" s="39">
        <f t="shared" si="14"/>
        <v>728089.51445755363</v>
      </c>
      <c r="BW99" s="39">
        <f t="shared" si="14"/>
        <v>728089.51445758343</v>
      </c>
      <c r="BX99" s="39">
        <f t="shared" si="14"/>
        <v>728089.51445758343</v>
      </c>
      <c r="BY99" s="39">
        <f t="shared" si="14"/>
        <v>728089.51445761323</v>
      </c>
      <c r="BZ99" s="39">
        <f t="shared" si="14"/>
        <v>728089.51445755363</v>
      </c>
      <c r="CA99" s="39">
        <f t="shared" si="14"/>
        <v>728089.51445758343</v>
      </c>
      <c r="CB99" s="39">
        <f t="shared" si="14"/>
        <v>728089.51445758343</v>
      </c>
    </row>
    <row r="100" spans="2:80" ht="10.15" x14ac:dyDescent="0.3"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</row>
    <row r="101" spans="2:80" ht="10.15" x14ac:dyDescent="0.3">
      <c r="BD101" s="28"/>
      <c r="BL101" s="28"/>
      <c r="BM101" s="28"/>
      <c r="BN101" s="28"/>
      <c r="BO101" s="28"/>
      <c r="BP101" s="28"/>
    </row>
    <row r="102" spans="2:80" ht="10.15" x14ac:dyDescent="0.3">
      <c r="B102" s="25" t="s">
        <v>73</v>
      </c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</row>
    <row r="103" spans="2:80" ht="10.15" x14ac:dyDescent="0.3"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J103" s="28"/>
      <c r="BM103" s="28"/>
    </row>
    <row r="104" spans="2:80" ht="10.15" x14ac:dyDescent="0.3">
      <c r="B104" s="2" t="s">
        <v>48</v>
      </c>
      <c r="C104" s="2"/>
      <c r="D104" s="2"/>
      <c r="E104" s="2"/>
      <c r="F104" s="2"/>
      <c r="G104" s="2"/>
      <c r="H104" s="2"/>
      <c r="I104" s="16" t="s">
        <v>0</v>
      </c>
      <c r="J104" s="2"/>
      <c r="K104" s="2"/>
      <c r="L104" s="2"/>
      <c r="M104" s="2"/>
      <c r="N104" s="2"/>
      <c r="O104" s="2"/>
      <c r="P104" s="2"/>
      <c r="Q104" s="2"/>
      <c r="R104" s="41">
        <v>255894.30189999993</v>
      </c>
      <c r="S104" s="41">
        <v>34274.700603061821</v>
      </c>
      <c r="T104" s="41">
        <v>-2847589.6000000015</v>
      </c>
      <c r="U104" s="41">
        <v>-5448950.5000000019</v>
      </c>
      <c r="V104" s="41">
        <v>-2842306.0588754313</v>
      </c>
      <c r="W104" s="2"/>
      <c r="X104" s="41"/>
      <c r="Y104" s="41"/>
      <c r="Z104" s="41"/>
      <c r="AA104" s="41"/>
      <c r="AB104" s="41"/>
      <c r="AC104" s="41"/>
      <c r="AD104" s="41">
        <v>-42524.369999999995</v>
      </c>
      <c r="AE104" s="41">
        <v>-744.79000000000701</v>
      </c>
      <c r="AF104" s="41">
        <v>299163.46189999994</v>
      </c>
      <c r="AG104" s="41">
        <v>77826.18000000008</v>
      </c>
      <c r="AH104" s="41">
        <v>109288.48000000001</v>
      </c>
      <c r="AI104" s="41">
        <v>-127772.24536916435</v>
      </c>
      <c r="AJ104" s="41">
        <v>139196.28</v>
      </c>
      <c r="AK104" s="41">
        <v>-74044.070000002772</v>
      </c>
      <c r="AL104" s="41">
        <v>33771.950000004901</v>
      </c>
      <c r="AM104" s="41">
        <v>10900.049583333701</v>
      </c>
      <c r="AN104" s="41">
        <v>184510.57152777837</v>
      </c>
      <c r="AO104" s="41">
        <v>-126540.15513888889</v>
      </c>
      <c r="AP104" s="41">
        <v>-14765.149999999718</v>
      </c>
      <c r="AQ104" s="41">
        <v>403864.39999999962</v>
      </c>
      <c r="AR104" s="41">
        <v>-581961.58999999915</v>
      </c>
      <c r="AS104" s="41">
        <v>-234687.13999999996</v>
      </c>
      <c r="AT104" s="41">
        <v>-76407.569999999992</v>
      </c>
      <c r="AU104" s="41">
        <v>91659.819999998173</v>
      </c>
      <c r="AV104" s="41">
        <v>-305028.78999999969</v>
      </c>
      <c r="AW104" s="41">
        <v>-158187.56000000038</v>
      </c>
      <c r="AX104" s="41">
        <v>-69316.909999999683</v>
      </c>
      <c r="AY104" s="41">
        <v>45239.710000000217</v>
      </c>
      <c r="AZ104" s="41">
        <v>-435010.75999999972</v>
      </c>
      <c r="BA104" s="41">
        <v>-528886.94000000018</v>
      </c>
      <c r="BB104" s="41">
        <v>-700355.68999999983</v>
      </c>
      <c r="BC104" s="41">
        <v>-263394.65000000014</v>
      </c>
      <c r="BD104" s="41">
        <v>-213213.12000000032</v>
      </c>
      <c r="BE104" s="41">
        <v>-343106.02000000048</v>
      </c>
      <c r="BF104" s="41">
        <v>-262256.75999999919</v>
      </c>
      <c r="BG104" s="41">
        <v>-85791.49000000034</v>
      </c>
      <c r="BH104" s="41">
        <v>-401786.81000000116</v>
      </c>
      <c r="BI104" s="41">
        <v>-316327.40999999951</v>
      </c>
      <c r="BJ104" s="41">
        <v>-646067.47000000032</v>
      </c>
      <c r="BK104" s="41">
        <v>485985.45999999973</v>
      </c>
      <c r="BL104" s="41">
        <v>-998580.8800000007</v>
      </c>
      <c r="BM104" s="41">
        <v>-970044.42000000109</v>
      </c>
      <c r="BN104" s="41">
        <v>-952826.77000000048</v>
      </c>
      <c r="BO104" s="41">
        <v>-762124.19999999949</v>
      </c>
      <c r="BP104" s="41">
        <v>-196023.72999999943</v>
      </c>
      <c r="BQ104" s="41">
        <v>-437227.58747941902</v>
      </c>
      <c r="BR104" s="41">
        <v>-529736.62666699127</v>
      </c>
      <c r="BS104" s="41">
        <v>-755659.56636016886</v>
      </c>
      <c r="BT104" s="41">
        <v>6825.6213933781964</v>
      </c>
      <c r="BU104" s="41">
        <v>222506.50580895535</v>
      </c>
      <c r="BV104" s="41">
        <v>340699.2079071257</v>
      </c>
      <c r="BW104" s="41">
        <v>40879.069757636709</v>
      </c>
      <c r="BX104" s="41">
        <v>245869.42057612204</v>
      </c>
      <c r="BY104" s="41">
        <v>-462441.8094747765</v>
      </c>
      <c r="BZ104" s="41">
        <v>-619403.78418119822</v>
      </c>
      <c r="CA104" s="41">
        <v>-302282.93344944064</v>
      </c>
      <c r="CB104" s="41">
        <v>-592333.57670665497</v>
      </c>
    </row>
    <row r="105" spans="2:80" ht="10.15" x14ac:dyDescent="0.3">
      <c r="B105" s="43" t="s">
        <v>74</v>
      </c>
      <c r="BA105" s="28">
        <v>0</v>
      </c>
      <c r="BJ105" s="28">
        <v>73991.16</v>
      </c>
      <c r="BM105" s="28"/>
      <c r="BP105" s="28"/>
    </row>
    <row r="106" spans="2:80" ht="10.15" x14ac:dyDescent="0.3">
      <c r="B106" s="1" t="s">
        <v>75</v>
      </c>
      <c r="I106" s="15" t="s">
        <v>0</v>
      </c>
      <c r="R106" s="28">
        <v>3031.6099999999997</v>
      </c>
      <c r="S106" s="46">
        <v>52413.214027777773</v>
      </c>
      <c r="T106" s="28">
        <v>88776.89</v>
      </c>
      <c r="U106" s="28">
        <v>123740.05000000002</v>
      </c>
      <c r="V106" s="28">
        <v>175392.95316326534</v>
      </c>
      <c r="X106" s="28"/>
      <c r="Y106" s="28"/>
      <c r="Z106" s="28"/>
      <c r="AA106" s="28"/>
      <c r="AB106" s="28"/>
      <c r="AC106" s="28"/>
      <c r="AD106" s="28">
        <v>229.31</v>
      </c>
      <c r="AE106" s="28">
        <v>963.47</v>
      </c>
      <c r="AF106" s="28">
        <v>1838.83</v>
      </c>
      <c r="AG106" s="28">
        <v>1976.44</v>
      </c>
      <c r="AH106" s="28">
        <v>1976.44</v>
      </c>
      <c r="AI106" s="28">
        <v>2925.5499999999997</v>
      </c>
      <c r="AJ106" s="28">
        <v>3143.7000000000007</v>
      </c>
      <c r="AK106" s="28">
        <v>4720.2700000000004</v>
      </c>
      <c r="AL106" s="28">
        <v>4795.09</v>
      </c>
      <c r="AM106" s="28">
        <v>5179.1104166666673</v>
      </c>
      <c r="AN106" s="28">
        <v>5271.9484722222232</v>
      </c>
      <c r="AO106" s="28">
        <v>5398.6151388888902</v>
      </c>
      <c r="AP106" s="28">
        <v>5563.3600000000006</v>
      </c>
      <c r="AQ106" s="28">
        <v>5707.81</v>
      </c>
      <c r="AR106" s="28">
        <v>5754.88</v>
      </c>
      <c r="AS106" s="28">
        <v>6000.35</v>
      </c>
      <c r="AT106" s="28">
        <v>6347.16</v>
      </c>
      <c r="AU106" s="28">
        <v>6736.65</v>
      </c>
      <c r="AV106" s="28">
        <v>6736.65</v>
      </c>
      <c r="AW106" s="28">
        <v>6736.65</v>
      </c>
      <c r="AX106" s="28">
        <v>6736.65</v>
      </c>
      <c r="AY106" s="28">
        <v>7334.85</v>
      </c>
      <c r="AZ106" s="28">
        <v>8623.0999999999985</v>
      </c>
      <c r="BA106" s="28">
        <v>8533.2099999999991</v>
      </c>
      <c r="BB106" s="28">
        <v>8623.61</v>
      </c>
      <c r="BC106" s="28">
        <v>7889.45</v>
      </c>
      <c r="BD106" s="28">
        <v>8478.56</v>
      </c>
      <c r="BE106" s="28">
        <v>7611.42</v>
      </c>
      <c r="BF106" s="28">
        <v>7611.62</v>
      </c>
      <c r="BG106" s="28">
        <v>7344.9400000000005</v>
      </c>
      <c r="BH106" s="28">
        <v>8101.59</v>
      </c>
      <c r="BI106" s="28">
        <v>7497.24</v>
      </c>
      <c r="BJ106" s="28">
        <v>7870.34</v>
      </c>
      <c r="BK106" s="28">
        <v>11250.400000000001</v>
      </c>
      <c r="BL106" s="28">
        <v>11932.21</v>
      </c>
      <c r="BM106" s="28">
        <v>12213.52</v>
      </c>
      <c r="BN106" s="28">
        <v>13171.779999999999</v>
      </c>
      <c r="BO106" s="28">
        <v>14427.880000000001</v>
      </c>
      <c r="BP106" s="28">
        <v>14707.11</v>
      </c>
      <c r="BQ106" s="28">
        <v>12686.048622448981</v>
      </c>
      <c r="BR106" s="28">
        <v>13067.634770408165</v>
      </c>
      <c r="BS106" s="28">
        <v>13434.43841836735</v>
      </c>
      <c r="BT106" s="28">
        <v>13716.397423469391</v>
      </c>
      <c r="BU106" s="28">
        <v>14224.412142857145</v>
      </c>
      <c r="BV106" s="28">
        <v>14522.023290816331</v>
      </c>
      <c r="BW106" s="28">
        <v>14732.770867346942</v>
      </c>
      <c r="BX106" s="28">
        <v>14906.931301020413</v>
      </c>
      <c r="BY106" s="28">
        <v>15414.94602040817</v>
      </c>
      <c r="BZ106" s="28">
        <v>15922.960739795924</v>
      </c>
      <c r="CA106" s="28">
        <v>16430.975459183679</v>
      </c>
      <c r="CB106" s="28">
        <v>16333.414107142864</v>
      </c>
    </row>
    <row r="107" spans="2:80" ht="10.15" x14ac:dyDescent="0.3">
      <c r="B107" s="1" t="s">
        <v>76</v>
      </c>
      <c r="I107" s="15" t="s">
        <v>0</v>
      </c>
      <c r="R107" s="28">
        <v>-403973.86190000002</v>
      </c>
      <c r="S107" s="46">
        <v>-4619458.0838560006</v>
      </c>
      <c r="T107" s="28">
        <v>-7265470.0086999983</v>
      </c>
      <c r="U107" s="28">
        <v>-16391958.038294002</v>
      </c>
      <c r="V107" s="28">
        <v>-33922953</v>
      </c>
      <c r="X107" s="28"/>
      <c r="Y107" s="28"/>
      <c r="Z107" s="28"/>
      <c r="AA107" s="28"/>
      <c r="AB107" s="28"/>
      <c r="AC107" s="28"/>
      <c r="AD107" s="46">
        <v>-100408</v>
      </c>
      <c r="AE107" s="46">
        <v>-102388.45</v>
      </c>
      <c r="AF107" s="46">
        <v>-201177.41189999998</v>
      </c>
      <c r="AG107" s="46">
        <v>-214247.13870000001</v>
      </c>
      <c r="AH107" s="46">
        <v>-259787.26699999996</v>
      </c>
      <c r="AI107" s="46">
        <v>-206329.59700000001</v>
      </c>
      <c r="AJ107" s="46">
        <v>-162843.25319600001</v>
      </c>
      <c r="AK107" s="46">
        <v>-298894.27500000002</v>
      </c>
      <c r="AL107" s="46">
        <v>-397440.28230000002</v>
      </c>
      <c r="AM107" s="46">
        <v>-311928.18326000002</v>
      </c>
      <c r="AN107" s="46">
        <v>-421032.85735000001</v>
      </c>
      <c r="AO107" s="46">
        <v>-431596.82610000001</v>
      </c>
      <c r="AP107" s="46">
        <v>-301420.598</v>
      </c>
      <c r="AQ107" s="46">
        <v>-714377.68940000003</v>
      </c>
      <c r="AR107" s="46">
        <v>-899560.11655000004</v>
      </c>
      <c r="AS107" s="46">
        <v>-283941.1974</v>
      </c>
      <c r="AT107" s="46">
        <v>-398600.62325</v>
      </c>
      <c r="AU107" s="46">
        <v>-863535.38605000009</v>
      </c>
      <c r="AV107" s="46">
        <v>-373727.27470000001</v>
      </c>
      <c r="AW107" s="46">
        <v>-691440.47549999994</v>
      </c>
      <c r="AX107" s="46">
        <v>-714031.95715000003</v>
      </c>
      <c r="AY107" s="46">
        <v>-739733.38245000003</v>
      </c>
      <c r="AZ107" s="46">
        <v>-504262.57499999995</v>
      </c>
      <c r="BA107" s="46">
        <v>-408072.54999999993</v>
      </c>
      <c r="BB107" s="46">
        <v>-437685.83184999996</v>
      </c>
      <c r="BC107" s="46">
        <v>-788571.59765000013</v>
      </c>
      <c r="BD107" s="46">
        <v>-1061867.1576999999</v>
      </c>
      <c r="BE107" s="46">
        <v>-822187.42925000004</v>
      </c>
      <c r="BF107" s="46">
        <v>-1042179.9496499998</v>
      </c>
      <c r="BG107" s="46">
        <v>-1275677.0847700001</v>
      </c>
      <c r="BH107" s="46">
        <v>-995909.37736999989</v>
      </c>
      <c r="BI107" s="46">
        <v>-1274657.5396000003</v>
      </c>
      <c r="BJ107" s="46">
        <v>-1088003.92392</v>
      </c>
      <c r="BK107" s="46">
        <v>-2462650.0791499997</v>
      </c>
      <c r="BL107" s="46">
        <v>-750280.33909999998</v>
      </c>
      <c r="BM107" s="46">
        <v>-1010668.13106</v>
      </c>
      <c r="BN107" s="46">
        <v>-1691407.1342900002</v>
      </c>
      <c r="BO107" s="46">
        <v>-2078931.7630399999</v>
      </c>
      <c r="BP107" s="46">
        <v>-1899405.2870939998</v>
      </c>
      <c r="BQ107" s="46">
        <v>-1808730</v>
      </c>
      <c r="BR107" s="46">
        <v>-1855710</v>
      </c>
      <c r="BS107" s="46">
        <v>-1912086</v>
      </c>
      <c r="BT107" s="46">
        <v>-2809404</v>
      </c>
      <c r="BU107" s="46">
        <v>-2922156</v>
      </c>
      <c r="BV107" s="46">
        <v>-3467124</v>
      </c>
      <c r="BW107" s="46">
        <v>-3467124</v>
      </c>
      <c r="BX107" s="46">
        <v>-3467124</v>
      </c>
      <c r="BY107" s="46">
        <v>-3065445</v>
      </c>
      <c r="BZ107" s="46">
        <v>-3039345</v>
      </c>
      <c r="CA107" s="46">
        <v>-3000195</v>
      </c>
      <c r="CB107" s="46">
        <v>-3108510</v>
      </c>
    </row>
    <row r="108" spans="2:80" ht="10.15" x14ac:dyDescent="0.3">
      <c r="B108" s="1" t="s">
        <v>77</v>
      </c>
      <c r="I108" s="15" t="s">
        <v>0</v>
      </c>
      <c r="R108" s="28">
        <v>326561.50254214893</v>
      </c>
      <c r="S108" s="46">
        <v>2777417.6692807931</v>
      </c>
      <c r="T108" s="28">
        <v>5637870.4044068549</v>
      </c>
      <c r="U108" s="28">
        <v>13860480.907988377</v>
      </c>
      <c r="V108" s="28">
        <v>27645388.531514347</v>
      </c>
      <c r="X108" s="28"/>
      <c r="Y108" s="28"/>
      <c r="Z108" s="28"/>
      <c r="AA108" s="28"/>
      <c r="AB108" s="28"/>
      <c r="AC108" s="28"/>
      <c r="AD108" s="46">
        <v>72055.70451189499</v>
      </c>
      <c r="AE108" s="46">
        <v>119213.53917097396</v>
      </c>
      <c r="AF108" s="46">
        <v>135292.25885928</v>
      </c>
      <c r="AG108" s="46">
        <v>65076.357133340687</v>
      </c>
      <c r="AH108" s="46">
        <v>46680.670303844221</v>
      </c>
      <c r="AI108" s="46">
        <v>197363.41730185031</v>
      </c>
      <c r="AJ108" s="46">
        <v>141620.82465656108</v>
      </c>
      <c r="AK108" s="46">
        <v>274941.61862861307</v>
      </c>
      <c r="AL108" s="46">
        <v>144389.86452797533</v>
      </c>
      <c r="AM108" s="46">
        <v>46951.727474400366</v>
      </c>
      <c r="AN108" s="46">
        <v>304955.46586091531</v>
      </c>
      <c r="AO108" s="46">
        <v>325696.67988561461</v>
      </c>
      <c r="AP108" s="46">
        <v>398729.10663161887</v>
      </c>
      <c r="AQ108" s="46">
        <v>210941.20025915426</v>
      </c>
      <c r="AR108" s="46">
        <v>620070.73661690473</v>
      </c>
      <c r="AS108" s="46">
        <v>257832.3825223415</v>
      </c>
      <c r="AT108" s="46">
        <v>436162.08072820865</v>
      </c>
      <c r="AU108" s="46">
        <v>400492.35236466239</v>
      </c>
      <c r="AV108" s="46">
        <v>223080.21622350172</v>
      </c>
      <c r="AW108" s="46">
        <v>771872.80542433436</v>
      </c>
      <c r="AX108" s="46">
        <v>397388.06495122332</v>
      </c>
      <c r="AY108" s="46">
        <v>449279.94635204191</v>
      </c>
      <c r="AZ108" s="46">
        <v>302603.5788822223</v>
      </c>
      <c r="BA108" s="46">
        <v>572510.80868367804</v>
      </c>
      <c r="BB108" s="46">
        <v>461123.4769839514</v>
      </c>
      <c r="BC108" s="46">
        <v>578671.90684970166</v>
      </c>
      <c r="BD108" s="46">
        <v>786852.78444098728</v>
      </c>
      <c r="BE108" s="46">
        <v>643796.77543689159</v>
      </c>
      <c r="BF108" s="46">
        <v>496190.69047413708</v>
      </c>
      <c r="BG108" s="46">
        <v>745961.37527555111</v>
      </c>
      <c r="BH108" s="46">
        <v>1174339.0191242895</v>
      </c>
      <c r="BI108" s="46">
        <v>1128297.2827727022</v>
      </c>
      <c r="BJ108" s="46">
        <v>1351729.5171533951</v>
      </c>
      <c r="BK108" s="46">
        <v>1227707.1715834432</v>
      </c>
      <c r="BL108" s="46">
        <v>1142475.3559750472</v>
      </c>
      <c r="BM108" s="46">
        <v>1346715.3857513645</v>
      </c>
      <c r="BN108" s="46">
        <v>1487739.3410378839</v>
      </c>
      <c r="BO108" s="46">
        <v>1529532.1501402021</v>
      </c>
      <c r="BP108" s="46">
        <v>1585996.8432634699</v>
      </c>
      <c r="BQ108" s="46">
        <v>1566589.8072095495</v>
      </c>
      <c r="BR108" s="46">
        <v>1144137.6968696143</v>
      </c>
      <c r="BS108" s="46">
        <v>1915359.5645778726</v>
      </c>
      <c r="BT108" s="46">
        <v>1663456.4828548599</v>
      </c>
      <c r="BU108" s="46">
        <v>2026058.5794422484</v>
      </c>
      <c r="BV108" s="46">
        <v>2233888.374074515</v>
      </c>
      <c r="BW108" s="46">
        <v>2416780.683922342</v>
      </c>
      <c r="BX108" s="46">
        <v>2653485.4592930567</v>
      </c>
      <c r="BY108" s="46">
        <v>2808821.3338789358</v>
      </c>
      <c r="BZ108" s="46">
        <v>3013890.4116301434</v>
      </c>
      <c r="CA108" s="46">
        <v>3081957.1399224717</v>
      </c>
      <c r="CB108" s="46">
        <v>3120962.997838737</v>
      </c>
    </row>
    <row r="109" spans="2:80" ht="10.15" x14ac:dyDescent="0.3">
      <c r="B109" s="1" t="s">
        <v>78</v>
      </c>
      <c r="I109" s="15" t="s">
        <v>0</v>
      </c>
      <c r="R109" s="28">
        <v>0</v>
      </c>
      <c r="S109" s="46">
        <v>0</v>
      </c>
      <c r="T109" s="28">
        <v>0</v>
      </c>
      <c r="U109" s="28">
        <v>119666.66</v>
      </c>
      <c r="V109" s="28">
        <v>2655969.7901000981</v>
      </c>
      <c r="X109" s="28"/>
      <c r="Y109" s="28"/>
      <c r="Z109" s="28"/>
      <c r="AA109" s="28"/>
      <c r="AB109" s="28"/>
      <c r="AC109" s="28"/>
      <c r="AD109" s="46">
        <v>0</v>
      </c>
      <c r="AE109" s="46">
        <v>0</v>
      </c>
      <c r="AF109" s="46">
        <v>0</v>
      </c>
      <c r="AG109" s="46">
        <v>0</v>
      </c>
      <c r="AH109" s="46">
        <v>0</v>
      </c>
      <c r="AI109" s="46">
        <v>0</v>
      </c>
      <c r="AJ109" s="46">
        <v>0</v>
      </c>
      <c r="AK109" s="46">
        <v>0</v>
      </c>
      <c r="AL109" s="46">
        <v>0</v>
      </c>
      <c r="AM109" s="46">
        <v>0</v>
      </c>
      <c r="AN109" s="46">
        <v>0</v>
      </c>
      <c r="AO109" s="46">
        <v>0</v>
      </c>
      <c r="AP109" s="46">
        <v>0</v>
      </c>
      <c r="AQ109" s="46">
        <v>0</v>
      </c>
      <c r="AR109" s="46">
        <v>0</v>
      </c>
      <c r="AS109" s="46">
        <v>0</v>
      </c>
      <c r="AT109" s="46">
        <v>0</v>
      </c>
      <c r="AU109" s="46">
        <v>0</v>
      </c>
      <c r="AV109" s="46">
        <v>0</v>
      </c>
      <c r="AW109" s="46">
        <v>0</v>
      </c>
      <c r="AX109" s="46">
        <v>0</v>
      </c>
      <c r="AY109" s="46">
        <v>0</v>
      </c>
      <c r="AZ109" s="46">
        <v>0</v>
      </c>
      <c r="BA109" s="46">
        <v>0</v>
      </c>
      <c r="BB109" s="46">
        <v>0</v>
      </c>
      <c r="BC109" s="46">
        <v>0</v>
      </c>
      <c r="BD109" s="46">
        <v>0</v>
      </c>
      <c r="BE109" s="46">
        <v>0</v>
      </c>
      <c r="BF109" s="46">
        <v>0</v>
      </c>
      <c r="BG109" s="46">
        <v>0</v>
      </c>
      <c r="BH109" s="46">
        <v>0</v>
      </c>
      <c r="BI109" s="46">
        <v>0</v>
      </c>
      <c r="BJ109" s="46">
        <v>0</v>
      </c>
      <c r="BK109" s="46">
        <v>0</v>
      </c>
      <c r="BL109" s="46">
        <v>0</v>
      </c>
      <c r="BM109" s="46">
        <v>0</v>
      </c>
      <c r="BN109" s="46">
        <v>0</v>
      </c>
      <c r="BO109" s="46">
        <v>0</v>
      </c>
      <c r="BP109" s="46">
        <v>119666.66</v>
      </c>
      <c r="BQ109" s="46">
        <v>54166.666666666672</v>
      </c>
      <c r="BR109" s="46">
        <v>162500</v>
      </c>
      <c r="BS109" s="46">
        <v>189583.33333333334</v>
      </c>
      <c r="BT109" s="46">
        <v>244630.20833333337</v>
      </c>
      <c r="BU109" s="46">
        <v>246390.625</v>
      </c>
      <c r="BV109" s="46">
        <v>246830.72916666669</v>
      </c>
      <c r="BW109" s="46">
        <v>248605.44921875</v>
      </c>
      <c r="BX109" s="46">
        <v>250394.47265625</v>
      </c>
      <c r="BY109" s="46">
        <v>250841.728515625</v>
      </c>
      <c r="BZ109" s="46">
        <v>252645.2877685547</v>
      </c>
      <c r="CA109" s="46">
        <v>254463.38283691407</v>
      </c>
      <c r="CB109" s="46">
        <v>254917.90660400392</v>
      </c>
    </row>
    <row r="110" spans="2:80" ht="10.15" x14ac:dyDescent="0.3">
      <c r="B110" s="1" t="s">
        <v>79</v>
      </c>
      <c r="I110" s="15" t="s">
        <v>0</v>
      </c>
      <c r="R110" s="28">
        <v>0</v>
      </c>
      <c r="S110" s="46">
        <v>203000</v>
      </c>
      <c r="T110" s="28">
        <v>203011.78</v>
      </c>
      <c r="U110" s="28">
        <v>2044437.4100000001</v>
      </c>
      <c r="V110" s="28">
        <v>0</v>
      </c>
      <c r="X110" s="28"/>
      <c r="Y110" s="28"/>
      <c r="Z110" s="28"/>
      <c r="AA110" s="28"/>
      <c r="AB110" s="28"/>
      <c r="AC110" s="28"/>
      <c r="AD110" s="28">
        <v>0</v>
      </c>
      <c r="AE110" s="28">
        <v>0</v>
      </c>
      <c r="AF110" s="28">
        <v>0</v>
      </c>
      <c r="AG110" s="28">
        <v>0</v>
      </c>
      <c r="AH110" s="28">
        <v>0</v>
      </c>
      <c r="AI110" s="28">
        <v>0</v>
      </c>
      <c r="AJ110" s="28">
        <v>0</v>
      </c>
      <c r="AK110" s="28">
        <v>0</v>
      </c>
      <c r="AL110" s="28">
        <v>0</v>
      </c>
      <c r="AM110" s="28">
        <v>0</v>
      </c>
      <c r="AN110" s="28">
        <v>0</v>
      </c>
      <c r="AO110" s="28">
        <v>0</v>
      </c>
      <c r="AP110" s="28">
        <v>0</v>
      </c>
      <c r="AQ110" s="28">
        <v>0</v>
      </c>
      <c r="AR110" s="28">
        <v>203000</v>
      </c>
      <c r="AS110" s="28">
        <v>0</v>
      </c>
      <c r="AT110" s="28">
        <v>0</v>
      </c>
      <c r="AU110" s="28">
        <v>0</v>
      </c>
      <c r="AV110" s="28">
        <v>0</v>
      </c>
      <c r="AW110" s="28">
        <v>0</v>
      </c>
      <c r="AX110" s="28">
        <v>0</v>
      </c>
      <c r="AY110" s="28">
        <v>0</v>
      </c>
      <c r="AZ110" s="28">
        <v>0</v>
      </c>
      <c r="BA110" s="28">
        <v>0</v>
      </c>
      <c r="BB110" s="28">
        <v>0</v>
      </c>
      <c r="BC110" s="28">
        <v>0</v>
      </c>
      <c r="BD110" s="28">
        <v>203011.78</v>
      </c>
      <c r="BE110" s="28">
        <v>25000</v>
      </c>
      <c r="BF110" s="28">
        <v>25000</v>
      </c>
      <c r="BG110" s="28">
        <v>25000</v>
      </c>
      <c r="BH110" s="28">
        <v>25000</v>
      </c>
      <c r="BI110" s="28">
        <v>23991.16</v>
      </c>
      <c r="BJ110" s="28">
        <v>25000</v>
      </c>
      <c r="BK110" s="28">
        <v>25000</v>
      </c>
      <c r="BL110" s="28">
        <v>25000</v>
      </c>
      <c r="BM110" s="28">
        <v>25000</v>
      </c>
      <c r="BN110" s="28">
        <v>437283.39</v>
      </c>
      <c r="BO110" s="28">
        <v>857099.96</v>
      </c>
      <c r="BP110" s="28">
        <v>526062.9</v>
      </c>
      <c r="BQ110" s="28">
        <v>0</v>
      </c>
      <c r="BR110" s="28">
        <v>0</v>
      </c>
      <c r="BS110" s="28">
        <v>0</v>
      </c>
      <c r="BT110" s="28">
        <v>0</v>
      </c>
      <c r="BU110" s="28">
        <v>0</v>
      </c>
      <c r="BV110" s="28">
        <v>0</v>
      </c>
      <c r="BW110" s="28">
        <v>0</v>
      </c>
      <c r="BX110" s="28">
        <v>0</v>
      </c>
      <c r="BY110" s="28">
        <v>0</v>
      </c>
      <c r="BZ110" s="28">
        <v>0</v>
      </c>
      <c r="CA110" s="28">
        <v>0</v>
      </c>
      <c r="CB110" s="28">
        <v>0</v>
      </c>
    </row>
    <row r="111" spans="2:80" ht="10.15" x14ac:dyDescent="0.3">
      <c r="B111" s="43" t="s">
        <v>80</v>
      </c>
      <c r="BA111" s="28">
        <v>50480626.303867787</v>
      </c>
      <c r="BJ111" s="28">
        <v>36269371.580949612</v>
      </c>
      <c r="BM111" s="28"/>
    </row>
    <row r="112" spans="2:80" ht="10.35" customHeight="1" x14ac:dyDescent="0.3">
      <c r="C112" s="1" t="s">
        <v>81</v>
      </c>
      <c r="I112" s="15" t="s">
        <v>0</v>
      </c>
      <c r="R112" s="28">
        <v>-228989.78999999998</v>
      </c>
      <c r="S112" s="28">
        <v>27758.080000000075</v>
      </c>
      <c r="T112" s="28">
        <v>-1106191.2700000003</v>
      </c>
      <c r="U112" s="28">
        <v>-15545577.600000001</v>
      </c>
      <c r="V112" s="28">
        <v>3271543.6500000022</v>
      </c>
      <c r="X112" s="28"/>
      <c r="Y112" s="28"/>
      <c r="Z112" s="28"/>
      <c r="AA112" s="28"/>
      <c r="AB112" s="28"/>
      <c r="AC112" s="28"/>
      <c r="AD112" s="28">
        <v>-220758.34000000003</v>
      </c>
      <c r="AE112" s="28">
        <v>-235968.26</v>
      </c>
      <c r="AF112" s="28">
        <v>227736.81000000006</v>
      </c>
      <c r="AG112" s="28">
        <v>-211618.42999999993</v>
      </c>
      <c r="AH112" s="28">
        <v>-699066.81</v>
      </c>
      <c r="AI112" s="28">
        <v>1066765.57</v>
      </c>
      <c r="AJ112" s="28">
        <v>-391072.45999999996</v>
      </c>
      <c r="AK112" s="28">
        <v>-610834.80999999994</v>
      </c>
      <c r="AL112" s="28">
        <v>993592.65999999992</v>
      </c>
      <c r="AM112" s="28">
        <v>-535772.88</v>
      </c>
      <c r="AN112" s="28">
        <v>-905360.63</v>
      </c>
      <c r="AO112" s="28">
        <v>1353582.35</v>
      </c>
      <c r="AP112" s="28">
        <v>-605722.31000000006</v>
      </c>
      <c r="AQ112" s="28">
        <v>-1516344.1199999999</v>
      </c>
      <c r="AR112" s="28">
        <v>2089609.95</v>
      </c>
      <c r="AS112" s="28">
        <v>86022.659999999974</v>
      </c>
      <c r="AT112" s="28">
        <v>-77475.989999999991</v>
      </c>
      <c r="AU112" s="28">
        <v>1512177.26</v>
      </c>
      <c r="AV112" s="28">
        <v>-1565627.4500000002</v>
      </c>
      <c r="AW112" s="28">
        <v>-29931.169999999925</v>
      </c>
      <c r="AX112" s="28">
        <v>44660.849999999977</v>
      </c>
      <c r="AY112" s="28">
        <v>-36280.720000000088</v>
      </c>
      <c r="AZ112" s="28">
        <v>-147650.2099999999</v>
      </c>
      <c r="BA112" s="28">
        <v>12622.890000000072</v>
      </c>
      <c r="BB112" s="28">
        <v>-397903.88000000012</v>
      </c>
      <c r="BC112" s="28">
        <v>-483441.38</v>
      </c>
      <c r="BD112" s="28">
        <v>-23364.130000000121</v>
      </c>
      <c r="BE112" s="28">
        <v>-1964104.4099999997</v>
      </c>
      <c r="BF112" s="28">
        <v>1443373.8199999998</v>
      </c>
      <c r="BG112" s="28">
        <v>283907.58000000007</v>
      </c>
      <c r="BH112" s="28">
        <v>-2160069.4099999992</v>
      </c>
      <c r="BI112" s="28">
        <v>-1410969.85</v>
      </c>
      <c r="BJ112" s="28">
        <v>-2916774.2700000005</v>
      </c>
      <c r="BK112" s="28">
        <v>-1040196.9600000018</v>
      </c>
      <c r="BL112" s="28">
        <v>-154242.29999999888</v>
      </c>
      <c r="BM112" s="28">
        <v>-3857690.16</v>
      </c>
      <c r="BN112" s="28">
        <v>260325.01000000164</v>
      </c>
      <c r="BO112" s="28">
        <v>-757593</v>
      </c>
      <c r="BP112" s="28">
        <v>-3271543.6500000022</v>
      </c>
      <c r="BQ112" s="28">
        <v>3271543.6500000022</v>
      </c>
      <c r="BR112" s="28">
        <v>0</v>
      </c>
      <c r="BS112" s="28">
        <v>0</v>
      </c>
      <c r="BT112" s="28">
        <v>0</v>
      </c>
      <c r="BU112" s="28">
        <v>0</v>
      </c>
      <c r="BV112" s="28">
        <v>0</v>
      </c>
      <c r="BW112" s="28">
        <v>0</v>
      </c>
      <c r="BX112" s="28">
        <v>0</v>
      </c>
      <c r="BY112" s="28">
        <v>0</v>
      </c>
      <c r="BZ112" s="28">
        <v>0</v>
      </c>
      <c r="CA112" s="28">
        <v>0</v>
      </c>
      <c r="CB112" s="28">
        <v>0</v>
      </c>
    </row>
    <row r="113" spans="2:80" ht="10.35" customHeight="1" x14ac:dyDescent="0.3">
      <c r="C113" s="1" t="s">
        <v>82</v>
      </c>
      <c r="I113" s="15" t="s">
        <v>0</v>
      </c>
      <c r="R113" s="28">
        <v>21207.209999999905</v>
      </c>
      <c r="S113" s="28">
        <v>1419301.65</v>
      </c>
      <c r="T113" s="28">
        <v>-94129.35999999987</v>
      </c>
      <c r="U113" s="28">
        <v>13742824.949999999</v>
      </c>
      <c r="V113" s="28">
        <v>-2657657.7699999977</v>
      </c>
      <c r="X113" s="28"/>
      <c r="Y113" s="28"/>
      <c r="Z113" s="28"/>
      <c r="AA113" s="28"/>
      <c r="AB113" s="28"/>
      <c r="AC113" s="28"/>
      <c r="AD113" s="28">
        <v>147036.90999999992</v>
      </c>
      <c r="AE113" s="28">
        <v>358174.5</v>
      </c>
      <c r="AF113" s="28">
        <v>-484004.2</v>
      </c>
      <c r="AG113" s="28">
        <v>510198.35000000003</v>
      </c>
      <c r="AH113" s="28">
        <v>688055.57999999984</v>
      </c>
      <c r="AI113" s="28">
        <v>-1066065.1299999999</v>
      </c>
      <c r="AJ113" s="28">
        <v>293379.18000000005</v>
      </c>
      <c r="AK113" s="28">
        <v>1152757.0899999999</v>
      </c>
      <c r="AL113" s="28">
        <v>-987546.37000000023</v>
      </c>
      <c r="AM113" s="28">
        <v>-50045.84999999986</v>
      </c>
      <c r="AN113" s="28">
        <v>604808.63000000024</v>
      </c>
      <c r="AO113" s="28">
        <v>-936504.77</v>
      </c>
      <c r="AP113" s="28">
        <v>599536.96</v>
      </c>
      <c r="AQ113" s="28">
        <v>1429654.75</v>
      </c>
      <c r="AR113" s="28">
        <v>-818926.77</v>
      </c>
      <c r="AS113" s="28">
        <v>-754276.19</v>
      </c>
      <c r="AT113" s="28">
        <v>211867.92999999993</v>
      </c>
      <c r="AU113" s="28">
        <v>-1188777.1499999999</v>
      </c>
      <c r="AV113" s="28">
        <v>1188347.6599999997</v>
      </c>
      <c r="AW113" s="28">
        <v>52124.739999999991</v>
      </c>
      <c r="AX113" s="28">
        <v>1361297.6</v>
      </c>
      <c r="AY113" s="28">
        <v>-983790.99000000022</v>
      </c>
      <c r="AZ113" s="28">
        <v>-81968.049999999814</v>
      </c>
      <c r="BA113" s="28">
        <v>36058.030000000261</v>
      </c>
      <c r="BB113" s="28">
        <v>7752953.9099999992</v>
      </c>
      <c r="BC113" s="28">
        <v>-7941246.209999999</v>
      </c>
      <c r="BD113" s="28">
        <v>253279.35999999987</v>
      </c>
      <c r="BE113" s="28">
        <v>-485262.93999999994</v>
      </c>
      <c r="BF113" s="28">
        <v>664543.0299999998</v>
      </c>
      <c r="BG113" s="28">
        <v>-39948.329999999842</v>
      </c>
      <c r="BH113" s="28">
        <v>1637701.38</v>
      </c>
      <c r="BI113" s="28">
        <v>174784.66000000061</v>
      </c>
      <c r="BJ113" s="28">
        <v>3217831.4399999995</v>
      </c>
      <c r="BK113" s="28">
        <v>1261014.71</v>
      </c>
      <c r="BL113" s="28">
        <v>-104754.65000000037</v>
      </c>
      <c r="BM113" s="28">
        <v>3051630.0500000017</v>
      </c>
      <c r="BN113" s="28">
        <v>94050.080000000075</v>
      </c>
      <c r="BO113" s="28">
        <v>1613577.75</v>
      </c>
      <c r="BP113" s="28">
        <v>2657657.7699999977</v>
      </c>
      <c r="BQ113" s="28">
        <v>-2657657.7699999977</v>
      </c>
      <c r="BR113" s="28">
        <v>0</v>
      </c>
      <c r="BS113" s="28">
        <v>0</v>
      </c>
      <c r="BT113" s="28">
        <v>0</v>
      </c>
      <c r="BU113" s="28">
        <v>0</v>
      </c>
      <c r="BV113" s="28">
        <v>0</v>
      </c>
      <c r="BW113" s="28">
        <v>0</v>
      </c>
      <c r="BX113" s="28">
        <v>0</v>
      </c>
      <c r="BY113" s="28">
        <v>0</v>
      </c>
      <c r="BZ113" s="28">
        <v>0</v>
      </c>
      <c r="CA113" s="28">
        <v>0</v>
      </c>
      <c r="CB113" s="28">
        <v>0</v>
      </c>
    </row>
    <row r="114" spans="2:80" ht="10.35" customHeight="1" x14ac:dyDescent="0.3">
      <c r="C114" s="1" t="s">
        <v>83</v>
      </c>
      <c r="I114" s="15" t="s">
        <v>0</v>
      </c>
      <c r="R114" s="28">
        <v>-6781342.0999999996</v>
      </c>
      <c r="S114" s="46">
        <v>-61333549.359999999</v>
      </c>
      <c r="T114" s="28">
        <v>-80607944.060000002</v>
      </c>
      <c r="U114" s="28">
        <v>-163875166.33826089</v>
      </c>
      <c r="V114" s="28">
        <v>-378760817.94999999</v>
      </c>
      <c r="X114" s="28"/>
      <c r="Y114" s="28"/>
      <c r="Z114" s="28"/>
      <c r="AA114" s="28"/>
      <c r="AB114" s="28"/>
      <c r="AC114" s="28"/>
      <c r="AD114" s="46">
        <v>-1766706.2</v>
      </c>
      <c r="AE114" s="46">
        <v>-1898682.53</v>
      </c>
      <c r="AF114" s="46">
        <v>-3115953.37</v>
      </c>
      <c r="AG114" s="46">
        <v>-3603920.1599999997</v>
      </c>
      <c r="AH114" s="46">
        <v>-4568186.71</v>
      </c>
      <c r="AI114" s="46">
        <v>-2379667.5499999998</v>
      </c>
      <c r="AJ114" s="46">
        <v>-2782830.92</v>
      </c>
      <c r="AK114" s="46">
        <v>-4704636.97</v>
      </c>
      <c r="AL114" s="46">
        <v>-4273500.93</v>
      </c>
      <c r="AM114" s="46">
        <v>-3807252.97</v>
      </c>
      <c r="AN114" s="46">
        <v>-6511510.3899999997</v>
      </c>
      <c r="AO114" s="46">
        <v>-4013396.8299999991</v>
      </c>
      <c r="AP114" s="46">
        <v>-4787382.1000000006</v>
      </c>
      <c r="AQ114" s="46">
        <v>-6677655.6799999997</v>
      </c>
      <c r="AR114" s="46">
        <v>-13223608.150000002</v>
      </c>
      <c r="AS114" s="46">
        <v>-2523066.75</v>
      </c>
      <c r="AT114" s="46">
        <v>-5128275.0699999994</v>
      </c>
      <c r="AU114" s="46">
        <v>-10542033.780000001</v>
      </c>
      <c r="AV114" s="46">
        <v>-5261369.59</v>
      </c>
      <c r="AW114" s="46">
        <v>-8132583.9299999997</v>
      </c>
      <c r="AX114" s="46">
        <v>-7255802.3800000008</v>
      </c>
      <c r="AY114" s="46">
        <v>-7626296.8899999987</v>
      </c>
      <c r="AZ114" s="46">
        <v>-7284341.7799999993</v>
      </c>
      <c r="BA114" s="46">
        <v>-4547805.8899999997</v>
      </c>
      <c r="BB114" s="46">
        <v>-4286705.63</v>
      </c>
      <c r="BC114" s="46">
        <v>-7490238.2100000009</v>
      </c>
      <c r="BD114" s="46">
        <v>-10529424.16</v>
      </c>
      <c r="BE114" s="46">
        <v>-8351189.7799999993</v>
      </c>
      <c r="BF114" s="46">
        <v>-11230851.029999999</v>
      </c>
      <c r="BG114" s="46">
        <v>-14453397.86826087</v>
      </c>
      <c r="BH114" s="46">
        <v>-10026467.33</v>
      </c>
      <c r="BI114" s="46">
        <v>-11405661.529999999</v>
      </c>
      <c r="BJ114" s="46">
        <v>-10978775.599999998</v>
      </c>
      <c r="BK114" s="46">
        <v>-22593832.490000002</v>
      </c>
      <c r="BL114" s="46">
        <v>-7735537.1000000006</v>
      </c>
      <c r="BM114" s="46">
        <v>-10646949.59</v>
      </c>
      <c r="BN114" s="46">
        <v>-15936982.100000003</v>
      </c>
      <c r="BO114" s="46">
        <v>-19813465.289999999</v>
      </c>
      <c r="BP114" s="46">
        <v>-20702056.630000003</v>
      </c>
      <c r="BQ114" s="46">
        <v>-20195059.5</v>
      </c>
      <c r="BR114" s="46">
        <v>-20719606.5</v>
      </c>
      <c r="BS114" s="46">
        <v>-21349062.899999999</v>
      </c>
      <c r="BT114" s="46">
        <v>-31367910.600000001</v>
      </c>
      <c r="BU114" s="46">
        <v>-32626823.399999999</v>
      </c>
      <c r="BV114" s="46">
        <v>-38711568.600000001</v>
      </c>
      <c r="BW114" s="46">
        <v>-38711568.600000001</v>
      </c>
      <c r="BX114" s="46">
        <v>-38711568.600000001</v>
      </c>
      <c r="BY114" s="46">
        <v>-34226691.75</v>
      </c>
      <c r="BZ114" s="46">
        <v>-33935276.75</v>
      </c>
      <c r="CA114" s="46">
        <v>-33498154.25</v>
      </c>
      <c r="CB114" s="46">
        <v>-34707526.5</v>
      </c>
    </row>
    <row r="115" spans="2:80" ht="10.35" customHeight="1" x14ac:dyDescent="0.3">
      <c r="C115" s="1" t="s">
        <v>84</v>
      </c>
      <c r="I115" s="15" t="s">
        <v>0</v>
      </c>
      <c r="R115" s="28">
        <v>5896258.6474578511</v>
      </c>
      <c r="S115" s="46">
        <v>42287605.060719207</v>
      </c>
      <c r="T115" s="28">
        <v>68412749.525593147</v>
      </c>
      <c r="U115" s="28">
        <v>130708243.60106495</v>
      </c>
      <c r="V115" s="28">
        <v>297545777.79930723</v>
      </c>
      <c r="X115" s="28"/>
      <c r="Y115" s="28"/>
      <c r="Z115" s="28"/>
      <c r="AA115" s="28"/>
      <c r="AB115" s="28"/>
      <c r="AC115" s="28"/>
      <c r="AD115" s="46">
        <v>1391876.0254881049</v>
      </c>
      <c r="AE115" s="46">
        <v>1908855.410829026</v>
      </c>
      <c r="AF115" s="46">
        <v>2595527.2111407197</v>
      </c>
      <c r="AG115" s="46">
        <v>2385485.9228666592</v>
      </c>
      <c r="AH115" s="46">
        <v>1549975.1796961559</v>
      </c>
      <c r="AI115" s="46">
        <v>3528848.2726981496</v>
      </c>
      <c r="AJ115" s="46">
        <v>2176354.0753434394</v>
      </c>
      <c r="AK115" s="46">
        <v>4165404.4313713871</v>
      </c>
      <c r="AL115" s="46">
        <v>2718706.105472025</v>
      </c>
      <c r="AM115" s="46">
        <v>1176447.0525256</v>
      </c>
      <c r="AN115" s="46">
        <v>4589117.4541390836</v>
      </c>
      <c r="AO115" s="46">
        <v>3749041.270114386</v>
      </c>
      <c r="AP115" s="46">
        <v>4988540.5633683829</v>
      </c>
      <c r="AQ115" s="46">
        <v>3368613.5897408454</v>
      </c>
      <c r="AR115" s="46">
        <v>7891071.143383096</v>
      </c>
      <c r="AS115" s="46">
        <v>3066493.5174776586</v>
      </c>
      <c r="AT115" s="46">
        <v>5461238.4992717914</v>
      </c>
      <c r="AU115" s="46">
        <v>6494790.0476353392</v>
      </c>
      <c r="AV115" s="46">
        <v>2806747.7037764993</v>
      </c>
      <c r="AW115" s="46">
        <v>8758280.1245756671</v>
      </c>
      <c r="AX115" s="46">
        <v>6730862.9450487765</v>
      </c>
      <c r="AY115" s="46">
        <v>5571629.3436479578</v>
      </c>
      <c r="AZ115" s="46">
        <v>4669932.3211177774</v>
      </c>
      <c r="BA115" s="46">
        <v>6920651.8013163209</v>
      </c>
      <c r="BB115" s="46">
        <v>5175419.5730160493</v>
      </c>
      <c r="BC115" s="46">
        <v>5796808.3631502977</v>
      </c>
      <c r="BD115" s="46">
        <v>6959895.2855590135</v>
      </c>
      <c r="BE115" s="46">
        <v>6310143.884563108</v>
      </c>
      <c r="BF115" s="46">
        <v>4757761.4995258637</v>
      </c>
      <c r="BG115" s="46">
        <v>7809720.0147244474</v>
      </c>
      <c r="BH115" s="46">
        <v>11314558.760875709</v>
      </c>
      <c r="BI115" s="46">
        <v>11743213.247227294</v>
      </c>
      <c r="BJ115" s="46">
        <v>13211599.572846605</v>
      </c>
      <c r="BK115" s="46">
        <v>12471467.948416553</v>
      </c>
      <c r="BL115" s="46">
        <v>10570257.514024945</v>
      </c>
      <c r="BM115" s="46">
        <v>11418423.634248639</v>
      </c>
      <c r="BN115" s="46">
        <v>13021083.568015441</v>
      </c>
      <c r="BO115" s="46">
        <v>13255235.039859798</v>
      </c>
      <c r="BP115" s="46">
        <v>14824778.916736525</v>
      </c>
      <c r="BQ115" s="46">
        <v>21024619.233659741</v>
      </c>
      <c r="BR115" s="46">
        <v>14515827.852983456</v>
      </c>
      <c r="BS115" s="46">
        <v>16200569.158203024</v>
      </c>
      <c r="BT115" s="46">
        <v>15192795.211364698</v>
      </c>
      <c r="BU115" s="46">
        <v>19789289.315231457</v>
      </c>
      <c r="BV115" s="46">
        <v>23262526.4053781</v>
      </c>
      <c r="BW115" s="46">
        <v>25111609.881310306</v>
      </c>
      <c r="BX115" s="46">
        <v>28246084.72875303</v>
      </c>
      <c r="BY115" s="46">
        <v>31386018.214018762</v>
      </c>
      <c r="BZ115" s="46">
        <v>33658592.608041525</v>
      </c>
      <c r="CA115" s="46">
        <v>34377656.819941103</v>
      </c>
      <c r="CB115" s="46">
        <v>34780188.370422028</v>
      </c>
    </row>
    <row r="116" spans="2:80" ht="10.35" customHeight="1" x14ac:dyDescent="0.3">
      <c r="B116" s="17" t="s">
        <v>85</v>
      </c>
      <c r="C116" s="17"/>
      <c r="D116" s="17"/>
      <c r="E116" s="17"/>
      <c r="F116" s="17"/>
      <c r="G116" s="17"/>
      <c r="H116" s="17"/>
      <c r="I116" s="18" t="s">
        <v>0</v>
      </c>
      <c r="J116" s="17"/>
      <c r="K116" s="17"/>
      <c r="L116" s="17"/>
      <c r="M116" s="17"/>
      <c r="N116" s="17"/>
      <c r="O116" s="17"/>
      <c r="P116" s="17"/>
      <c r="Q116" s="17"/>
      <c r="R116" s="27">
        <v>-911352.48000000091</v>
      </c>
      <c r="S116" s="27">
        <v>-19151237.069225155</v>
      </c>
      <c r="T116" s="27">
        <v>-17578915.698699996</v>
      </c>
      <c r="U116" s="27">
        <v>-40588267.737501577</v>
      </c>
      <c r="V116" s="27">
        <v>-86889662.054790497</v>
      </c>
      <c r="W116" s="17"/>
      <c r="X116" s="27"/>
      <c r="Y116" s="27"/>
      <c r="Z116" s="27"/>
      <c r="AA116" s="27"/>
      <c r="AB116" s="27"/>
      <c r="AC116" s="27"/>
      <c r="AD116" s="27">
        <v>-519198.9600000002</v>
      </c>
      <c r="AE116" s="27">
        <v>149422.8899999999</v>
      </c>
      <c r="AF116" s="27">
        <v>-541576.41000000061</v>
      </c>
      <c r="AG116" s="27">
        <v>-989222.4786999994</v>
      </c>
      <c r="AH116" s="27">
        <v>-3131064.4369999999</v>
      </c>
      <c r="AI116" s="27">
        <v>1016068.287630836</v>
      </c>
      <c r="AJ116" s="27">
        <v>-583052.57319599949</v>
      </c>
      <c r="AK116" s="27">
        <v>-90586.715000002645</v>
      </c>
      <c r="AL116" s="27">
        <v>-1763231.9122999948</v>
      </c>
      <c r="AM116" s="27">
        <v>-3465521.9432599996</v>
      </c>
      <c r="AN116" s="27">
        <v>-2149239.8073500004</v>
      </c>
      <c r="AO116" s="27">
        <v>-74319.666099998634</v>
      </c>
      <c r="AP116" s="27">
        <v>283079.83200000133</v>
      </c>
      <c r="AQ116" s="27">
        <v>-3489595.7394000003</v>
      </c>
      <c r="AR116" s="27">
        <v>-4714549.9165500002</v>
      </c>
      <c r="AS116" s="27">
        <v>-379622.36739999987</v>
      </c>
      <c r="AT116" s="27">
        <v>434856.41675000079</v>
      </c>
      <c r="AU116" s="27">
        <v>-4088490.1860500015</v>
      </c>
      <c r="AV116" s="27">
        <v>-3280840.8746999986</v>
      </c>
      <c r="AW116" s="27">
        <v>576871.18450000137</v>
      </c>
      <c r="AX116" s="27">
        <v>501794.86284999922</v>
      </c>
      <c r="AY116" s="27">
        <v>-3312618.1324499985</v>
      </c>
      <c r="AZ116" s="27">
        <v>-3472074.3749999991</v>
      </c>
      <c r="BA116" s="27">
        <v>2065611.3599999994</v>
      </c>
      <c r="BB116" s="27">
        <v>7575469.5381500004</v>
      </c>
      <c r="BC116" s="27">
        <v>-10583522.327649999</v>
      </c>
      <c r="BD116" s="27">
        <v>-3616350.7976999991</v>
      </c>
      <c r="BE116" s="27">
        <v>-4979298.4992499994</v>
      </c>
      <c r="BF116" s="27">
        <v>-5140807.0796499979</v>
      </c>
      <c r="BG116" s="27">
        <v>-6982880.8630308704</v>
      </c>
      <c r="BH116" s="27">
        <v>575467.82262999937</v>
      </c>
      <c r="BI116" s="27">
        <v>-1329832.7396000028</v>
      </c>
      <c r="BJ116" s="27">
        <v>2258400.7660800014</v>
      </c>
      <c r="BK116" s="27">
        <v>-10614253.839150008</v>
      </c>
      <c r="BL116" s="27">
        <v>2006269.8108999915</v>
      </c>
      <c r="BM116" s="27">
        <v>-631369.71105999686</v>
      </c>
      <c r="BN116" s="27">
        <v>-3267562.8352366779</v>
      </c>
      <c r="BO116" s="27">
        <v>-6142241.4730399996</v>
      </c>
      <c r="BP116" s="27">
        <v>-6340159.0970940106</v>
      </c>
      <c r="BQ116" s="27">
        <v>830930.54867899045</v>
      </c>
      <c r="BR116" s="27">
        <v>-7269519.9420435131</v>
      </c>
      <c r="BS116" s="27">
        <v>-5697861.9718275703</v>
      </c>
      <c r="BT116" s="27">
        <v>-17055890.678630263</v>
      </c>
      <c r="BU116" s="27">
        <v>-13250509.962374479</v>
      </c>
      <c r="BV116" s="27">
        <v>-16080225.860182781</v>
      </c>
      <c r="BW116" s="27">
        <v>-14346084.744923621</v>
      </c>
      <c r="BX116" s="27">
        <v>-10767951.587420523</v>
      </c>
      <c r="BY116" s="27">
        <v>-3293482.3370410427</v>
      </c>
      <c r="BZ116" s="27">
        <v>-652974.26600117981</v>
      </c>
      <c r="CA116" s="27">
        <v>929876.13471023366</v>
      </c>
      <c r="CB116" s="27">
        <v>-235967.38773474097</v>
      </c>
    </row>
    <row r="117" spans="2:80" ht="10.35" customHeight="1" x14ac:dyDescent="0.3">
      <c r="AX117" s="28">
        <v>17343658.43</v>
      </c>
      <c r="BA117" s="28">
        <v>17338038.919999998</v>
      </c>
      <c r="BJ117" s="28">
        <v>0</v>
      </c>
      <c r="BM117" s="28"/>
      <c r="BP117" s="28"/>
    </row>
    <row r="118" spans="2:80" ht="10.35" customHeight="1" x14ac:dyDescent="0.3">
      <c r="B118" s="1" t="s">
        <v>86</v>
      </c>
      <c r="I118" s="15" t="s">
        <v>0</v>
      </c>
      <c r="R118" s="28">
        <v>-71227.67</v>
      </c>
      <c r="S118" s="46">
        <v>-108812.51999999999</v>
      </c>
      <c r="T118" s="28">
        <v>-152175.88999999998</v>
      </c>
      <c r="U118" s="28">
        <v>-189210.00142857144</v>
      </c>
      <c r="V118" s="28">
        <v>-170692.94571428571</v>
      </c>
      <c r="X118" s="28"/>
      <c r="Y118" s="28"/>
      <c r="Z118" s="28"/>
      <c r="AA118" s="28"/>
      <c r="AB118" s="28"/>
      <c r="AC118" s="28"/>
      <c r="AD118" s="46">
        <v>-1086.0899999999999</v>
      </c>
      <c r="AE118" s="46">
        <v>-17619.84</v>
      </c>
      <c r="AF118" s="46">
        <v>-52521.74</v>
      </c>
      <c r="AG118" s="46">
        <v>-3302.61</v>
      </c>
      <c r="AH118" s="46">
        <v>-803.47</v>
      </c>
      <c r="AI118" s="46">
        <v>-21975.13</v>
      </c>
      <c r="AJ118" s="46">
        <v>-5235.6499999999996</v>
      </c>
      <c r="AK118" s="46">
        <v>-49504.35</v>
      </c>
      <c r="AL118" s="46">
        <v>-1795.66</v>
      </c>
      <c r="AM118" s="46">
        <v>-11999.140000000001</v>
      </c>
      <c r="AN118" s="46">
        <v>-373.04</v>
      </c>
      <c r="AO118" s="46">
        <v>-3540</v>
      </c>
      <c r="AP118" s="46">
        <v>-3953.91</v>
      </c>
      <c r="AQ118" s="46">
        <v>-6329.5599999999995</v>
      </c>
      <c r="AR118" s="46">
        <v>0</v>
      </c>
      <c r="AS118" s="46">
        <v>-5891.3</v>
      </c>
      <c r="AT118" s="46">
        <v>-8323.48</v>
      </c>
      <c r="AU118" s="46">
        <v>-9347.92</v>
      </c>
      <c r="AV118" s="46">
        <v>0</v>
      </c>
      <c r="AW118" s="46">
        <v>0</v>
      </c>
      <c r="AX118" s="46">
        <v>0</v>
      </c>
      <c r="AY118" s="46">
        <v>-16956.129999999997</v>
      </c>
      <c r="AZ118" s="46">
        <v>-58174.65</v>
      </c>
      <c r="BA118" s="46">
        <v>-3260.87</v>
      </c>
      <c r="BB118" s="46">
        <v>-3255.66</v>
      </c>
      <c r="BC118" s="46">
        <v>-23482.94</v>
      </c>
      <c r="BD118" s="46">
        <v>-23482.94</v>
      </c>
      <c r="BE118" s="46">
        <v>-23482.94</v>
      </c>
      <c r="BF118" s="46">
        <v>-23482.94</v>
      </c>
      <c r="BG118" s="46">
        <v>-14224.412142857142</v>
      </c>
      <c r="BH118" s="46">
        <v>-14224.412142857142</v>
      </c>
      <c r="BI118" s="46">
        <v>-14224.412142857142</v>
      </c>
      <c r="BJ118" s="46">
        <v>-14224.412142857142</v>
      </c>
      <c r="BK118" s="46">
        <v>-14224.412142857142</v>
      </c>
      <c r="BL118" s="46">
        <v>-14224.412142857142</v>
      </c>
      <c r="BM118" s="46">
        <v>-14224.412142857142</v>
      </c>
      <c r="BN118" s="46">
        <v>-14224.412142857142</v>
      </c>
      <c r="BO118" s="46">
        <v>-14224.412142857142</v>
      </c>
      <c r="BP118" s="46">
        <v>-14224.412142857142</v>
      </c>
      <c r="BQ118" s="46">
        <v>-14224.412142857142</v>
      </c>
      <c r="BR118" s="46">
        <v>-14224.412142857142</v>
      </c>
      <c r="BS118" s="46">
        <v>-14224.412142857142</v>
      </c>
      <c r="BT118" s="46">
        <v>-14224.412142857142</v>
      </c>
      <c r="BU118" s="46">
        <v>-14224.412142857142</v>
      </c>
      <c r="BV118" s="46">
        <v>-14224.412142857142</v>
      </c>
      <c r="BW118" s="46">
        <v>-14224.412142857142</v>
      </c>
      <c r="BX118" s="46">
        <v>-14224.412142857142</v>
      </c>
      <c r="BY118" s="46">
        <v>-14224.412142857142</v>
      </c>
      <c r="BZ118" s="46">
        <v>-14224.412142857142</v>
      </c>
      <c r="CA118" s="46">
        <v>-14224.412142857142</v>
      </c>
      <c r="CB118" s="46">
        <v>-14224.412142857142</v>
      </c>
    </row>
    <row r="119" spans="2:80" ht="10.35" customHeight="1" x14ac:dyDescent="0.3">
      <c r="B119" s="1" t="s">
        <v>57</v>
      </c>
      <c r="I119" s="15" t="s">
        <v>0</v>
      </c>
      <c r="R119" s="28">
        <v>-1800319.98</v>
      </c>
      <c r="S119" s="46">
        <v>-13622817.640000001</v>
      </c>
      <c r="T119" s="28">
        <v>17336038.919999998</v>
      </c>
      <c r="U119" s="28">
        <v>-4467.2199999999993</v>
      </c>
      <c r="V119" s="28">
        <v>0</v>
      </c>
      <c r="X119" s="28"/>
      <c r="Y119" s="28"/>
      <c r="Z119" s="28"/>
      <c r="AA119" s="28"/>
      <c r="AB119" s="28"/>
      <c r="AC119" s="28"/>
      <c r="AD119" s="28">
        <v>-50000</v>
      </c>
      <c r="AE119" s="28">
        <v>-1299999.98</v>
      </c>
      <c r="AF119" s="28">
        <v>-450320</v>
      </c>
      <c r="AG119" s="28">
        <v>0</v>
      </c>
      <c r="AH119" s="28">
        <v>0</v>
      </c>
      <c r="AI119" s="28">
        <v>0</v>
      </c>
      <c r="AJ119" s="28">
        <v>0</v>
      </c>
      <c r="AK119" s="28">
        <v>0</v>
      </c>
      <c r="AL119" s="28">
        <v>0</v>
      </c>
      <c r="AM119" s="28">
        <v>-563699.99999999953</v>
      </c>
      <c r="AN119" s="28">
        <v>-3288250</v>
      </c>
      <c r="AO119" s="28">
        <v>0</v>
      </c>
      <c r="AP119" s="28">
        <v>0</v>
      </c>
      <c r="AQ119" s="28">
        <v>-9770867.6400000006</v>
      </c>
      <c r="AR119" s="28">
        <v>0</v>
      </c>
      <c r="AS119" s="28">
        <v>17343658.43</v>
      </c>
      <c r="AT119" s="28">
        <v>0</v>
      </c>
      <c r="AU119" s="28">
        <v>0</v>
      </c>
      <c r="AV119" s="28">
        <v>0</v>
      </c>
      <c r="AW119" s="28">
        <v>0</v>
      </c>
      <c r="AX119" s="28">
        <v>0</v>
      </c>
      <c r="AY119" s="28">
        <v>-2119.5099999999993</v>
      </c>
      <c r="AZ119" s="28">
        <v>-3500</v>
      </c>
      <c r="BA119" s="28">
        <v>0</v>
      </c>
      <c r="BB119" s="28">
        <v>-50549.489999994636</v>
      </c>
      <c r="BC119" s="28">
        <v>1216</v>
      </c>
      <c r="BD119" s="28">
        <v>47333.489999994636</v>
      </c>
      <c r="BE119" s="28">
        <v>-4467.2199999999993</v>
      </c>
      <c r="BF119" s="28">
        <v>0</v>
      </c>
      <c r="BG119" s="28">
        <v>0</v>
      </c>
      <c r="BH119" s="28">
        <v>0</v>
      </c>
      <c r="BI119" s="28">
        <v>0</v>
      </c>
      <c r="BJ119" s="28">
        <v>0</v>
      </c>
      <c r="BK119" s="28">
        <v>0</v>
      </c>
      <c r="BL119" s="28">
        <v>0</v>
      </c>
      <c r="BM119" s="28">
        <v>0</v>
      </c>
      <c r="BN119" s="28">
        <v>0</v>
      </c>
      <c r="BO119" s="28">
        <v>0</v>
      </c>
      <c r="BP119" s="28">
        <v>0</v>
      </c>
      <c r="BQ119" s="28">
        <v>0</v>
      </c>
      <c r="BR119" s="28">
        <v>0</v>
      </c>
      <c r="BS119" s="28">
        <v>0</v>
      </c>
      <c r="BT119" s="28">
        <v>0</v>
      </c>
      <c r="BU119" s="28">
        <v>0</v>
      </c>
      <c r="BV119" s="28">
        <v>0</v>
      </c>
      <c r="BW119" s="28">
        <v>0</v>
      </c>
      <c r="BX119" s="28">
        <v>0</v>
      </c>
      <c r="BY119" s="28">
        <v>0</v>
      </c>
      <c r="BZ119" s="28">
        <v>0</v>
      </c>
      <c r="CA119" s="28">
        <v>0</v>
      </c>
      <c r="CB119" s="28">
        <v>0</v>
      </c>
    </row>
    <row r="120" spans="2:80" ht="10.35" customHeight="1" x14ac:dyDescent="0.3">
      <c r="B120" s="17" t="s">
        <v>87</v>
      </c>
      <c r="C120" s="17"/>
      <c r="D120" s="17"/>
      <c r="E120" s="17"/>
      <c r="F120" s="17"/>
      <c r="G120" s="17"/>
      <c r="H120" s="17"/>
      <c r="I120" s="18" t="s">
        <v>0</v>
      </c>
      <c r="J120" s="17"/>
      <c r="K120" s="17"/>
      <c r="L120" s="17"/>
      <c r="M120" s="17"/>
      <c r="N120" s="17"/>
      <c r="O120" s="17"/>
      <c r="P120" s="17"/>
      <c r="Q120" s="17"/>
      <c r="R120" s="27">
        <v>-1871547.6500000001</v>
      </c>
      <c r="S120" s="27">
        <v>-13731630.16</v>
      </c>
      <c r="T120" s="27">
        <v>17183863.029999994</v>
      </c>
      <c r="U120" s="27">
        <v>-193677.22142857144</v>
      </c>
      <c r="V120" s="27">
        <v>-170692.94571428571</v>
      </c>
      <c r="W120" s="17"/>
      <c r="X120" s="27"/>
      <c r="Y120" s="27"/>
      <c r="Z120" s="27"/>
      <c r="AA120" s="27"/>
      <c r="AB120" s="27"/>
      <c r="AC120" s="27"/>
      <c r="AD120" s="27">
        <v>-51086.09</v>
      </c>
      <c r="AE120" s="27">
        <v>-1317619.82</v>
      </c>
      <c r="AF120" s="27">
        <v>-502841.74</v>
      </c>
      <c r="AG120" s="27">
        <v>-3302.61</v>
      </c>
      <c r="AH120" s="27">
        <v>-803.47</v>
      </c>
      <c r="AI120" s="27">
        <v>-21975.13</v>
      </c>
      <c r="AJ120" s="27">
        <v>-5235.6499999999996</v>
      </c>
      <c r="AK120" s="27">
        <v>-49504.35</v>
      </c>
      <c r="AL120" s="27">
        <v>-1795.66</v>
      </c>
      <c r="AM120" s="27">
        <v>-575699.13999999955</v>
      </c>
      <c r="AN120" s="27">
        <v>-3288623.04</v>
      </c>
      <c r="AO120" s="27">
        <v>-3540</v>
      </c>
      <c r="AP120" s="27">
        <v>-3953.91</v>
      </c>
      <c r="AQ120" s="27">
        <v>-9777197.2000000011</v>
      </c>
      <c r="AR120" s="27">
        <v>0</v>
      </c>
      <c r="AS120" s="27">
        <v>17337767.129999999</v>
      </c>
      <c r="AT120" s="27">
        <v>-8323.48</v>
      </c>
      <c r="AU120" s="27">
        <v>-9347.92</v>
      </c>
      <c r="AV120" s="27">
        <v>0</v>
      </c>
      <c r="AW120" s="27">
        <v>0</v>
      </c>
      <c r="AX120" s="27">
        <v>0</v>
      </c>
      <c r="AY120" s="27">
        <v>-19075.639999999996</v>
      </c>
      <c r="AZ120" s="27">
        <v>-61674.65</v>
      </c>
      <c r="BA120" s="27">
        <v>-3260.87</v>
      </c>
      <c r="BB120" s="27">
        <v>-53805.149999994639</v>
      </c>
      <c r="BC120" s="27">
        <v>-22266.94</v>
      </c>
      <c r="BD120" s="27">
        <v>23850.549999994637</v>
      </c>
      <c r="BE120" s="27">
        <v>-27950.159999999996</v>
      </c>
      <c r="BF120" s="27">
        <v>-23482.94</v>
      </c>
      <c r="BG120" s="27">
        <v>-14224.412142857142</v>
      </c>
      <c r="BH120" s="27">
        <v>-14224.412142857142</v>
      </c>
      <c r="BI120" s="27">
        <v>-14224.412142857142</v>
      </c>
      <c r="BJ120" s="27">
        <v>-14224.412142857142</v>
      </c>
      <c r="BK120" s="27">
        <v>-14224.412142857142</v>
      </c>
      <c r="BL120" s="27">
        <v>-14224.412142857142</v>
      </c>
      <c r="BM120" s="27">
        <v>-14224.412142857142</v>
      </c>
      <c r="BN120" s="27">
        <v>-14224.412142857142</v>
      </c>
      <c r="BO120" s="27">
        <v>-14224.412142857142</v>
      </c>
      <c r="BP120" s="27">
        <v>-14224.412142857142</v>
      </c>
      <c r="BQ120" s="27">
        <v>-14224.412142857142</v>
      </c>
      <c r="BR120" s="27">
        <v>-14224.412142857142</v>
      </c>
      <c r="BS120" s="27">
        <v>-14224.412142857142</v>
      </c>
      <c r="BT120" s="27">
        <v>-14224.412142857142</v>
      </c>
      <c r="BU120" s="27">
        <v>-14224.412142857142</v>
      </c>
      <c r="BV120" s="27">
        <v>-14224.412142857142</v>
      </c>
      <c r="BW120" s="27">
        <v>-14224.412142857142</v>
      </c>
      <c r="BX120" s="27">
        <v>-14224.412142857142</v>
      </c>
      <c r="BY120" s="27">
        <v>-14224.412142857142</v>
      </c>
      <c r="BZ120" s="27">
        <v>-14224.412142857142</v>
      </c>
      <c r="CA120" s="27">
        <v>-14224.412142857142</v>
      </c>
      <c r="CB120" s="27">
        <v>-14224.412142857142</v>
      </c>
    </row>
    <row r="121" spans="2:80" ht="10.35" customHeight="1" x14ac:dyDescent="0.3">
      <c r="AX121" s="28"/>
      <c r="BA121" s="28"/>
      <c r="BJ121" s="28"/>
      <c r="BM121" s="28"/>
    </row>
    <row r="122" spans="2:80" ht="10.35" customHeight="1" x14ac:dyDescent="0.3">
      <c r="B122" s="1" t="s">
        <v>121</v>
      </c>
      <c r="I122" s="15" t="s">
        <v>0</v>
      </c>
      <c r="R122" s="28">
        <v>0</v>
      </c>
      <c r="S122" s="46">
        <v>0</v>
      </c>
      <c r="T122" s="28">
        <v>0</v>
      </c>
      <c r="U122" s="28">
        <v>0</v>
      </c>
      <c r="V122" s="28">
        <v>-15275406.76824661</v>
      </c>
      <c r="X122" s="28"/>
      <c r="Y122" s="28"/>
      <c r="Z122" s="28"/>
      <c r="AA122" s="28"/>
      <c r="AB122" s="28"/>
      <c r="AC122" s="28"/>
      <c r="AD122" s="28">
        <v>0</v>
      </c>
      <c r="AE122" s="28">
        <v>0</v>
      </c>
      <c r="AF122" s="28">
        <v>0</v>
      </c>
      <c r="AG122" s="28">
        <v>0</v>
      </c>
      <c r="AH122" s="28">
        <v>0</v>
      </c>
      <c r="AI122" s="28">
        <v>0</v>
      </c>
      <c r="AJ122" s="28">
        <v>0</v>
      </c>
      <c r="AK122" s="28">
        <v>0</v>
      </c>
      <c r="AL122" s="28">
        <v>0</v>
      </c>
      <c r="AM122" s="28">
        <v>0</v>
      </c>
      <c r="AN122" s="28">
        <v>0</v>
      </c>
      <c r="AO122" s="28">
        <v>0</v>
      </c>
      <c r="AP122" s="28">
        <v>0</v>
      </c>
      <c r="AQ122" s="28">
        <v>0</v>
      </c>
      <c r="AR122" s="28">
        <v>0</v>
      </c>
      <c r="AS122" s="28">
        <v>0</v>
      </c>
      <c r="AT122" s="28">
        <v>0</v>
      </c>
      <c r="AU122" s="28">
        <v>0</v>
      </c>
      <c r="AV122" s="28">
        <v>0</v>
      </c>
      <c r="AW122" s="28">
        <v>0</v>
      </c>
      <c r="AX122" s="28">
        <v>0</v>
      </c>
      <c r="AY122" s="28">
        <v>0</v>
      </c>
      <c r="AZ122" s="28">
        <v>0</v>
      </c>
      <c r="BA122" s="28">
        <v>0</v>
      </c>
      <c r="BB122" s="28">
        <v>0</v>
      </c>
      <c r="BC122" s="28">
        <v>0</v>
      </c>
      <c r="BD122" s="28">
        <v>0</v>
      </c>
      <c r="BE122" s="28">
        <v>0</v>
      </c>
      <c r="BF122" s="28">
        <v>0</v>
      </c>
      <c r="BG122" s="28">
        <v>0</v>
      </c>
      <c r="BH122" s="28">
        <v>0</v>
      </c>
      <c r="BI122" s="28">
        <v>0</v>
      </c>
      <c r="BJ122" s="28">
        <v>0</v>
      </c>
      <c r="BK122" s="28">
        <v>0</v>
      </c>
      <c r="BL122" s="28">
        <v>0</v>
      </c>
      <c r="BM122" s="28">
        <v>0</v>
      </c>
      <c r="BN122" s="46">
        <v>0</v>
      </c>
      <c r="BO122" s="46">
        <v>0</v>
      </c>
      <c r="BP122" s="46">
        <v>0</v>
      </c>
      <c r="BQ122" s="46">
        <v>-5951399.4873635769</v>
      </c>
      <c r="BR122" s="46">
        <v>1065741.2950269689</v>
      </c>
      <c r="BS122" s="46">
        <v>-14450631.769969404</v>
      </c>
      <c r="BT122" s="46">
        <v>880775.28999495937</v>
      </c>
      <c r="BU122" s="46">
        <v>412975.87760593905</v>
      </c>
      <c r="BV122" s="46">
        <v>631183.66556087625</v>
      </c>
      <c r="BW122" s="46">
        <v>746126.02623392455</v>
      </c>
      <c r="BX122" s="46">
        <v>302467.71617355058</v>
      </c>
      <c r="BY122" s="46">
        <v>452808.80105980765</v>
      </c>
      <c r="BZ122" s="46">
        <v>376290.12404270394</v>
      </c>
      <c r="CA122" s="46">
        <v>-50373.564769128716</v>
      </c>
      <c r="CB122" s="46">
        <v>308629.25815677148</v>
      </c>
    </row>
    <row r="123" spans="2:80" ht="10.35" customHeight="1" x14ac:dyDescent="0.3">
      <c r="B123" s="1" t="s">
        <v>120</v>
      </c>
      <c r="I123" s="15" t="s">
        <v>0</v>
      </c>
      <c r="R123" s="28">
        <v>0</v>
      </c>
      <c r="S123" s="46">
        <v>0</v>
      </c>
      <c r="T123" s="28">
        <v>0</v>
      </c>
      <c r="U123" s="28">
        <v>0</v>
      </c>
      <c r="V123" s="28">
        <v>9605002.62884124</v>
      </c>
      <c r="X123" s="28"/>
      <c r="Y123" s="28"/>
      <c r="Z123" s="28"/>
      <c r="AA123" s="28"/>
      <c r="AB123" s="28"/>
      <c r="AC123" s="28"/>
      <c r="AD123" s="46">
        <v>0</v>
      </c>
      <c r="AE123" s="46">
        <v>0</v>
      </c>
      <c r="AF123" s="46">
        <v>0</v>
      </c>
      <c r="AG123" s="46">
        <v>0</v>
      </c>
      <c r="AH123" s="46">
        <v>0</v>
      </c>
      <c r="AI123" s="46">
        <v>0</v>
      </c>
      <c r="AJ123" s="46">
        <v>0</v>
      </c>
      <c r="AK123" s="46">
        <v>0</v>
      </c>
      <c r="AL123" s="46">
        <v>0</v>
      </c>
      <c r="AM123" s="46">
        <v>0</v>
      </c>
      <c r="AN123" s="46">
        <v>0</v>
      </c>
      <c r="AO123" s="46">
        <v>0</v>
      </c>
      <c r="AP123" s="46">
        <v>0</v>
      </c>
      <c r="AQ123" s="46">
        <v>0</v>
      </c>
      <c r="AR123" s="46">
        <v>0</v>
      </c>
      <c r="AS123" s="46">
        <v>0</v>
      </c>
      <c r="AT123" s="46">
        <v>0</v>
      </c>
      <c r="AU123" s="46">
        <v>0</v>
      </c>
      <c r="AV123" s="46">
        <v>0</v>
      </c>
      <c r="AW123" s="46">
        <v>0</v>
      </c>
      <c r="AX123" s="46">
        <v>0</v>
      </c>
      <c r="AY123" s="46">
        <v>0</v>
      </c>
      <c r="AZ123" s="46">
        <v>0</v>
      </c>
      <c r="BA123" s="46">
        <v>0</v>
      </c>
      <c r="BB123" s="46">
        <v>0</v>
      </c>
      <c r="BC123" s="46">
        <v>0</v>
      </c>
      <c r="BD123" s="46">
        <v>0</v>
      </c>
      <c r="BE123" s="46">
        <v>0</v>
      </c>
      <c r="BF123" s="46">
        <v>0</v>
      </c>
      <c r="BG123" s="46">
        <v>0</v>
      </c>
      <c r="BH123" s="46">
        <v>0</v>
      </c>
      <c r="BI123" s="46">
        <v>0</v>
      </c>
      <c r="BJ123" s="46">
        <v>0</v>
      </c>
      <c r="BK123" s="46">
        <v>0</v>
      </c>
      <c r="BL123" s="46">
        <v>0</v>
      </c>
      <c r="BM123" s="46">
        <v>0</v>
      </c>
      <c r="BN123" s="46">
        <v>0</v>
      </c>
      <c r="BO123" s="46">
        <v>0</v>
      </c>
      <c r="BP123" s="46">
        <v>0</v>
      </c>
      <c r="BQ123" s="46">
        <v>0</v>
      </c>
      <c r="BR123" s="46">
        <v>0</v>
      </c>
      <c r="BS123" s="46">
        <v>0</v>
      </c>
      <c r="BT123" s="46">
        <v>3529507.5564704826</v>
      </c>
      <c r="BU123" s="46">
        <v>1604831.4561048269</v>
      </c>
      <c r="BV123" s="46">
        <v>1746326.6606764756</v>
      </c>
      <c r="BW123" s="46">
        <v>1361418.313083255</v>
      </c>
      <c r="BX123" s="46">
        <v>1047970.8283389827</v>
      </c>
      <c r="BY123" s="46">
        <v>285489.7948124095</v>
      </c>
      <c r="BZ123" s="46">
        <v>29090.855410133296</v>
      </c>
      <c r="CA123" s="46">
        <v>367.16394467540078</v>
      </c>
      <c r="CB123" s="46">
        <v>0</v>
      </c>
    </row>
    <row r="124" spans="2:80" ht="10.35" customHeight="1" x14ac:dyDescent="0.3">
      <c r="B124" s="1" t="s">
        <v>88</v>
      </c>
      <c r="I124" s="15" t="s">
        <v>0</v>
      </c>
      <c r="R124" s="28">
        <v>0</v>
      </c>
      <c r="S124" s="46">
        <v>0</v>
      </c>
      <c r="T124" s="28">
        <v>0</v>
      </c>
      <c r="U124" s="28">
        <v>-3000000</v>
      </c>
      <c r="V124" s="28">
        <v>-38515505.861381881</v>
      </c>
      <c r="X124" s="28"/>
      <c r="Y124" s="28"/>
      <c r="Z124" s="28"/>
      <c r="AA124" s="28"/>
      <c r="AB124" s="28"/>
      <c r="AC124" s="28"/>
      <c r="AD124" s="28">
        <v>0</v>
      </c>
      <c r="AE124" s="28">
        <v>0</v>
      </c>
      <c r="AF124" s="28">
        <v>0</v>
      </c>
      <c r="AG124" s="28">
        <v>0</v>
      </c>
      <c r="AH124" s="28">
        <v>0</v>
      </c>
      <c r="AI124" s="28">
        <v>0</v>
      </c>
      <c r="AJ124" s="28">
        <v>0</v>
      </c>
      <c r="AK124" s="28">
        <v>0</v>
      </c>
      <c r="AL124" s="28">
        <v>0</v>
      </c>
      <c r="AM124" s="28">
        <v>0</v>
      </c>
      <c r="AN124" s="28">
        <v>0</v>
      </c>
      <c r="AO124" s="28">
        <v>0</v>
      </c>
      <c r="AP124" s="28">
        <v>0</v>
      </c>
      <c r="AQ124" s="28">
        <v>0</v>
      </c>
      <c r="AR124" s="28">
        <v>0</v>
      </c>
      <c r="AS124" s="28">
        <v>0</v>
      </c>
      <c r="AT124" s="28">
        <v>0</v>
      </c>
      <c r="AU124" s="28">
        <v>0</v>
      </c>
      <c r="AV124" s="28">
        <v>0</v>
      </c>
      <c r="AW124" s="28">
        <v>0</v>
      </c>
      <c r="AX124" s="28">
        <v>0</v>
      </c>
      <c r="AY124" s="28">
        <v>0</v>
      </c>
      <c r="AZ124" s="28">
        <v>0</v>
      </c>
      <c r="BA124" s="28">
        <v>0</v>
      </c>
      <c r="BB124" s="28">
        <v>0</v>
      </c>
      <c r="BC124" s="28">
        <v>0</v>
      </c>
      <c r="BD124" s="28">
        <v>0</v>
      </c>
      <c r="BE124" s="28">
        <v>0</v>
      </c>
      <c r="BF124" s="28">
        <v>0</v>
      </c>
      <c r="BG124" s="28">
        <v>0</v>
      </c>
      <c r="BH124" s="28">
        <v>0</v>
      </c>
      <c r="BI124" s="28">
        <v>0</v>
      </c>
      <c r="BJ124" s="28">
        <v>0</v>
      </c>
      <c r="BK124" s="28">
        <v>0</v>
      </c>
      <c r="BL124" s="28">
        <v>0</v>
      </c>
      <c r="BM124" s="28">
        <v>0</v>
      </c>
      <c r="BN124" s="46">
        <v>0</v>
      </c>
      <c r="BO124" s="46">
        <v>0</v>
      </c>
      <c r="BP124" s="46">
        <v>-3000000</v>
      </c>
      <c r="BQ124" s="46">
        <v>0</v>
      </c>
      <c r="BR124" s="46">
        <v>0</v>
      </c>
      <c r="BS124" s="46">
        <v>0</v>
      </c>
      <c r="BT124" s="46">
        <v>-32450000</v>
      </c>
      <c r="BU124" s="46">
        <v>-3196556.0641368749</v>
      </c>
      <c r="BV124" s="46">
        <v>-2000000</v>
      </c>
      <c r="BW124" s="46">
        <v>0</v>
      </c>
      <c r="BX124" s="46">
        <v>0</v>
      </c>
      <c r="BY124" s="46">
        <v>0</v>
      </c>
      <c r="BZ124" s="46">
        <v>0</v>
      </c>
      <c r="CA124" s="46">
        <v>-868949.79724499991</v>
      </c>
      <c r="CB124" s="46">
        <v>0</v>
      </c>
    </row>
    <row r="125" spans="2:80" ht="10.35" customHeight="1" x14ac:dyDescent="0.3">
      <c r="B125" s="1" t="s">
        <v>89</v>
      </c>
      <c r="I125" s="15" t="s">
        <v>0</v>
      </c>
      <c r="R125" s="28">
        <v>0</v>
      </c>
      <c r="S125" s="46">
        <v>0</v>
      </c>
      <c r="T125" s="28">
        <v>0</v>
      </c>
      <c r="U125" s="28">
        <v>10000000</v>
      </c>
      <c r="V125" s="28">
        <v>35000000</v>
      </c>
      <c r="X125" s="28"/>
      <c r="Y125" s="28"/>
      <c r="Z125" s="28"/>
      <c r="AA125" s="28"/>
      <c r="AB125" s="28"/>
      <c r="AC125" s="28"/>
      <c r="AD125" s="28">
        <v>0</v>
      </c>
      <c r="AE125" s="28">
        <v>0</v>
      </c>
      <c r="AF125" s="28">
        <v>0</v>
      </c>
      <c r="AG125" s="28">
        <v>0</v>
      </c>
      <c r="AH125" s="28">
        <v>0</v>
      </c>
      <c r="AI125" s="28">
        <v>0</v>
      </c>
      <c r="AJ125" s="28">
        <v>0</v>
      </c>
      <c r="AK125" s="28">
        <v>0</v>
      </c>
      <c r="AL125" s="28">
        <v>0</v>
      </c>
      <c r="AM125" s="28">
        <v>0</v>
      </c>
      <c r="AN125" s="28">
        <v>0</v>
      </c>
      <c r="AO125" s="28">
        <v>0</v>
      </c>
      <c r="AP125" s="28">
        <v>0</v>
      </c>
      <c r="AQ125" s="28">
        <v>0</v>
      </c>
      <c r="AR125" s="28">
        <v>0</v>
      </c>
      <c r="AS125" s="28">
        <v>0</v>
      </c>
      <c r="AT125" s="28">
        <v>0</v>
      </c>
      <c r="AU125" s="28">
        <v>0</v>
      </c>
      <c r="AV125" s="28">
        <v>0</v>
      </c>
      <c r="AW125" s="28">
        <v>0</v>
      </c>
      <c r="AX125" s="28">
        <v>0</v>
      </c>
      <c r="AY125" s="28">
        <v>0</v>
      </c>
      <c r="AZ125" s="28">
        <v>0</v>
      </c>
      <c r="BA125" s="28">
        <v>0</v>
      </c>
      <c r="BB125" s="28">
        <v>0</v>
      </c>
      <c r="BC125" s="28">
        <v>0</v>
      </c>
      <c r="BD125" s="28">
        <v>0</v>
      </c>
      <c r="BE125" s="28">
        <v>0</v>
      </c>
      <c r="BF125" s="28">
        <v>0</v>
      </c>
      <c r="BG125" s="28">
        <v>0</v>
      </c>
      <c r="BH125" s="28">
        <v>0</v>
      </c>
      <c r="BI125" s="28">
        <v>0</v>
      </c>
      <c r="BJ125" s="28">
        <v>0</v>
      </c>
      <c r="BK125" s="28">
        <v>0</v>
      </c>
      <c r="BL125" s="28">
        <v>0</v>
      </c>
      <c r="BM125" s="28">
        <v>0</v>
      </c>
      <c r="BN125" s="46">
        <v>0</v>
      </c>
      <c r="BO125" s="46">
        <v>0</v>
      </c>
      <c r="BP125" s="46">
        <v>10000000</v>
      </c>
      <c r="BQ125" s="46">
        <v>20000000</v>
      </c>
      <c r="BR125" s="46">
        <v>5000000</v>
      </c>
      <c r="BS125" s="46">
        <v>10000000</v>
      </c>
      <c r="BT125" s="46">
        <v>0</v>
      </c>
      <c r="BU125" s="46">
        <v>0</v>
      </c>
      <c r="BV125" s="46">
        <v>0</v>
      </c>
      <c r="BW125" s="46">
        <v>0</v>
      </c>
      <c r="BX125" s="46">
        <v>0</v>
      </c>
      <c r="BY125" s="46">
        <v>0</v>
      </c>
      <c r="BZ125" s="46">
        <v>0</v>
      </c>
      <c r="CA125" s="46">
        <v>0</v>
      </c>
      <c r="CB125" s="46">
        <v>0</v>
      </c>
    </row>
    <row r="126" spans="2:80" ht="10.35" customHeight="1" x14ac:dyDescent="0.3">
      <c r="B126" s="1" t="s">
        <v>90</v>
      </c>
      <c r="I126" s="15" t="s">
        <v>0</v>
      </c>
      <c r="R126" s="28">
        <v>0</v>
      </c>
      <c r="S126" s="46">
        <v>0</v>
      </c>
      <c r="T126" s="28">
        <v>0</v>
      </c>
      <c r="U126" s="28">
        <v>0</v>
      </c>
      <c r="V126" s="28">
        <v>0</v>
      </c>
      <c r="X126" s="28"/>
      <c r="Y126" s="28"/>
      <c r="Z126" s="28"/>
      <c r="AA126" s="28"/>
      <c r="AB126" s="28"/>
      <c r="AC126" s="28"/>
      <c r="AD126" s="46">
        <v>0</v>
      </c>
      <c r="AE126" s="46">
        <v>0</v>
      </c>
      <c r="AF126" s="46">
        <v>0</v>
      </c>
      <c r="AG126" s="46">
        <v>0</v>
      </c>
      <c r="AH126" s="46">
        <v>0</v>
      </c>
      <c r="AI126" s="46">
        <v>0</v>
      </c>
      <c r="AJ126" s="46">
        <v>0</v>
      </c>
      <c r="AK126" s="46">
        <v>0</v>
      </c>
      <c r="AL126" s="46">
        <v>0</v>
      </c>
      <c r="AM126" s="46">
        <v>0</v>
      </c>
      <c r="AN126" s="46">
        <v>0</v>
      </c>
      <c r="AO126" s="46">
        <v>0</v>
      </c>
      <c r="AP126" s="46">
        <v>0</v>
      </c>
      <c r="AQ126" s="46">
        <v>0</v>
      </c>
      <c r="AR126" s="46">
        <v>0</v>
      </c>
      <c r="AS126" s="46">
        <v>0</v>
      </c>
      <c r="AT126" s="46">
        <v>0</v>
      </c>
      <c r="AU126" s="46">
        <v>0</v>
      </c>
      <c r="AV126" s="46">
        <v>0</v>
      </c>
      <c r="AW126" s="46">
        <v>0</v>
      </c>
      <c r="AX126" s="46">
        <v>0</v>
      </c>
      <c r="AY126" s="46">
        <v>0</v>
      </c>
      <c r="AZ126" s="46">
        <v>0</v>
      </c>
      <c r="BA126" s="46">
        <v>0</v>
      </c>
      <c r="BB126" s="46">
        <v>0</v>
      </c>
      <c r="BC126" s="46">
        <v>0</v>
      </c>
      <c r="BD126" s="46">
        <v>0</v>
      </c>
      <c r="BE126" s="46">
        <v>0</v>
      </c>
      <c r="BF126" s="46">
        <v>0</v>
      </c>
      <c r="BG126" s="46">
        <v>0</v>
      </c>
      <c r="BH126" s="46">
        <v>0</v>
      </c>
      <c r="BI126" s="46">
        <v>0</v>
      </c>
      <c r="BJ126" s="46">
        <v>0</v>
      </c>
      <c r="BK126" s="46">
        <v>0</v>
      </c>
      <c r="BL126" s="46">
        <v>0</v>
      </c>
      <c r="BM126" s="46">
        <v>0</v>
      </c>
      <c r="BN126" s="46">
        <v>0</v>
      </c>
      <c r="BO126" s="46">
        <v>0</v>
      </c>
      <c r="BP126" s="46">
        <v>0</v>
      </c>
      <c r="BQ126" s="46">
        <v>0</v>
      </c>
      <c r="BR126" s="46">
        <v>0</v>
      </c>
      <c r="BS126" s="46">
        <v>0</v>
      </c>
      <c r="BT126" s="46">
        <v>0</v>
      </c>
      <c r="BU126" s="46">
        <v>0</v>
      </c>
      <c r="BV126" s="46">
        <v>0</v>
      </c>
      <c r="BW126" s="46">
        <v>0</v>
      </c>
      <c r="BX126" s="46">
        <v>0</v>
      </c>
      <c r="BY126" s="46">
        <v>0</v>
      </c>
      <c r="BZ126" s="46">
        <v>0</v>
      </c>
      <c r="CA126" s="46">
        <v>0</v>
      </c>
      <c r="CB126" s="46">
        <v>0</v>
      </c>
    </row>
    <row r="127" spans="2:80" ht="10.35" customHeight="1" x14ac:dyDescent="0.3">
      <c r="B127" s="1" t="s">
        <v>91</v>
      </c>
      <c r="I127" s="15" t="s">
        <v>0</v>
      </c>
      <c r="R127" s="28">
        <v>0</v>
      </c>
      <c r="S127" s="46">
        <v>0</v>
      </c>
      <c r="T127" s="28">
        <v>0</v>
      </c>
      <c r="U127" s="28">
        <v>0</v>
      </c>
      <c r="V127" s="28">
        <v>86445023.659571186</v>
      </c>
      <c r="X127" s="28"/>
      <c r="Y127" s="28"/>
      <c r="Z127" s="28"/>
      <c r="AA127" s="28"/>
      <c r="AB127" s="28"/>
      <c r="AC127" s="28"/>
      <c r="AD127" s="28">
        <v>0</v>
      </c>
      <c r="AE127" s="28">
        <v>0</v>
      </c>
      <c r="AF127" s="28">
        <v>0</v>
      </c>
      <c r="AG127" s="28">
        <v>0</v>
      </c>
      <c r="AH127" s="28">
        <v>0</v>
      </c>
      <c r="AI127" s="28">
        <v>0</v>
      </c>
      <c r="AJ127" s="28">
        <v>0</v>
      </c>
      <c r="AK127" s="28">
        <v>0</v>
      </c>
      <c r="AL127" s="28">
        <v>0</v>
      </c>
      <c r="AM127" s="28">
        <v>0</v>
      </c>
      <c r="AN127" s="28">
        <v>0</v>
      </c>
      <c r="AO127" s="28">
        <v>0</v>
      </c>
      <c r="AP127" s="28">
        <v>0</v>
      </c>
      <c r="AQ127" s="28">
        <v>0</v>
      </c>
      <c r="AR127" s="28">
        <v>0</v>
      </c>
      <c r="AS127" s="28">
        <v>0</v>
      </c>
      <c r="AT127" s="28">
        <v>0</v>
      </c>
      <c r="AU127" s="28">
        <v>0</v>
      </c>
      <c r="AV127" s="28">
        <v>0</v>
      </c>
      <c r="AW127" s="28">
        <v>0</v>
      </c>
      <c r="AX127" s="28">
        <v>0</v>
      </c>
      <c r="AY127" s="28">
        <v>0</v>
      </c>
      <c r="AZ127" s="28">
        <v>0</v>
      </c>
      <c r="BA127" s="28">
        <v>0</v>
      </c>
      <c r="BB127" s="28">
        <v>0</v>
      </c>
      <c r="BC127" s="28">
        <v>0</v>
      </c>
      <c r="BD127" s="28">
        <v>0</v>
      </c>
      <c r="BE127" s="28">
        <v>0</v>
      </c>
      <c r="BF127" s="28">
        <v>0</v>
      </c>
      <c r="BG127" s="28">
        <v>0</v>
      </c>
      <c r="BH127" s="28">
        <v>0</v>
      </c>
      <c r="BI127" s="28">
        <v>0</v>
      </c>
      <c r="BJ127" s="28">
        <v>0</v>
      </c>
      <c r="BK127" s="28">
        <v>0</v>
      </c>
      <c r="BL127" s="28">
        <v>0</v>
      </c>
      <c r="BM127" s="28">
        <v>0</v>
      </c>
      <c r="BN127" s="46">
        <v>0</v>
      </c>
      <c r="BO127" s="46">
        <v>0</v>
      </c>
      <c r="BP127" s="46">
        <v>0</v>
      </c>
      <c r="BQ127" s="46">
        <v>0</v>
      </c>
      <c r="BR127" s="46">
        <v>0</v>
      </c>
      <c r="BS127" s="46">
        <v>0</v>
      </c>
      <c r="BT127" s="46">
        <v>31765568.008234352</v>
      </c>
      <c r="BU127" s="46">
        <v>14443483.104943447</v>
      </c>
      <c r="BV127" s="46">
        <v>15716939.946088284</v>
      </c>
      <c r="BW127" s="46">
        <v>12252764.817749297</v>
      </c>
      <c r="BX127" s="46">
        <v>9431737.4550508466</v>
      </c>
      <c r="BY127" s="46">
        <v>2569408.1533116861</v>
      </c>
      <c r="BZ127" s="46">
        <v>261817.69869119974</v>
      </c>
      <c r="CA127" s="46">
        <v>3304.4755020786079</v>
      </c>
      <c r="CB127" s="46">
        <v>0</v>
      </c>
    </row>
    <row r="128" spans="2:80" ht="10.35" customHeight="1" x14ac:dyDescent="0.3">
      <c r="B128" s="1" t="s">
        <v>92</v>
      </c>
      <c r="I128" s="15" t="s">
        <v>0</v>
      </c>
      <c r="R128" s="28">
        <v>0</v>
      </c>
      <c r="S128" s="46">
        <v>0</v>
      </c>
      <c r="T128" s="28">
        <v>0</v>
      </c>
      <c r="U128" s="28">
        <v>0</v>
      </c>
      <c r="V128" s="28">
        <v>0</v>
      </c>
      <c r="X128" s="28"/>
      <c r="Y128" s="28"/>
      <c r="Z128" s="28"/>
      <c r="AA128" s="28"/>
      <c r="AB128" s="28"/>
      <c r="AC128" s="28"/>
      <c r="AD128" s="28">
        <v>0</v>
      </c>
      <c r="AE128" s="28">
        <v>0</v>
      </c>
      <c r="AF128" s="28">
        <v>0</v>
      </c>
      <c r="AG128" s="28">
        <v>0</v>
      </c>
      <c r="AH128" s="28">
        <v>0</v>
      </c>
      <c r="AI128" s="28">
        <v>0</v>
      </c>
      <c r="AJ128" s="28">
        <v>0</v>
      </c>
      <c r="AK128" s="28">
        <v>0</v>
      </c>
      <c r="AL128" s="28">
        <v>0</v>
      </c>
      <c r="AM128" s="28">
        <v>0</v>
      </c>
      <c r="AN128" s="28">
        <v>0</v>
      </c>
      <c r="AO128" s="28">
        <v>0</v>
      </c>
      <c r="AP128" s="28">
        <v>0</v>
      </c>
      <c r="AQ128" s="28">
        <v>0</v>
      </c>
      <c r="AR128" s="28">
        <v>0</v>
      </c>
      <c r="AS128" s="28">
        <v>0</v>
      </c>
      <c r="AT128" s="28">
        <v>0</v>
      </c>
      <c r="AU128" s="28">
        <v>0</v>
      </c>
      <c r="AV128" s="28">
        <v>0</v>
      </c>
      <c r="AW128" s="28">
        <v>0</v>
      </c>
      <c r="AX128" s="28">
        <v>0</v>
      </c>
      <c r="AY128" s="28">
        <v>0</v>
      </c>
      <c r="AZ128" s="28">
        <v>0</v>
      </c>
      <c r="BA128" s="28">
        <v>0</v>
      </c>
      <c r="BB128" s="28">
        <v>0</v>
      </c>
      <c r="BC128" s="28">
        <v>0</v>
      </c>
      <c r="BD128" s="28">
        <v>0</v>
      </c>
      <c r="BE128" s="28">
        <v>0</v>
      </c>
      <c r="BF128" s="28">
        <v>0</v>
      </c>
      <c r="BG128" s="28">
        <v>0</v>
      </c>
      <c r="BH128" s="28">
        <v>0</v>
      </c>
      <c r="BI128" s="28">
        <v>0</v>
      </c>
      <c r="BJ128" s="28">
        <v>0</v>
      </c>
      <c r="BK128" s="28">
        <v>0</v>
      </c>
      <c r="BL128" s="28">
        <v>0</v>
      </c>
      <c r="BM128" s="28">
        <v>0</v>
      </c>
      <c r="BN128" s="46">
        <v>0</v>
      </c>
      <c r="BO128" s="46">
        <v>0</v>
      </c>
      <c r="BP128" s="46">
        <v>0</v>
      </c>
      <c r="BQ128" s="46">
        <v>0</v>
      </c>
      <c r="BR128" s="46">
        <v>0</v>
      </c>
      <c r="BS128" s="46">
        <v>0</v>
      </c>
      <c r="BT128" s="46">
        <v>0</v>
      </c>
      <c r="BU128" s="46">
        <v>0</v>
      </c>
      <c r="BV128" s="46">
        <v>0</v>
      </c>
      <c r="BW128" s="46">
        <v>0</v>
      </c>
      <c r="BX128" s="46">
        <v>0</v>
      </c>
      <c r="BY128" s="46">
        <v>0</v>
      </c>
      <c r="BZ128" s="46">
        <v>0</v>
      </c>
      <c r="CA128" s="46">
        <v>0</v>
      </c>
      <c r="CB128" s="46">
        <v>0</v>
      </c>
    </row>
    <row r="129" spans="2:80" ht="10.35" customHeight="1" x14ac:dyDescent="0.3">
      <c r="B129" s="1" t="s">
        <v>93</v>
      </c>
      <c r="I129" s="15" t="s">
        <v>0</v>
      </c>
      <c r="R129" s="28">
        <v>0</v>
      </c>
      <c r="S129" s="46">
        <v>0</v>
      </c>
      <c r="T129" s="28">
        <v>0</v>
      </c>
      <c r="U129" s="28">
        <v>0</v>
      </c>
      <c r="V129" s="28">
        <v>0</v>
      </c>
      <c r="X129" s="28"/>
      <c r="Y129" s="28"/>
      <c r="Z129" s="28"/>
      <c r="AA129" s="28"/>
      <c r="AB129" s="28"/>
      <c r="AC129" s="28"/>
      <c r="AD129" s="28">
        <v>0</v>
      </c>
      <c r="AE129" s="28">
        <v>0</v>
      </c>
      <c r="AF129" s="28">
        <v>0</v>
      </c>
      <c r="AG129" s="28">
        <v>0</v>
      </c>
      <c r="AH129" s="28">
        <v>0</v>
      </c>
      <c r="AI129" s="28">
        <v>0</v>
      </c>
      <c r="AJ129" s="28">
        <v>0</v>
      </c>
      <c r="AK129" s="28">
        <v>0</v>
      </c>
      <c r="AL129" s="28">
        <v>0</v>
      </c>
      <c r="AM129" s="28">
        <v>0</v>
      </c>
      <c r="AN129" s="28">
        <v>0</v>
      </c>
      <c r="AO129" s="28">
        <v>0</v>
      </c>
      <c r="AP129" s="28">
        <v>0</v>
      </c>
      <c r="AQ129" s="28">
        <v>0</v>
      </c>
      <c r="AR129" s="28">
        <v>0</v>
      </c>
      <c r="AS129" s="28">
        <v>0</v>
      </c>
      <c r="AT129" s="28">
        <v>0</v>
      </c>
      <c r="AU129" s="28">
        <v>0</v>
      </c>
      <c r="AV129" s="28">
        <v>0</v>
      </c>
      <c r="AW129" s="28">
        <v>0</v>
      </c>
      <c r="AX129" s="28">
        <v>0</v>
      </c>
      <c r="AY129" s="28">
        <v>0</v>
      </c>
      <c r="AZ129" s="28">
        <v>0</v>
      </c>
      <c r="BA129" s="28">
        <v>0</v>
      </c>
      <c r="BB129" s="28">
        <v>0</v>
      </c>
      <c r="BC129" s="28">
        <v>0</v>
      </c>
      <c r="BD129" s="28">
        <v>0</v>
      </c>
      <c r="BE129" s="28">
        <v>0</v>
      </c>
      <c r="BF129" s="28">
        <v>0</v>
      </c>
      <c r="BG129" s="28">
        <v>0</v>
      </c>
      <c r="BH129" s="28">
        <v>0</v>
      </c>
      <c r="BI129" s="28">
        <v>0</v>
      </c>
      <c r="BJ129" s="28">
        <v>0</v>
      </c>
      <c r="BK129" s="28">
        <v>0</v>
      </c>
      <c r="BL129" s="28">
        <v>0</v>
      </c>
      <c r="BM129" s="28">
        <v>0</v>
      </c>
      <c r="BN129" s="46">
        <v>0</v>
      </c>
      <c r="BO129" s="46">
        <v>0</v>
      </c>
      <c r="BP129" s="46">
        <v>0</v>
      </c>
      <c r="BQ129" s="46">
        <v>0</v>
      </c>
      <c r="BR129" s="46">
        <v>0</v>
      </c>
      <c r="BS129" s="46">
        <v>0</v>
      </c>
      <c r="BT129" s="46">
        <v>0</v>
      </c>
      <c r="BU129" s="46">
        <v>0</v>
      </c>
      <c r="BV129" s="46">
        <v>0</v>
      </c>
      <c r="BW129" s="46">
        <v>0</v>
      </c>
      <c r="BX129" s="46">
        <v>0</v>
      </c>
      <c r="BY129" s="46">
        <v>0</v>
      </c>
      <c r="BZ129" s="46">
        <v>0</v>
      </c>
      <c r="CA129" s="46">
        <v>0</v>
      </c>
      <c r="CB129" s="46">
        <v>0</v>
      </c>
    </row>
    <row r="130" spans="2:80" ht="10.35" customHeight="1" x14ac:dyDescent="0.3">
      <c r="B130" s="1" t="s">
        <v>94</v>
      </c>
      <c r="I130" s="15" t="s">
        <v>0</v>
      </c>
      <c r="R130" s="28">
        <v>0</v>
      </c>
      <c r="S130" s="46">
        <v>0</v>
      </c>
      <c r="T130" s="28">
        <v>0</v>
      </c>
      <c r="U130" s="28">
        <v>0</v>
      </c>
      <c r="V130" s="28">
        <v>0</v>
      </c>
      <c r="X130" s="28"/>
      <c r="Y130" s="28"/>
      <c r="Z130" s="28"/>
      <c r="AA130" s="28"/>
      <c r="AB130" s="28"/>
      <c r="AC130" s="28"/>
      <c r="AD130" s="28">
        <v>0</v>
      </c>
      <c r="AE130" s="28">
        <v>0</v>
      </c>
      <c r="AF130" s="28">
        <v>0</v>
      </c>
      <c r="AG130" s="28">
        <v>0</v>
      </c>
      <c r="AH130" s="28">
        <v>0</v>
      </c>
      <c r="AI130" s="28">
        <v>0</v>
      </c>
      <c r="AJ130" s="28">
        <v>0</v>
      </c>
      <c r="AK130" s="28">
        <v>0</v>
      </c>
      <c r="AL130" s="28">
        <v>0</v>
      </c>
      <c r="AM130" s="28">
        <v>0</v>
      </c>
      <c r="AN130" s="28">
        <v>0</v>
      </c>
      <c r="AO130" s="28">
        <v>0</v>
      </c>
      <c r="AP130" s="28">
        <v>0</v>
      </c>
      <c r="AQ130" s="28">
        <v>0</v>
      </c>
      <c r="AR130" s="28">
        <v>0</v>
      </c>
      <c r="AS130" s="28">
        <v>0</v>
      </c>
      <c r="AT130" s="28">
        <v>0</v>
      </c>
      <c r="AU130" s="28">
        <v>0</v>
      </c>
      <c r="AV130" s="28">
        <v>0</v>
      </c>
      <c r="AW130" s="28">
        <v>0</v>
      </c>
      <c r="AX130" s="28">
        <v>0</v>
      </c>
      <c r="AY130" s="28">
        <v>0</v>
      </c>
      <c r="AZ130" s="28">
        <v>0</v>
      </c>
      <c r="BA130" s="28">
        <v>0</v>
      </c>
      <c r="BB130" s="28">
        <v>0</v>
      </c>
      <c r="BC130" s="28">
        <v>0</v>
      </c>
      <c r="BD130" s="28">
        <v>0</v>
      </c>
      <c r="BE130" s="28">
        <v>0</v>
      </c>
      <c r="BF130" s="28">
        <v>0</v>
      </c>
      <c r="BG130" s="28">
        <v>0</v>
      </c>
      <c r="BH130" s="28">
        <v>0</v>
      </c>
      <c r="BI130" s="28">
        <v>0</v>
      </c>
      <c r="BJ130" s="28">
        <v>0</v>
      </c>
      <c r="BK130" s="28">
        <v>0</v>
      </c>
      <c r="BL130" s="28">
        <v>0</v>
      </c>
      <c r="BM130" s="28">
        <v>0</v>
      </c>
      <c r="BN130" s="28">
        <v>0</v>
      </c>
      <c r="BO130" s="28">
        <v>0</v>
      </c>
      <c r="BP130" s="28">
        <v>0</v>
      </c>
      <c r="BQ130" s="28">
        <v>0</v>
      </c>
      <c r="BR130" s="28">
        <v>0</v>
      </c>
      <c r="BS130" s="28">
        <v>0</v>
      </c>
      <c r="BT130" s="28">
        <v>0</v>
      </c>
      <c r="BU130" s="28">
        <v>0</v>
      </c>
      <c r="BV130" s="28">
        <v>0</v>
      </c>
      <c r="BW130" s="28">
        <v>0</v>
      </c>
      <c r="BX130" s="28">
        <v>0</v>
      </c>
      <c r="BY130" s="28">
        <v>0</v>
      </c>
      <c r="BZ130" s="28">
        <v>0</v>
      </c>
      <c r="CA130" s="28">
        <v>0</v>
      </c>
      <c r="CB130" s="28">
        <v>0</v>
      </c>
    </row>
    <row r="131" spans="2:80" ht="10.35" customHeight="1" x14ac:dyDescent="0.3">
      <c r="B131" s="1" t="s">
        <v>126</v>
      </c>
      <c r="I131" s="15" t="s">
        <v>0</v>
      </c>
      <c r="R131" s="28">
        <v>0</v>
      </c>
      <c r="S131" s="46">
        <v>0</v>
      </c>
      <c r="T131" s="28">
        <v>0</v>
      </c>
      <c r="U131" s="28">
        <v>0</v>
      </c>
      <c r="V131" s="28">
        <v>0</v>
      </c>
      <c r="X131" s="28"/>
      <c r="Y131" s="28"/>
      <c r="Z131" s="28"/>
      <c r="AA131" s="28"/>
      <c r="AB131" s="28"/>
      <c r="AC131" s="28"/>
      <c r="AD131" s="46">
        <v>0</v>
      </c>
      <c r="AE131" s="46">
        <v>0</v>
      </c>
      <c r="AF131" s="46">
        <v>0</v>
      </c>
      <c r="AG131" s="46">
        <v>0</v>
      </c>
      <c r="AH131" s="46">
        <v>0</v>
      </c>
      <c r="AI131" s="46">
        <v>0</v>
      </c>
      <c r="AJ131" s="46">
        <v>0</v>
      </c>
      <c r="AK131" s="46">
        <v>0</v>
      </c>
      <c r="AL131" s="46">
        <v>0</v>
      </c>
      <c r="AM131" s="46">
        <v>0</v>
      </c>
      <c r="AN131" s="46">
        <v>0</v>
      </c>
      <c r="AO131" s="46">
        <v>0</v>
      </c>
      <c r="AP131" s="46">
        <v>0</v>
      </c>
      <c r="AQ131" s="46">
        <v>0</v>
      </c>
      <c r="AR131" s="46">
        <v>0</v>
      </c>
      <c r="AS131" s="46">
        <v>0</v>
      </c>
      <c r="AT131" s="46">
        <v>0</v>
      </c>
      <c r="AU131" s="46">
        <v>0</v>
      </c>
      <c r="AV131" s="46">
        <v>0</v>
      </c>
      <c r="AW131" s="46">
        <v>0</v>
      </c>
      <c r="AX131" s="46">
        <v>0</v>
      </c>
      <c r="AY131" s="46">
        <v>0</v>
      </c>
      <c r="AZ131" s="46">
        <v>0</v>
      </c>
      <c r="BA131" s="46">
        <v>0</v>
      </c>
      <c r="BB131" s="46">
        <v>0</v>
      </c>
      <c r="BC131" s="46">
        <v>0</v>
      </c>
      <c r="BD131" s="46">
        <v>0</v>
      </c>
      <c r="BE131" s="46">
        <v>0</v>
      </c>
      <c r="BF131" s="46">
        <v>0</v>
      </c>
      <c r="BG131" s="46">
        <v>0</v>
      </c>
      <c r="BH131" s="46">
        <v>0</v>
      </c>
      <c r="BI131" s="46">
        <v>0</v>
      </c>
      <c r="BJ131" s="46">
        <v>0</v>
      </c>
      <c r="BK131" s="46">
        <v>0</v>
      </c>
      <c r="BL131" s="46">
        <v>0</v>
      </c>
      <c r="BM131" s="46">
        <v>0</v>
      </c>
      <c r="BN131" s="46">
        <v>0</v>
      </c>
      <c r="BO131" s="46">
        <v>0</v>
      </c>
      <c r="BP131" s="46">
        <v>0</v>
      </c>
      <c r="BQ131" s="46">
        <v>0</v>
      </c>
      <c r="BR131" s="46">
        <v>0</v>
      </c>
      <c r="BS131" s="46">
        <v>0</v>
      </c>
      <c r="BT131" s="46">
        <v>0</v>
      </c>
      <c r="BU131" s="46">
        <v>0</v>
      </c>
      <c r="BV131" s="46">
        <v>0</v>
      </c>
      <c r="BW131" s="46">
        <v>0</v>
      </c>
      <c r="BX131" s="46">
        <v>0</v>
      </c>
      <c r="BY131" s="46">
        <v>0</v>
      </c>
      <c r="BZ131" s="46">
        <v>0</v>
      </c>
      <c r="CA131" s="46">
        <v>0</v>
      </c>
      <c r="CB131" s="46">
        <v>0</v>
      </c>
    </row>
    <row r="132" spans="2:80" ht="10.35" customHeight="1" x14ac:dyDescent="0.3">
      <c r="B132" s="1" t="s">
        <v>130</v>
      </c>
      <c r="I132" s="15" t="s">
        <v>0</v>
      </c>
      <c r="R132" s="28">
        <v>0</v>
      </c>
      <c r="S132" s="46">
        <v>0</v>
      </c>
      <c r="T132" s="28">
        <v>0</v>
      </c>
      <c r="U132" s="28">
        <v>0</v>
      </c>
      <c r="V132" s="28">
        <v>0</v>
      </c>
      <c r="X132" s="28"/>
      <c r="Y132" s="28"/>
      <c r="Z132" s="28"/>
      <c r="AA132" s="28"/>
      <c r="AB132" s="28"/>
      <c r="AC132" s="28"/>
      <c r="AD132" s="46">
        <v>0</v>
      </c>
      <c r="AE132" s="46">
        <v>0</v>
      </c>
      <c r="AF132" s="46">
        <v>0</v>
      </c>
      <c r="AG132" s="46">
        <v>0</v>
      </c>
      <c r="AH132" s="46">
        <v>0</v>
      </c>
      <c r="AI132" s="46">
        <v>0</v>
      </c>
      <c r="AJ132" s="46">
        <v>0</v>
      </c>
      <c r="AK132" s="46">
        <v>0</v>
      </c>
      <c r="AL132" s="46">
        <v>0</v>
      </c>
      <c r="AM132" s="46">
        <v>0</v>
      </c>
      <c r="AN132" s="46">
        <v>0</v>
      </c>
      <c r="AO132" s="46">
        <v>0</v>
      </c>
      <c r="AP132" s="46">
        <v>0</v>
      </c>
      <c r="AQ132" s="46">
        <v>0</v>
      </c>
      <c r="AR132" s="46">
        <v>0</v>
      </c>
      <c r="AS132" s="46">
        <v>0</v>
      </c>
      <c r="AT132" s="46">
        <v>0</v>
      </c>
      <c r="AU132" s="46">
        <v>0</v>
      </c>
      <c r="AV132" s="46">
        <v>0</v>
      </c>
      <c r="AW132" s="46">
        <v>0</v>
      </c>
      <c r="AX132" s="46">
        <v>0</v>
      </c>
      <c r="AY132" s="46">
        <v>0</v>
      </c>
      <c r="AZ132" s="46">
        <v>0</v>
      </c>
      <c r="BA132" s="46">
        <v>0</v>
      </c>
      <c r="BB132" s="46">
        <v>0</v>
      </c>
      <c r="BC132" s="46">
        <v>0</v>
      </c>
      <c r="BD132" s="46">
        <v>0</v>
      </c>
      <c r="BE132" s="46">
        <v>0</v>
      </c>
      <c r="BF132" s="46">
        <v>0</v>
      </c>
      <c r="BG132" s="46">
        <v>0</v>
      </c>
      <c r="BH132" s="46">
        <v>0</v>
      </c>
      <c r="BI132" s="46">
        <v>0</v>
      </c>
      <c r="BJ132" s="46">
        <v>0</v>
      </c>
      <c r="BK132" s="46">
        <v>0</v>
      </c>
      <c r="BL132" s="46">
        <v>0</v>
      </c>
      <c r="BM132" s="46">
        <v>0</v>
      </c>
      <c r="BN132" s="46">
        <v>0</v>
      </c>
      <c r="BO132" s="46">
        <v>0</v>
      </c>
      <c r="BP132" s="46">
        <v>0</v>
      </c>
      <c r="BQ132" s="46">
        <v>0</v>
      </c>
      <c r="BR132" s="46">
        <v>0</v>
      </c>
      <c r="BS132" s="46">
        <v>0</v>
      </c>
      <c r="BT132" s="46">
        <v>0</v>
      </c>
      <c r="BU132" s="46">
        <v>0</v>
      </c>
      <c r="BV132" s="46">
        <v>0</v>
      </c>
      <c r="BW132" s="46">
        <v>0</v>
      </c>
      <c r="BX132" s="46">
        <v>0</v>
      </c>
      <c r="BY132" s="46">
        <v>0</v>
      </c>
      <c r="BZ132" s="46">
        <v>0</v>
      </c>
      <c r="CA132" s="46">
        <v>0</v>
      </c>
      <c r="CB132" s="46">
        <v>0</v>
      </c>
    </row>
    <row r="133" spans="2:80" ht="10.35" customHeight="1" x14ac:dyDescent="0.3">
      <c r="B133" s="1" t="s">
        <v>129</v>
      </c>
      <c r="I133" s="15" t="s">
        <v>0</v>
      </c>
      <c r="R133" s="28">
        <v>0</v>
      </c>
      <c r="S133" s="46">
        <v>0</v>
      </c>
      <c r="T133" s="28">
        <v>0</v>
      </c>
      <c r="U133" s="28">
        <v>0</v>
      </c>
      <c r="V133" s="28">
        <v>0</v>
      </c>
      <c r="X133" s="28"/>
      <c r="Y133" s="28"/>
      <c r="Z133" s="28"/>
      <c r="AA133" s="28"/>
      <c r="AB133" s="28"/>
      <c r="AC133" s="28"/>
      <c r="AD133" s="28">
        <v>0</v>
      </c>
      <c r="AE133" s="28">
        <v>0</v>
      </c>
      <c r="AF133" s="28">
        <v>0</v>
      </c>
      <c r="AG133" s="28">
        <v>0</v>
      </c>
      <c r="AH133" s="28">
        <v>0</v>
      </c>
      <c r="AI133" s="28">
        <v>0</v>
      </c>
      <c r="AJ133" s="28">
        <v>0</v>
      </c>
      <c r="AK133" s="28">
        <v>0</v>
      </c>
      <c r="AL133" s="28">
        <v>0</v>
      </c>
      <c r="AM133" s="28">
        <v>0</v>
      </c>
      <c r="AN133" s="28">
        <v>0</v>
      </c>
      <c r="AO133" s="28">
        <v>0</v>
      </c>
      <c r="AP133" s="28">
        <v>0</v>
      </c>
      <c r="AQ133" s="28">
        <v>0</v>
      </c>
      <c r="AR133" s="28">
        <v>0</v>
      </c>
      <c r="AS133" s="28">
        <v>0</v>
      </c>
      <c r="AT133" s="28">
        <v>0</v>
      </c>
      <c r="AU133" s="28">
        <v>0</v>
      </c>
      <c r="AV133" s="28">
        <v>0</v>
      </c>
      <c r="AW133" s="28">
        <v>0</v>
      </c>
      <c r="AX133" s="28">
        <v>0</v>
      </c>
      <c r="AY133" s="28">
        <v>0</v>
      </c>
      <c r="AZ133" s="28">
        <v>0</v>
      </c>
      <c r="BA133" s="28">
        <v>0</v>
      </c>
      <c r="BB133" s="28">
        <v>0</v>
      </c>
      <c r="BC133" s="28">
        <v>0</v>
      </c>
      <c r="BD133" s="28">
        <v>0</v>
      </c>
      <c r="BE133" s="28">
        <v>0</v>
      </c>
      <c r="BF133" s="28">
        <v>0</v>
      </c>
      <c r="BG133" s="28">
        <v>0</v>
      </c>
      <c r="BH133" s="28">
        <v>0</v>
      </c>
      <c r="BI133" s="28">
        <v>0</v>
      </c>
      <c r="BJ133" s="28">
        <v>0</v>
      </c>
      <c r="BK133" s="28">
        <v>0</v>
      </c>
      <c r="BL133" s="28">
        <v>0</v>
      </c>
      <c r="BM133" s="28">
        <v>0</v>
      </c>
      <c r="BN133" s="46">
        <v>0</v>
      </c>
      <c r="BO133" s="46">
        <v>0</v>
      </c>
      <c r="BP133" s="46">
        <v>0</v>
      </c>
      <c r="BQ133" s="46">
        <v>0</v>
      </c>
      <c r="BR133" s="46">
        <v>0</v>
      </c>
      <c r="BS133" s="46">
        <v>0</v>
      </c>
      <c r="BT133" s="46">
        <v>0</v>
      </c>
      <c r="BU133" s="46">
        <v>0</v>
      </c>
      <c r="BV133" s="46">
        <v>0</v>
      </c>
      <c r="BW133" s="46">
        <v>0</v>
      </c>
      <c r="BX133" s="46">
        <v>0</v>
      </c>
      <c r="BY133" s="46">
        <v>0</v>
      </c>
      <c r="BZ133" s="46">
        <v>0</v>
      </c>
      <c r="CA133" s="46">
        <v>0</v>
      </c>
      <c r="CB133" s="46">
        <v>0</v>
      </c>
    </row>
    <row r="134" spans="2:80" ht="10.35" customHeight="1" x14ac:dyDescent="0.3">
      <c r="B134" s="1" t="s">
        <v>95</v>
      </c>
      <c r="I134" s="15" t="s">
        <v>0</v>
      </c>
      <c r="R134" s="28">
        <v>-300000.01999999955</v>
      </c>
      <c r="S134" s="46">
        <v>20851062.960000001</v>
      </c>
      <c r="T134" s="28">
        <v>843443.15000000224</v>
      </c>
      <c r="U134" s="28">
        <v>16867000</v>
      </c>
      <c r="V134" s="28">
        <v>0</v>
      </c>
      <c r="X134" s="28"/>
      <c r="Y134" s="28"/>
      <c r="Z134" s="28"/>
      <c r="AA134" s="28"/>
      <c r="AB134" s="28"/>
      <c r="AC134" s="28"/>
      <c r="AD134" s="28">
        <v>0</v>
      </c>
      <c r="AE134" s="28">
        <v>2599999.9800000004</v>
      </c>
      <c r="AF134" s="28">
        <v>-2900000</v>
      </c>
      <c r="AG134" s="28">
        <v>0</v>
      </c>
      <c r="AH134" s="28">
        <v>93750</v>
      </c>
      <c r="AI134" s="28">
        <v>0</v>
      </c>
      <c r="AJ134" s="28">
        <v>93750</v>
      </c>
      <c r="AK134" s="28">
        <v>0</v>
      </c>
      <c r="AL134" s="28">
        <v>0</v>
      </c>
      <c r="AM134" s="28">
        <v>3843949.9999999995</v>
      </c>
      <c r="AN134" s="28">
        <v>469674.83999999985</v>
      </c>
      <c r="AO134" s="28">
        <v>0</v>
      </c>
      <c r="AP134" s="28">
        <v>1317938.120000001</v>
      </c>
      <c r="AQ134" s="28">
        <v>15032000</v>
      </c>
      <c r="AR134" s="28">
        <v>0</v>
      </c>
      <c r="AS134" s="28">
        <v>-158652.57999999821</v>
      </c>
      <c r="AT134" s="28">
        <v>0</v>
      </c>
      <c r="AU134" s="28">
        <v>0</v>
      </c>
      <c r="AV134" s="28">
        <v>0</v>
      </c>
      <c r="AW134" s="28">
        <v>0</v>
      </c>
      <c r="AX134" s="28">
        <v>0</v>
      </c>
      <c r="AY134" s="28">
        <v>1002095.7300000004</v>
      </c>
      <c r="AZ134" s="28">
        <v>0</v>
      </c>
      <c r="BA134" s="28">
        <v>0</v>
      </c>
      <c r="BB134" s="28">
        <v>0</v>
      </c>
      <c r="BC134" s="28">
        <v>0</v>
      </c>
      <c r="BD134" s="28">
        <v>0</v>
      </c>
      <c r="BE134" s="28">
        <v>0</v>
      </c>
      <c r="BF134" s="28">
        <v>0</v>
      </c>
      <c r="BG134" s="28">
        <v>0</v>
      </c>
      <c r="BH134" s="28">
        <v>0</v>
      </c>
      <c r="BI134" s="28">
        <v>0</v>
      </c>
      <c r="BJ134" s="28">
        <v>0</v>
      </c>
      <c r="BK134" s="28">
        <v>0</v>
      </c>
      <c r="BL134" s="28">
        <v>0</v>
      </c>
      <c r="BM134" s="28">
        <v>1875000</v>
      </c>
      <c r="BN134" s="28">
        <v>14992000</v>
      </c>
      <c r="BO134" s="46">
        <v>0</v>
      </c>
      <c r="BP134" s="46">
        <v>0</v>
      </c>
      <c r="BQ134" s="46">
        <v>0</v>
      </c>
      <c r="BR134" s="46">
        <v>0</v>
      </c>
      <c r="BS134" s="46">
        <v>0</v>
      </c>
      <c r="BT134" s="46">
        <v>0</v>
      </c>
      <c r="BU134" s="46">
        <v>0</v>
      </c>
      <c r="BV134" s="46">
        <v>0</v>
      </c>
      <c r="BW134" s="46">
        <v>0</v>
      </c>
      <c r="BX134" s="46">
        <v>0</v>
      </c>
      <c r="BY134" s="46">
        <v>0</v>
      </c>
      <c r="BZ134" s="46">
        <v>0</v>
      </c>
      <c r="CA134" s="46">
        <v>0</v>
      </c>
      <c r="CB134" s="46">
        <v>0</v>
      </c>
    </row>
    <row r="135" spans="2:80" ht="10.35" customHeight="1" x14ac:dyDescent="0.3">
      <c r="B135" s="1" t="s">
        <v>96</v>
      </c>
      <c r="I135" s="15" t="s">
        <v>0</v>
      </c>
      <c r="R135" s="28">
        <v>3725320.3499999996</v>
      </c>
      <c r="S135" s="28">
        <v>18586417.66</v>
      </c>
      <c r="T135" s="28">
        <v>-25311738.009999998</v>
      </c>
      <c r="U135" s="28">
        <v>0</v>
      </c>
      <c r="V135" s="28">
        <v>0</v>
      </c>
      <c r="X135" s="28"/>
      <c r="Y135" s="28"/>
      <c r="Z135" s="28"/>
      <c r="AA135" s="28"/>
      <c r="AB135" s="28"/>
      <c r="AC135" s="28"/>
      <c r="AD135" s="28">
        <v>0</v>
      </c>
      <c r="AE135" s="28">
        <v>125160.35000000009</v>
      </c>
      <c r="AF135" s="28">
        <v>3600159.9999999995</v>
      </c>
      <c r="AG135" s="28">
        <v>1000000</v>
      </c>
      <c r="AH135" s="28">
        <v>2000000</v>
      </c>
      <c r="AI135" s="28">
        <v>0</v>
      </c>
      <c r="AJ135" s="28">
        <v>0</v>
      </c>
      <c r="AK135" s="28">
        <v>2000000</v>
      </c>
      <c r="AL135" s="28">
        <v>0</v>
      </c>
      <c r="AM135" s="28">
        <v>374450.90000000037</v>
      </c>
      <c r="AN135" s="28">
        <v>3463914.1400000006</v>
      </c>
      <c r="AO135" s="28">
        <v>0</v>
      </c>
      <c r="AP135" s="28">
        <v>0</v>
      </c>
      <c r="AQ135" s="28">
        <v>9734400</v>
      </c>
      <c r="AR135" s="28">
        <v>13652.620000001043</v>
      </c>
      <c r="AS135" s="28">
        <v>-18102435.870000001</v>
      </c>
      <c r="AT135" s="28">
        <v>740807.20000000019</v>
      </c>
      <c r="AU135" s="28">
        <v>-1.0244548320770264E-8</v>
      </c>
      <c r="AV135" s="28">
        <v>1.0244548320770264E-8</v>
      </c>
      <c r="AW135" s="28">
        <v>0</v>
      </c>
      <c r="AX135" s="28">
        <v>-774.83000000007451</v>
      </c>
      <c r="AY135" s="28">
        <v>0</v>
      </c>
      <c r="AZ135" s="28">
        <v>77.600000000558794</v>
      </c>
      <c r="BA135" s="28">
        <v>6.3999999994412065</v>
      </c>
      <c r="BB135" s="28">
        <v>-7949418.5099999998</v>
      </c>
      <c r="BC135" s="28">
        <v>0</v>
      </c>
      <c r="BD135" s="28">
        <v>0</v>
      </c>
      <c r="BE135" s="28">
        <v>0</v>
      </c>
      <c r="BF135" s="28">
        <v>0</v>
      </c>
      <c r="BG135" s="28">
        <v>0</v>
      </c>
      <c r="BH135" s="28">
        <v>0</v>
      </c>
      <c r="BI135" s="28">
        <v>0</v>
      </c>
      <c r="BJ135" s="46">
        <v>0</v>
      </c>
      <c r="BK135" s="46">
        <v>0</v>
      </c>
      <c r="BL135" s="46">
        <v>0</v>
      </c>
      <c r="BM135" s="46">
        <v>0</v>
      </c>
      <c r="BN135" s="46">
        <v>0</v>
      </c>
      <c r="BO135" s="46">
        <v>0</v>
      </c>
      <c r="BP135" s="46">
        <v>0</v>
      </c>
      <c r="BQ135" s="46">
        <v>0</v>
      </c>
      <c r="BR135" s="46">
        <v>0</v>
      </c>
      <c r="BS135" s="46">
        <v>0</v>
      </c>
      <c r="BT135" s="46">
        <v>0</v>
      </c>
      <c r="BU135" s="46">
        <v>0</v>
      </c>
      <c r="BV135" s="46">
        <v>0</v>
      </c>
      <c r="BW135" s="46">
        <v>0</v>
      </c>
      <c r="BX135" s="46">
        <v>0</v>
      </c>
      <c r="BY135" s="46">
        <v>0</v>
      </c>
      <c r="BZ135" s="46">
        <v>0</v>
      </c>
      <c r="CA135" s="46">
        <v>0</v>
      </c>
      <c r="CB135" s="46">
        <v>0</v>
      </c>
    </row>
    <row r="136" spans="2:80" ht="10.35" customHeight="1" x14ac:dyDescent="0.3">
      <c r="B136" s="17" t="s">
        <v>97</v>
      </c>
      <c r="C136" s="17"/>
      <c r="D136" s="17"/>
      <c r="E136" s="17"/>
      <c r="F136" s="17"/>
      <c r="G136" s="17"/>
      <c r="H136" s="17"/>
      <c r="I136" s="18" t="s">
        <v>0</v>
      </c>
      <c r="J136" s="17"/>
      <c r="K136" s="17"/>
      <c r="L136" s="17"/>
      <c r="M136" s="17"/>
      <c r="N136" s="17"/>
      <c r="O136" s="17"/>
      <c r="P136" s="17"/>
      <c r="Q136" s="17"/>
      <c r="R136" s="27">
        <v>3425320.33</v>
      </c>
      <c r="S136" s="27">
        <v>39437480.620000005</v>
      </c>
      <c r="T136" s="27">
        <v>-24468294.859999999</v>
      </c>
      <c r="U136" s="27">
        <v>23867000</v>
      </c>
      <c r="V136" s="27">
        <v>77259113.658783957</v>
      </c>
      <c r="W136" s="17"/>
      <c r="X136" s="27"/>
      <c r="Y136" s="27"/>
      <c r="Z136" s="27"/>
      <c r="AA136" s="27"/>
      <c r="AB136" s="27"/>
      <c r="AC136" s="27"/>
      <c r="AD136" s="27">
        <v>0</v>
      </c>
      <c r="AE136" s="27">
        <v>2725160.3300000005</v>
      </c>
      <c r="AF136" s="27">
        <v>700159.99999999953</v>
      </c>
      <c r="AG136" s="27">
        <v>1000000</v>
      </c>
      <c r="AH136" s="27">
        <v>2093750</v>
      </c>
      <c r="AI136" s="27">
        <v>0</v>
      </c>
      <c r="AJ136" s="27">
        <v>93750</v>
      </c>
      <c r="AK136" s="27">
        <v>2000000</v>
      </c>
      <c r="AL136" s="27">
        <v>0</v>
      </c>
      <c r="AM136" s="27">
        <v>4218400.9000000004</v>
      </c>
      <c r="AN136" s="27">
        <v>3933588.9800000004</v>
      </c>
      <c r="AO136" s="27">
        <v>0</v>
      </c>
      <c r="AP136" s="27">
        <v>1317938.120000001</v>
      </c>
      <c r="AQ136" s="27">
        <v>24766400</v>
      </c>
      <c r="AR136" s="27">
        <v>13652.620000001043</v>
      </c>
      <c r="AS136" s="27">
        <v>-18261088.449999999</v>
      </c>
      <c r="AT136" s="27">
        <v>740807.20000000019</v>
      </c>
      <c r="AU136" s="27">
        <v>-1.0244548320770264E-8</v>
      </c>
      <c r="AV136" s="27">
        <v>1.0244548320770264E-8</v>
      </c>
      <c r="AW136" s="27">
        <v>0</v>
      </c>
      <c r="AX136" s="27">
        <v>-774.83000000007451</v>
      </c>
      <c r="AY136" s="27">
        <v>1002095.7300000004</v>
      </c>
      <c r="AZ136" s="27">
        <v>77.600000000558794</v>
      </c>
      <c r="BA136" s="27">
        <v>6.3999999994412065</v>
      </c>
      <c r="BB136" s="27">
        <v>-7949418.5099999998</v>
      </c>
      <c r="BC136" s="27">
        <v>0</v>
      </c>
      <c r="BD136" s="27">
        <v>0</v>
      </c>
      <c r="BE136" s="27">
        <v>0</v>
      </c>
      <c r="BF136" s="27">
        <v>0</v>
      </c>
      <c r="BG136" s="27">
        <v>0</v>
      </c>
      <c r="BH136" s="27">
        <v>0</v>
      </c>
      <c r="BI136" s="27">
        <v>0</v>
      </c>
      <c r="BJ136" s="27">
        <v>0</v>
      </c>
      <c r="BK136" s="27">
        <v>0</v>
      </c>
      <c r="BL136" s="27">
        <v>0</v>
      </c>
      <c r="BM136" s="27">
        <v>1875000</v>
      </c>
      <c r="BN136" s="27">
        <v>14992000</v>
      </c>
      <c r="BO136" s="27">
        <v>0</v>
      </c>
      <c r="BP136" s="27">
        <v>7000000</v>
      </c>
      <c r="BQ136" s="27">
        <v>14048600.512636423</v>
      </c>
      <c r="BR136" s="27">
        <v>6065741.2950269692</v>
      </c>
      <c r="BS136" s="27">
        <v>-4450631.7699694037</v>
      </c>
      <c r="BT136" s="27">
        <v>3725850.8546997942</v>
      </c>
      <c r="BU136" s="27">
        <v>13264734.374517338</v>
      </c>
      <c r="BV136" s="27">
        <v>16094450.272325635</v>
      </c>
      <c r="BW136" s="27">
        <v>14360309.157066476</v>
      </c>
      <c r="BX136" s="27">
        <v>10782175.999563379</v>
      </c>
      <c r="BY136" s="27">
        <v>3307706.7491839034</v>
      </c>
      <c r="BZ136" s="27">
        <v>667198.67814403703</v>
      </c>
      <c r="CA136" s="27">
        <v>-915651.72256737459</v>
      </c>
      <c r="CB136" s="27">
        <v>308629.25815677148</v>
      </c>
    </row>
    <row r="137" spans="2:80" ht="10.35" customHeight="1" x14ac:dyDescent="0.3"/>
    <row r="138" spans="2:80" ht="10.35" customHeight="1" x14ac:dyDescent="0.3">
      <c r="B138" s="1" t="s">
        <v>98</v>
      </c>
      <c r="I138" s="15" t="s">
        <v>0</v>
      </c>
      <c r="R138" s="28">
        <v>642420.19999999914</v>
      </c>
      <c r="S138" s="28">
        <v>6554613.3907748433</v>
      </c>
      <c r="T138" s="28">
        <v>-24863347.528700002</v>
      </c>
      <c r="U138" s="28">
        <v>-16914944.958930146</v>
      </c>
      <c r="V138" s="28">
        <v>-9801241.3417208251</v>
      </c>
      <c r="X138" s="28"/>
      <c r="Y138" s="28"/>
      <c r="Z138" s="28"/>
      <c r="AA138" s="28"/>
      <c r="AB138" s="28"/>
      <c r="AC138" s="28"/>
      <c r="AD138" s="28">
        <v>-570285.05000000016</v>
      </c>
      <c r="AE138" s="28">
        <v>1556963.4000000004</v>
      </c>
      <c r="AF138" s="28">
        <v>-344258.15000000107</v>
      </c>
      <c r="AG138" s="28">
        <v>7474.9113000006182</v>
      </c>
      <c r="AH138" s="28">
        <v>-1038117.9070000001</v>
      </c>
      <c r="AI138" s="28">
        <v>994093.15763083601</v>
      </c>
      <c r="AJ138" s="28">
        <v>-494538.22319599951</v>
      </c>
      <c r="AK138" s="28">
        <v>1859908.9349999973</v>
      </c>
      <c r="AL138" s="28">
        <v>-1765027.5722999948</v>
      </c>
      <c r="AM138" s="28">
        <v>177179.81674000109</v>
      </c>
      <c r="AN138" s="28">
        <v>-1504273.86735</v>
      </c>
      <c r="AO138" s="28">
        <v>-77859.666099998634</v>
      </c>
      <c r="AP138" s="28">
        <v>1597064.0420000025</v>
      </c>
      <c r="AQ138" s="28">
        <v>11499607.060599998</v>
      </c>
      <c r="AR138" s="28">
        <v>-4700897.2965499992</v>
      </c>
      <c r="AS138" s="28">
        <v>-1302943.687400002</v>
      </c>
      <c r="AT138" s="28">
        <v>1167340.136750001</v>
      </c>
      <c r="AU138" s="28">
        <v>-4097838.1060500117</v>
      </c>
      <c r="AV138" s="28">
        <v>-3280840.8746999884</v>
      </c>
      <c r="AW138" s="28">
        <v>576871.18450000137</v>
      </c>
      <c r="AX138" s="28">
        <v>501020.03284999914</v>
      </c>
      <c r="AY138" s="28">
        <v>-2329598.0424499982</v>
      </c>
      <c r="AZ138" s="28">
        <v>-3533671.4249999984</v>
      </c>
      <c r="BA138" s="28">
        <v>2062356.8899999987</v>
      </c>
      <c r="BB138" s="28">
        <v>-427754.12184999418</v>
      </c>
      <c r="BC138" s="28">
        <v>-10605789.267649999</v>
      </c>
      <c r="BD138" s="28">
        <v>-3592500.2477000044</v>
      </c>
      <c r="BE138" s="28">
        <v>-5007248.6592499996</v>
      </c>
      <c r="BF138" s="28">
        <v>-5164290.0196499983</v>
      </c>
      <c r="BG138" s="28">
        <v>-6997105.2751737274</v>
      </c>
      <c r="BH138" s="28">
        <v>561243.41048714228</v>
      </c>
      <c r="BI138" s="28">
        <v>-1344057.15174286</v>
      </c>
      <c r="BJ138" s="28">
        <v>2244176.3539371444</v>
      </c>
      <c r="BK138" s="28">
        <v>-10628478.251292866</v>
      </c>
      <c r="BL138" s="28">
        <v>1992045.3987571343</v>
      </c>
      <c r="BM138" s="28">
        <v>1229405.8767971462</v>
      </c>
      <c r="BN138" s="28">
        <v>11710212.752620466</v>
      </c>
      <c r="BO138" s="28">
        <v>-6156465.8851828566</v>
      </c>
      <c r="BP138" s="28">
        <v>645616.49076313246</v>
      </c>
      <c r="BQ138" s="28">
        <v>14865306.649172556</v>
      </c>
      <c r="BR138" s="28">
        <v>-1218003.0591594009</v>
      </c>
      <c r="BS138" s="28">
        <v>-10162718.153939832</v>
      </c>
      <c r="BT138" s="28">
        <v>-13344264.236073326</v>
      </c>
      <c r="BU138" s="28">
        <v>0</v>
      </c>
      <c r="BV138" s="28">
        <v>0</v>
      </c>
      <c r="BW138" s="28">
        <v>0</v>
      </c>
      <c r="BX138" s="28">
        <v>0</v>
      </c>
      <c r="BY138" s="28">
        <v>3.7252902984619141E-9</v>
      </c>
      <c r="BZ138" s="28">
        <v>0</v>
      </c>
      <c r="CA138" s="28">
        <v>1.9790604710578918E-9</v>
      </c>
      <c r="CB138" s="28">
        <v>58437.458279173356</v>
      </c>
    </row>
    <row r="139" spans="2:80" ht="10.35" customHeight="1" x14ac:dyDescent="0.3">
      <c r="B139" s="1" t="s">
        <v>99</v>
      </c>
      <c r="I139" s="15" t="s">
        <v>0</v>
      </c>
      <c r="R139" s="34" t="s">
        <v>128</v>
      </c>
      <c r="S139" s="34">
        <v>1841669.75</v>
      </c>
      <c r="T139" s="34">
        <v>10523351.529999999</v>
      </c>
      <c r="U139" s="34">
        <v>12456987.33</v>
      </c>
      <c r="V139" s="34">
        <v>9859678.7999999989</v>
      </c>
      <c r="X139" s="28"/>
      <c r="Y139" s="28"/>
      <c r="Z139" s="28"/>
      <c r="AA139" s="28"/>
      <c r="AB139" s="28"/>
      <c r="AC139" s="28"/>
      <c r="AD139" s="28">
        <v>1224068.1300000001</v>
      </c>
      <c r="AE139" s="28">
        <v>653840.24</v>
      </c>
      <c r="AF139" s="28">
        <v>2210824.9000000004</v>
      </c>
      <c r="AG139" s="28">
        <v>1841669.75</v>
      </c>
      <c r="AH139" s="28">
        <v>1849193.53</v>
      </c>
      <c r="AI139" s="28">
        <v>1960170.4099999997</v>
      </c>
      <c r="AJ139" s="28">
        <v>2867551.3299999996</v>
      </c>
      <c r="AK139" s="28">
        <v>2115338.46</v>
      </c>
      <c r="AL139" s="28">
        <v>4067119.4599999995</v>
      </c>
      <c r="AM139" s="28">
        <v>2209988.4300000002</v>
      </c>
      <c r="AN139" s="28">
        <v>4324448.08</v>
      </c>
      <c r="AO139" s="28">
        <v>2599806.62</v>
      </c>
      <c r="AP139" s="28">
        <v>2559466.9299999997</v>
      </c>
      <c r="AQ139" s="28">
        <v>4019166.0600000005</v>
      </c>
      <c r="AR139" s="28">
        <v>15482869.050000001</v>
      </c>
      <c r="AS139" s="28">
        <v>10523351.529999999</v>
      </c>
      <c r="AT139" s="28">
        <v>9223746.7100000009</v>
      </c>
      <c r="AU139" s="28">
        <v>10286185.110000001</v>
      </c>
      <c r="AV139" s="28">
        <v>7488416.4900000002</v>
      </c>
      <c r="AW139" s="28">
        <v>4214016.68</v>
      </c>
      <c r="AX139" s="28">
        <v>4780224.53</v>
      </c>
      <c r="AY139" s="28">
        <v>10870209.370000001</v>
      </c>
      <c r="AZ139" s="28">
        <v>8545313.1400000006</v>
      </c>
      <c r="BA139" s="28">
        <v>5011742.37</v>
      </c>
      <c r="BB139" s="28">
        <v>7073737.0200000005</v>
      </c>
      <c r="BC139" s="28">
        <v>17152411.400000002</v>
      </c>
      <c r="BD139" s="28">
        <v>15983086.730000002</v>
      </c>
      <c r="BE139" s="28">
        <v>12456987.33</v>
      </c>
      <c r="BF139" s="28">
        <v>7221443.0499999998</v>
      </c>
      <c r="BG139" s="28">
        <v>12590939.640000001</v>
      </c>
      <c r="BH139" s="28">
        <v>5588615.0100000007</v>
      </c>
      <c r="BI139" s="28">
        <v>7215143.7100000009</v>
      </c>
      <c r="BJ139" s="28">
        <v>6242870.5599999996</v>
      </c>
      <c r="BK139" s="28">
        <v>6993032.6699999999</v>
      </c>
      <c r="BL139" s="28">
        <v>2142832.8000000007</v>
      </c>
      <c r="BM139" s="28">
        <v>3860728.0599999996</v>
      </c>
      <c r="BN139" s="28">
        <v>5449292.6500000004</v>
      </c>
      <c r="BO139" s="28">
        <v>17065026.48</v>
      </c>
      <c r="BP139" s="28">
        <v>9666339.3100000005</v>
      </c>
      <c r="BQ139" s="28">
        <v>9859678.7999999989</v>
      </c>
      <c r="BR139" s="28">
        <v>24724985.449172556</v>
      </c>
      <c r="BS139" s="28">
        <v>23506982.390013155</v>
      </c>
      <c r="BT139" s="28">
        <v>13344264.236073323</v>
      </c>
      <c r="BU139" s="28">
        <v>0</v>
      </c>
      <c r="BV139" s="28">
        <v>0</v>
      </c>
      <c r="BW139" s="28">
        <v>0</v>
      </c>
      <c r="BX139" s="28">
        <v>0</v>
      </c>
      <c r="BY139" s="28">
        <v>0</v>
      </c>
      <c r="BZ139" s="28">
        <v>3.7252902984619141E-9</v>
      </c>
      <c r="CA139" s="28">
        <v>3.7252902984619141E-9</v>
      </c>
      <c r="CB139" s="28">
        <v>5.7043507695198059E-9</v>
      </c>
    </row>
    <row r="140" spans="2:80" ht="10.35" customHeight="1" x14ac:dyDescent="0.3">
      <c r="B140" s="17" t="s">
        <v>100</v>
      </c>
      <c r="C140" s="17"/>
      <c r="D140" s="17"/>
      <c r="E140" s="17"/>
      <c r="F140" s="17"/>
      <c r="G140" s="17"/>
      <c r="H140" s="17"/>
      <c r="I140" s="18" t="s">
        <v>0</v>
      </c>
      <c r="J140" s="17"/>
      <c r="K140" s="17"/>
      <c r="L140" s="17"/>
      <c r="M140" s="17"/>
      <c r="N140" s="17"/>
      <c r="O140" s="17"/>
      <c r="P140" s="17"/>
      <c r="Q140" s="17"/>
      <c r="R140" s="27">
        <v>1866566.7499999993</v>
      </c>
      <c r="S140" s="27">
        <v>10781971.753450003</v>
      </c>
      <c r="T140" s="27">
        <v>12390586.482299998</v>
      </c>
      <c r="U140" s="27">
        <v>10311955.800763134</v>
      </c>
      <c r="V140" s="27">
        <v>58437.45827917906</v>
      </c>
      <c r="W140" s="17"/>
      <c r="X140" s="27"/>
      <c r="Y140" s="27"/>
      <c r="Z140" s="27"/>
      <c r="AA140" s="27"/>
      <c r="AB140" s="27"/>
      <c r="AC140" s="27"/>
      <c r="AD140" s="27">
        <v>653783.07999999996</v>
      </c>
      <c r="AE140" s="27">
        <v>2210803.6400000006</v>
      </c>
      <c r="AF140" s="27">
        <v>1866566.7499999993</v>
      </c>
      <c r="AG140" s="27">
        <v>1849144.6613000007</v>
      </c>
      <c r="AH140" s="27">
        <v>811075.62299999991</v>
      </c>
      <c r="AI140" s="27">
        <v>2954263.5676308358</v>
      </c>
      <c r="AJ140" s="27">
        <v>2373013.1068040002</v>
      </c>
      <c r="AK140" s="27">
        <v>3975247.3949999972</v>
      </c>
      <c r="AL140" s="27">
        <v>2302091.8877000045</v>
      </c>
      <c r="AM140" s="27">
        <v>2387168.2467400013</v>
      </c>
      <c r="AN140" s="27">
        <v>2820174.2126500001</v>
      </c>
      <c r="AO140" s="27">
        <v>2521946.9539000015</v>
      </c>
      <c r="AP140" s="27">
        <v>4156530.9720000019</v>
      </c>
      <c r="AQ140" s="27">
        <v>15518773.120599998</v>
      </c>
      <c r="AR140" s="27">
        <v>10781971.753450003</v>
      </c>
      <c r="AS140" s="27">
        <v>9220407.8425999973</v>
      </c>
      <c r="AT140" s="27">
        <v>10391086.846750002</v>
      </c>
      <c r="AU140" s="27">
        <v>6188347.0039499896</v>
      </c>
      <c r="AV140" s="27">
        <v>4207575.6153000118</v>
      </c>
      <c r="AW140" s="27">
        <v>4790887.8645000011</v>
      </c>
      <c r="AX140" s="27">
        <v>5281244.5628499994</v>
      </c>
      <c r="AY140" s="27">
        <v>8540611.3275500033</v>
      </c>
      <c r="AZ140" s="27">
        <v>5011641.7150000017</v>
      </c>
      <c r="BA140" s="27">
        <v>7074099.2599999988</v>
      </c>
      <c r="BB140" s="27">
        <v>6645982.8981500063</v>
      </c>
      <c r="BC140" s="27">
        <v>6546622.1323500033</v>
      </c>
      <c r="BD140" s="27">
        <v>12390586.482299998</v>
      </c>
      <c r="BE140" s="27">
        <v>7449738.6707500005</v>
      </c>
      <c r="BF140" s="27">
        <v>2057153.0303500015</v>
      </c>
      <c r="BG140" s="27">
        <v>5593834.3648262732</v>
      </c>
      <c r="BH140" s="27">
        <v>6149858.4204871431</v>
      </c>
      <c r="BI140" s="27">
        <v>5871086.5582571412</v>
      </c>
      <c r="BJ140" s="27">
        <v>8487046.913937144</v>
      </c>
      <c r="BK140" s="27">
        <v>-3635445.5812928658</v>
      </c>
      <c r="BL140" s="27">
        <v>4134878.1987571353</v>
      </c>
      <c r="BM140" s="27">
        <v>5090133.9367971458</v>
      </c>
      <c r="BN140" s="27">
        <v>17159505.402620465</v>
      </c>
      <c r="BO140" s="27">
        <v>10908560.594817143</v>
      </c>
      <c r="BP140" s="27">
        <v>10311955.800763134</v>
      </c>
      <c r="BQ140" s="27">
        <v>24724985.449172556</v>
      </c>
      <c r="BR140" s="27">
        <v>23506982.390013155</v>
      </c>
      <c r="BS140" s="27">
        <v>13344264.236073323</v>
      </c>
      <c r="BT140" s="27">
        <v>0</v>
      </c>
      <c r="BU140" s="27">
        <v>0</v>
      </c>
      <c r="BV140" s="27">
        <v>0</v>
      </c>
      <c r="BW140" s="27">
        <v>0</v>
      </c>
      <c r="BX140" s="27">
        <v>0</v>
      </c>
      <c r="BY140" s="27">
        <v>3.7252902984619141E-9</v>
      </c>
      <c r="BZ140" s="27">
        <v>3.7252902984619141E-9</v>
      </c>
      <c r="CA140" s="27">
        <v>5.7043507695198059E-9</v>
      </c>
      <c r="CB140" s="27">
        <v>58437.45827917906</v>
      </c>
    </row>
    <row r="141" spans="2:80" ht="10.35" customHeight="1" x14ac:dyDescent="0.3"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  <c r="BV141" s="28"/>
      <c r="BW141" s="28"/>
      <c r="BX141" s="28"/>
      <c r="BY141" s="28"/>
    </row>
    <row r="142" spans="2:80" ht="10.35" customHeight="1" x14ac:dyDescent="0.3"/>
    <row r="143" spans="2:80" ht="10.35" customHeight="1" x14ac:dyDescent="0.3"/>
    <row r="144" spans="2:80" ht="10.35" customHeight="1" x14ac:dyDescent="0.3"/>
    <row r="145" ht="10.35" customHeight="1" x14ac:dyDescent="0.3"/>
    <row r="146" ht="10.35" customHeight="1" x14ac:dyDescent="0.3"/>
    <row r="147" ht="10.35" customHeight="1" x14ac:dyDescent="0.3"/>
    <row r="148" ht="10.35" customHeight="1" x14ac:dyDescent="0.3"/>
    <row r="149" ht="10.35" customHeight="1" x14ac:dyDescent="0.3"/>
    <row r="150" ht="10.35" customHeight="1" x14ac:dyDescent="0.3"/>
    <row r="151" ht="10.35" customHeight="1" x14ac:dyDescent="0.3"/>
    <row r="152" ht="10.35" customHeight="1" x14ac:dyDescent="0.3"/>
    <row r="153" ht="10.35" customHeight="1" x14ac:dyDescent="0.3"/>
    <row r="154" ht="10.35" customHeight="1" x14ac:dyDescent="0.3"/>
    <row r="155" ht="10.35" customHeight="1" x14ac:dyDescent="0.3"/>
    <row r="156" ht="10.35" customHeight="1" x14ac:dyDescent="0.3"/>
    <row r="157" ht="10.35" customHeight="1" x14ac:dyDescent="0.3"/>
    <row r="158" ht="10.35" customHeight="1" x14ac:dyDescent="0.3"/>
    <row r="159" ht="10.35" customHeight="1" x14ac:dyDescent="0.3"/>
    <row r="160" ht="10.35" customHeight="1" x14ac:dyDescent="0.3"/>
    <row r="161" ht="10.35" customHeight="1" x14ac:dyDescent="0.3"/>
    <row r="162" ht="10.35" customHeight="1" x14ac:dyDescent="0.3"/>
    <row r="163" ht="10.35" customHeight="1" x14ac:dyDescent="0.3"/>
    <row r="164" ht="10.35" customHeight="1" x14ac:dyDescent="0.3"/>
    <row r="165" ht="10.35" customHeight="1" x14ac:dyDescent="0.3"/>
    <row r="166" ht="10.35" customHeight="1" x14ac:dyDescent="0.3"/>
    <row r="167" ht="10.35" customHeight="1" x14ac:dyDescent="0.3"/>
    <row r="168" ht="10.35" customHeight="1" x14ac:dyDescent="0.3"/>
    <row r="169" ht="10.35" customHeight="1" x14ac:dyDescent="0.3"/>
    <row r="170" ht="10.35" customHeight="1" x14ac:dyDescent="0.3"/>
    <row r="171" ht="10.35" customHeight="1" x14ac:dyDescent="0.3"/>
    <row r="172" ht="10.35" customHeight="1" x14ac:dyDescent="0.3"/>
    <row r="173" ht="10.35" customHeight="1" x14ac:dyDescent="0.3"/>
    <row r="174" ht="10.35" customHeight="1" x14ac:dyDescent="0.3"/>
    <row r="175" ht="10.35" customHeight="1" x14ac:dyDescent="0.3"/>
    <row r="176" ht="10.35" customHeight="1" x14ac:dyDescent="0.3"/>
    <row r="177" ht="10.35" customHeight="1" x14ac:dyDescent="0.3"/>
    <row r="178" ht="10.35" customHeight="1" x14ac:dyDescent="0.3"/>
    <row r="179" ht="10.35" customHeight="1" x14ac:dyDescent="0.3"/>
    <row r="180" ht="10.35" customHeight="1" x14ac:dyDescent="0.3"/>
    <row r="181" ht="10.35" customHeight="1" x14ac:dyDescent="0.3"/>
    <row r="182" ht="10.35" customHeight="1" x14ac:dyDescent="0.3"/>
    <row r="183" ht="10.35" customHeight="1" x14ac:dyDescent="0.3"/>
    <row r="184" ht="10.35" customHeight="1" x14ac:dyDescent="0.3"/>
    <row r="185" ht="10.35" customHeight="1" x14ac:dyDescent="0.3"/>
    <row r="186" ht="10.35" customHeight="1" x14ac:dyDescent="0.3"/>
    <row r="187" ht="10.35" customHeight="1" x14ac:dyDescent="0.3"/>
    <row r="188" ht="10.35" customHeight="1" x14ac:dyDescent="0.3"/>
    <row r="189" ht="10.35" customHeight="1" x14ac:dyDescent="0.3"/>
    <row r="190" ht="10.35" customHeight="1" x14ac:dyDescent="0.3"/>
    <row r="191" ht="10.35" customHeight="1" x14ac:dyDescent="0.3"/>
    <row r="192" ht="10.35" customHeight="1" x14ac:dyDescent="0.3"/>
    <row r="193" ht="10.35" customHeight="1" x14ac:dyDescent="0.3"/>
    <row r="194" ht="10.35" customHeight="1" x14ac:dyDescent="0.3"/>
    <row r="195" ht="10.35" customHeight="1" x14ac:dyDescent="0.3"/>
    <row r="196" ht="10.35" customHeight="1" x14ac:dyDescent="0.3"/>
    <row r="197" ht="10.35" customHeight="1" x14ac:dyDescent="0.3"/>
    <row r="198" ht="10.35" customHeight="1" x14ac:dyDescent="0.3"/>
    <row r="199" ht="10.35" customHeight="1" x14ac:dyDescent="0.3"/>
    <row r="200" ht="10.35" customHeight="1" x14ac:dyDescent="0.3"/>
    <row r="201" ht="10.35" customHeight="1" x14ac:dyDescent="0.3"/>
    <row r="202" ht="10.35" customHeight="1" x14ac:dyDescent="0.3"/>
    <row r="203" ht="10.35" customHeight="1" x14ac:dyDescent="0.3"/>
    <row r="204" ht="10.35" customHeight="1" x14ac:dyDescent="0.3"/>
    <row r="205" ht="10.35" customHeight="1" x14ac:dyDescent="0.3"/>
    <row r="206" ht="10.35" customHeight="1" x14ac:dyDescent="0.3"/>
    <row r="207" ht="10.35" customHeight="1" x14ac:dyDescent="0.3"/>
    <row r="208" ht="10.35" customHeight="1" x14ac:dyDescent="0.3"/>
    <row r="209" ht="10.35" customHeight="1" x14ac:dyDescent="0.3"/>
    <row r="210" ht="10.35" customHeight="1" x14ac:dyDescent="0.3"/>
    <row r="211" ht="10.35" customHeight="1" x14ac:dyDescent="0.3"/>
    <row r="212" ht="10.35" customHeight="1" x14ac:dyDescent="0.3"/>
    <row r="213" ht="10.35" customHeight="1" x14ac:dyDescent="0.3"/>
    <row r="214" ht="10.35" customHeight="1" x14ac:dyDescent="0.3"/>
    <row r="215" ht="10.35" customHeight="1" x14ac:dyDescent="0.3"/>
    <row r="216" ht="10.35" customHeight="1" x14ac:dyDescent="0.3"/>
    <row r="217" ht="10.35" customHeight="1" x14ac:dyDescent="0.3"/>
    <row r="218" ht="10.35" customHeight="1" x14ac:dyDescent="0.3"/>
    <row r="219" ht="10.35" customHeight="1" x14ac:dyDescent="0.3"/>
    <row r="220" ht="10.35" customHeight="1" x14ac:dyDescent="0.3"/>
    <row r="221" ht="10.35" customHeight="1" x14ac:dyDescent="0.3"/>
    <row r="222" ht="10.35" customHeight="1" x14ac:dyDescent="0.3"/>
    <row r="223" ht="10.35" customHeight="1" x14ac:dyDescent="0.3"/>
    <row r="224" ht="10.35" customHeight="1" x14ac:dyDescent="0.3"/>
    <row r="225" ht="10.35" customHeight="1" x14ac:dyDescent="0.3"/>
    <row r="226" ht="10.35" customHeight="1" x14ac:dyDescent="0.3"/>
    <row r="227" ht="10.35" customHeight="1" x14ac:dyDescent="0.3"/>
    <row r="228" ht="10.35" customHeight="1" x14ac:dyDescent="0.3"/>
    <row r="229" ht="10.35" customHeight="1" x14ac:dyDescent="0.3"/>
    <row r="230" ht="10.35" customHeight="1" x14ac:dyDescent="0.3"/>
    <row r="231" ht="10.35" customHeight="1" x14ac:dyDescent="0.3"/>
    <row r="232" ht="10.35" customHeight="1" x14ac:dyDescent="0.3"/>
    <row r="233" ht="10.35" customHeight="1" x14ac:dyDescent="0.3"/>
    <row r="234" ht="10.35" customHeight="1" x14ac:dyDescent="0.3"/>
    <row r="235" ht="10.35" customHeight="1" x14ac:dyDescent="0.3"/>
    <row r="236" ht="10.35" customHeight="1" x14ac:dyDescent="0.3"/>
    <row r="237" ht="10.35" customHeight="1" x14ac:dyDescent="0.3"/>
    <row r="238" ht="10.35" customHeight="1" x14ac:dyDescent="0.3"/>
    <row r="239" ht="10.35" customHeight="1" x14ac:dyDescent="0.3"/>
    <row r="240" ht="10.35" customHeight="1" x14ac:dyDescent="0.3"/>
    <row r="241" ht="10.35" customHeight="1" x14ac:dyDescent="0.3"/>
    <row r="242" ht="10.35" customHeight="1" x14ac:dyDescent="0.3"/>
    <row r="243" ht="10.35" customHeight="1" x14ac:dyDescent="0.3"/>
    <row r="244" ht="10.35" customHeight="1" x14ac:dyDescent="0.3"/>
    <row r="245" ht="10.35" customHeight="1" x14ac:dyDescent="0.3"/>
    <row r="246" ht="10.35" customHeight="1" x14ac:dyDescent="0.3"/>
    <row r="247" ht="10.35" customHeight="1" x14ac:dyDescent="0.3"/>
    <row r="248" ht="10.35" customHeight="1" x14ac:dyDescent="0.3"/>
    <row r="249" ht="10.35" customHeight="1" x14ac:dyDescent="0.3"/>
    <row r="250" ht="10.35" customHeight="1" x14ac:dyDescent="0.3"/>
    <row r="251" ht="10.35" customHeight="1" x14ac:dyDescent="0.3"/>
    <row r="252" ht="10.35" customHeight="1" x14ac:dyDescent="0.3"/>
    <row r="253" ht="10.35" customHeight="1" x14ac:dyDescent="0.3"/>
    <row r="254" ht="10.35" customHeight="1" x14ac:dyDescent="0.3"/>
    <row r="255" ht="10.35" customHeight="1" x14ac:dyDescent="0.3"/>
    <row r="256" ht="10.35" customHeight="1" x14ac:dyDescent="0.3"/>
    <row r="257" ht="10.35" customHeight="1" x14ac:dyDescent="0.3"/>
    <row r="258" ht="10.35" customHeight="1" x14ac:dyDescent="0.3"/>
    <row r="259" ht="10.35" customHeight="1" x14ac:dyDescent="0.3"/>
    <row r="260" ht="10.35" customHeight="1" x14ac:dyDescent="0.3"/>
    <row r="261" ht="10.35" customHeight="1" x14ac:dyDescent="0.3"/>
    <row r="262" ht="10.35" customHeight="1" x14ac:dyDescent="0.3"/>
    <row r="263" ht="10.35" customHeight="1" x14ac:dyDescent="0.3"/>
    <row r="264" ht="10.35" customHeight="1" x14ac:dyDescent="0.3"/>
    <row r="265" ht="10.35" customHeight="1" x14ac:dyDescent="0.3"/>
    <row r="266" ht="10.35" customHeight="1" x14ac:dyDescent="0.3"/>
    <row r="267" ht="10.35" customHeight="1" x14ac:dyDescent="0.3"/>
    <row r="268" ht="10.35" customHeight="1" x14ac:dyDescent="0.3"/>
    <row r="269" ht="10.35" customHeight="1" x14ac:dyDescent="0.3"/>
    <row r="270" ht="10.35" customHeight="1" x14ac:dyDescent="0.3"/>
    <row r="271" ht="10.35" customHeight="1" x14ac:dyDescent="0.3"/>
    <row r="272" ht="10.35" customHeight="1" x14ac:dyDescent="0.3"/>
    <row r="273" ht="10.35" customHeight="1" x14ac:dyDescent="0.3"/>
    <row r="274" ht="10.35" customHeight="1" x14ac:dyDescent="0.3"/>
    <row r="275" ht="10.35" customHeight="1" x14ac:dyDescent="0.3"/>
    <row r="276" ht="10.35" customHeight="1" x14ac:dyDescent="0.3"/>
    <row r="277" ht="10.35" customHeight="1" x14ac:dyDescent="0.3"/>
    <row r="278" ht="10.35" customHeight="1" x14ac:dyDescent="0.3"/>
    <row r="279" ht="10.35" customHeight="1" x14ac:dyDescent="0.3"/>
    <row r="280" ht="10.35" customHeight="1" x14ac:dyDescent="0.3"/>
    <row r="281" ht="10.35" customHeight="1" x14ac:dyDescent="0.3"/>
    <row r="282" ht="10.35" customHeight="1" x14ac:dyDescent="0.3"/>
    <row r="283" ht="10.35" customHeight="1" x14ac:dyDescent="0.3"/>
    <row r="284" ht="10.35" customHeight="1" x14ac:dyDescent="0.3"/>
    <row r="285" ht="10.35" customHeight="1" x14ac:dyDescent="0.3"/>
    <row r="286" ht="10.35" customHeight="1" x14ac:dyDescent="0.3"/>
    <row r="287" ht="10.35" customHeight="1" x14ac:dyDescent="0.3"/>
    <row r="288" ht="10.35" customHeight="1" x14ac:dyDescent="0.3"/>
    <row r="289" ht="10.35" customHeight="1" x14ac:dyDescent="0.3"/>
    <row r="290" ht="10.35" customHeight="1" x14ac:dyDescent="0.3"/>
    <row r="291" ht="10.35" customHeight="1" x14ac:dyDescent="0.3"/>
    <row r="292" ht="10.35" customHeight="1" x14ac:dyDescent="0.3"/>
    <row r="293" ht="10.35" customHeight="1" x14ac:dyDescent="0.3"/>
    <row r="294" ht="10.35" customHeight="1" x14ac:dyDescent="0.3"/>
    <row r="295" ht="10.35" customHeight="1" x14ac:dyDescent="0.3"/>
    <row r="296" ht="10.35" customHeight="1" x14ac:dyDescent="0.3"/>
    <row r="297" ht="10.35" customHeight="1" x14ac:dyDescent="0.3"/>
    <row r="298" ht="10.35" customHeight="1" x14ac:dyDescent="0.3"/>
    <row r="299" ht="10.35" customHeight="1" x14ac:dyDescent="0.3"/>
    <row r="300" ht="10.35" customHeight="1" x14ac:dyDescent="0.3"/>
    <row r="301" ht="10.35" customHeight="1" x14ac:dyDescent="0.3"/>
    <row r="302" ht="10.35" customHeight="1" x14ac:dyDescent="0.3"/>
    <row r="303" ht="10.35" customHeight="1" x14ac:dyDescent="0.3"/>
    <row r="304" ht="10.35" customHeight="1" x14ac:dyDescent="0.3"/>
    <row r="305" ht="10.35" customHeight="1" x14ac:dyDescent="0.3"/>
    <row r="306" ht="10.35" customHeight="1" x14ac:dyDescent="0.3"/>
    <row r="307" ht="10.35" customHeight="1" x14ac:dyDescent="0.3"/>
    <row r="308" ht="10.35" customHeight="1" x14ac:dyDescent="0.3"/>
    <row r="309" ht="10.35" customHeight="1" x14ac:dyDescent="0.3"/>
    <row r="310" ht="10.35" customHeight="1" x14ac:dyDescent="0.3"/>
    <row r="311" ht="10.35" customHeight="1" x14ac:dyDescent="0.3"/>
    <row r="312" ht="10.35" customHeight="1" x14ac:dyDescent="0.3"/>
    <row r="313" ht="10.35" customHeight="1" x14ac:dyDescent="0.3"/>
    <row r="314" ht="10.35" customHeight="1" x14ac:dyDescent="0.3"/>
    <row r="315" ht="10.35" customHeight="1" x14ac:dyDescent="0.3"/>
    <row r="316" ht="10.35" customHeight="1" x14ac:dyDescent="0.3"/>
    <row r="317" ht="10.35" customHeight="1" x14ac:dyDescent="0.3"/>
    <row r="318" ht="10.35" customHeight="1" x14ac:dyDescent="0.3"/>
    <row r="319" ht="10.35" customHeight="1" x14ac:dyDescent="0.3"/>
    <row r="320" ht="10.35" customHeight="1" x14ac:dyDescent="0.3"/>
    <row r="321" ht="10.35" customHeight="1" x14ac:dyDescent="0.3"/>
    <row r="322" ht="10.35" customHeight="1" x14ac:dyDescent="0.3"/>
    <row r="323" ht="10.35" customHeight="1" x14ac:dyDescent="0.3"/>
    <row r="324" ht="10.35" customHeight="1" x14ac:dyDescent="0.3"/>
    <row r="325" ht="10.35" customHeight="1" x14ac:dyDescent="0.3"/>
    <row r="326" ht="10.35" customHeight="1" x14ac:dyDescent="0.3"/>
    <row r="327" ht="10.35" customHeight="1" x14ac:dyDescent="0.3"/>
    <row r="328" ht="10.35" customHeight="1" x14ac:dyDescent="0.3"/>
    <row r="329" ht="10.35" customHeight="1" x14ac:dyDescent="0.3"/>
    <row r="330" ht="10.35" customHeight="1" x14ac:dyDescent="0.3"/>
    <row r="331" ht="10.35" customHeight="1" x14ac:dyDescent="0.3"/>
    <row r="332" ht="10.35" customHeight="1" x14ac:dyDescent="0.3"/>
    <row r="333" ht="10.35" customHeight="1" x14ac:dyDescent="0.3"/>
    <row r="334" ht="10.35" customHeight="1" x14ac:dyDescent="0.3"/>
    <row r="335" ht="10.35" customHeight="1" x14ac:dyDescent="0.3"/>
    <row r="336" ht="10.35" customHeight="1" x14ac:dyDescent="0.3"/>
    <row r="337" ht="10.35" customHeight="1" x14ac:dyDescent="0.3"/>
    <row r="338" ht="10.35" customHeight="1" x14ac:dyDescent="0.3"/>
    <row r="339" ht="10.35" customHeight="1" x14ac:dyDescent="0.3"/>
    <row r="340" ht="10.35" customHeight="1" x14ac:dyDescent="0.3"/>
    <row r="341" ht="10.35" customHeight="1" x14ac:dyDescent="0.3"/>
    <row r="342" ht="10.35" customHeight="1" x14ac:dyDescent="0.3"/>
    <row r="343" ht="10.35" customHeight="1" x14ac:dyDescent="0.3"/>
    <row r="344" ht="10.35" customHeight="1" x14ac:dyDescent="0.3"/>
    <row r="345" ht="10.35" customHeight="1" x14ac:dyDescent="0.3"/>
    <row r="346" ht="10.35" customHeight="1" x14ac:dyDescent="0.3"/>
    <row r="347" ht="10.35" customHeight="1" x14ac:dyDescent="0.3"/>
    <row r="348" ht="10.35" customHeight="1" x14ac:dyDescent="0.3"/>
    <row r="349" ht="10.35" customHeight="1" x14ac:dyDescent="0.3"/>
    <row r="350" ht="10.35" customHeight="1" x14ac:dyDescent="0.3"/>
    <row r="351" ht="10.35" customHeight="1" x14ac:dyDescent="0.3"/>
    <row r="352" ht="10.35" customHeight="1" x14ac:dyDescent="0.3"/>
    <row r="353" ht="10.35" customHeight="1" x14ac:dyDescent="0.3"/>
    <row r="354" ht="10.35" customHeight="1" x14ac:dyDescent="0.3"/>
    <row r="355" ht="10.35" customHeight="1" x14ac:dyDescent="0.3"/>
    <row r="356" ht="10.35" customHeight="1" x14ac:dyDescent="0.3"/>
    <row r="357" ht="10.35" customHeight="1" x14ac:dyDescent="0.3"/>
    <row r="358" ht="10.35" customHeight="1" x14ac:dyDescent="0.3"/>
    <row r="359" ht="10.35" customHeight="1" x14ac:dyDescent="0.3"/>
    <row r="360" ht="10.35" customHeight="1" x14ac:dyDescent="0.3"/>
    <row r="361" ht="10.35" customHeight="1" x14ac:dyDescent="0.3"/>
    <row r="362" ht="10.35" customHeight="1" x14ac:dyDescent="0.3"/>
    <row r="363" ht="10.35" customHeight="1" x14ac:dyDescent="0.3"/>
    <row r="364" ht="10.35" customHeight="1" x14ac:dyDescent="0.3"/>
    <row r="365" ht="10.35" customHeight="1" x14ac:dyDescent="0.3"/>
    <row r="366" ht="10.35" customHeight="1" x14ac:dyDescent="0.3"/>
    <row r="367" ht="10.35" customHeight="1" x14ac:dyDescent="0.3"/>
    <row r="368" ht="10.35" customHeight="1" x14ac:dyDescent="0.3"/>
    <row r="369" ht="10.35" customHeight="1" x14ac:dyDescent="0.3"/>
    <row r="370" ht="10.35" customHeight="1" x14ac:dyDescent="0.3"/>
    <row r="371" ht="10.35" customHeight="1" x14ac:dyDescent="0.3"/>
    <row r="372" ht="10.35" customHeight="1" x14ac:dyDescent="0.3"/>
    <row r="373" ht="10.35" customHeight="1" x14ac:dyDescent="0.3"/>
    <row r="374" ht="10.35" customHeight="1" x14ac:dyDescent="0.3"/>
    <row r="375" ht="10.35" customHeight="1" x14ac:dyDescent="0.3"/>
    <row r="376" ht="10.35" customHeight="1" x14ac:dyDescent="0.3"/>
    <row r="377" ht="10.35" customHeight="1" x14ac:dyDescent="0.3"/>
    <row r="378" ht="10.35" customHeight="1" x14ac:dyDescent="0.3"/>
    <row r="379" ht="10.35" customHeight="1" x14ac:dyDescent="0.3"/>
    <row r="380" ht="10.35" customHeight="1" x14ac:dyDescent="0.3"/>
    <row r="381" ht="10.35" customHeight="1" x14ac:dyDescent="0.3"/>
    <row r="382" ht="10.35" customHeight="1" x14ac:dyDescent="0.3"/>
    <row r="383" ht="10.35" customHeight="1" x14ac:dyDescent="0.3"/>
    <row r="384" ht="10.35" customHeight="1" x14ac:dyDescent="0.3"/>
    <row r="385" ht="10.35" customHeight="1" x14ac:dyDescent="0.3"/>
    <row r="386" ht="10.35" customHeight="1" x14ac:dyDescent="0.3"/>
    <row r="387" ht="10.35" customHeight="1" x14ac:dyDescent="0.3"/>
    <row r="388" ht="10.35" customHeight="1" x14ac:dyDescent="0.3"/>
    <row r="389" ht="10.35" customHeight="1" x14ac:dyDescent="0.3"/>
    <row r="390" ht="10.35" customHeight="1" x14ac:dyDescent="0.3"/>
    <row r="391" ht="10.35" customHeight="1" x14ac:dyDescent="0.3"/>
    <row r="392" ht="10.35" customHeight="1" x14ac:dyDescent="0.3"/>
    <row r="393" ht="10.35" customHeight="1" x14ac:dyDescent="0.3"/>
    <row r="394" ht="10.35" customHeight="1" x14ac:dyDescent="0.3"/>
    <row r="395" ht="10.35" customHeight="1" x14ac:dyDescent="0.3"/>
    <row r="396" ht="10.35" customHeight="1" x14ac:dyDescent="0.3"/>
    <row r="397" ht="10.35" customHeight="1" x14ac:dyDescent="0.3"/>
    <row r="398" ht="10.35" customHeight="1" x14ac:dyDescent="0.3"/>
    <row r="399" ht="10.35" customHeight="1" x14ac:dyDescent="0.3"/>
    <row r="400" ht="10.35" customHeight="1" x14ac:dyDescent="0.3"/>
    <row r="401" ht="10.35" customHeight="1" x14ac:dyDescent="0.3"/>
    <row r="402" ht="10.35" customHeight="1" x14ac:dyDescent="0.3"/>
    <row r="403" ht="10.35" customHeight="1" x14ac:dyDescent="0.3"/>
    <row r="404" ht="10.35" customHeight="1" x14ac:dyDescent="0.3"/>
    <row r="405" ht="10.35" customHeight="1" x14ac:dyDescent="0.3"/>
    <row r="406" ht="10.35" customHeight="1" x14ac:dyDescent="0.3"/>
    <row r="407" ht="10.35" customHeight="1" x14ac:dyDescent="0.3"/>
    <row r="408" ht="10.35" customHeight="1" x14ac:dyDescent="0.3"/>
    <row r="409" ht="10.35" customHeight="1" x14ac:dyDescent="0.3"/>
    <row r="410" ht="10.35" customHeight="1" x14ac:dyDescent="0.3"/>
    <row r="411" ht="10.35" customHeight="1" x14ac:dyDescent="0.3"/>
    <row r="412" ht="10.35" customHeight="1" x14ac:dyDescent="0.3"/>
    <row r="413" ht="10.35" customHeight="1" x14ac:dyDescent="0.3"/>
    <row r="414" ht="10.35" customHeight="1" x14ac:dyDescent="0.3"/>
    <row r="415" ht="10.35" customHeight="1" x14ac:dyDescent="0.3"/>
    <row r="416" ht="10.35" customHeight="1" x14ac:dyDescent="0.3"/>
    <row r="417" ht="10.35" customHeight="1" x14ac:dyDescent="0.3"/>
    <row r="418" ht="10.35" customHeight="1" x14ac:dyDescent="0.3"/>
    <row r="419" ht="10.35" customHeight="1" x14ac:dyDescent="0.3"/>
    <row r="420" ht="10.35" customHeight="1" x14ac:dyDescent="0.3"/>
    <row r="421" ht="10.35" customHeight="1" x14ac:dyDescent="0.3"/>
    <row r="422" ht="10.35" customHeight="1" x14ac:dyDescent="0.3"/>
    <row r="423" ht="10.35" customHeight="1" x14ac:dyDescent="0.3"/>
    <row r="424" ht="10.35" customHeight="1" x14ac:dyDescent="0.3"/>
    <row r="425" ht="10.35" customHeight="1" x14ac:dyDescent="0.3"/>
    <row r="426" ht="10.35" customHeight="1" x14ac:dyDescent="0.3"/>
    <row r="427" ht="10.35" customHeight="1" x14ac:dyDescent="0.3"/>
    <row r="428" ht="10.35" customHeight="1" x14ac:dyDescent="0.3"/>
    <row r="429" ht="10.35" customHeight="1" x14ac:dyDescent="0.3"/>
    <row r="430" ht="10.35" customHeight="1" x14ac:dyDescent="0.3"/>
    <row r="431" ht="10.35" customHeight="1" x14ac:dyDescent="0.3"/>
    <row r="432" ht="10.35" customHeight="1" x14ac:dyDescent="0.3"/>
    <row r="433" ht="10.35" customHeight="1" x14ac:dyDescent="0.3"/>
    <row r="434" ht="10.35" customHeight="1" x14ac:dyDescent="0.3"/>
    <row r="435" ht="10.35" customHeight="1" x14ac:dyDescent="0.3"/>
    <row r="436" ht="10.35" customHeight="1" x14ac:dyDescent="0.3"/>
    <row r="437" ht="10.35" customHeight="1" x14ac:dyDescent="0.3"/>
    <row r="438" ht="10.35" customHeight="1" x14ac:dyDescent="0.3"/>
    <row r="439" ht="10.35" customHeight="1" x14ac:dyDescent="0.3"/>
    <row r="440" ht="10.35" customHeight="1" x14ac:dyDescent="0.3"/>
    <row r="441" ht="10.35" customHeight="1" x14ac:dyDescent="0.3"/>
    <row r="442" ht="10.35" customHeight="1" x14ac:dyDescent="0.3"/>
    <row r="443" ht="10.35" customHeight="1" x14ac:dyDescent="0.3"/>
    <row r="444" ht="10.35" customHeight="1" x14ac:dyDescent="0.3"/>
    <row r="445" ht="10.35" customHeight="1" x14ac:dyDescent="0.3"/>
    <row r="446" ht="10.35" customHeight="1" x14ac:dyDescent="0.3"/>
    <row r="447" ht="10.35" customHeight="1" x14ac:dyDescent="0.3"/>
    <row r="448" ht="10.35" customHeight="1" x14ac:dyDescent="0.3"/>
    <row r="449" ht="10.35" customHeight="1" x14ac:dyDescent="0.3"/>
    <row r="450" ht="10.35" customHeight="1" x14ac:dyDescent="0.3"/>
    <row r="451" ht="10.35" customHeight="1" x14ac:dyDescent="0.3"/>
    <row r="452" ht="10.35" customHeight="1" x14ac:dyDescent="0.3"/>
    <row r="453" ht="10.35" customHeight="1" x14ac:dyDescent="0.3"/>
    <row r="454" ht="10.35" customHeight="1" x14ac:dyDescent="0.3"/>
    <row r="455" ht="10.35" customHeight="1" x14ac:dyDescent="0.3"/>
    <row r="456" ht="10.35" customHeight="1" x14ac:dyDescent="0.3"/>
    <row r="457" ht="10.35" customHeight="1" x14ac:dyDescent="0.3"/>
    <row r="458" ht="10.35" customHeight="1" x14ac:dyDescent="0.3"/>
    <row r="459" ht="10.35" customHeight="1" x14ac:dyDescent="0.3"/>
    <row r="460" ht="10.35" customHeight="1" x14ac:dyDescent="0.3"/>
    <row r="461" ht="10.35" customHeight="1" x14ac:dyDescent="0.3"/>
    <row r="462" ht="10.35" customHeight="1" x14ac:dyDescent="0.3"/>
    <row r="463" ht="10.35" customHeight="1" x14ac:dyDescent="0.3"/>
    <row r="464" ht="10.35" customHeight="1" x14ac:dyDescent="0.3"/>
    <row r="465" ht="10.35" customHeight="1" x14ac:dyDescent="0.3"/>
    <row r="466" ht="10.35" customHeight="1" x14ac:dyDescent="0.3"/>
    <row r="467" ht="10.35" customHeight="1" x14ac:dyDescent="0.3"/>
    <row r="468" ht="10.35" customHeight="1" x14ac:dyDescent="0.3"/>
    <row r="469" ht="10.35" customHeight="1" x14ac:dyDescent="0.3"/>
    <row r="470" ht="10.35" customHeight="1" x14ac:dyDescent="0.3"/>
    <row r="471" ht="10.35" customHeight="1" x14ac:dyDescent="0.3"/>
    <row r="472" ht="10.35" customHeight="1" x14ac:dyDescent="0.3"/>
    <row r="473" ht="10.35" customHeight="1" x14ac:dyDescent="0.3"/>
    <row r="474" ht="10.35" customHeight="1" x14ac:dyDescent="0.3"/>
    <row r="475" ht="10.35" customHeight="1" x14ac:dyDescent="0.3"/>
    <row r="476" ht="10.35" customHeight="1" x14ac:dyDescent="0.3"/>
    <row r="477" ht="10.35" customHeight="1" x14ac:dyDescent="0.3"/>
    <row r="478" ht="10.35" customHeight="1" x14ac:dyDescent="0.3"/>
    <row r="479" ht="10.35" customHeight="1" x14ac:dyDescent="0.3"/>
    <row r="480" ht="10.35" customHeight="1" x14ac:dyDescent="0.3"/>
    <row r="481" ht="10.35" customHeight="1" x14ac:dyDescent="0.3"/>
    <row r="482" ht="10.35" customHeight="1" x14ac:dyDescent="0.3"/>
    <row r="483" ht="10.35" customHeight="1" x14ac:dyDescent="0.3"/>
    <row r="484" ht="10.35" customHeight="1" x14ac:dyDescent="0.3"/>
    <row r="485" ht="10.35" customHeight="1" x14ac:dyDescent="0.3"/>
    <row r="486" ht="10.35" customHeight="1" x14ac:dyDescent="0.3"/>
    <row r="487" ht="10.35" customHeight="1" x14ac:dyDescent="0.3"/>
    <row r="488" ht="10.35" customHeight="1" x14ac:dyDescent="0.3"/>
    <row r="489" ht="10.35" customHeight="1" x14ac:dyDescent="0.3"/>
    <row r="490" ht="10.35" customHeight="1" x14ac:dyDescent="0.3"/>
    <row r="491" ht="10.35" customHeight="1" x14ac:dyDescent="0.3"/>
    <row r="492" ht="10.35" customHeight="1" x14ac:dyDescent="0.3"/>
    <row r="493" ht="10.35" customHeight="1" x14ac:dyDescent="0.3"/>
    <row r="494" ht="10.35" customHeight="1" x14ac:dyDescent="0.3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EDD3D-17BB-4112-B41C-6C30F7598786}">
  <sheetPr codeName="Sheet14">
    <tabColor rgb="FF92D050"/>
  </sheetPr>
  <dimension ref="A1:CB611"/>
  <sheetViews>
    <sheetView showGridLines="0" zoomScale="74" zoomScaleNormal="85" workbookViewId="0">
      <pane xSplit="15" ySplit="5" topLeftCell="P6" activePane="bottomRight" state="frozen"/>
      <selection pane="topRight" activeCell="S36" sqref="S36"/>
      <selection pane="bottomLeft" activeCell="S36" sqref="S36"/>
      <selection pane="bottomRight" activeCell="I5" sqref="I5"/>
    </sheetView>
  </sheetViews>
  <sheetFormatPr defaultColWidth="0" defaultRowHeight="0" customHeight="1" zeroHeight="1" outlineLevelCol="1" x14ac:dyDescent="0.3"/>
  <cols>
    <col min="1" max="1" width="2.73046875" style="1" customWidth="1"/>
    <col min="2" max="6" width="1.73046875" style="1" customWidth="1"/>
    <col min="7" max="7" width="20.73046875" style="1" customWidth="1"/>
    <col min="8" max="8" width="5.73046875" style="1" customWidth="1"/>
    <col min="9" max="9" width="9" style="1" customWidth="1"/>
    <col min="10" max="14" width="9" style="1" hidden="1" customWidth="1" outlineLevel="1"/>
    <col min="15" max="15" width="9" style="1" hidden="1" customWidth="1" outlineLevel="1" collapsed="1"/>
    <col min="16" max="16" width="9" style="1" customWidth="1" collapsed="1"/>
    <col min="17" max="17" width="2.73046875" style="1" customWidth="1"/>
    <col min="18" max="22" width="10.73046875" style="1" customWidth="1"/>
    <col min="23" max="23" width="9" style="1" customWidth="1"/>
    <col min="24" max="58" width="10.73046875" style="1" customWidth="1" outlineLevel="1"/>
    <col min="59" max="80" width="10.73046875" style="1" customWidth="1"/>
    <col min="81" max="82" width="9" style="1" customWidth="1"/>
    <col min="83" max="85" width="0" style="1" hidden="1" customWidth="1"/>
    <col min="86" max="16384" width="0" style="1" hidden="1"/>
  </cols>
  <sheetData>
    <row r="1" spans="1:80" ht="10.15" x14ac:dyDescent="0.3">
      <c r="A1" s="3"/>
      <c r="B1" s="3"/>
      <c r="C1" s="3"/>
      <c r="D1" s="3"/>
      <c r="E1" s="3"/>
      <c r="F1" s="3"/>
      <c r="G1" s="7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</row>
    <row r="2" spans="1:80" ht="10.15" x14ac:dyDescent="0.3">
      <c r="A2" s="3"/>
      <c r="B2" s="3"/>
      <c r="C2" s="4"/>
      <c r="D2" s="5"/>
      <c r="E2" s="5"/>
      <c r="F2" s="5"/>
      <c r="G2" s="7"/>
      <c r="H2" s="5"/>
      <c r="I2" s="7"/>
      <c r="J2" s="5"/>
      <c r="K2" s="5"/>
      <c r="L2" s="5"/>
      <c r="M2" s="5"/>
      <c r="N2" s="5"/>
      <c r="O2" s="6" t="s">
        <v>3</v>
      </c>
      <c r="P2" s="6"/>
      <c r="Q2" s="6"/>
      <c r="R2" s="6"/>
      <c r="S2" s="6"/>
      <c r="T2" s="6"/>
      <c r="U2" s="6"/>
      <c r="V2" s="6"/>
      <c r="W2" s="3"/>
      <c r="X2" s="7">
        <v>29</v>
      </c>
      <c r="Y2" s="7">
        <v>30</v>
      </c>
      <c r="Z2" s="7">
        <v>29</v>
      </c>
      <c r="AA2" s="7">
        <v>30</v>
      </c>
      <c r="AB2" s="7">
        <v>30</v>
      </c>
      <c r="AC2" s="7">
        <v>29</v>
      </c>
      <c r="AD2" s="7">
        <v>30</v>
      </c>
      <c r="AE2" s="7">
        <v>29</v>
      </c>
      <c r="AF2" s="7">
        <v>30</v>
      </c>
      <c r="AG2" s="7">
        <v>30</v>
      </c>
      <c r="AH2" s="7">
        <v>27</v>
      </c>
      <c r="AI2" s="7">
        <v>30</v>
      </c>
      <c r="AJ2" s="7">
        <v>29</v>
      </c>
      <c r="AK2" s="7">
        <v>30</v>
      </c>
      <c r="AL2" s="7">
        <v>29</v>
      </c>
      <c r="AM2" s="7">
        <v>30</v>
      </c>
      <c r="AN2" s="7">
        <v>30</v>
      </c>
      <c r="AO2" s="7">
        <v>29</v>
      </c>
      <c r="AP2" s="7">
        <v>30</v>
      </c>
      <c r="AQ2" s="7">
        <v>29</v>
      </c>
      <c r="AR2" s="7">
        <v>30</v>
      </c>
      <c r="AS2" s="7">
        <v>30</v>
      </c>
      <c r="AT2" s="7">
        <v>28</v>
      </c>
      <c r="AU2" s="7">
        <v>30</v>
      </c>
      <c r="AV2" s="7">
        <v>29</v>
      </c>
      <c r="AW2" s="7">
        <v>30</v>
      </c>
      <c r="AX2" s="7">
        <v>29</v>
      </c>
      <c r="AY2" s="7">
        <v>30</v>
      </c>
      <c r="AZ2" s="7">
        <v>30</v>
      </c>
      <c r="BA2" s="7">
        <v>29</v>
      </c>
      <c r="BB2" s="7">
        <v>30</v>
      </c>
      <c r="BC2" s="7">
        <v>29</v>
      </c>
      <c r="BD2" s="7">
        <v>30</v>
      </c>
      <c r="BE2" s="7">
        <v>30</v>
      </c>
      <c r="BF2" s="7">
        <v>27</v>
      </c>
      <c r="BG2" s="7">
        <v>30</v>
      </c>
      <c r="BH2" s="7">
        <v>29</v>
      </c>
      <c r="BI2" s="7">
        <v>30</v>
      </c>
      <c r="BJ2" s="7">
        <v>29</v>
      </c>
      <c r="BK2" s="7">
        <v>30</v>
      </c>
      <c r="BL2" s="7">
        <v>30</v>
      </c>
      <c r="BM2" s="7">
        <v>29</v>
      </c>
      <c r="BN2" s="7">
        <v>30</v>
      </c>
      <c r="BO2" s="7">
        <v>29</v>
      </c>
      <c r="BP2" s="7">
        <v>30</v>
      </c>
      <c r="BQ2" s="7">
        <v>30</v>
      </c>
      <c r="BR2" s="7">
        <v>27</v>
      </c>
      <c r="BS2" s="7">
        <v>30</v>
      </c>
      <c r="BT2" s="7">
        <v>29</v>
      </c>
      <c r="BU2" s="7">
        <v>30</v>
      </c>
      <c r="BV2" s="7">
        <v>29</v>
      </c>
      <c r="BW2" s="7">
        <v>30</v>
      </c>
      <c r="BX2" s="7">
        <v>30</v>
      </c>
      <c r="BY2" s="7">
        <v>29</v>
      </c>
      <c r="BZ2" s="7">
        <v>30</v>
      </c>
      <c r="CA2" s="7">
        <v>29</v>
      </c>
      <c r="CB2" s="7">
        <v>30</v>
      </c>
    </row>
    <row r="3" spans="1:80" ht="10.15" x14ac:dyDescent="0.3">
      <c r="A3" s="3"/>
      <c r="B3" s="3"/>
      <c r="C3" s="3"/>
      <c r="D3" s="8"/>
      <c r="E3" s="8"/>
      <c r="F3" s="8"/>
      <c r="G3" s="7"/>
      <c r="H3" s="8"/>
      <c r="I3" s="8"/>
      <c r="J3" s="8"/>
      <c r="K3" s="8"/>
      <c r="L3" s="8"/>
      <c r="M3" s="8"/>
      <c r="N3" s="8"/>
      <c r="O3" s="6" t="s">
        <v>4</v>
      </c>
      <c r="P3" s="6"/>
      <c r="Q3" s="3"/>
      <c r="R3" s="9">
        <v>44562</v>
      </c>
      <c r="S3" s="9">
        <v>44927</v>
      </c>
      <c r="T3" s="9">
        <v>45292</v>
      </c>
      <c r="U3" s="9">
        <v>45658</v>
      </c>
      <c r="V3" s="9">
        <v>46023</v>
      </c>
      <c r="W3" s="3"/>
      <c r="X3" s="9">
        <v>44652</v>
      </c>
      <c r="Y3" s="9">
        <v>44682</v>
      </c>
      <c r="Z3" s="9">
        <v>44713</v>
      </c>
      <c r="AA3" s="9">
        <v>44743</v>
      </c>
      <c r="AB3" s="9">
        <v>44774</v>
      </c>
      <c r="AC3" s="9">
        <v>44805</v>
      </c>
      <c r="AD3" s="9">
        <v>44835</v>
      </c>
      <c r="AE3" s="9">
        <v>44866</v>
      </c>
      <c r="AF3" s="9">
        <v>44896</v>
      </c>
      <c r="AG3" s="9">
        <v>44927</v>
      </c>
      <c r="AH3" s="9">
        <v>44958</v>
      </c>
      <c r="AI3" s="9">
        <v>44986</v>
      </c>
      <c r="AJ3" s="9">
        <v>45017</v>
      </c>
      <c r="AK3" s="9">
        <v>45047</v>
      </c>
      <c r="AL3" s="9">
        <v>45078</v>
      </c>
      <c r="AM3" s="9">
        <v>45108</v>
      </c>
      <c r="AN3" s="9">
        <v>45139</v>
      </c>
      <c r="AO3" s="9">
        <v>45170</v>
      </c>
      <c r="AP3" s="9">
        <v>45200</v>
      </c>
      <c r="AQ3" s="9">
        <v>45231</v>
      </c>
      <c r="AR3" s="9">
        <v>45261</v>
      </c>
      <c r="AS3" s="9">
        <v>45292</v>
      </c>
      <c r="AT3" s="9">
        <v>45323</v>
      </c>
      <c r="AU3" s="9">
        <v>45352</v>
      </c>
      <c r="AV3" s="9">
        <v>45383</v>
      </c>
      <c r="AW3" s="9">
        <v>45413</v>
      </c>
      <c r="AX3" s="9">
        <v>45444</v>
      </c>
      <c r="AY3" s="9">
        <v>45474</v>
      </c>
      <c r="AZ3" s="9">
        <v>45505</v>
      </c>
      <c r="BA3" s="9">
        <v>45536</v>
      </c>
      <c r="BB3" s="9">
        <v>45566</v>
      </c>
      <c r="BC3" s="9">
        <v>45597</v>
      </c>
      <c r="BD3" s="9">
        <v>45627</v>
      </c>
      <c r="BE3" s="9">
        <v>45658</v>
      </c>
      <c r="BF3" s="9">
        <v>45689</v>
      </c>
      <c r="BG3" s="9">
        <v>45717</v>
      </c>
      <c r="BH3" s="9">
        <v>45748</v>
      </c>
      <c r="BI3" s="9">
        <v>45778</v>
      </c>
      <c r="BJ3" s="9">
        <v>45809</v>
      </c>
      <c r="BK3" s="9">
        <v>45839</v>
      </c>
      <c r="BL3" s="9">
        <v>45870</v>
      </c>
      <c r="BM3" s="9">
        <v>45901</v>
      </c>
      <c r="BN3" s="9">
        <v>45931</v>
      </c>
      <c r="BO3" s="9">
        <v>45962</v>
      </c>
      <c r="BP3" s="9">
        <v>45992</v>
      </c>
      <c r="BQ3" s="9">
        <v>46023</v>
      </c>
      <c r="BR3" s="9">
        <v>46054</v>
      </c>
      <c r="BS3" s="9">
        <v>46082</v>
      </c>
      <c r="BT3" s="9">
        <v>46113</v>
      </c>
      <c r="BU3" s="9">
        <v>46143</v>
      </c>
      <c r="BV3" s="9">
        <v>46174</v>
      </c>
      <c r="BW3" s="9">
        <v>46204</v>
      </c>
      <c r="BX3" s="9">
        <v>46235</v>
      </c>
      <c r="BY3" s="9">
        <v>46266</v>
      </c>
      <c r="BZ3" s="9">
        <v>46296</v>
      </c>
      <c r="CA3" s="9">
        <v>46327</v>
      </c>
      <c r="CB3" s="9">
        <v>46357</v>
      </c>
    </row>
    <row r="4" spans="1:80" ht="10.15" x14ac:dyDescent="0.3">
      <c r="A4" s="3"/>
      <c r="B4" s="3"/>
      <c r="C4" s="3"/>
      <c r="D4" s="3"/>
      <c r="E4" s="3"/>
      <c r="F4" s="3"/>
      <c r="G4" s="3"/>
      <c r="H4" s="3"/>
      <c r="I4" s="3"/>
      <c r="J4" s="10" t="s">
        <v>5</v>
      </c>
      <c r="K4" s="11"/>
      <c r="L4" s="11"/>
      <c r="M4" s="11"/>
      <c r="N4" s="11"/>
      <c r="O4" s="6" t="s">
        <v>6</v>
      </c>
      <c r="P4" s="6"/>
      <c r="Q4" s="3"/>
      <c r="R4" s="9">
        <v>44926</v>
      </c>
      <c r="S4" s="9">
        <v>45291</v>
      </c>
      <c r="T4" s="9">
        <v>45657</v>
      </c>
      <c r="U4" s="9">
        <v>46022</v>
      </c>
      <c r="V4" s="9">
        <v>46387</v>
      </c>
      <c r="W4" s="3"/>
      <c r="X4" s="9">
        <v>44681</v>
      </c>
      <c r="Y4" s="9">
        <v>44712</v>
      </c>
      <c r="Z4" s="9">
        <v>44742</v>
      </c>
      <c r="AA4" s="9">
        <v>44773</v>
      </c>
      <c r="AB4" s="9">
        <v>44804</v>
      </c>
      <c r="AC4" s="9">
        <v>44834</v>
      </c>
      <c r="AD4" s="9">
        <v>44865</v>
      </c>
      <c r="AE4" s="9">
        <v>44895</v>
      </c>
      <c r="AF4" s="9">
        <v>44926</v>
      </c>
      <c r="AG4" s="9">
        <v>44957</v>
      </c>
      <c r="AH4" s="9">
        <v>44985</v>
      </c>
      <c r="AI4" s="9">
        <v>45016</v>
      </c>
      <c r="AJ4" s="9">
        <v>45046</v>
      </c>
      <c r="AK4" s="9">
        <v>45077</v>
      </c>
      <c r="AL4" s="9">
        <v>45107</v>
      </c>
      <c r="AM4" s="9">
        <v>45138</v>
      </c>
      <c r="AN4" s="9">
        <v>45169</v>
      </c>
      <c r="AO4" s="9">
        <v>45199</v>
      </c>
      <c r="AP4" s="9">
        <v>45230</v>
      </c>
      <c r="AQ4" s="9">
        <v>45260</v>
      </c>
      <c r="AR4" s="9">
        <v>45291</v>
      </c>
      <c r="AS4" s="9">
        <v>45322</v>
      </c>
      <c r="AT4" s="9">
        <v>45351</v>
      </c>
      <c r="AU4" s="9">
        <v>45382</v>
      </c>
      <c r="AV4" s="9">
        <v>45412</v>
      </c>
      <c r="AW4" s="9">
        <v>45443</v>
      </c>
      <c r="AX4" s="9">
        <v>45473</v>
      </c>
      <c r="AY4" s="9">
        <v>45504</v>
      </c>
      <c r="AZ4" s="9">
        <v>45535</v>
      </c>
      <c r="BA4" s="9">
        <v>45565</v>
      </c>
      <c r="BB4" s="9">
        <v>45596</v>
      </c>
      <c r="BC4" s="9">
        <v>45626</v>
      </c>
      <c r="BD4" s="9">
        <v>45657</v>
      </c>
      <c r="BE4" s="9">
        <v>45688</v>
      </c>
      <c r="BF4" s="9">
        <v>45716</v>
      </c>
      <c r="BG4" s="9">
        <v>45747</v>
      </c>
      <c r="BH4" s="9">
        <v>45777</v>
      </c>
      <c r="BI4" s="9">
        <v>45808</v>
      </c>
      <c r="BJ4" s="9">
        <v>45838</v>
      </c>
      <c r="BK4" s="9">
        <v>45869</v>
      </c>
      <c r="BL4" s="9">
        <v>45900</v>
      </c>
      <c r="BM4" s="9">
        <v>45930</v>
      </c>
      <c r="BN4" s="9">
        <v>45961</v>
      </c>
      <c r="BO4" s="9">
        <v>45991</v>
      </c>
      <c r="BP4" s="9">
        <v>46022</v>
      </c>
      <c r="BQ4" s="9">
        <v>46053</v>
      </c>
      <c r="BR4" s="9">
        <v>46081</v>
      </c>
      <c r="BS4" s="9">
        <v>46112</v>
      </c>
      <c r="BT4" s="9">
        <v>46142</v>
      </c>
      <c r="BU4" s="9">
        <v>46173</v>
      </c>
      <c r="BV4" s="9">
        <v>46203</v>
      </c>
      <c r="BW4" s="9">
        <v>46234</v>
      </c>
      <c r="BX4" s="9">
        <v>46265</v>
      </c>
      <c r="BY4" s="9">
        <v>46295</v>
      </c>
      <c r="BZ4" s="9">
        <v>46326</v>
      </c>
      <c r="CA4" s="9">
        <v>46356</v>
      </c>
      <c r="CB4" s="9">
        <v>46387</v>
      </c>
    </row>
    <row r="5" spans="1:80" ht="10.15" x14ac:dyDescent="0.3">
      <c r="A5" s="3"/>
      <c r="B5" s="3"/>
      <c r="C5" s="3"/>
      <c r="D5" s="3"/>
      <c r="E5" s="3"/>
      <c r="F5" s="3"/>
      <c r="G5" s="3"/>
      <c r="H5" s="3"/>
      <c r="I5" s="12" t="s">
        <v>7</v>
      </c>
      <c r="J5" s="12">
        <v>1</v>
      </c>
      <c r="K5" s="12">
        <v>2</v>
      </c>
      <c r="L5" s="12">
        <v>3</v>
      </c>
      <c r="M5" s="12">
        <v>4</v>
      </c>
      <c r="N5" s="12">
        <v>5</v>
      </c>
      <c r="O5" s="6" t="s">
        <v>8</v>
      </c>
      <c r="P5" s="6"/>
      <c r="Q5" s="6"/>
      <c r="R5" s="7">
        <v>2022</v>
      </c>
      <c r="S5" s="7">
        <v>2023</v>
      </c>
      <c r="T5" s="7">
        <v>2024</v>
      </c>
      <c r="U5" s="7">
        <v>2025</v>
      </c>
      <c r="V5" s="7">
        <v>2026</v>
      </c>
      <c r="W5" s="3"/>
      <c r="X5" s="7">
        <v>2022</v>
      </c>
      <c r="Y5" s="7">
        <v>2022</v>
      </c>
      <c r="Z5" s="7">
        <v>2022</v>
      </c>
      <c r="AA5" s="7">
        <v>2022</v>
      </c>
      <c r="AB5" s="7">
        <v>2022</v>
      </c>
      <c r="AC5" s="7">
        <v>2022</v>
      </c>
      <c r="AD5" s="7">
        <v>2022</v>
      </c>
      <c r="AE5" s="7">
        <v>2022</v>
      </c>
      <c r="AF5" s="7">
        <v>2022</v>
      </c>
      <c r="AG5" s="7">
        <v>2023</v>
      </c>
      <c r="AH5" s="7">
        <v>2023</v>
      </c>
      <c r="AI5" s="7">
        <v>2023</v>
      </c>
      <c r="AJ5" s="7">
        <v>2023</v>
      </c>
      <c r="AK5" s="7">
        <v>2023</v>
      </c>
      <c r="AL5" s="7">
        <v>2023</v>
      </c>
      <c r="AM5" s="7">
        <v>2023</v>
      </c>
      <c r="AN5" s="7">
        <v>2023</v>
      </c>
      <c r="AO5" s="7">
        <v>2023</v>
      </c>
      <c r="AP5" s="7">
        <v>2023</v>
      </c>
      <c r="AQ5" s="7">
        <v>2023</v>
      </c>
      <c r="AR5" s="7">
        <v>2023</v>
      </c>
      <c r="AS5" s="7">
        <v>2024</v>
      </c>
      <c r="AT5" s="7">
        <v>2024</v>
      </c>
      <c r="AU5" s="7">
        <v>2024</v>
      </c>
      <c r="AV5" s="7">
        <v>2024</v>
      </c>
      <c r="AW5" s="7">
        <v>2024</v>
      </c>
      <c r="AX5" s="7">
        <v>2024</v>
      </c>
      <c r="AY5" s="7">
        <v>2024</v>
      </c>
      <c r="AZ5" s="7">
        <v>2024</v>
      </c>
      <c r="BA5" s="7">
        <v>2024</v>
      </c>
      <c r="BB5" s="7">
        <v>2024</v>
      </c>
      <c r="BC5" s="7">
        <v>2024</v>
      </c>
      <c r="BD5" s="7">
        <v>2024</v>
      </c>
      <c r="BE5" s="7">
        <v>2025</v>
      </c>
      <c r="BF5" s="7">
        <v>2025</v>
      </c>
      <c r="BG5" s="7">
        <v>2025</v>
      </c>
      <c r="BH5" s="7">
        <v>2025</v>
      </c>
      <c r="BI5" s="7">
        <v>2025</v>
      </c>
      <c r="BJ5" s="7">
        <v>2025</v>
      </c>
      <c r="BK5" s="7">
        <v>2025</v>
      </c>
      <c r="BL5" s="7">
        <v>2025</v>
      </c>
      <c r="BM5" s="7">
        <v>2025</v>
      </c>
      <c r="BN5" s="7">
        <v>2025</v>
      </c>
      <c r="BO5" s="7">
        <v>2025</v>
      </c>
      <c r="BP5" s="7">
        <v>2025</v>
      </c>
      <c r="BQ5" s="7">
        <v>2026</v>
      </c>
      <c r="BR5" s="7">
        <v>2026</v>
      </c>
      <c r="BS5" s="7">
        <v>2026</v>
      </c>
      <c r="BT5" s="7">
        <v>2026</v>
      </c>
      <c r="BU5" s="7">
        <v>2026</v>
      </c>
      <c r="BV5" s="7">
        <v>2026</v>
      </c>
      <c r="BW5" s="7">
        <v>2026</v>
      </c>
      <c r="BX5" s="7">
        <v>2026</v>
      </c>
      <c r="BY5" s="7">
        <v>2026</v>
      </c>
      <c r="BZ5" s="7">
        <v>2026</v>
      </c>
      <c r="CA5" s="7">
        <v>2026</v>
      </c>
      <c r="CB5" s="7">
        <v>2026</v>
      </c>
    </row>
    <row r="6" spans="1:80" ht="10.15" x14ac:dyDescent="0.3">
      <c r="X6" s="31"/>
      <c r="Y6" s="31"/>
    </row>
    <row r="7" spans="1:80" ht="10.15" x14ac:dyDescent="0.3">
      <c r="B7" s="1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</row>
    <row r="8" spans="1:80" ht="10.15" x14ac:dyDescent="0.3">
      <c r="B8" s="14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</row>
    <row r="9" spans="1:80" ht="10.15" x14ac:dyDescent="0.3"/>
    <row r="10" spans="1:80" ht="10.15" x14ac:dyDescent="0.3">
      <c r="B10" s="25" t="s">
        <v>105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59"/>
      <c r="BT10" s="60"/>
      <c r="BU10" s="60"/>
      <c r="BV10" s="59"/>
      <c r="BW10" s="60"/>
      <c r="BX10" s="60"/>
      <c r="BY10" s="59"/>
      <c r="BZ10" s="60"/>
      <c r="CA10" s="60"/>
      <c r="CB10" s="59"/>
    </row>
    <row r="11" spans="1:80" ht="10.15" x14ac:dyDescent="0.3">
      <c r="BS11" s="28"/>
      <c r="BV11" s="28"/>
      <c r="BY11" s="28"/>
      <c r="CB11" s="28"/>
    </row>
    <row r="12" spans="1:80" ht="10.15" x14ac:dyDescent="0.3">
      <c r="B12" s="56" t="s">
        <v>106</v>
      </c>
      <c r="C12" s="57"/>
      <c r="D12" s="57"/>
      <c r="E12" s="57"/>
      <c r="F12" s="57"/>
      <c r="G12" s="58"/>
      <c r="I12" s="15" t="s">
        <v>2</v>
      </c>
      <c r="R12" s="28">
        <v>0</v>
      </c>
      <c r="S12" s="28">
        <v>0</v>
      </c>
      <c r="T12" s="28">
        <v>0</v>
      </c>
      <c r="U12" s="28">
        <v>0</v>
      </c>
      <c r="V12" s="28">
        <v>78750000</v>
      </c>
      <c r="W12" s="31"/>
      <c r="X12" s="31"/>
      <c r="Y12" s="31"/>
      <c r="BG12" s="28">
        <v>0</v>
      </c>
      <c r="BH12" s="28">
        <v>0</v>
      </c>
      <c r="BI12" s="28">
        <v>0</v>
      </c>
      <c r="BJ12" s="28">
        <v>0</v>
      </c>
      <c r="BK12" s="28">
        <v>0</v>
      </c>
      <c r="BL12" s="28">
        <v>0</v>
      </c>
      <c r="BM12" s="28">
        <v>0</v>
      </c>
      <c r="BN12" s="28">
        <v>0</v>
      </c>
      <c r="BO12" s="28">
        <v>0</v>
      </c>
      <c r="BP12" s="28">
        <v>0</v>
      </c>
      <c r="BQ12" s="61">
        <v>6500000</v>
      </c>
      <c r="BR12" s="61">
        <v>6500000</v>
      </c>
      <c r="BS12" s="61">
        <v>6500000</v>
      </c>
      <c r="BT12" s="61">
        <v>6000000</v>
      </c>
      <c r="BU12" s="61">
        <v>4000000</v>
      </c>
      <c r="BV12" s="61">
        <v>8000000</v>
      </c>
      <c r="BW12" s="61">
        <v>8000000</v>
      </c>
      <c r="BX12" s="61">
        <v>8000000</v>
      </c>
      <c r="BY12" s="61">
        <v>6000000</v>
      </c>
      <c r="BZ12" s="61">
        <v>6000000</v>
      </c>
      <c r="CA12" s="61">
        <v>4500000</v>
      </c>
      <c r="CB12" s="61">
        <v>8750000</v>
      </c>
    </row>
    <row r="13" spans="1:80" ht="10.15" x14ac:dyDescent="0.3">
      <c r="B13" s="56" t="s">
        <v>107</v>
      </c>
      <c r="C13" s="57"/>
      <c r="D13" s="57"/>
      <c r="E13" s="57"/>
      <c r="F13" s="57"/>
      <c r="G13" s="58"/>
      <c r="I13" s="15" t="s">
        <v>2</v>
      </c>
      <c r="R13" s="28">
        <v>0</v>
      </c>
      <c r="S13" s="28">
        <v>0</v>
      </c>
      <c r="T13" s="28">
        <v>0</v>
      </c>
      <c r="U13" s="28">
        <v>0</v>
      </c>
      <c r="V13" s="28">
        <v>61450000</v>
      </c>
      <c r="W13" s="31"/>
      <c r="X13" s="31"/>
      <c r="Y13" s="31"/>
      <c r="BG13" s="28">
        <v>0</v>
      </c>
      <c r="BH13" s="28">
        <v>0</v>
      </c>
      <c r="BI13" s="28">
        <v>0</v>
      </c>
      <c r="BJ13" s="28">
        <v>0</v>
      </c>
      <c r="BK13" s="28">
        <v>0</v>
      </c>
      <c r="BL13" s="28">
        <v>0</v>
      </c>
      <c r="BM13" s="28">
        <v>0</v>
      </c>
      <c r="BN13" s="28">
        <v>0</v>
      </c>
      <c r="BO13" s="28">
        <v>0</v>
      </c>
      <c r="BP13" s="28">
        <v>0</v>
      </c>
      <c r="BQ13" s="61">
        <v>4750000</v>
      </c>
      <c r="BR13" s="61">
        <v>4750000</v>
      </c>
      <c r="BS13" s="61">
        <v>4750000</v>
      </c>
      <c r="BT13" s="61">
        <v>4500000</v>
      </c>
      <c r="BU13" s="61">
        <v>4000000</v>
      </c>
      <c r="BV13" s="61">
        <v>6400000</v>
      </c>
      <c r="BW13" s="61">
        <v>6400000</v>
      </c>
      <c r="BX13" s="61">
        <v>6400000</v>
      </c>
      <c r="BY13" s="61">
        <v>4200000</v>
      </c>
      <c r="BZ13" s="61">
        <v>4200000</v>
      </c>
      <c r="CA13" s="61">
        <v>4200000</v>
      </c>
      <c r="CB13" s="61">
        <v>6900000</v>
      </c>
    </row>
    <row r="14" spans="1:80" ht="10.15" x14ac:dyDescent="0.3">
      <c r="B14" s="56" t="s">
        <v>108</v>
      </c>
      <c r="C14" s="57"/>
      <c r="D14" s="57"/>
      <c r="E14" s="57"/>
      <c r="F14" s="57"/>
      <c r="G14" s="58"/>
      <c r="I14" s="15" t="s">
        <v>2</v>
      </c>
      <c r="R14" s="28">
        <v>0</v>
      </c>
      <c r="S14" s="28">
        <v>0</v>
      </c>
      <c r="T14" s="28">
        <v>0</v>
      </c>
      <c r="U14" s="28">
        <v>0</v>
      </c>
      <c r="V14" s="28">
        <v>49650000</v>
      </c>
      <c r="W14" s="31"/>
      <c r="X14" s="31"/>
      <c r="Y14" s="31"/>
      <c r="BG14" s="28">
        <v>0</v>
      </c>
      <c r="BH14" s="28">
        <v>0</v>
      </c>
      <c r="BI14" s="28">
        <v>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8">
        <v>0</v>
      </c>
      <c r="BQ14" s="61">
        <v>4000000</v>
      </c>
      <c r="BR14" s="61">
        <v>4000000</v>
      </c>
      <c r="BS14" s="61">
        <v>4000000</v>
      </c>
      <c r="BT14" s="61">
        <v>3500000</v>
      </c>
      <c r="BU14" s="61">
        <v>2150000</v>
      </c>
      <c r="BV14" s="61">
        <v>5250000</v>
      </c>
      <c r="BW14" s="61">
        <v>5250000</v>
      </c>
      <c r="BX14" s="61">
        <v>5250000</v>
      </c>
      <c r="BY14" s="61">
        <v>3500000</v>
      </c>
      <c r="BZ14" s="61">
        <v>3500000</v>
      </c>
      <c r="CA14" s="61">
        <v>3500000</v>
      </c>
      <c r="CB14" s="61">
        <v>5750000</v>
      </c>
    </row>
    <row r="15" spans="1:80" ht="10.15" x14ac:dyDescent="0.3">
      <c r="B15" s="56" t="s">
        <v>109</v>
      </c>
      <c r="C15" s="57"/>
      <c r="D15" s="57"/>
      <c r="E15" s="57"/>
      <c r="F15" s="57"/>
      <c r="G15" s="58"/>
      <c r="I15" s="15" t="s">
        <v>2</v>
      </c>
      <c r="R15" s="28">
        <v>0</v>
      </c>
      <c r="S15" s="28">
        <v>0</v>
      </c>
      <c r="T15" s="28">
        <v>0</v>
      </c>
      <c r="U15" s="28">
        <v>0</v>
      </c>
      <c r="V15" s="28">
        <v>48150000</v>
      </c>
      <c r="W15" s="31"/>
      <c r="X15" s="31"/>
      <c r="Y15" s="31"/>
      <c r="BG15" s="28">
        <v>0</v>
      </c>
      <c r="BH15" s="28">
        <v>0</v>
      </c>
      <c r="BI15" s="28">
        <v>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8">
        <v>0</v>
      </c>
      <c r="BQ15" s="61">
        <v>4000000</v>
      </c>
      <c r="BR15" s="61">
        <v>4000000</v>
      </c>
      <c r="BS15" s="61">
        <v>4000000</v>
      </c>
      <c r="BT15" s="61">
        <v>3500000</v>
      </c>
      <c r="BU15" s="61">
        <v>2150000</v>
      </c>
      <c r="BV15" s="61">
        <v>5250000</v>
      </c>
      <c r="BW15" s="61">
        <v>5250000</v>
      </c>
      <c r="BX15" s="61">
        <v>5250000</v>
      </c>
      <c r="BY15" s="61">
        <v>2000000</v>
      </c>
      <c r="BZ15" s="61">
        <v>3500000</v>
      </c>
      <c r="CA15" s="61">
        <v>3500000</v>
      </c>
      <c r="CB15" s="61">
        <v>5750000</v>
      </c>
    </row>
    <row r="16" spans="1:80" ht="10.15" x14ac:dyDescent="0.3">
      <c r="B16" s="56" t="s">
        <v>110</v>
      </c>
      <c r="C16" s="57"/>
      <c r="D16" s="57"/>
      <c r="E16" s="57"/>
      <c r="F16" s="57"/>
      <c r="G16" s="58"/>
      <c r="I16" s="15" t="s">
        <v>2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31"/>
      <c r="X16" s="31"/>
      <c r="Y16" s="31"/>
      <c r="BG16" s="28">
        <v>0</v>
      </c>
      <c r="BH16" s="28">
        <v>0</v>
      </c>
      <c r="BI16" s="28">
        <v>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0</v>
      </c>
      <c r="BP16" s="28">
        <v>0</v>
      </c>
      <c r="BQ16" s="32">
        <v>0</v>
      </c>
      <c r="BR16" s="32">
        <v>0</v>
      </c>
      <c r="BS16" s="32">
        <v>0</v>
      </c>
      <c r="BT16" s="32">
        <v>0</v>
      </c>
      <c r="BU16" s="32">
        <v>0</v>
      </c>
      <c r="BV16" s="32">
        <v>0</v>
      </c>
      <c r="BW16" s="32">
        <v>0</v>
      </c>
      <c r="BX16" s="32">
        <v>0</v>
      </c>
      <c r="BY16" s="32">
        <v>0</v>
      </c>
      <c r="BZ16" s="32">
        <v>0</v>
      </c>
      <c r="CA16" s="32">
        <v>0</v>
      </c>
      <c r="CB16" s="32">
        <v>0</v>
      </c>
    </row>
    <row r="17" spans="2:80" ht="10.15" x14ac:dyDescent="0.3">
      <c r="B17" s="56" t="s">
        <v>111</v>
      </c>
      <c r="C17" s="57"/>
      <c r="D17" s="57"/>
      <c r="E17" s="57"/>
      <c r="F17" s="57"/>
      <c r="G17" s="58"/>
      <c r="I17" s="15" t="s">
        <v>2</v>
      </c>
      <c r="R17" s="28">
        <v>0</v>
      </c>
      <c r="S17" s="28">
        <v>0</v>
      </c>
      <c r="T17" s="28">
        <v>0</v>
      </c>
      <c r="U17" s="28">
        <v>0</v>
      </c>
      <c r="V17" s="28">
        <v>27000000</v>
      </c>
      <c r="W17" s="31"/>
      <c r="X17" s="31"/>
      <c r="Y17" s="31"/>
      <c r="BG17" s="28">
        <v>0</v>
      </c>
      <c r="BH17" s="28">
        <v>0</v>
      </c>
      <c r="BI17" s="28">
        <v>0</v>
      </c>
      <c r="BJ17" s="28">
        <v>0</v>
      </c>
      <c r="BK17" s="28">
        <v>0</v>
      </c>
      <c r="BL17" s="28">
        <v>0</v>
      </c>
      <c r="BM17" s="28">
        <v>0</v>
      </c>
      <c r="BN17" s="28">
        <v>0</v>
      </c>
      <c r="BO17" s="28">
        <v>0</v>
      </c>
      <c r="BP17" s="28">
        <v>0</v>
      </c>
      <c r="BQ17" s="61">
        <v>0</v>
      </c>
      <c r="BR17" s="61">
        <v>500000</v>
      </c>
      <c r="BS17" s="61">
        <v>1100000</v>
      </c>
      <c r="BT17" s="61">
        <v>900000</v>
      </c>
      <c r="BU17" s="61">
        <v>900000</v>
      </c>
      <c r="BV17" s="61">
        <v>4000000</v>
      </c>
      <c r="BW17" s="61">
        <v>4000000</v>
      </c>
      <c r="BX17" s="61">
        <v>4000000</v>
      </c>
      <c r="BY17" s="61">
        <v>1500000</v>
      </c>
      <c r="BZ17" s="61">
        <v>2800000</v>
      </c>
      <c r="CA17" s="61">
        <v>3300000</v>
      </c>
      <c r="CB17" s="61">
        <v>4000000</v>
      </c>
    </row>
    <row r="18" spans="2:80" ht="10.15" x14ac:dyDescent="0.3">
      <c r="B18" s="56" t="s">
        <v>112</v>
      </c>
      <c r="C18" s="57"/>
      <c r="D18" s="57"/>
      <c r="E18" s="57"/>
      <c r="F18" s="57"/>
      <c r="G18" s="58"/>
      <c r="I18" s="15" t="s">
        <v>2</v>
      </c>
      <c r="R18" s="28">
        <v>0</v>
      </c>
      <c r="S18" s="28">
        <v>0</v>
      </c>
      <c r="T18" s="28">
        <v>0</v>
      </c>
      <c r="U18" s="28">
        <v>0</v>
      </c>
      <c r="V18" s="28">
        <v>24400000</v>
      </c>
      <c r="W18" s="31"/>
      <c r="X18" s="31"/>
      <c r="Y18" s="31"/>
      <c r="BG18" s="28">
        <v>0</v>
      </c>
      <c r="BH18" s="28">
        <v>0</v>
      </c>
      <c r="BI18" s="28">
        <v>0</v>
      </c>
      <c r="BJ18" s="28">
        <v>0</v>
      </c>
      <c r="BK18" s="28">
        <v>0</v>
      </c>
      <c r="BL18" s="28">
        <v>0</v>
      </c>
      <c r="BM18" s="28">
        <v>0</v>
      </c>
      <c r="BN18" s="28">
        <v>0</v>
      </c>
      <c r="BO18" s="28">
        <v>0</v>
      </c>
      <c r="BP18" s="28">
        <v>0</v>
      </c>
      <c r="BQ18" s="61">
        <v>0</v>
      </c>
      <c r="BR18" s="61">
        <v>0</v>
      </c>
      <c r="BS18" s="61">
        <v>0</v>
      </c>
      <c r="BT18" s="61">
        <v>300000</v>
      </c>
      <c r="BU18" s="61">
        <v>500000</v>
      </c>
      <c r="BV18" s="61">
        <v>4000000</v>
      </c>
      <c r="BW18" s="61">
        <v>4000000</v>
      </c>
      <c r="BX18" s="61">
        <v>4000000</v>
      </c>
      <c r="BY18" s="61">
        <v>1500000</v>
      </c>
      <c r="BZ18" s="61">
        <v>2800000</v>
      </c>
      <c r="CA18" s="61">
        <v>3300000</v>
      </c>
      <c r="CB18" s="61">
        <v>4000000</v>
      </c>
    </row>
    <row r="19" spans="2:80" ht="10.15" x14ac:dyDescent="0.3">
      <c r="B19" s="56" t="s">
        <v>113</v>
      </c>
      <c r="C19" s="57"/>
      <c r="D19" s="57"/>
      <c r="E19" s="57"/>
      <c r="F19" s="57"/>
      <c r="G19" s="58"/>
      <c r="I19" s="15" t="s">
        <v>2</v>
      </c>
      <c r="R19" s="28">
        <v>0</v>
      </c>
      <c r="S19" s="28">
        <v>0</v>
      </c>
      <c r="T19" s="28">
        <v>0</v>
      </c>
      <c r="U19" s="28">
        <v>0</v>
      </c>
      <c r="V19" s="28">
        <v>24380000</v>
      </c>
      <c r="W19" s="31"/>
      <c r="X19" s="31"/>
      <c r="Y19" s="31"/>
      <c r="BG19" s="28">
        <v>0</v>
      </c>
      <c r="BH19" s="28">
        <v>0</v>
      </c>
      <c r="BI19" s="28">
        <v>0</v>
      </c>
      <c r="BJ19" s="28">
        <v>0</v>
      </c>
      <c r="BK19" s="28">
        <v>0</v>
      </c>
      <c r="BL19" s="28">
        <v>0</v>
      </c>
      <c r="BM19" s="28">
        <v>0</v>
      </c>
      <c r="BN19" s="28">
        <v>0</v>
      </c>
      <c r="BO19" s="28">
        <v>0</v>
      </c>
      <c r="BP19" s="28">
        <v>0</v>
      </c>
      <c r="BQ19" s="61">
        <v>0</v>
      </c>
      <c r="BR19" s="61">
        <v>0</v>
      </c>
      <c r="BS19" s="61">
        <v>0</v>
      </c>
      <c r="BT19" s="61">
        <v>300000</v>
      </c>
      <c r="BU19" s="61">
        <v>480000</v>
      </c>
      <c r="BV19" s="61">
        <v>4000000</v>
      </c>
      <c r="BW19" s="61">
        <v>4000000</v>
      </c>
      <c r="BX19" s="61">
        <v>4000000</v>
      </c>
      <c r="BY19" s="61">
        <v>1500000</v>
      </c>
      <c r="BZ19" s="61">
        <v>2800000</v>
      </c>
      <c r="CA19" s="61">
        <v>3300000</v>
      </c>
      <c r="CB19" s="61">
        <v>4000000</v>
      </c>
    </row>
    <row r="20" spans="2:80" ht="10.15" x14ac:dyDescent="0.3">
      <c r="B20" s="56" t="s">
        <v>114</v>
      </c>
      <c r="C20" s="57"/>
      <c r="D20" s="57"/>
      <c r="E20" s="57"/>
      <c r="F20" s="57"/>
      <c r="G20" s="58"/>
      <c r="I20" s="15" t="s">
        <v>2</v>
      </c>
      <c r="R20" s="28">
        <v>0</v>
      </c>
      <c r="S20" s="28">
        <v>0</v>
      </c>
      <c r="T20" s="28">
        <v>0</v>
      </c>
      <c r="U20" s="28">
        <v>0</v>
      </c>
      <c r="V20" s="28">
        <v>11750000</v>
      </c>
      <c r="W20" s="31"/>
      <c r="X20" s="31"/>
      <c r="Y20" s="31"/>
      <c r="BG20" s="28">
        <v>0</v>
      </c>
      <c r="BH20" s="28">
        <v>0</v>
      </c>
      <c r="BI20" s="28">
        <v>0</v>
      </c>
      <c r="BJ20" s="28">
        <v>0</v>
      </c>
      <c r="BK20" s="28">
        <v>0</v>
      </c>
      <c r="BL20" s="28">
        <v>0</v>
      </c>
      <c r="BM20" s="28">
        <v>0</v>
      </c>
      <c r="BN20" s="28">
        <v>0</v>
      </c>
      <c r="BO20" s="28">
        <v>0</v>
      </c>
      <c r="BP20" s="28">
        <v>0</v>
      </c>
      <c r="BQ20" s="61">
        <v>0</v>
      </c>
      <c r="BR20" s="61">
        <v>0</v>
      </c>
      <c r="BS20" s="61">
        <v>0</v>
      </c>
      <c r="BT20" s="61">
        <v>0</v>
      </c>
      <c r="BU20" s="61">
        <v>0</v>
      </c>
      <c r="BV20" s="61">
        <v>0</v>
      </c>
      <c r="BW20" s="61">
        <v>500000</v>
      </c>
      <c r="BX20" s="61">
        <v>1100000</v>
      </c>
      <c r="BY20" s="61">
        <v>1500000</v>
      </c>
      <c r="BZ20" s="61">
        <v>2450000</v>
      </c>
      <c r="CA20" s="61">
        <v>2800000</v>
      </c>
      <c r="CB20" s="61">
        <v>3400000</v>
      </c>
    </row>
    <row r="21" spans="2:80" ht="10.15" x14ac:dyDescent="0.3">
      <c r="B21" s="56" t="s">
        <v>115</v>
      </c>
      <c r="C21" s="57"/>
      <c r="D21" s="57"/>
      <c r="E21" s="57"/>
      <c r="F21" s="57"/>
      <c r="G21" s="58"/>
      <c r="I21" s="15" t="s">
        <v>2</v>
      </c>
      <c r="R21" s="28">
        <v>0</v>
      </c>
      <c r="S21" s="28">
        <v>0</v>
      </c>
      <c r="T21" s="28">
        <v>0</v>
      </c>
      <c r="U21" s="28">
        <v>0</v>
      </c>
      <c r="V21" s="28">
        <v>1600000</v>
      </c>
      <c r="W21" s="31"/>
      <c r="X21" s="31"/>
      <c r="Y21" s="31"/>
      <c r="BG21" s="28">
        <v>0</v>
      </c>
      <c r="BH21" s="28">
        <v>0</v>
      </c>
      <c r="BI21" s="28">
        <v>0</v>
      </c>
      <c r="BJ21" s="28">
        <v>0</v>
      </c>
      <c r="BK21" s="28">
        <v>0</v>
      </c>
      <c r="BL21" s="28">
        <v>0</v>
      </c>
      <c r="BM21" s="28">
        <v>0</v>
      </c>
      <c r="BN21" s="28">
        <v>0</v>
      </c>
      <c r="BO21" s="28">
        <v>0</v>
      </c>
      <c r="BP21" s="28">
        <v>0</v>
      </c>
      <c r="BQ21" s="61">
        <v>0</v>
      </c>
      <c r="BR21" s="61">
        <v>0</v>
      </c>
      <c r="BS21" s="61">
        <v>0</v>
      </c>
      <c r="BT21" s="61">
        <v>0</v>
      </c>
      <c r="BU21" s="61">
        <v>0</v>
      </c>
      <c r="BV21" s="61">
        <v>0</v>
      </c>
      <c r="BW21" s="61">
        <v>0</v>
      </c>
      <c r="BX21" s="61">
        <v>0</v>
      </c>
      <c r="BY21" s="61">
        <v>0</v>
      </c>
      <c r="BZ21" s="61">
        <v>0</v>
      </c>
      <c r="CA21" s="61">
        <v>500000</v>
      </c>
      <c r="CB21" s="61">
        <v>1100000</v>
      </c>
    </row>
    <row r="22" spans="2:80" ht="10.15" x14ac:dyDescent="0.3">
      <c r="B22" s="56"/>
      <c r="C22" s="57"/>
      <c r="D22" s="57"/>
      <c r="E22" s="57"/>
      <c r="F22" s="57"/>
      <c r="G22" s="58"/>
      <c r="I22" s="15" t="s">
        <v>2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31"/>
      <c r="X22" s="31"/>
      <c r="Y22" s="31"/>
      <c r="BG22" s="28">
        <v>0</v>
      </c>
      <c r="BH22" s="28">
        <v>0</v>
      </c>
      <c r="BI22" s="28">
        <v>0</v>
      </c>
      <c r="BJ22" s="28">
        <v>0</v>
      </c>
      <c r="BK22" s="28">
        <v>0</v>
      </c>
      <c r="BL22" s="28">
        <v>0</v>
      </c>
      <c r="BM22" s="28">
        <v>0</v>
      </c>
      <c r="BN22" s="28">
        <v>0</v>
      </c>
      <c r="BO22" s="28">
        <v>0</v>
      </c>
      <c r="BP22" s="28">
        <v>0</v>
      </c>
      <c r="BQ22" s="61">
        <v>0</v>
      </c>
      <c r="BR22" s="61">
        <v>0</v>
      </c>
      <c r="BS22" s="61">
        <v>0</v>
      </c>
      <c r="BT22" s="61">
        <v>0</v>
      </c>
      <c r="BU22" s="61">
        <v>0</v>
      </c>
      <c r="BV22" s="61">
        <v>0</v>
      </c>
      <c r="BW22" s="61">
        <v>0</v>
      </c>
      <c r="BX22" s="61">
        <v>0</v>
      </c>
      <c r="BY22" s="61">
        <v>0</v>
      </c>
      <c r="BZ22" s="61">
        <v>0</v>
      </c>
      <c r="CA22" s="61">
        <v>0</v>
      </c>
      <c r="CB22" s="61">
        <v>0</v>
      </c>
    </row>
    <row r="23" spans="2:80" ht="10.15" x14ac:dyDescent="0.3">
      <c r="B23" s="56"/>
      <c r="C23" s="57"/>
      <c r="D23" s="57"/>
      <c r="E23" s="57"/>
      <c r="F23" s="57"/>
      <c r="G23" s="58"/>
      <c r="I23" s="15" t="s">
        <v>2</v>
      </c>
      <c r="R23" s="28">
        <v>0</v>
      </c>
      <c r="S23" s="28">
        <v>0</v>
      </c>
      <c r="T23" s="28">
        <v>0</v>
      </c>
      <c r="U23" s="28">
        <v>0</v>
      </c>
      <c r="V23" s="28">
        <v>0</v>
      </c>
      <c r="W23" s="31"/>
      <c r="X23" s="31"/>
      <c r="Y23" s="31"/>
      <c r="BG23" s="28">
        <v>0</v>
      </c>
      <c r="BH23" s="28">
        <v>0</v>
      </c>
      <c r="BI23" s="28">
        <v>0</v>
      </c>
      <c r="BJ23" s="28">
        <v>0</v>
      </c>
      <c r="BK23" s="28">
        <v>0</v>
      </c>
      <c r="BL23" s="28">
        <v>0</v>
      </c>
      <c r="BM23" s="28">
        <v>0</v>
      </c>
      <c r="BN23" s="28">
        <v>0</v>
      </c>
      <c r="BO23" s="28">
        <v>0</v>
      </c>
      <c r="BP23" s="28">
        <v>0</v>
      </c>
      <c r="BQ23" s="61">
        <v>0</v>
      </c>
      <c r="BR23" s="61">
        <v>0</v>
      </c>
      <c r="BS23" s="61">
        <v>0</v>
      </c>
      <c r="BT23" s="61">
        <v>0</v>
      </c>
      <c r="BU23" s="61">
        <v>0</v>
      </c>
      <c r="BV23" s="61">
        <v>0</v>
      </c>
      <c r="BW23" s="61">
        <v>0</v>
      </c>
      <c r="BX23" s="61">
        <v>0</v>
      </c>
      <c r="BY23" s="61">
        <v>0</v>
      </c>
      <c r="BZ23" s="61">
        <v>0</v>
      </c>
      <c r="CA23" s="61">
        <v>0</v>
      </c>
      <c r="CB23" s="61">
        <v>0</v>
      </c>
    </row>
    <row r="24" spans="2:80" ht="10.15" x14ac:dyDescent="0.3">
      <c r="B24" s="56"/>
      <c r="C24" s="57"/>
      <c r="D24" s="57"/>
      <c r="E24" s="57"/>
      <c r="F24" s="57"/>
      <c r="G24" s="58"/>
      <c r="I24" s="15" t="s">
        <v>2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31"/>
      <c r="X24" s="31"/>
      <c r="Y24" s="31"/>
      <c r="BG24" s="28">
        <v>0</v>
      </c>
      <c r="BH24" s="28">
        <v>0</v>
      </c>
      <c r="BI24" s="28">
        <v>0</v>
      </c>
      <c r="BJ24" s="28">
        <v>0</v>
      </c>
      <c r="BK24" s="28">
        <v>0</v>
      </c>
      <c r="BL24" s="28">
        <v>0</v>
      </c>
      <c r="BM24" s="28">
        <v>0</v>
      </c>
      <c r="BN24" s="28">
        <v>0</v>
      </c>
      <c r="BO24" s="28">
        <v>0</v>
      </c>
      <c r="BP24" s="28">
        <v>0</v>
      </c>
      <c r="BQ24" s="61">
        <v>0</v>
      </c>
      <c r="BR24" s="61">
        <v>0</v>
      </c>
      <c r="BS24" s="61">
        <v>0</v>
      </c>
      <c r="BT24" s="61">
        <v>0</v>
      </c>
      <c r="BU24" s="61">
        <v>0</v>
      </c>
      <c r="BV24" s="61">
        <v>0</v>
      </c>
      <c r="BW24" s="61">
        <v>0</v>
      </c>
      <c r="BX24" s="61">
        <v>0</v>
      </c>
      <c r="BY24" s="61">
        <v>0</v>
      </c>
      <c r="BZ24" s="61">
        <v>0</v>
      </c>
      <c r="CA24" s="61">
        <v>0</v>
      </c>
      <c r="CB24" s="61">
        <v>0</v>
      </c>
    </row>
    <row r="25" spans="2:80" ht="10.15" x14ac:dyDescent="0.3">
      <c r="B25" s="56"/>
      <c r="C25" s="57"/>
      <c r="D25" s="57"/>
      <c r="E25" s="57"/>
      <c r="F25" s="57"/>
      <c r="G25" s="58"/>
      <c r="I25" s="15" t="s">
        <v>2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31"/>
      <c r="X25" s="31"/>
      <c r="Y25" s="31"/>
      <c r="BG25" s="28">
        <v>0</v>
      </c>
      <c r="BH25" s="28">
        <v>0</v>
      </c>
      <c r="BI25" s="28">
        <v>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8">
        <v>0</v>
      </c>
      <c r="BQ25" s="61">
        <v>0</v>
      </c>
      <c r="BR25" s="61">
        <v>0</v>
      </c>
      <c r="BS25" s="61">
        <v>0</v>
      </c>
      <c r="BT25" s="61">
        <v>0</v>
      </c>
      <c r="BU25" s="61">
        <v>0</v>
      </c>
      <c r="BV25" s="61">
        <v>0</v>
      </c>
      <c r="BW25" s="61">
        <v>0</v>
      </c>
      <c r="BX25" s="61">
        <v>0</v>
      </c>
      <c r="BY25" s="61">
        <v>0</v>
      </c>
      <c r="BZ25" s="61">
        <v>0</v>
      </c>
      <c r="CA25" s="61">
        <v>0</v>
      </c>
      <c r="CB25" s="61">
        <v>0</v>
      </c>
    </row>
    <row r="26" spans="2:80" ht="10.15" x14ac:dyDescent="0.3">
      <c r="B26" s="56"/>
      <c r="C26" s="57"/>
      <c r="D26" s="57"/>
      <c r="E26" s="57"/>
      <c r="F26" s="57"/>
      <c r="G26" s="58"/>
      <c r="I26" s="15" t="s">
        <v>2</v>
      </c>
      <c r="R26" s="28">
        <v>0</v>
      </c>
      <c r="S26" s="28">
        <v>0</v>
      </c>
      <c r="T26" s="28">
        <v>0</v>
      </c>
      <c r="U26" s="28">
        <v>0</v>
      </c>
      <c r="V26" s="28">
        <v>0</v>
      </c>
      <c r="W26" s="31"/>
      <c r="X26" s="31"/>
      <c r="Y26" s="31"/>
      <c r="BG26" s="28">
        <v>0</v>
      </c>
      <c r="BH26" s="28">
        <v>0</v>
      </c>
      <c r="BI26" s="28">
        <v>0</v>
      </c>
      <c r="BJ26" s="28">
        <v>0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8">
        <v>0</v>
      </c>
      <c r="BQ26" s="32">
        <v>0</v>
      </c>
      <c r="BR26" s="32">
        <v>0</v>
      </c>
      <c r="BS26" s="32">
        <v>0</v>
      </c>
      <c r="BT26" s="32">
        <v>0</v>
      </c>
      <c r="BU26" s="32">
        <v>0</v>
      </c>
      <c r="BV26" s="32">
        <v>0</v>
      </c>
      <c r="BW26" s="32">
        <v>0</v>
      </c>
      <c r="BX26" s="32">
        <v>0</v>
      </c>
      <c r="BY26" s="32">
        <v>0</v>
      </c>
      <c r="BZ26" s="32">
        <v>0</v>
      </c>
      <c r="CA26" s="32">
        <v>0</v>
      </c>
      <c r="CB26" s="32">
        <v>0</v>
      </c>
    </row>
    <row r="27" spans="2:80" ht="10.15" x14ac:dyDescent="0.3">
      <c r="B27" s="56"/>
      <c r="C27" s="57"/>
      <c r="D27" s="57"/>
      <c r="E27" s="57"/>
      <c r="F27" s="57"/>
      <c r="G27" s="58"/>
      <c r="I27" s="15" t="s">
        <v>2</v>
      </c>
      <c r="R27" s="28">
        <v>0</v>
      </c>
      <c r="S27" s="28">
        <v>0</v>
      </c>
      <c r="T27" s="28">
        <v>0</v>
      </c>
      <c r="U27" s="28">
        <v>0</v>
      </c>
      <c r="V27" s="28">
        <v>0</v>
      </c>
      <c r="W27" s="31"/>
      <c r="X27" s="31"/>
      <c r="Y27" s="31"/>
      <c r="BG27" s="28">
        <v>0</v>
      </c>
      <c r="BH27" s="28">
        <v>0</v>
      </c>
      <c r="BI27" s="28">
        <v>0</v>
      </c>
      <c r="BJ27" s="28">
        <v>0</v>
      </c>
      <c r="BK27" s="28">
        <v>0</v>
      </c>
      <c r="BL27" s="28">
        <v>0</v>
      </c>
      <c r="BM27" s="28">
        <v>0</v>
      </c>
      <c r="BN27" s="28">
        <v>0</v>
      </c>
      <c r="BO27" s="28">
        <v>0</v>
      </c>
      <c r="BP27" s="28">
        <v>0</v>
      </c>
      <c r="BQ27" s="32">
        <v>0</v>
      </c>
      <c r="BR27" s="32">
        <v>0</v>
      </c>
      <c r="BS27" s="32">
        <v>0</v>
      </c>
      <c r="BT27" s="32">
        <v>0</v>
      </c>
      <c r="BU27" s="32">
        <v>0</v>
      </c>
      <c r="BV27" s="32">
        <v>0</v>
      </c>
      <c r="BW27" s="32">
        <v>0</v>
      </c>
      <c r="BX27" s="32">
        <v>0</v>
      </c>
      <c r="BY27" s="32">
        <v>0</v>
      </c>
      <c r="BZ27" s="32">
        <v>0</v>
      </c>
      <c r="CA27" s="32">
        <v>0</v>
      </c>
      <c r="CB27" s="32">
        <v>0</v>
      </c>
    </row>
    <row r="28" spans="2:80" ht="10.15" x14ac:dyDescent="0.3">
      <c r="B28" s="56"/>
      <c r="C28" s="57"/>
      <c r="D28" s="57"/>
      <c r="E28" s="57"/>
      <c r="F28" s="57"/>
      <c r="G28" s="58"/>
      <c r="I28" s="15" t="s">
        <v>2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31"/>
      <c r="X28" s="31"/>
      <c r="Y28" s="31"/>
      <c r="BG28" s="28">
        <v>0</v>
      </c>
      <c r="BH28" s="28">
        <v>0</v>
      </c>
      <c r="BI28" s="28">
        <v>0</v>
      </c>
      <c r="BJ28" s="28">
        <v>0</v>
      </c>
      <c r="BK28" s="28">
        <v>0</v>
      </c>
      <c r="BL28" s="28">
        <v>0</v>
      </c>
      <c r="BM28" s="28">
        <v>0</v>
      </c>
      <c r="BN28" s="28">
        <v>0</v>
      </c>
      <c r="BO28" s="28">
        <v>0</v>
      </c>
      <c r="BP28" s="28">
        <v>0</v>
      </c>
      <c r="BQ28" s="32">
        <v>0</v>
      </c>
      <c r="BR28" s="32">
        <v>0</v>
      </c>
      <c r="BS28" s="32">
        <v>0</v>
      </c>
      <c r="BT28" s="32">
        <v>0</v>
      </c>
      <c r="BU28" s="32">
        <v>0</v>
      </c>
      <c r="BV28" s="32">
        <v>0</v>
      </c>
      <c r="BW28" s="32">
        <v>0</v>
      </c>
      <c r="BX28" s="32">
        <v>0</v>
      </c>
      <c r="BY28" s="32">
        <v>0</v>
      </c>
      <c r="BZ28" s="32">
        <v>0</v>
      </c>
      <c r="CA28" s="32">
        <v>0</v>
      </c>
      <c r="CB28" s="32">
        <v>0</v>
      </c>
    </row>
    <row r="29" spans="2:80" ht="10.15" x14ac:dyDescent="0.3">
      <c r="B29" s="56"/>
      <c r="C29" s="57"/>
      <c r="D29" s="57"/>
      <c r="E29" s="57"/>
      <c r="F29" s="57"/>
      <c r="G29" s="58"/>
      <c r="I29" s="15" t="s">
        <v>2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31"/>
      <c r="X29" s="31"/>
      <c r="Y29" s="31"/>
      <c r="BG29" s="28">
        <v>0</v>
      </c>
      <c r="BH29" s="28">
        <v>0</v>
      </c>
      <c r="BI29" s="28">
        <v>0</v>
      </c>
      <c r="BJ29" s="28">
        <v>0</v>
      </c>
      <c r="BK29" s="28">
        <v>0</v>
      </c>
      <c r="BL29" s="28">
        <v>0</v>
      </c>
      <c r="BM29" s="28">
        <v>0</v>
      </c>
      <c r="BN29" s="28">
        <v>0</v>
      </c>
      <c r="BO29" s="28">
        <v>0</v>
      </c>
      <c r="BP29" s="28">
        <v>0</v>
      </c>
      <c r="BQ29" s="32">
        <v>0</v>
      </c>
      <c r="BR29" s="32">
        <v>0</v>
      </c>
      <c r="BS29" s="32">
        <v>0</v>
      </c>
      <c r="BT29" s="32">
        <v>0</v>
      </c>
      <c r="BU29" s="32">
        <v>0</v>
      </c>
      <c r="BV29" s="32">
        <v>0</v>
      </c>
      <c r="BW29" s="32">
        <v>0</v>
      </c>
      <c r="BX29" s="32">
        <v>0</v>
      </c>
      <c r="BY29" s="32">
        <v>0</v>
      </c>
      <c r="BZ29" s="32">
        <v>0</v>
      </c>
      <c r="CA29" s="32">
        <v>0</v>
      </c>
      <c r="CB29" s="32">
        <v>0</v>
      </c>
    </row>
    <row r="30" spans="2:80" ht="10.15" x14ac:dyDescent="0.3">
      <c r="B30" s="56"/>
      <c r="C30" s="57"/>
      <c r="D30" s="57"/>
      <c r="E30" s="57"/>
      <c r="F30" s="57"/>
      <c r="G30" s="58"/>
      <c r="I30" s="15" t="s">
        <v>2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31"/>
      <c r="X30" s="31"/>
      <c r="Y30" s="31"/>
      <c r="BG30" s="28">
        <v>0</v>
      </c>
      <c r="BH30" s="28">
        <v>0</v>
      </c>
      <c r="BI30" s="28">
        <v>0</v>
      </c>
      <c r="BJ30" s="28">
        <v>0</v>
      </c>
      <c r="BK30" s="28">
        <v>0</v>
      </c>
      <c r="BL30" s="28">
        <v>0</v>
      </c>
      <c r="BM30" s="28">
        <v>0</v>
      </c>
      <c r="BN30" s="28">
        <v>0</v>
      </c>
      <c r="BO30" s="28">
        <v>0</v>
      </c>
      <c r="BP30" s="28">
        <v>0</v>
      </c>
      <c r="BQ30" s="32">
        <v>0</v>
      </c>
      <c r="BR30" s="32">
        <v>0</v>
      </c>
      <c r="BS30" s="32">
        <v>0</v>
      </c>
      <c r="BT30" s="32">
        <v>0</v>
      </c>
      <c r="BU30" s="32">
        <v>0</v>
      </c>
      <c r="BV30" s="32">
        <v>0</v>
      </c>
      <c r="BW30" s="32">
        <v>0</v>
      </c>
      <c r="BX30" s="32">
        <v>0</v>
      </c>
      <c r="BY30" s="32">
        <v>0</v>
      </c>
      <c r="BZ30" s="32">
        <v>0</v>
      </c>
      <c r="CA30" s="32">
        <v>0</v>
      </c>
      <c r="CB30" s="32">
        <v>0</v>
      </c>
    </row>
    <row r="31" spans="2:80" ht="10.15" x14ac:dyDescent="0.3">
      <c r="B31" s="56"/>
      <c r="C31" s="57"/>
      <c r="D31" s="57"/>
      <c r="E31" s="57"/>
      <c r="F31" s="57"/>
      <c r="G31" s="58"/>
      <c r="I31" s="15" t="s">
        <v>2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31"/>
      <c r="X31" s="31"/>
      <c r="Y31" s="31"/>
      <c r="BG31" s="28">
        <v>0</v>
      </c>
      <c r="BH31" s="28">
        <v>0</v>
      </c>
      <c r="BI31" s="28">
        <v>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32">
        <v>0</v>
      </c>
      <c r="BR31" s="32">
        <v>0</v>
      </c>
      <c r="BS31" s="32">
        <v>0</v>
      </c>
      <c r="BT31" s="32">
        <v>0</v>
      </c>
      <c r="BU31" s="32">
        <v>0</v>
      </c>
      <c r="BV31" s="32">
        <v>0</v>
      </c>
      <c r="BW31" s="32">
        <v>0</v>
      </c>
      <c r="BX31" s="32">
        <v>0</v>
      </c>
      <c r="BY31" s="32">
        <v>0</v>
      </c>
      <c r="BZ31" s="32">
        <v>0</v>
      </c>
      <c r="CA31" s="32">
        <v>0</v>
      </c>
      <c r="CB31" s="32">
        <v>0</v>
      </c>
    </row>
    <row r="32" spans="2:80" ht="10.15" x14ac:dyDescent="0.3">
      <c r="B32" s="56"/>
      <c r="C32" s="57"/>
      <c r="D32" s="57"/>
      <c r="E32" s="57"/>
      <c r="F32" s="57"/>
      <c r="G32" s="58"/>
      <c r="I32" s="15" t="s">
        <v>2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31"/>
      <c r="X32" s="31"/>
      <c r="Y32" s="31"/>
      <c r="BG32" s="28">
        <v>0</v>
      </c>
      <c r="BH32" s="28">
        <v>0</v>
      </c>
      <c r="BI32" s="28">
        <v>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8">
        <v>0</v>
      </c>
      <c r="BQ32" s="32">
        <v>0</v>
      </c>
      <c r="BR32" s="32">
        <v>0</v>
      </c>
      <c r="BS32" s="32">
        <v>0</v>
      </c>
      <c r="BT32" s="32">
        <v>0</v>
      </c>
      <c r="BU32" s="32">
        <v>0</v>
      </c>
      <c r="BV32" s="32">
        <v>0</v>
      </c>
      <c r="BW32" s="32">
        <v>0</v>
      </c>
      <c r="BX32" s="32">
        <v>0</v>
      </c>
      <c r="BY32" s="32">
        <v>0</v>
      </c>
      <c r="BZ32" s="32">
        <v>0</v>
      </c>
      <c r="CA32" s="32">
        <v>0</v>
      </c>
      <c r="CB32" s="32">
        <v>0</v>
      </c>
    </row>
    <row r="33" spans="2:80" ht="10.15" x14ac:dyDescent="0.3">
      <c r="B33" s="56"/>
      <c r="C33" s="57"/>
      <c r="D33" s="57"/>
      <c r="E33" s="57"/>
      <c r="F33" s="57"/>
      <c r="G33" s="58"/>
      <c r="I33" s="15" t="s">
        <v>2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31"/>
      <c r="X33" s="31"/>
      <c r="Y33" s="31"/>
      <c r="BG33" s="28">
        <v>0</v>
      </c>
      <c r="BH33" s="28">
        <v>0</v>
      </c>
      <c r="BI33" s="28">
        <v>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8">
        <v>0</v>
      </c>
      <c r="BQ33" s="32">
        <v>0</v>
      </c>
      <c r="BR33" s="32">
        <v>0</v>
      </c>
      <c r="BS33" s="32">
        <v>0</v>
      </c>
      <c r="BT33" s="32">
        <v>0</v>
      </c>
      <c r="BU33" s="32">
        <v>0</v>
      </c>
      <c r="BV33" s="32">
        <v>0</v>
      </c>
      <c r="BW33" s="32">
        <v>0</v>
      </c>
      <c r="BX33" s="32">
        <v>0</v>
      </c>
      <c r="BY33" s="32">
        <v>0</v>
      </c>
      <c r="BZ33" s="32">
        <v>0</v>
      </c>
      <c r="CA33" s="32">
        <v>0</v>
      </c>
      <c r="CB33" s="32">
        <v>0</v>
      </c>
    </row>
    <row r="34" spans="2:80" ht="10.15" x14ac:dyDescent="0.3">
      <c r="B34" s="56"/>
      <c r="C34" s="57"/>
      <c r="D34" s="57"/>
      <c r="E34" s="57"/>
      <c r="F34" s="57"/>
      <c r="G34" s="58"/>
      <c r="I34" s="15" t="s">
        <v>2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31"/>
      <c r="X34" s="31"/>
      <c r="Y34" s="31"/>
      <c r="BG34" s="28">
        <v>0</v>
      </c>
      <c r="BH34" s="28">
        <v>0</v>
      </c>
      <c r="BI34" s="28">
        <v>0</v>
      </c>
      <c r="BJ34" s="28">
        <v>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32">
        <v>0</v>
      </c>
      <c r="BR34" s="32">
        <v>0</v>
      </c>
      <c r="BS34" s="32">
        <v>0</v>
      </c>
      <c r="BT34" s="32">
        <v>0</v>
      </c>
      <c r="BU34" s="32">
        <v>0</v>
      </c>
      <c r="BV34" s="32">
        <v>0</v>
      </c>
      <c r="BW34" s="32">
        <v>0</v>
      </c>
      <c r="BX34" s="32">
        <v>0</v>
      </c>
      <c r="BY34" s="32">
        <v>0</v>
      </c>
      <c r="BZ34" s="32">
        <v>0</v>
      </c>
      <c r="CA34" s="32">
        <v>0</v>
      </c>
      <c r="CB34" s="32">
        <v>0</v>
      </c>
    </row>
    <row r="35" spans="2:80" ht="10.15" x14ac:dyDescent="0.3">
      <c r="B35" s="56"/>
      <c r="C35" s="57"/>
      <c r="D35" s="57"/>
      <c r="E35" s="57"/>
      <c r="F35" s="57"/>
      <c r="G35" s="58"/>
      <c r="I35" s="15" t="s">
        <v>2</v>
      </c>
      <c r="R35" s="28">
        <v>0</v>
      </c>
      <c r="S35" s="28">
        <v>0</v>
      </c>
      <c r="T35" s="28">
        <v>0</v>
      </c>
      <c r="U35" s="28">
        <v>0</v>
      </c>
      <c r="V35" s="28">
        <v>0</v>
      </c>
      <c r="W35" s="31"/>
      <c r="X35" s="31"/>
      <c r="Y35" s="31"/>
      <c r="BG35" s="28">
        <v>0</v>
      </c>
      <c r="BH35" s="28">
        <v>0</v>
      </c>
      <c r="BI35" s="28">
        <v>0</v>
      </c>
      <c r="BJ35" s="28">
        <v>0</v>
      </c>
      <c r="BK35" s="28">
        <v>0</v>
      </c>
      <c r="BL35" s="28">
        <v>0</v>
      </c>
      <c r="BM35" s="28">
        <v>0</v>
      </c>
      <c r="BN35" s="28">
        <v>0</v>
      </c>
      <c r="BO35" s="28">
        <v>0</v>
      </c>
      <c r="BP35" s="28">
        <v>0</v>
      </c>
      <c r="BQ35" s="32">
        <v>0</v>
      </c>
      <c r="BR35" s="32">
        <v>0</v>
      </c>
      <c r="BS35" s="32">
        <v>0</v>
      </c>
      <c r="BT35" s="32">
        <v>0</v>
      </c>
      <c r="BU35" s="32">
        <v>0</v>
      </c>
      <c r="BV35" s="32">
        <v>0</v>
      </c>
      <c r="BW35" s="32">
        <v>0</v>
      </c>
      <c r="BX35" s="32">
        <v>0</v>
      </c>
      <c r="BY35" s="32">
        <v>0</v>
      </c>
      <c r="BZ35" s="32">
        <v>0</v>
      </c>
      <c r="CA35" s="32">
        <v>0</v>
      </c>
      <c r="CB35" s="32">
        <v>0</v>
      </c>
    </row>
    <row r="36" spans="2:80" ht="10.15" x14ac:dyDescent="0.3">
      <c r="B36" s="56"/>
      <c r="C36" s="57"/>
      <c r="D36" s="57"/>
      <c r="E36" s="57"/>
      <c r="F36" s="57"/>
      <c r="G36" s="58"/>
      <c r="I36" s="15" t="s">
        <v>2</v>
      </c>
      <c r="R36" s="28">
        <v>0</v>
      </c>
      <c r="S36" s="28">
        <v>0</v>
      </c>
      <c r="T36" s="28">
        <v>0</v>
      </c>
      <c r="U36" s="28">
        <v>0</v>
      </c>
      <c r="V36" s="28">
        <v>0</v>
      </c>
      <c r="W36" s="31"/>
      <c r="X36" s="31"/>
      <c r="Y36" s="31"/>
      <c r="BG36" s="28">
        <v>0</v>
      </c>
      <c r="BH36" s="28">
        <v>0</v>
      </c>
      <c r="BI36" s="28">
        <v>0</v>
      </c>
      <c r="BJ36" s="28">
        <v>0</v>
      </c>
      <c r="BK36" s="28">
        <v>0</v>
      </c>
      <c r="BL36" s="28">
        <v>0</v>
      </c>
      <c r="BM36" s="28">
        <v>0</v>
      </c>
      <c r="BN36" s="28">
        <v>0</v>
      </c>
      <c r="BO36" s="28">
        <v>0</v>
      </c>
      <c r="BP36" s="28">
        <v>0</v>
      </c>
      <c r="BQ36" s="32">
        <v>0</v>
      </c>
      <c r="BR36" s="32">
        <v>0</v>
      </c>
      <c r="BS36" s="32">
        <v>0</v>
      </c>
      <c r="BT36" s="32">
        <v>0</v>
      </c>
      <c r="BU36" s="32">
        <v>0</v>
      </c>
      <c r="BV36" s="32">
        <v>0</v>
      </c>
      <c r="BW36" s="32">
        <v>0</v>
      </c>
      <c r="BX36" s="32">
        <v>0</v>
      </c>
      <c r="BY36" s="32">
        <v>0</v>
      </c>
      <c r="BZ36" s="32">
        <v>0</v>
      </c>
      <c r="CA36" s="32">
        <v>0</v>
      </c>
      <c r="CB36" s="32">
        <v>0</v>
      </c>
    </row>
    <row r="37" spans="2:80" ht="10.15" x14ac:dyDescent="0.3">
      <c r="B37" s="56"/>
      <c r="C37" s="57"/>
      <c r="D37" s="57"/>
      <c r="E37" s="57"/>
      <c r="F37" s="57"/>
      <c r="G37" s="58"/>
      <c r="I37" s="15" t="s">
        <v>2</v>
      </c>
      <c r="R37" s="28">
        <v>0</v>
      </c>
      <c r="S37" s="28">
        <v>0</v>
      </c>
      <c r="T37" s="28">
        <v>0</v>
      </c>
      <c r="U37" s="28">
        <v>0</v>
      </c>
      <c r="V37" s="28">
        <v>0</v>
      </c>
      <c r="W37" s="31"/>
      <c r="X37" s="31"/>
      <c r="Y37" s="31"/>
      <c r="BG37" s="28">
        <v>0</v>
      </c>
      <c r="BH37" s="28">
        <v>0</v>
      </c>
      <c r="BI37" s="28">
        <v>0</v>
      </c>
      <c r="BJ37" s="28">
        <v>0</v>
      </c>
      <c r="BK37" s="28">
        <v>0</v>
      </c>
      <c r="BL37" s="28">
        <v>0</v>
      </c>
      <c r="BM37" s="28">
        <v>0</v>
      </c>
      <c r="BN37" s="28">
        <v>0</v>
      </c>
      <c r="BO37" s="28">
        <v>0</v>
      </c>
      <c r="BP37" s="28">
        <v>0</v>
      </c>
      <c r="BQ37" s="32">
        <v>0</v>
      </c>
      <c r="BR37" s="32">
        <v>0</v>
      </c>
      <c r="BS37" s="32">
        <v>0</v>
      </c>
      <c r="BT37" s="32">
        <v>0</v>
      </c>
      <c r="BU37" s="32">
        <v>0</v>
      </c>
      <c r="BV37" s="32">
        <v>0</v>
      </c>
      <c r="BW37" s="32">
        <v>0</v>
      </c>
      <c r="BX37" s="32">
        <v>0</v>
      </c>
      <c r="BY37" s="32">
        <v>0</v>
      </c>
      <c r="BZ37" s="32">
        <v>0</v>
      </c>
      <c r="CA37" s="32">
        <v>0</v>
      </c>
      <c r="CB37" s="32">
        <v>0</v>
      </c>
    </row>
    <row r="38" spans="2:80" ht="10.15" x14ac:dyDescent="0.3">
      <c r="B38" s="56"/>
      <c r="C38" s="57"/>
      <c r="D38" s="57"/>
      <c r="E38" s="57"/>
      <c r="F38" s="57"/>
      <c r="G38" s="58"/>
      <c r="I38" s="15" t="s">
        <v>2</v>
      </c>
      <c r="R38" s="28">
        <v>0</v>
      </c>
      <c r="S38" s="28">
        <v>0</v>
      </c>
      <c r="T38" s="28">
        <v>0</v>
      </c>
      <c r="U38" s="28">
        <v>0</v>
      </c>
      <c r="V38" s="28">
        <v>0</v>
      </c>
      <c r="W38" s="31"/>
      <c r="X38" s="31"/>
      <c r="Y38" s="31"/>
      <c r="BG38" s="28">
        <v>0</v>
      </c>
      <c r="BH38" s="28">
        <v>0</v>
      </c>
      <c r="BI38" s="28">
        <v>0</v>
      </c>
      <c r="BJ38" s="28">
        <v>0</v>
      </c>
      <c r="BK38" s="28">
        <v>0</v>
      </c>
      <c r="BL38" s="28">
        <v>0</v>
      </c>
      <c r="BM38" s="28">
        <v>0</v>
      </c>
      <c r="BN38" s="28">
        <v>0</v>
      </c>
      <c r="BO38" s="28">
        <v>0</v>
      </c>
      <c r="BP38" s="28">
        <v>0</v>
      </c>
      <c r="BQ38" s="32">
        <v>0</v>
      </c>
      <c r="BR38" s="32">
        <v>0</v>
      </c>
      <c r="BS38" s="32">
        <v>0</v>
      </c>
      <c r="BT38" s="32">
        <v>0</v>
      </c>
      <c r="BU38" s="32">
        <v>0</v>
      </c>
      <c r="BV38" s="32">
        <v>0</v>
      </c>
      <c r="BW38" s="32">
        <v>0</v>
      </c>
      <c r="BX38" s="32">
        <v>0</v>
      </c>
      <c r="BY38" s="32">
        <v>0</v>
      </c>
      <c r="BZ38" s="32">
        <v>0</v>
      </c>
      <c r="CA38" s="32">
        <v>0</v>
      </c>
      <c r="CB38" s="32">
        <v>0</v>
      </c>
    </row>
    <row r="39" spans="2:80" ht="10.15" x14ac:dyDescent="0.3">
      <c r="B39" s="56"/>
      <c r="C39" s="57"/>
      <c r="D39" s="57"/>
      <c r="E39" s="57"/>
      <c r="F39" s="57"/>
      <c r="G39" s="58"/>
      <c r="I39" s="15" t="s">
        <v>2</v>
      </c>
      <c r="R39" s="28">
        <v>0</v>
      </c>
      <c r="S39" s="28">
        <v>0</v>
      </c>
      <c r="T39" s="28">
        <v>0</v>
      </c>
      <c r="U39" s="28">
        <v>0</v>
      </c>
      <c r="V39" s="28">
        <v>0</v>
      </c>
      <c r="W39" s="31"/>
      <c r="X39" s="31"/>
      <c r="Y39" s="31"/>
      <c r="BG39" s="28">
        <v>0</v>
      </c>
      <c r="BH39" s="28">
        <v>0</v>
      </c>
      <c r="BI39" s="28">
        <v>0</v>
      </c>
      <c r="BJ39" s="28">
        <v>0</v>
      </c>
      <c r="BK39" s="28">
        <v>0</v>
      </c>
      <c r="BL39" s="28">
        <v>0</v>
      </c>
      <c r="BM39" s="28">
        <v>0</v>
      </c>
      <c r="BN39" s="28">
        <v>0</v>
      </c>
      <c r="BO39" s="28">
        <v>0</v>
      </c>
      <c r="BP39" s="28">
        <v>0</v>
      </c>
      <c r="BQ39" s="32">
        <v>0</v>
      </c>
      <c r="BR39" s="32">
        <v>0</v>
      </c>
      <c r="BS39" s="32">
        <v>0</v>
      </c>
      <c r="BT39" s="32">
        <v>0</v>
      </c>
      <c r="BU39" s="32">
        <v>0</v>
      </c>
      <c r="BV39" s="32">
        <v>0</v>
      </c>
      <c r="BW39" s="32">
        <v>0</v>
      </c>
      <c r="BX39" s="32">
        <v>0</v>
      </c>
      <c r="BY39" s="32">
        <v>0</v>
      </c>
      <c r="BZ39" s="32">
        <v>0</v>
      </c>
      <c r="CA39" s="32">
        <v>0</v>
      </c>
      <c r="CB39" s="32">
        <v>0</v>
      </c>
    </row>
    <row r="40" spans="2:80" ht="10.15" x14ac:dyDescent="0.3">
      <c r="B40" s="56"/>
      <c r="C40" s="57"/>
      <c r="D40" s="57"/>
      <c r="E40" s="57"/>
      <c r="F40" s="57"/>
      <c r="G40" s="58"/>
      <c r="I40" s="15" t="s">
        <v>2</v>
      </c>
      <c r="R40" s="28">
        <v>0</v>
      </c>
      <c r="S40" s="28">
        <v>0</v>
      </c>
      <c r="T40" s="28">
        <v>0</v>
      </c>
      <c r="U40" s="28">
        <v>0</v>
      </c>
      <c r="V40" s="28">
        <v>0</v>
      </c>
      <c r="W40" s="31"/>
      <c r="X40" s="31"/>
      <c r="Y40" s="31"/>
      <c r="BG40" s="28">
        <v>0</v>
      </c>
      <c r="BH40" s="28">
        <v>0</v>
      </c>
      <c r="BI40" s="28">
        <v>0</v>
      </c>
      <c r="BJ40" s="28">
        <v>0</v>
      </c>
      <c r="BK40" s="28">
        <v>0</v>
      </c>
      <c r="BL40" s="28">
        <v>0</v>
      </c>
      <c r="BM40" s="28">
        <v>0</v>
      </c>
      <c r="BN40" s="28">
        <v>0</v>
      </c>
      <c r="BO40" s="28">
        <v>0</v>
      </c>
      <c r="BP40" s="28">
        <v>0</v>
      </c>
      <c r="BQ40" s="32">
        <v>0</v>
      </c>
      <c r="BR40" s="32">
        <v>0</v>
      </c>
      <c r="BS40" s="32">
        <v>0</v>
      </c>
      <c r="BT40" s="32">
        <v>0</v>
      </c>
      <c r="BU40" s="32">
        <v>0</v>
      </c>
      <c r="BV40" s="32">
        <v>0</v>
      </c>
      <c r="BW40" s="32">
        <v>0</v>
      </c>
      <c r="BX40" s="32">
        <v>0</v>
      </c>
      <c r="BY40" s="32">
        <v>0</v>
      </c>
      <c r="BZ40" s="32">
        <v>0</v>
      </c>
      <c r="CA40" s="32">
        <v>0</v>
      </c>
      <c r="CB40" s="32">
        <v>0</v>
      </c>
    </row>
    <row r="41" spans="2:80" ht="10.15" x14ac:dyDescent="0.3">
      <c r="B41" s="56"/>
      <c r="C41" s="57"/>
      <c r="D41" s="57"/>
      <c r="E41" s="57"/>
      <c r="F41" s="57"/>
      <c r="G41" s="58"/>
      <c r="I41" s="15" t="s">
        <v>2</v>
      </c>
      <c r="R41" s="28">
        <v>0</v>
      </c>
      <c r="S41" s="28">
        <v>0</v>
      </c>
      <c r="T41" s="28">
        <v>0</v>
      </c>
      <c r="U41" s="28">
        <v>0</v>
      </c>
      <c r="V41" s="28">
        <v>0</v>
      </c>
      <c r="W41" s="31"/>
      <c r="X41" s="31"/>
      <c r="Y41" s="31"/>
      <c r="BG41" s="28">
        <v>0</v>
      </c>
      <c r="BH41" s="28">
        <v>0</v>
      </c>
      <c r="BI41" s="28">
        <v>0</v>
      </c>
      <c r="BJ41" s="28">
        <v>0</v>
      </c>
      <c r="BK41" s="28">
        <v>0</v>
      </c>
      <c r="BL41" s="28">
        <v>0</v>
      </c>
      <c r="BM41" s="28">
        <v>0</v>
      </c>
      <c r="BN41" s="28">
        <v>0</v>
      </c>
      <c r="BO41" s="28">
        <v>0</v>
      </c>
      <c r="BP41" s="28">
        <v>0</v>
      </c>
      <c r="BQ41" s="32">
        <v>0</v>
      </c>
      <c r="BR41" s="32">
        <v>0</v>
      </c>
      <c r="BS41" s="32">
        <v>0</v>
      </c>
      <c r="BT41" s="32">
        <v>0</v>
      </c>
      <c r="BU41" s="32">
        <v>0</v>
      </c>
      <c r="BV41" s="32">
        <v>0</v>
      </c>
      <c r="BW41" s="32">
        <v>0</v>
      </c>
      <c r="BX41" s="32">
        <v>0</v>
      </c>
      <c r="BY41" s="32">
        <v>0</v>
      </c>
      <c r="BZ41" s="32">
        <v>0</v>
      </c>
      <c r="CA41" s="32">
        <v>0</v>
      </c>
      <c r="CB41" s="32">
        <v>0</v>
      </c>
    </row>
    <row r="42" spans="2:80" ht="10.15" x14ac:dyDescent="0.3">
      <c r="B42" s="49" t="s">
        <v>104</v>
      </c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50">
        <f t="shared" ref="R42:U42" si="0">SUM(R12:R41)</f>
        <v>0</v>
      </c>
      <c r="S42" s="50">
        <f t="shared" si="0"/>
        <v>0</v>
      </c>
      <c r="T42" s="50">
        <f t="shared" si="0"/>
        <v>0</v>
      </c>
      <c r="U42" s="50">
        <f t="shared" si="0"/>
        <v>0</v>
      </c>
      <c r="V42" s="50">
        <f>SUM(V12:V41)</f>
        <v>327130000</v>
      </c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  <c r="BF42" s="49"/>
      <c r="BG42" s="50">
        <v>0</v>
      </c>
      <c r="BH42" s="50">
        <v>0</v>
      </c>
      <c r="BI42" s="50">
        <v>0</v>
      </c>
      <c r="BJ42" s="50">
        <v>0</v>
      </c>
      <c r="BK42" s="50">
        <v>0</v>
      </c>
      <c r="BL42" s="50">
        <v>0</v>
      </c>
      <c r="BM42" s="50">
        <v>0</v>
      </c>
      <c r="BN42" s="50">
        <v>0</v>
      </c>
      <c r="BO42" s="50">
        <v>0</v>
      </c>
      <c r="BP42" s="50">
        <v>0</v>
      </c>
      <c r="BQ42" s="50">
        <f>SUM(BQ12:BQ41)</f>
        <v>19250000</v>
      </c>
      <c r="BR42" s="50">
        <f t="shared" ref="BR42:CB42" si="1">SUM(BR12:BR41)</f>
        <v>19750000</v>
      </c>
      <c r="BS42" s="50">
        <f t="shared" si="1"/>
        <v>20350000</v>
      </c>
      <c r="BT42" s="50">
        <f t="shared" si="1"/>
        <v>19000000</v>
      </c>
      <c r="BU42" s="50">
        <f t="shared" si="1"/>
        <v>14180000</v>
      </c>
      <c r="BV42" s="50">
        <f t="shared" si="1"/>
        <v>36900000</v>
      </c>
      <c r="BW42" s="50">
        <f t="shared" si="1"/>
        <v>37400000</v>
      </c>
      <c r="BX42" s="50">
        <f t="shared" si="1"/>
        <v>38000000</v>
      </c>
      <c r="BY42" s="50">
        <f t="shared" si="1"/>
        <v>21700000</v>
      </c>
      <c r="BZ42" s="50">
        <f t="shared" si="1"/>
        <v>28050000</v>
      </c>
      <c r="CA42" s="50">
        <f t="shared" si="1"/>
        <v>28900000</v>
      </c>
      <c r="CB42" s="50">
        <f t="shared" si="1"/>
        <v>43650000</v>
      </c>
    </row>
    <row r="43" spans="2:80" ht="10.15" x14ac:dyDescent="0.3">
      <c r="BP43" s="28"/>
      <c r="BQ43" s="28"/>
      <c r="BS43" s="26"/>
      <c r="BV43" s="26"/>
      <c r="BY43" s="26"/>
      <c r="CB43" s="26"/>
    </row>
    <row r="44" spans="2:80" ht="10.15" x14ac:dyDescent="0.3">
      <c r="W44" s="31"/>
      <c r="X44" s="31"/>
      <c r="Y44" s="31"/>
    </row>
    <row r="45" spans="2:80" ht="10.15" x14ac:dyDescent="0.3">
      <c r="W45" s="31"/>
      <c r="X45" s="31"/>
      <c r="Y45" s="31"/>
    </row>
    <row r="46" spans="2:80" ht="10.15" x14ac:dyDescent="0.3">
      <c r="W46" s="31"/>
      <c r="X46" s="31"/>
      <c r="Y46" s="31"/>
    </row>
    <row r="47" spans="2:80" ht="10.15" x14ac:dyDescent="0.3">
      <c r="W47" s="31"/>
      <c r="X47" s="31"/>
      <c r="Y47" s="31"/>
    </row>
    <row r="48" spans="2:80" ht="10.15" x14ac:dyDescent="0.3">
      <c r="W48" s="31"/>
      <c r="X48" s="31"/>
      <c r="Y48" s="31"/>
    </row>
    <row r="49" spans="23:25" ht="10.15" x14ac:dyDescent="0.3">
      <c r="W49" s="31"/>
      <c r="X49" s="31"/>
      <c r="Y49" s="31"/>
    </row>
    <row r="50" spans="23:25" ht="10.15" x14ac:dyDescent="0.3">
      <c r="W50" s="31"/>
      <c r="X50" s="31"/>
      <c r="Y50" s="31"/>
    </row>
    <row r="51" spans="23:25" ht="10.15" x14ac:dyDescent="0.3">
      <c r="W51" s="31"/>
      <c r="X51" s="31"/>
      <c r="Y51" s="31"/>
    </row>
    <row r="52" spans="23:25" ht="10.15" x14ac:dyDescent="0.3">
      <c r="W52" s="31"/>
      <c r="X52" s="31"/>
      <c r="Y52" s="31"/>
    </row>
    <row r="53" spans="23:25" ht="10.15" x14ac:dyDescent="0.3">
      <c r="W53" s="31"/>
      <c r="X53" s="31"/>
      <c r="Y53" s="31"/>
    </row>
    <row r="54" spans="23:25" ht="10.15" x14ac:dyDescent="0.3">
      <c r="W54" s="31"/>
      <c r="X54" s="31"/>
      <c r="Y54" s="31"/>
    </row>
    <row r="55" spans="23:25" ht="10.15" x14ac:dyDescent="0.3">
      <c r="W55" s="31"/>
      <c r="X55" s="31"/>
      <c r="Y55" s="31"/>
    </row>
    <row r="56" spans="23:25" ht="10.15" x14ac:dyDescent="0.3">
      <c r="W56" s="31"/>
      <c r="X56" s="31"/>
      <c r="Y56" s="31"/>
    </row>
    <row r="57" spans="23:25" ht="10.35" customHeight="1" x14ac:dyDescent="0.3"/>
    <row r="58" spans="23:25" ht="10.35" customHeight="1" x14ac:dyDescent="0.3"/>
    <row r="59" spans="23:25" ht="10.35" customHeight="1" x14ac:dyDescent="0.3"/>
    <row r="60" spans="23:25" ht="10.35" customHeight="1" x14ac:dyDescent="0.3"/>
    <row r="61" spans="23:25" ht="10.35" customHeight="1" x14ac:dyDescent="0.3"/>
    <row r="62" spans="23:25" ht="10.35" customHeight="1" x14ac:dyDescent="0.3"/>
    <row r="63" spans="23:25" ht="10.35" customHeight="1" x14ac:dyDescent="0.3"/>
    <row r="64" spans="23:25" ht="10.35" customHeight="1" x14ac:dyDescent="0.3"/>
    <row r="65" ht="10.35" customHeight="1" x14ac:dyDescent="0.3"/>
    <row r="66" ht="10.35" customHeight="1" x14ac:dyDescent="0.3"/>
    <row r="67" ht="10.35" customHeight="1" x14ac:dyDescent="0.3"/>
    <row r="68" ht="10.35" customHeight="1" x14ac:dyDescent="0.3"/>
    <row r="69" ht="10.35" customHeight="1" x14ac:dyDescent="0.3"/>
    <row r="70" ht="10.35" customHeight="1" x14ac:dyDescent="0.3"/>
    <row r="71" ht="10.35" customHeight="1" x14ac:dyDescent="0.3"/>
    <row r="72" ht="10.35" customHeight="1" x14ac:dyDescent="0.3"/>
    <row r="73" ht="10.35" customHeight="1" x14ac:dyDescent="0.3"/>
    <row r="74" ht="10.35" customHeight="1" x14ac:dyDescent="0.3"/>
    <row r="75" ht="10.35" customHeight="1" x14ac:dyDescent="0.3"/>
    <row r="76" ht="10.35" customHeight="1" x14ac:dyDescent="0.3"/>
    <row r="77" ht="10.35" customHeight="1" x14ac:dyDescent="0.3"/>
    <row r="78" ht="10.35" customHeight="1" x14ac:dyDescent="0.3"/>
    <row r="79" ht="10.35" customHeight="1" x14ac:dyDescent="0.3"/>
    <row r="80" ht="10.35" customHeight="1" x14ac:dyDescent="0.3"/>
    <row r="81" ht="10.35" customHeight="1" x14ac:dyDescent="0.3"/>
    <row r="82" ht="10.35" customHeight="1" x14ac:dyDescent="0.3"/>
    <row r="83" ht="10.35" customHeight="1" x14ac:dyDescent="0.3"/>
    <row r="84" ht="10.35" customHeight="1" x14ac:dyDescent="0.3"/>
    <row r="85" ht="10.35" customHeight="1" x14ac:dyDescent="0.3"/>
    <row r="86" ht="10.35" customHeight="1" x14ac:dyDescent="0.3"/>
    <row r="87" ht="10.35" customHeight="1" x14ac:dyDescent="0.3"/>
    <row r="88" ht="10.35" customHeight="1" x14ac:dyDescent="0.3"/>
    <row r="89" ht="10.35" customHeight="1" x14ac:dyDescent="0.3"/>
    <row r="90" ht="10.35" customHeight="1" x14ac:dyDescent="0.3"/>
    <row r="91" ht="10.35" customHeight="1" x14ac:dyDescent="0.3"/>
    <row r="92" ht="10.35" customHeight="1" x14ac:dyDescent="0.3"/>
    <row r="93" ht="10.35" customHeight="1" x14ac:dyDescent="0.3"/>
    <row r="94" ht="10.35" customHeight="1" x14ac:dyDescent="0.3"/>
    <row r="95" ht="10.35" customHeight="1" x14ac:dyDescent="0.3"/>
    <row r="96" ht="10.35" customHeight="1" x14ac:dyDescent="0.3"/>
    <row r="97" ht="10.35" customHeight="1" x14ac:dyDescent="0.3"/>
    <row r="98" ht="10.35" customHeight="1" x14ac:dyDescent="0.3"/>
    <row r="99" ht="10.35" customHeight="1" x14ac:dyDescent="0.3"/>
    <row r="100" ht="10.35" customHeight="1" x14ac:dyDescent="0.3"/>
    <row r="101" ht="10.35" customHeight="1" x14ac:dyDescent="0.3"/>
    <row r="102" ht="10.35" customHeight="1" x14ac:dyDescent="0.3"/>
    <row r="103" ht="10.35" customHeight="1" x14ac:dyDescent="0.3"/>
    <row r="104" ht="10.35" customHeight="1" x14ac:dyDescent="0.3"/>
    <row r="105" ht="10.35" customHeight="1" x14ac:dyDescent="0.3"/>
    <row r="106" ht="10.35" customHeight="1" x14ac:dyDescent="0.3"/>
    <row r="107" ht="10.35" customHeight="1" x14ac:dyDescent="0.3"/>
    <row r="108" ht="10.35" customHeight="1" x14ac:dyDescent="0.3"/>
    <row r="109" ht="10.35" customHeight="1" x14ac:dyDescent="0.3"/>
    <row r="110" ht="10.35" customHeight="1" x14ac:dyDescent="0.3"/>
    <row r="111" ht="10.35" customHeight="1" x14ac:dyDescent="0.3"/>
    <row r="112" ht="10.35" customHeight="1" x14ac:dyDescent="0.3"/>
    <row r="113" ht="10.35" customHeight="1" x14ac:dyDescent="0.3"/>
    <row r="114" ht="10.35" customHeight="1" x14ac:dyDescent="0.3"/>
    <row r="115" ht="10.35" customHeight="1" x14ac:dyDescent="0.3"/>
    <row r="116" ht="10.35" customHeight="1" x14ac:dyDescent="0.3"/>
    <row r="117" ht="10.35" customHeight="1" x14ac:dyDescent="0.3"/>
    <row r="118" ht="10.35" customHeight="1" x14ac:dyDescent="0.3"/>
    <row r="119" ht="10.35" customHeight="1" x14ac:dyDescent="0.3"/>
    <row r="120" ht="10.35" customHeight="1" x14ac:dyDescent="0.3"/>
    <row r="121" ht="10.35" customHeight="1" x14ac:dyDescent="0.3"/>
    <row r="122" ht="10.35" customHeight="1" x14ac:dyDescent="0.3"/>
    <row r="123" ht="10.35" customHeight="1" x14ac:dyDescent="0.3"/>
    <row r="124" ht="10.35" customHeight="1" x14ac:dyDescent="0.3"/>
    <row r="125" ht="10.35" customHeight="1" x14ac:dyDescent="0.3"/>
    <row r="126" ht="10.35" customHeight="1" x14ac:dyDescent="0.3"/>
    <row r="127" ht="10.35" customHeight="1" x14ac:dyDescent="0.3"/>
    <row r="128" ht="10.35" customHeight="1" x14ac:dyDescent="0.3"/>
    <row r="129" ht="10.35" customHeight="1" x14ac:dyDescent="0.3"/>
    <row r="130" ht="10.35" customHeight="1" x14ac:dyDescent="0.3"/>
    <row r="131" ht="10.35" customHeight="1" x14ac:dyDescent="0.3"/>
    <row r="132" ht="10.35" customHeight="1" x14ac:dyDescent="0.3"/>
    <row r="133" ht="10.35" customHeight="1" x14ac:dyDescent="0.3"/>
    <row r="134" ht="10.35" customHeight="1" x14ac:dyDescent="0.3"/>
    <row r="135" ht="10.35" customHeight="1" x14ac:dyDescent="0.3"/>
    <row r="136" ht="10.35" customHeight="1" x14ac:dyDescent="0.3"/>
    <row r="137" ht="10.35" customHeight="1" x14ac:dyDescent="0.3"/>
    <row r="138" ht="10.35" customHeight="1" x14ac:dyDescent="0.3"/>
    <row r="139" ht="10.35" customHeight="1" x14ac:dyDescent="0.3"/>
    <row r="140" ht="10.35" customHeight="1" x14ac:dyDescent="0.3"/>
    <row r="141" ht="10.35" customHeight="1" x14ac:dyDescent="0.3"/>
    <row r="142" ht="10.35" customHeight="1" x14ac:dyDescent="0.3"/>
    <row r="143" ht="10.35" customHeight="1" x14ac:dyDescent="0.3"/>
    <row r="144" ht="10.35" customHeight="1" x14ac:dyDescent="0.3"/>
    <row r="145" ht="10.35" customHeight="1" x14ac:dyDescent="0.3"/>
    <row r="146" ht="10.35" customHeight="1" x14ac:dyDescent="0.3"/>
    <row r="147" ht="10.35" customHeight="1" x14ac:dyDescent="0.3"/>
    <row r="148" ht="10.35" customHeight="1" x14ac:dyDescent="0.3"/>
    <row r="149" ht="10.35" customHeight="1" x14ac:dyDescent="0.3"/>
    <row r="150" ht="10.35" customHeight="1" x14ac:dyDescent="0.3"/>
    <row r="151" ht="10.35" customHeight="1" x14ac:dyDescent="0.3"/>
    <row r="152" ht="10.35" customHeight="1" x14ac:dyDescent="0.3"/>
    <row r="153" ht="10.35" customHeight="1" x14ac:dyDescent="0.3"/>
    <row r="154" ht="10.35" customHeight="1" x14ac:dyDescent="0.3"/>
    <row r="155" ht="10.35" customHeight="1" x14ac:dyDescent="0.3"/>
    <row r="156" ht="10.35" customHeight="1" x14ac:dyDescent="0.3"/>
    <row r="157" ht="10.35" customHeight="1" x14ac:dyDescent="0.3"/>
    <row r="158" ht="10.35" customHeight="1" x14ac:dyDescent="0.3"/>
    <row r="159" ht="10.35" customHeight="1" x14ac:dyDescent="0.3"/>
    <row r="160" ht="10.35" customHeight="1" x14ac:dyDescent="0.3"/>
    <row r="161" ht="10.35" customHeight="1" x14ac:dyDescent="0.3"/>
    <row r="162" ht="10.35" customHeight="1" x14ac:dyDescent="0.3"/>
    <row r="163" ht="10.35" customHeight="1" x14ac:dyDescent="0.3"/>
    <row r="164" ht="10.35" customHeight="1" x14ac:dyDescent="0.3"/>
    <row r="165" ht="10.35" customHeight="1" x14ac:dyDescent="0.3"/>
    <row r="166" ht="10.35" customHeight="1" x14ac:dyDescent="0.3"/>
    <row r="167" ht="10.35" customHeight="1" x14ac:dyDescent="0.3"/>
    <row r="168" ht="10.35" customHeight="1" x14ac:dyDescent="0.3"/>
    <row r="169" ht="10.35" customHeight="1" x14ac:dyDescent="0.3"/>
    <row r="170" ht="10.35" customHeight="1" x14ac:dyDescent="0.3"/>
    <row r="171" ht="10.35" customHeight="1" x14ac:dyDescent="0.3"/>
    <row r="172" ht="10.35" customHeight="1" x14ac:dyDescent="0.3"/>
    <row r="173" ht="10.35" customHeight="1" x14ac:dyDescent="0.3"/>
    <row r="174" ht="10.35" customHeight="1" x14ac:dyDescent="0.3"/>
    <row r="175" ht="10.35" customHeight="1" x14ac:dyDescent="0.3"/>
    <row r="176" ht="10.35" customHeight="1" x14ac:dyDescent="0.3"/>
    <row r="177" ht="10.35" customHeight="1" x14ac:dyDescent="0.3"/>
    <row r="178" ht="10.35" customHeight="1" x14ac:dyDescent="0.3"/>
    <row r="179" ht="10.35" customHeight="1" x14ac:dyDescent="0.3"/>
    <row r="180" ht="10.35" customHeight="1" x14ac:dyDescent="0.3"/>
    <row r="181" ht="10.35" customHeight="1" x14ac:dyDescent="0.3"/>
    <row r="182" ht="10.35" customHeight="1" x14ac:dyDescent="0.3"/>
    <row r="183" ht="10.35" customHeight="1" x14ac:dyDescent="0.3"/>
    <row r="184" ht="10.35" customHeight="1" x14ac:dyDescent="0.3"/>
    <row r="185" ht="10.35" customHeight="1" x14ac:dyDescent="0.3"/>
    <row r="186" ht="10.35" customHeight="1" x14ac:dyDescent="0.3"/>
    <row r="187" ht="10.35" customHeight="1" x14ac:dyDescent="0.3"/>
    <row r="188" ht="10.35" customHeight="1" x14ac:dyDescent="0.3"/>
    <row r="189" ht="10.35" customHeight="1" x14ac:dyDescent="0.3"/>
    <row r="190" ht="10.35" customHeight="1" x14ac:dyDescent="0.3"/>
    <row r="191" ht="10.35" customHeight="1" x14ac:dyDescent="0.3"/>
    <row r="192" ht="10.35" customHeight="1" x14ac:dyDescent="0.3"/>
    <row r="193" ht="10.35" customHeight="1" x14ac:dyDescent="0.3"/>
    <row r="194" ht="10.35" customHeight="1" x14ac:dyDescent="0.3"/>
    <row r="195" ht="10.35" customHeight="1" x14ac:dyDescent="0.3"/>
    <row r="196" ht="10.35" customHeight="1" x14ac:dyDescent="0.3"/>
    <row r="197" ht="10.35" customHeight="1" x14ac:dyDescent="0.3"/>
    <row r="198" ht="10.35" customHeight="1" x14ac:dyDescent="0.3"/>
    <row r="199" ht="10.35" customHeight="1" x14ac:dyDescent="0.3"/>
    <row r="200" ht="10.35" customHeight="1" x14ac:dyDescent="0.3"/>
    <row r="201" ht="10.35" customHeight="1" x14ac:dyDescent="0.3"/>
    <row r="202" ht="10.35" customHeight="1" x14ac:dyDescent="0.3"/>
    <row r="203" ht="10.35" customHeight="1" x14ac:dyDescent="0.3"/>
    <row r="204" ht="10.35" customHeight="1" x14ac:dyDescent="0.3"/>
    <row r="205" ht="10.35" customHeight="1" x14ac:dyDescent="0.3"/>
    <row r="206" ht="10.35" customHeight="1" x14ac:dyDescent="0.3"/>
    <row r="207" ht="10.35" customHeight="1" x14ac:dyDescent="0.3"/>
    <row r="208" ht="10.35" customHeight="1" x14ac:dyDescent="0.3"/>
    <row r="209" ht="10.35" customHeight="1" x14ac:dyDescent="0.3"/>
    <row r="210" ht="10.35" customHeight="1" x14ac:dyDescent="0.3"/>
    <row r="211" ht="10.35" customHeight="1" x14ac:dyDescent="0.3"/>
    <row r="212" ht="10.35" customHeight="1" x14ac:dyDescent="0.3"/>
    <row r="213" ht="10.35" customHeight="1" x14ac:dyDescent="0.3"/>
    <row r="214" ht="10.35" customHeight="1" x14ac:dyDescent="0.3"/>
    <row r="215" ht="10.35" customHeight="1" x14ac:dyDescent="0.3"/>
    <row r="216" ht="10.35" customHeight="1" x14ac:dyDescent="0.3"/>
    <row r="217" ht="10.35" customHeight="1" x14ac:dyDescent="0.3"/>
    <row r="218" ht="10.35" customHeight="1" x14ac:dyDescent="0.3"/>
    <row r="219" ht="10.35" customHeight="1" x14ac:dyDescent="0.3"/>
    <row r="220" ht="10.35" customHeight="1" x14ac:dyDescent="0.3"/>
    <row r="221" ht="10.35" customHeight="1" x14ac:dyDescent="0.3"/>
    <row r="222" ht="10.35" customHeight="1" x14ac:dyDescent="0.3"/>
    <row r="223" ht="10.35" customHeight="1" x14ac:dyDescent="0.3"/>
    <row r="224" ht="10.35" customHeight="1" x14ac:dyDescent="0.3"/>
    <row r="225" ht="10.35" customHeight="1" x14ac:dyDescent="0.3"/>
    <row r="226" ht="10.35" customHeight="1" x14ac:dyDescent="0.3"/>
    <row r="227" ht="10.35" customHeight="1" x14ac:dyDescent="0.3"/>
    <row r="228" ht="10.35" customHeight="1" x14ac:dyDescent="0.3"/>
    <row r="229" ht="10.35" customHeight="1" x14ac:dyDescent="0.3"/>
    <row r="230" ht="10.35" customHeight="1" x14ac:dyDescent="0.3"/>
    <row r="231" ht="10.35" customHeight="1" x14ac:dyDescent="0.3"/>
    <row r="232" ht="10.35" customHeight="1" x14ac:dyDescent="0.3"/>
    <row r="233" ht="10.35" customHeight="1" x14ac:dyDescent="0.3"/>
    <row r="234" ht="10.35" customHeight="1" x14ac:dyDescent="0.3"/>
    <row r="235" ht="10.35" customHeight="1" x14ac:dyDescent="0.3"/>
    <row r="236" ht="10.35" customHeight="1" x14ac:dyDescent="0.3"/>
    <row r="237" ht="10.35" customHeight="1" x14ac:dyDescent="0.3"/>
    <row r="238" ht="10.35" customHeight="1" x14ac:dyDescent="0.3"/>
    <row r="239" ht="10.35" customHeight="1" x14ac:dyDescent="0.3"/>
    <row r="240" ht="10.35" customHeight="1" x14ac:dyDescent="0.3"/>
    <row r="241" ht="10.35" customHeight="1" x14ac:dyDescent="0.3"/>
    <row r="242" ht="10.35" customHeight="1" x14ac:dyDescent="0.3"/>
    <row r="243" ht="10.35" customHeight="1" x14ac:dyDescent="0.3"/>
    <row r="244" ht="10.35" customHeight="1" x14ac:dyDescent="0.3"/>
    <row r="245" ht="10.35" customHeight="1" x14ac:dyDescent="0.3"/>
    <row r="246" ht="10.35" customHeight="1" x14ac:dyDescent="0.3"/>
    <row r="247" ht="10.35" customHeight="1" x14ac:dyDescent="0.3"/>
    <row r="248" ht="10.35" customHeight="1" x14ac:dyDescent="0.3"/>
    <row r="249" ht="10.35" customHeight="1" x14ac:dyDescent="0.3"/>
    <row r="250" ht="10.35" customHeight="1" x14ac:dyDescent="0.3"/>
    <row r="251" ht="10.35" customHeight="1" x14ac:dyDescent="0.3"/>
    <row r="252" ht="10.35" customHeight="1" x14ac:dyDescent="0.3"/>
    <row r="253" ht="10.35" customHeight="1" x14ac:dyDescent="0.3"/>
    <row r="254" ht="10.35" customHeight="1" x14ac:dyDescent="0.3"/>
    <row r="255" ht="10.35" customHeight="1" x14ac:dyDescent="0.3"/>
    <row r="256" ht="10.35" customHeight="1" x14ac:dyDescent="0.3"/>
    <row r="257" ht="10.35" customHeight="1" x14ac:dyDescent="0.3"/>
    <row r="258" ht="10.35" customHeight="1" x14ac:dyDescent="0.3"/>
    <row r="259" ht="10.35" customHeight="1" x14ac:dyDescent="0.3"/>
    <row r="260" ht="10.35" customHeight="1" x14ac:dyDescent="0.3"/>
    <row r="261" ht="10.35" customHeight="1" x14ac:dyDescent="0.3"/>
    <row r="262" ht="10.35" customHeight="1" x14ac:dyDescent="0.3"/>
    <row r="263" ht="10.35" customHeight="1" x14ac:dyDescent="0.3"/>
    <row r="264" ht="10.35" customHeight="1" x14ac:dyDescent="0.3"/>
    <row r="265" ht="10.35" customHeight="1" x14ac:dyDescent="0.3"/>
    <row r="266" ht="10.35" customHeight="1" x14ac:dyDescent="0.3"/>
    <row r="267" ht="10.35" customHeight="1" x14ac:dyDescent="0.3"/>
    <row r="268" ht="10.35" customHeight="1" x14ac:dyDescent="0.3"/>
    <row r="269" ht="10.35" customHeight="1" x14ac:dyDescent="0.3"/>
    <row r="270" ht="10.35" customHeight="1" x14ac:dyDescent="0.3"/>
    <row r="271" ht="10.35" customHeight="1" x14ac:dyDescent="0.3"/>
    <row r="272" ht="10.35" customHeight="1" x14ac:dyDescent="0.3"/>
    <row r="273" ht="10.35" customHeight="1" x14ac:dyDescent="0.3"/>
    <row r="274" ht="10.35" customHeight="1" x14ac:dyDescent="0.3"/>
    <row r="275" ht="10.35" customHeight="1" x14ac:dyDescent="0.3"/>
    <row r="276" ht="10.35" customHeight="1" x14ac:dyDescent="0.3"/>
    <row r="277" ht="10.35" customHeight="1" x14ac:dyDescent="0.3"/>
    <row r="278" ht="10.35" customHeight="1" x14ac:dyDescent="0.3"/>
    <row r="279" ht="10.35" customHeight="1" x14ac:dyDescent="0.3"/>
    <row r="280" ht="10.35" customHeight="1" x14ac:dyDescent="0.3"/>
    <row r="281" ht="10.35" customHeight="1" x14ac:dyDescent="0.3"/>
    <row r="282" ht="10.35" customHeight="1" x14ac:dyDescent="0.3"/>
    <row r="283" ht="10.35" customHeight="1" x14ac:dyDescent="0.3"/>
    <row r="284" ht="10.35" customHeight="1" x14ac:dyDescent="0.3"/>
    <row r="285" ht="10.35" customHeight="1" x14ac:dyDescent="0.3"/>
    <row r="286" ht="10.35" customHeight="1" x14ac:dyDescent="0.3"/>
    <row r="287" ht="10.35" customHeight="1" x14ac:dyDescent="0.3"/>
    <row r="288" ht="10.35" customHeight="1" x14ac:dyDescent="0.3"/>
    <row r="289" ht="10.35" customHeight="1" x14ac:dyDescent="0.3"/>
    <row r="290" ht="10.35" customHeight="1" x14ac:dyDescent="0.3"/>
    <row r="291" ht="10.35" customHeight="1" x14ac:dyDescent="0.3"/>
    <row r="292" ht="10.35" customHeight="1" x14ac:dyDescent="0.3"/>
    <row r="293" ht="10.35" customHeight="1" x14ac:dyDescent="0.3"/>
    <row r="294" ht="10.35" customHeight="1" x14ac:dyDescent="0.3"/>
    <row r="295" ht="10.35" customHeight="1" x14ac:dyDescent="0.3"/>
    <row r="296" ht="10.35" customHeight="1" x14ac:dyDescent="0.3"/>
    <row r="297" ht="10.35" customHeight="1" x14ac:dyDescent="0.3"/>
    <row r="298" ht="10.35" customHeight="1" x14ac:dyDescent="0.3"/>
    <row r="299" ht="10.35" customHeight="1" x14ac:dyDescent="0.3"/>
    <row r="300" ht="10.35" customHeight="1" x14ac:dyDescent="0.3"/>
    <row r="301" ht="10.35" customHeight="1" x14ac:dyDescent="0.3"/>
    <row r="302" ht="10.35" customHeight="1" x14ac:dyDescent="0.3"/>
    <row r="303" ht="10.35" customHeight="1" x14ac:dyDescent="0.3"/>
    <row r="304" ht="10.35" customHeight="1" x14ac:dyDescent="0.3"/>
    <row r="305" ht="10.35" customHeight="1" x14ac:dyDescent="0.3"/>
    <row r="306" ht="10.35" customHeight="1" x14ac:dyDescent="0.3"/>
    <row r="307" ht="10.35" customHeight="1" x14ac:dyDescent="0.3"/>
    <row r="308" ht="10.35" customHeight="1" x14ac:dyDescent="0.3"/>
    <row r="309" ht="10.35" customHeight="1" x14ac:dyDescent="0.3"/>
    <row r="310" ht="10.35" customHeight="1" x14ac:dyDescent="0.3"/>
    <row r="311" ht="10.35" customHeight="1" x14ac:dyDescent="0.3"/>
    <row r="312" ht="10.35" customHeight="1" x14ac:dyDescent="0.3"/>
    <row r="313" ht="10.35" customHeight="1" x14ac:dyDescent="0.3"/>
    <row r="314" ht="10.35" customHeight="1" x14ac:dyDescent="0.3"/>
    <row r="315" ht="10.35" customHeight="1" x14ac:dyDescent="0.3"/>
    <row r="316" ht="10.35" customHeight="1" x14ac:dyDescent="0.3"/>
    <row r="317" ht="10.35" customHeight="1" x14ac:dyDescent="0.3"/>
    <row r="318" ht="10.35" customHeight="1" x14ac:dyDescent="0.3"/>
    <row r="319" ht="10.35" customHeight="1" x14ac:dyDescent="0.3"/>
    <row r="320" ht="10.35" customHeight="1" x14ac:dyDescent="0.3"/>
    <row r="321" ht="10.35" customHeight="1" x14ac:dyDescent="0.3"/>
    <row r="322" ht="10.35" customHeight="1" x14ac:dyDescent="0.3"/>
    <row r="323" ht="10.35" customHeight="1" x14ac:dyDescent="0.3"/>
    <row r="324" ht="10.35" customHeight="1" x14ac:dyDescent="0.3"/>
    <row r="325" ht="10.35" customHeight="1" x14ac:dyDescent="0.3"/>
    <row r="326" ht="10.35" customHeight="1" x14ac:dyDescent="0.3"/>
    <row r="327" ht="10.35" customHeight="1" x14ac:dyDescent="0.3"/>
    <row r="328" ht="10.35" customHeight="1" x14ac:dyDescent="0.3"/>
    <row r="329" ht="10.35" customHeight="1" x14ac:dyDescent="0.3"/>
    <row r="330" ht="10.35" customHeight="1" x14ac:dyDescent="0.3"/>
    <row r="331" ht="10.35" customHeight="1" x14ac:dyDescent="0.3"/>
    <row r="332" ht="10.35" customHeight="1" x14ac:dyDescent="0.3"/>
    <row r="333" ht="10.35" customHeight="1" x14ac:dyDescent="0.3"/>
    <row r="334" ht="10.35" customHeight="1" x14ac:dyDescent="0.3"/>
    <row r="335" ht="10.35" customHeight="1" x14ac:dyDescent="0.3"/>
    <row r="336" ht="10.35" customHeight="1" x14ac:dyDescent="0.3"/>
    <row r="337" ht="10.35" customHeight="1" x14ac:dyDescent="0.3"/>
    <row r="338" ht="10.35" customHeight="1" x14ac:dyDescent="0.3"/>
    <row r="339" ht="10.35" customHeight="1" x14ac:dyDescent="0.3"/>
    <row r="340" ht="10.35" customHeight="1" x14ac:dyDescent="0.3"/>
    <row r="341" ht="10.35" customHeight="1" x14ac:dyDescent="0.3"/>
    <row r="342" ht="10.35" customHeight="1" x14ac:dyDescent="0.3"/>
    <row r="343" ht="10.35" customHeight="1" x14ac:dyDescent="0.3"/>
    <row r="344" ht="10.35" customHeight="1" x14ac:dyDescent="0.3"/>
    <row r="345" ht="10.35" customHeight="1" x14ac:dyDescent="0.3"/>
    <row r="346" ht="10.35" customHeight="1" x14ac:dyDescent="0.3"/>
    <row r="347" ht="10.35" customHeight="1" x14ac:dyDescent="0.3"/>
    <row r="348" ht="10.35" customHeight="1" x14ac:dyDescent="0.3"/>
    <row r="349" ht="10.35" customHeight="1" x14ac:dyDescent="0.3"/>
    <row r="350" ht="10.35" customHeight="1" x14ac:dyDescent="0.3"/>
    <row r="351" ht="10.35" customHeight="1" x14ac:dyDescent="0.3"/>
    <row r="352" ht="10.35" customHeight="1" x14ac:dyDescent="0.3"/>
    <row r="353" ht="10.35" customHeight="1" x14ac:dyDescent="0.3"/>
    <row r="354" ht="10.35" customHeight="1" x14ac:dyDescent="0.3"/>
    <row r="355" ht="10.35" customHeight="1" x14ac:dyDescent="0.3"/>
    <row r="356" ht="10.35" customHeight="1" x14ac:dyDescent="0.3"/>
    <row r="357" ht="10.35" customHeight="1" x14ac:dyDescent="0.3"/>
    <row r="358" ht="10.35" customHeight="1" x14ac:dyDescent="0.3"/>
    <row r="359" ht="10.35" customHeight="1" x14ac:dyDescent="0.3"/>
    <row r="360" ht="10.35" customHeight="1" x14ac:dyDescent="0.3"/>
    <row r="361" ht="10.35" customHeight="1" x14ac:dyDescent="0.3"/>
    <row r="362" ht="10.35" customHeight="1" x14ac:dyDescent="0.3"/>
    <row r="363" ht="10.35" customHeight="1" x14ac:dyDescent="0.3"/>
    <row r="364" ht="10.35" customHeight="1" x14ac:dyDescent="0.3"/>
    <row r="365" ht="10.35" customHeight="1" x14ac:dyDescent="0.3"/>
    <row r="366" ht="10.35" customHeight="1" x14ac:dyDescent="0.3"/>
    <row r="367" ht="10.35" customHeight="1" x14ac:dyDescent="0.3"/>
    <row r="368" ht="10.35" customHeight="1" x14ac:dyDescent="0.3"/>
    <row r="369" ht="10.35" customHeight="1" x14ac:dyDescent="0.3"/>
    <row r="370" ht="10.35" customHeight="1" x14ac:dyDescent="0.3"/>
    <row r="371" ht="10.35" customHeight="1" x14ac:dyDescent="0.3"/>
    <row r="372" ht="10.35" customHeight="1" x14ac:dyDescent="0.3"/>
    <row r="373" ht="10.35" customHeight="1" x14ac:dyDescent="0.3"/>
    <row r="374" ht="10.35" customHeight="1" x14ac:dyDescent="0.3"/>
    <row r="375" ht="10.35" customHeight="1" x14ac:dyDescent="0.3"/>
    <row r="376" ht="10.35" customHeight="1" x14ac:dyDescent="0.3"/>
    <row r="377" ht="10.35" customHeight="1" x14ac:dyDescent="0.3"/>
    <row r="378" ht="10.35" customHeight="1" x14ac:dyDescent="0.3"/>
    <row r="379" ht="10.35" customHeight="1" x14ac:dyDescent="0.3"/>
    <row r="380" ht="10.35" customHeight="1" x14ac:dyDescent="0.3"/>
    <row r="381" ht="10.35" customHeight="1" x14ac:dyDescent="0.3"/>
    <row r="382" ht="10.35" customHeight="1" x14ac:dyDescent="0.3"/>
    <row r="383" ht="10.35" customHeight="1" x14ac:dyDescent="0.3"/>
    <row r="384" ht="10.35" customHeight="1" x14ac:dyDescent="0.3"/>
    <row r="385" ht="10.35" customHeight="1" x14ac:dyDescent="0.3"/>
    <row r="386" ht="10.35" customHeight="1" x14ac:dyDescent="0.3"/>
    <row r="387" ht="10.35" customHeight="1" x14ac:dyDescent="0.3"/>
    <row r="388" ht="10.35" customHeight="1" x14ac:dyDescent="0.3"/>
    <row r="389" ht="10.35" customHeight="1" x14ac:dyDescent="0.3"/>
    <row r="390" ht="10.35" customHeight="1" x14ac:dyDescent="0.3"/>
    <row r="391" ht="10.35" customHeight="1" x14ac:dyDescent="0.3"/>
    <row r="392" ht="10.35" customHeight="1" x14ac:dyDescent="0.3"/>
    <row r="393" ht="10.35" customHeight="1" x14ac:dyDescent="0.3"/>
    <row r="394" ht="10.35" customHeight="1" x14ac:dyDescent="0.3"/>
    <row r="395" ht="10.35" customHeight="1" x14ac:dyDescent="0.3"/>
    <row r="396" ht="10.35" customHeight="1" x14ac:dyDescent="0.3"/>
    <row r="397" ht="10.35" customHeight="1" x14ac:dyDescent="0.3"/>
    <row r="398" ht="10.35" customHeight="1" x14ac:dyDescent="0.3"/>
    <row r="399" ht="10.35" customHeight="1" x14ac:dyDescent="0.3"/>
    <row r="400" ht="10.35" customHeight="1" x14ac:dyDescent="0.3"/>
    <row r="401" ht="10.35" customHeight="1" x14ac:dyDescent="0.3"/>
    <row r="402" ht="10.35" customHeight="1" x14ac:dyDescent="0.3"/>
    <row r="403" ht="10.35" customHeight="1" x14ac:dyDescent="0.3"/>
    <row r="404" ht="10.35" customHeight="1" x14ac:dyDescent="0.3"/>
    <row r="405" ht="10.35" customHeight="1" x14ac:dyDescent="0.3"/>
    <row r="406" ht="10.35" customHeight="1" x14ac:dyDescent="0.3"/>
    <row r="407" ht="10.35" customHeight="1" x14ac:dyDescent="0.3"/>
    <row r="408" ht="10.35" customHeight="1" x14ac:dyDescent="0.3"/>
    <row r="409" ht="10.35" customHeight="1" x14ac:dyDescent="0.3"/>
    <row r="410" ht="10.35" customHeight="1" x14ac:dyDescent="0.3"/>
    <row r="411" ht="10.35" customHeight="1" x14ac:dyDescent="0.3"/>
    <row r="412" ht="10.35" customHeight="1" x14ac:dyDescent="0.3"/>
    <row r="413" ht="10.35" customHeight="1" x14ac:dyDescent="0.3"/>
    <row r="414" ht="10.35" customHeight="1" x14ac:dyDescent="0.3"/>
    <row r="415" ht="10.35" customHeight="1" x14ac:dyDescent="0.3"/>
    <row r="416" ht="10.35" customHeight="1" x14ac:dyDescent="0.3"/>
    <row r="417" ht="10.35" customHeight="1" x14ac:dyDescent="0.3"/>
    <row r="418" ht="10.35" customHeight="1" x14ac:dyDescent="0.3"/>
    <row r="419" ht="10.35" customHeight="1" x14ac:dyDescent="0.3"/>
    <row r="420" ht="10.35" customHeight="1" x14ac:dyDescent="0.3"/>
    <row r="421" ht="10.35" customHeight="1" x14ac:dyDescent="0.3"/>
    <row r="422" ht="10.35" customHeight="1" x14ac:dyDescent="0.3"/>
    <row r="423" ht="10.35" customHeight="1" x14ac:dyDescent="0.3"/>
    <row r="424" ht="10.35" customHeight="1" x14ac:dyDescent="0.3"/>
    <row r="425" ht="10.35" customHeight="1" x14ac:dyDescent="0.3"/>
    <row r="426" ht="10.35" customHeight="1" x14ac:dyDescent="0.3"/>
    <row r="427" ht="10.35" customHeight="1" x14ac:dyDescent="0.3"/>
    <row r="428" ht="10.35" customHeight="1" x14ac:dyDescent="0.3"/>
    <row r="429" ht="10.35" customHeight="1" x14ac:dyDescent="0.3"/>
    <row r="430" ht="10.35" customHeight="1" x14ac:dyDescent="0.3"/>
    <row r="431" ht="10.35" customHeight="1" x14ac:dyDescent="0.3"/>
    <row r="432" ht="10.35" customHeight="1" x14ac:dyDescent="0.3"/>
    <row r="433" ht="10.35" customHeight="1" x14ac:dyDescent="0.3"/>
    <row r="434" ht="10.35" customHeight="1" x14ac:dyDescent="0.3"/>
    <row r="435" ht="10.35" customHeight="1" x14ac:dyDescent="0.3"/>
    <row r="436" ht="10.35" customHeight="1" x14ac:dyDescent="0.3"/>
    <row r="437" ht="10.35" customHeight="1" x14ac:dyDescent="0.3"/>
    <row r="438" ht="10.35" customHeight="1" x14ac:dyDescent="0.3"/>
    <row r="439" ht="10.35" customHeight="1" x14ac:dyDescent="0.3"/>
    <row r="440" ht="10.35" customHeight="1" x14ac:dyDescent="0.3"/>
    <row r="441" ht="10.35" customHeight="1" x14ac:dyDescent="0.3"/>
    <row r="442" ht="10.35" customHeight="1" x14ac:dyDescent="0.3"/>
    <row r="443" ht="10.35" customHeight="1" x14ac:dyDescent="0.3"/>
    <row r="444" ht="10.35" customHeight="1" x14ac:dyDescent="0.3"/>
    <row r="445" ht="10.35" customHeight="1" x14ac:dyDescent="0.3"/>
    <row r="446" ht="10.35" customHeight="1" x14ac:dyDescent="0.3"/>
    <row r="447" ht="10.35" customHeight="1" x14ac:dyDescent="0.3"/>
    <row r="448" ht="10.35" customHeight="1" x14ac:dyDescent="0.3"/>
    <row r="449" ht="10.35" customHeight="1" x14ac:dyDescent="0.3"/>
    <row r="450" ht="10.35" customHeight="1" x14ac:dyDescent="0.3"/>
    <row r="451" ht="10.35" customHeight="1" x14ac:dyDescent="0.3"/>
    <row r="452" ht="10.35" customHeight="1" x14ac:dyDescent="0.3"/>
    <row r="453" ht="10.35" customHeight="1" x14ac:dyDescent="0.3"/>
    <row r="454" ht="10.35" customHeight="1" x14ac:dyDescent="0.3"/>
    <row r="455" ht="10.35" customHeight="1" x14ac:dyDescent="0.3"/>
    <row r="456" ht="10.35" customHeight="1" x14ac:dyDescent="0.3"/>
    <row r="457" ht="10.35" customHeight="1" x14ac:dyDescent="0.3"/>
    <row r="458" ht="10.35" customHeight="1" x14ac:dyDescent="0.3"/>
    <row r="459" ht="10.35" customHeight="1" x14ac:dyDescent="0.3"/>
    <row r="460" ht="10.35" customHeight="1" x14ac:dyDescent="0.3"/>
    <row r="461" ht="10.35" customHeight="1" x14ac:dyDescent="0.3"/>
    <row r="462" ht="10.35" customHeight="1" x14ac:dyDescent="0.3"/>
    <row r="463" ht="10.35" customHeight="1" x14ac:dyDescent="0.3"/>
    <row r="464" ht="10.35" customHeight="1" x14ac:dyDescent="0.3"/>
    <row r="465" ht="10.35" customHeight="1" x14ac:dyDescent="0.3"/>
    <row r="466" ht="10.35" customHeight="1" x14ac:dyDescent="0.3"/>
    <row r="467" ht="10.35" customHeight="1" x14ac:dyDescent="0.3"/>
    <row r="468" ht="10.35" customHeight="1" x14ac:dyDescent="0.3"/>
    <row r="469" ht="10.35" customHeight="1" x14ac:dyDescent="0.3"/>
    <row r="470" ht="10.35" customHeight="1" x14ac:dyDescent="0.3"/>
    <row r="471" ht="10.35" customHeight="1" x14ac:dyDescent="0.3"/>
    <row r="472" ht="10.35" customHeight="1" x14ac:dyDescent="0.3"/>
    <row r="473" ht="0" hidden="1" customHeight="1" x14ac:dyDescent="0.3"/>
    <row r="474" ht="0" hidden="1" customHeight="1" x14ac:dyDescent="0.3"/>
    <row r="475" ht="0" hidden="1" customHeight="1" x14ac:dyDescent="0.3"/>
    <row r="476" ht="0" hidden="1" customHeight="1" x14ac:dyDescent="0.3"/>
    <row r="477" ht="0" hidden="1" customHeight="1" x14ac:dyDescent="0.3"/>
    <row r="478" ht="0" hidden="1" customHeight="1" x14ac:dyDescent="0.3"/>
    <row r="479" ht="0" hidden="1" customHeight="1" x14ac:dyDescent="0.3"/>
    <row r="480" ht="0" hidden="1" customHeight="1" x14ac:dyDescent="0.3"/>
    <row r="481" ht="0" hidden="1" customHeight="1" x14ac:dyDescent="0.3"/>
    <row r="482" ht="0" hidden="1" customHeight="1" x14ac:dyDescent="0.3"/>
    <row r="483" ht="0" hidden="1" customHeight="1" x14ac:dyDescent="0.3"/>
    <row r="484" ht="0" hidden="1" customHeight="1" x14ac:dyDescent="0.3"/>
    <row r="485" ht="0" hidden="1" customHeight="1" x14ac:dyDescent="0.3"/>
    <row r="486" ht="0" hidden="1" customHeight="1" x14ac:dyDescent="0.3"/>
    <row r="487" ht="0" hidden="1" customHeight="1" x14ac:dyDescent="0.3"/>
    <row r="488" ht="0" hidden="1" customHeight="1" x14ac:dyDescent="0.3"/>
    <row r="489" ht="0" hidden="1" customHeight="1" x14ac:dyDescent="0.3"/>
    <row r="490" ht="0" hidden="1" customHeight="1" x14ac:dyDescent="0.3"/>
    <row r="491" ht="0" hidden="1" customHeight="1" x14ac:dyDescent="0.3"/>
    <row r="492" ht="0" hidden="1" customHeight="1" x14ac:dyDescent="0.3"/>
    <row r="493" ht="0" hidden="1" customHeight="1" x14ac:dyDescent="0.3"/>
    <row r="494" ht="0" hidden="1" customHeight="1" x14ac:dyDescent="0.3"/>
    <row r="495" ht="0" hidden="1" customHeight="1" x14ac:dyDescent="0.3"/>
    <row r="496" ht="0" hidden="1" customHeight="1" x14ac:dyDescent="0.3"/>
    <row r="497" ht="0" hidden="1" customHeight="1" x14ac:dyDescent="0.3"/>
    <row r="498" ht="0" hidden="1" customHeight="1" x14ac:dyDescent="0.3"/>
    <row r="499" ht="0" hidden="1" customHeight="1" x14ac:dyDescent="0.3"/>
    <row r="500" ht="0" hidden="1" customHeight="1" x14ac:dyDescent="0.3"/>
    <row r="501" ht="0" hidden="1" customHeight="1" x14ac:dyDescent="0.3"/>
    <row r="502" ht="0" hidden="1" customHeight="1" x14ac:dyDescent="0.3"/>
    <row r="503" ht="0" hidden="1" customHeight="1" x14ac:dyDescent="0.3"/>
    <row r="504" ht="0" hidden="1" customHeight="1" x14ac:dyDescent="0.3"/>
    <row r="505" ht="0" hidden="1" customHeight="1" x14ac:dyDescent="0.3"/>
    <row r="506" ht="0" hidden="1" customHeight="1" x14ac:dyDescent="0.3"/>
    <row r="507" ht="0" hidden="1" customHeight="1" x14ac:dyDescent="0.3"/>
    <row r="508" ht="0" hidden="1" customHeight="1" x14ac:dyDescent="0.3"/>
    <row r="509" ht="0" hidden="1" customHeight="1" x14ac:dyDescent="0.3"/>
    <row r="510" ht="0" hidden="1" customHeight="1" x14ac:dyDescent="0.3"/>
    <row r="511" ht="0" hidden="1" customHeight="1" x14ac:dyDescent="0.3"/>
    <row r="512" ht="0" hidden="1" customHeight="1" x14ac:dyDescent="0.3"/>
    <row r="513" ht="0" hidden="1" customHeight="1" x14ac:dyDescent="0.3"/>
    <row r="514" ht="0" hidden="1" customHeight="1" x14ac:dyDescent="0.3"/>
    <row r="515" ht="0" hidden="1" customHeight="1" x14ac:dyDescent="0.3"/>
    <row r="516" ht="0" hidden="1" customHeight="1" x14ac:dyDescent="0.3"/>
    <row r="517" ht="0" hidden="1" customHeight="1" x14ac:dyDescent="0.3"/>
    <row r="518" ht="0" hidden="1" customHeight="1" x14ac:dyDescent="0.3"/>
    <row r="519" ht="0" hidden="1" customHeight="1" x14ac:dyDescent="0.3"/>
    <row r="520" ht="0" hidden="1" customHeight="1" x14ac:dyDescent="0.3"/>
    <row r="521" ht="0" hidden="1" customHeight="1" x14ac:dyDescent="0.3"/>
    <row r="522" ht="0" hidden="1" customHeight="1" x14ac:dyDescent="0.3"/>
    <row r="523" ht="0" hidden="1" customHeight="1" x14ac:dyDescent="0.3"/>
    <row r="524" ht="0" hidden="1" customHeight="1" x14ac:dyDescent="0.3"/>
    <row r="525" ht="0" hidden="1" customHeight="1" x14ac:dyDescent="0.3"/>
    <row r="526" ht="0" hidden="1" customHeight="1" x14ac:dyDescent="0.3"/>
    <row r="527" ht="0" hidden="1" customHeight="1" x14ac:dyDescent="0.3"/>
    <row r="528" ht="0" hidden="1" customHeight="1" x14ac:dyDescent="0.3"/>
    <row r="529" ht="0" hidden="1" customHeight="1" x14ac:dyDescent="0.3"/>
    <row r="530" ht="0" hidden="1" customHeight="1" x14ac:dyDescent="0.3"/>
    <row r="531" ht="0" hidden="1" customHeight="1" x14ac:dyDescent="0.3"/>
    <row r="532" ht="0" hidden="1" customHeight="1" x14ac:dyDescent="0.3"/>
    <row r="533" ht="0" hidden="1" customHeight="1" x14ac:dyDescent="0.3"/>
    <row r="534" ht="0" hidden="1" customHeight="1" x14ac:dyDescent="0.3"/>
    <row r="535" ht="0" hidden="1" customHeight="1" x14ac:dyDescent="0.3"/>
    <row r="536" ht="0" hidden="1" customHeight="1" x14ac:dyDescent="0.3"/>
    <row r="537" ht="0" hidden="1" customHeight="1" x14ac:dyDescent="0.3"/>
    <row r="538" ht="0" hidden="1" customHeight="1" x14ac:dyDescent="0.3"/>
    <row r="539" ht="0" hidden="1" customHeight="1" x14ac:dyDescent="0.3"/>
    <row r="540" ht="0" hidden="1" customHeight="1" x14ac:dyDescent="0.3"/>
    <row r="541" ht="0" hidden="1" customHeight="1" x14ac:dyDescent="0.3"/>
    <row r="542" ht="0" hidden="1" customHeight="1" x14ac:dyDescent="0.3"/>
    <row r="543" ht="0" hidden="1" customHeight="1" x14ac:dyDescent="0.3"/>
    <row r="544" ht="0" hidden="1" customHeight="1" x14ac:dyDescent="0.3"/>
    <row r="545" ht="0" hidden="1" customHeight="1" x14ac:dyDescent="0.3"/>
    <row r="546" ht="0" hidden="1" customHeight="1" x14ac:dyDescent="0.3"/>
    <row r="547" ht="0" hidden="1" customHeight="1" x14ac:dyDescent="0.3"/>
    <row r="548" ht="0" hidden="1" customHeight="1" x14ac:dyDescent="0.3"/>
    <row r="549" ht="0" hidden="1" customHeight="1" x14ac:dyDescent="0.3"/>
    <row r="550" ht="0" hidden="1" customHeight="1" x14ac:dyDescent="0.3"/>
    <row r="551" ht="0" hidden="1" customHeight="1" x14ac:dyDescent="0.3"/>
    <row r="552" ht="0" hidden="1" customHeight="1" x14ac:dyDescent="0.3"/>
    <row r="553" ht="0" hidden="1" customHeight="1" x14ac:dyDescent="0.3"/>
    <row r="554" ht="0" hidden="1" customHeight="1" x14ac:dyDescent="0.3"/>
    <row r="555" ht="0" hidden="1" customHeight="1" x14ac:dyDescent="0.3"/>
    <row r="556" ht="0" hidden="1" customHeight="1" x14ac:dyDescent="0.3"/>
    <row r="557" ht="0" hidden="1" customHeight="1" x14ac:dyDescent="0.3"/>
    <row r="558" ht="0" hidden="1" customHeight="1" x14ac:dyDescent="0.3"/>
    <row r="559" ht="0" hidden="1" customHeight="1" x14ac:dyDescent="0.3"/>
    <row r="560" ht="0" hidden="1" customHeight="1" x14ac:dyDescent="0.3"/>
    <row r="561" ht="0" hidden="1" customHeight="1" x14ac:dyDescent="0.3"/>
    <row r="562" ht="0" hidden="1" customHeight="1" x14ac:dyDescent="0.3"/>
    <row r="563" ht="0" hidden="1" customHeight="1" x14ac:dyDescent="0.3"/>
    <row r="564" ht="0" hidden="1" customHeight="1" x14ac:dyDescent="0.3"/>
    <row r="565" ht="0" hidden="1" customHeight="1" x14ac:dyDescent="0.3"/>
    <row r="566" ht="0" hidden="1" customHeight="1" x14ac:dyDescent="0.3"/>
    <row r="567" ht="0" hidden="1" customHeight="1" x14ac:dyDescent="0.3"/>
    <row r="568" ht="0" hidden="1" customHeight="1" x14ac:dyDescent="0.3"/>
    <row r="569" ht="0" hidden="1" customHeight="1" x14ac:dyDescent="0.3"/>
    <row r="570" ht="0" hidden="1" customHeight="1" x14ac:dyDescent="0.3"/>
    <row r="571" ht="0" hidden="1" customHeight="1" x14ac:dyDescent="0.3"/>
    <row r="572" ht="0" hidden="1" customHeight="1" x14ac:dyDescent="0.3"/>
    <row r="573" ht="0" hidden="1" customHeight="1" x14ac:dyDescent="0.3"/>
    <row r="574" ht="0" hidden="1" customHeight="1" x14ac:dyDescent="0.3"/>
    <row r="575" ht="0" hidden="1" customHeight="1" x14ac:dyDescent="0.3"/>
    <row r="576" ht="0" hidden="1" customHeight="1" x14ac:dyDescent="0.3"/>
    <row r="577" ht="0" hidden="1" customHeight="1" x14ac:dyDescent="0.3"/>
    <row r="578" ht="0" hidden="1" customHeight="1" x14ac:dyDescent="0.3"/>
    <row r="579" ht="0" hidden="1" customHeight="1" x14ac:dyDescent="0.3"/>
    <row r="580" ht="0" hidden="1" customHeight="1" x14ac:dyDescent="0.3"/>
    <row r="581" ht="0" hidden="1" customHeight="1" x14ac:dyDescent="0.3"/>
    <row r="582" ht="0" hidden="1" customHeight="1" x14ac:dyDescent="0.3"/>
    <row r="583" ht="0" hidden="1" customHeight="1" x14ac:dyDescent="0.3"/>
    <row r="584" ht="0" hidden="1" customHeight="1" x14ac:dyDescent="0.3"/>
    <row r="585" ht="0" hidden="1" customHeight="1" x14ac:dyDescent="0.3"/>
    <row r="586" ht="0" hidden="1" customHeight="1" x14ac:dyDescent="0.3"/>
    <row r="587" ht="0" hidden="1" customHeight="1" x14ac:dyDescent="0.3"/>
    <row r="588" ht="0" hidden="1" customHeight="1" x14ac:dyDescent="0.3"/>
    <row r="589" ht="0" hidden="1" customHeight="1" x14ac:dyDescent="0.3"/>
    <row r="590" ht="0" hidden="1" customHeight="1" x14ac:dyDescent="0.3"/>
    <row r="591" ht="0" hidden="1" customHeight="1" x14ac:dyDescent="0.3"/>
    <row r="592" ht="0" hidden="1" customHeight="1" x14ac:dyDescent="0.3"/>
    <row r="593" ht="0" hidden="1" customHeight="1" x14ac:dyDescent="0.3"/>
    <row r="594" ht="0" hidden="1" customHeight="1" x14ac:dyDescent="0.3"/>
    <row r="595" ht="0" hidden="1" customHeight="1" x14ac:dyDescent="0.3"/>
    <row r="596" ht="0" hidden="1" customHeight="1" x14ac:dyDescent="0.3"/>
    <row r="597" ht="0" hidden="1" customHeight="1" x14ac:dyDescent="0.3"/>
    <row r="598" ht="0" hidden="1" customHeight="1" x14ac:dyDescent="0.3"/>
    <row r="599" ht="0" hidden="1" customHeight="1" x14ac:dyDescent="0.3"/>
    <row r="600" ht="0" hidden="1" customHeight="1" x14ac:dyDescent="0.3"/>
    <row r="601" ht="0" hidden="1" customHeight="1" x14ac:dyDescent="0.3"/>
    <row r="602" ht="0" hidden="1" customHeight="1" x14ac:dyDescent="0.3"/>
    <row r="603" ht="0" hidden="1" customHeight="1" x14ac:dyDescent="0.3"/>
    <row r="604" ht="0" hidden="1" customHeight="1" x14ac:dyDescent="0.3"/>
    <row r="605" ht="0" hidden="1" customHeight="1" x14ac:dyDescent="0.3"/>
    <row r="606" ht="0" hidden="1" customHeight="1" x14ac:dyDescent="0.3"/>
    <row r="607" ht="0" hidden="1" customHeight="1" x14ac:dyDescent="0.3"/>
    <row r="608" ht="0" hidden="1" customHeight="1" x14ac:dyDescent="0.3"/>
    <row r="609" ht="0" hidden="1" customHeight="1" x14ac:dyDescent="0.3"/>
    <row r="610" ht="0" hidden="1" customHeight="1" x14ac:dyDescent="0.3"/>
    <row r="611" ht="0" hidden="1" customHeight="1" x14ac:dyDescent="0.3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7106e13-1c90-4c70-9cee-8068538c7a80" xsi:nil="true"/>
    <lcf76f155ced4ddcb4097134ff3c332f xmlns="f9c29741-1b01-4100-8fde-8dd31e7285c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scriptIds xmlns="http://schemas.microsoft.com/office/extensibility/maker/v1.0" id="script-ids-node-id">
  <scriptId id="ms-officescript%3A%2F%2Fonedrive_business_itemlink%2F01WHMYBS5E7FZTT26OGJFYFGQPCGELIOYH:ms-officescript%3A%2F%2Fonedrive_business_sharinglink%2Fu!aHR0cHM6Ly9iaWxkbnctbXkuc2hhcmVwb2ludC5jb20vOnU6L2cvcGVyc29uYWwvdmFzaWx5ZXZfbmlrb2xheV9idWlsZG5vd19zYS9FYVQ1Y3pucnpqSkxncG9QRVlpME93Y0JMRzJWNXZrNjE1RUhfNlM1SkJYbGlR"/>
  <scriptId xmlns="" id="ms-officescript%3A%2F%2Fonedrive_business_itemlink%2F01WHMYBS53N2ZJ52PKBJGJ3WU6LGFPCNI6:ms-officescript%3A%2F%2Fonedrive_business_sharinglink%2Fu!aHR0cHM6Ly9iaWxkbnctbXkuc2hhcmVwb2ludC5jb20vOnU6L2cvcGVyc29uYWwvdmFzaWx5ZXZfbmlrb2xheV9idWlsZG5vd19zYS9FYnR1c3A3cDZncE1uZHFlV1lyeE5SNEJLZExHM3NBeDBaY182VkJXbzh2a19R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6F96BBDA99D64E83A5B1DBF1FE7F42" ma:contentTypeVersion="14" ma:contentTypeDescription="Create a new document." ma:contentTypeScope="" ma:versionID="c78fa6e01104c0763aa56e469d8344b8">
  <xsd:schema xmlns:xsd="http://www.w3.org/2001/XMLSchema" xmlns:xs="http://www.w3.org/2001/XMLSchema" xmlns:p="http://schemas.microsoft.com/office/2006/metadata/properties" xmlns:ns2="f9c29741-1b01-4100-8fde-8dd31e7285c4" xmlns:ns3="67106e13-1c90-4c70-9cee-8068538c7a80" targetNamespace="http://schemas.microsoft.com/office/2006/metadata/properties" ma:root="true" ma:fieldsID="222dea80ccdc224e14fa0ebfeab3c39d" ns2:_="" ns3:_="">
    <xsd:import namespace="f9c29741-1b01-4100-8fde-8dd31e7285c4"/>
    <xsd:import namespace="67106e13-1c90-4c70-9cee-8068538c7a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c29741-1b01-4100-8fde-8dd31e7285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d6be8c9c-7fa0-40d6-8a5e-2ac0051f6a5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106e13-1c90-4c70-9cee-8068538c7a8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90eae66-369a-43f8-8557-c76d6430d3e9}" ma:internalName="TaxCatchAll" ma:showField="CatchAllData" ma:web="67106e13-1c90-4c70-9cee-8068538c7a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F22A1B7-ED5F-4EBD-95CA-6ECDCEDD4E65}">
  <ds:schemaRefs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67106e13-1c90-4c70-9cee-8068538c7a80"/>
    <ds:schemaRef ds:uri="f9c29741-1b01-4100-8fde-8dd31e7285c4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3336E68-DC66-41CB-8614-71E57C8F3E4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98C8BB-5E08-4858-96BF-2AED723DA8F3}">
  <ds:schemaRefs>
    <ds:schemaRef ds:uri="http://schemas.microsoft.com/office/extensibility/maker/v1.0"/>
    <ds:schemaRef ds:uri=""/>
  </ds:schemaRefs>
</ds:datastoreItem>
</file>

<file path=customXml/itemProps4.xml><?xml version="1.0" encoding="utf-8"?>
<ds:datastoreItem xmlns:ds="http://schemas.openxmlformats.org/officeDocument/2006/customXml" ds:itemID="{5B867F91-F9FC-4854-AD32-4DF42B837F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c29741-1b01-4100-8fde-8dd31e7285c4"/>
    <ds:schemaRef ds:uri="67106e13-1c90-4c70-9cee-8068538c7a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SAR_Fin_S</vt:lpstr>
      <vt:lpstr>Deployment schedule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Rahat Dewan</dc:creator>
  <cp:keywords/>
  <dc:description/>
  <cp:lastModifiedBy>Nikolay Vasilyev</cp:lastModifiedBy>
  <cp:revision/>
  <dcterms:created xsi:type="dcterms:W3CDTF">2023-12-03T10:55:32Z</dcterms:created>
  <dcterms:modified xsi:type="dcterms:W3CDTF">2026-03-29T07:44:45Z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0x0101005D6F96BBDA99D64E83A5B1DBF1FE7F42</vt:lpwstr>
  </property>
  <property fmtid="{D5CDD505-2E9C-101B-9397-08002B2CF9AE}" pid="3" name="MediaServiceImageTags">
    <vt:lpwstr/>
  </property>
</Properties>
</file>