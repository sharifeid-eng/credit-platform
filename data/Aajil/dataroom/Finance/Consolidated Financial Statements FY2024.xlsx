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ildnw.sharepoint.com/sites/InvestorDataRoom/Shared Documents/Option B_2025 deb raise_Private Credit capital raise/3. Investor data rooms/07.2025 BlackSoil/4. Finance/"/>
    </mc:Choice>
  </mc:AlternateContent>
  <xr:revisionPtr revIDLastSave="352" documentId="13_ncr:1_{5962F08C-928A-4129-9B86-1D2C7D32C213}" xr6:coauthVersionLast="47" xr6:coauthVersionMax="47" xr10:uidLastSave="{CDB8447D-E5A2-43E0-A724-E0EC9B9C5867}"/>
  <bookViews>
    <workbookView xWindow="-98" yWindow="-98" windowWidth="21795" windowHeight="13875" tabRatio="727" firstSheet="1" activeTab="5" xr2:uid="{8B6D78D7-BBDF-45A0-BD3B-A3671CAB302E}"/>
  </bookViews>
  <sheets>
    <sheet name="IS Dec KSA" sheetId="4" r:id="rId1"/>
    <sheet name="BS Dec KSA" sheetId="3" r:id="rId2"/>
    <sheet name="IS Dec USA" sheetId="38" r:id="rId3"/>
    <sheet name="BS Dec USA" sheetId="40" r:id="rId4"/>
    <sheet name="Sheet3" sheetId="53" state="hidden" r:id="rId5"/>
    <sheet name="IS Dec Consolidated" sheetId="41" r:id="rId6"/>
    <sheet name="BS Dec Consolidated" sheetId="42" r:id="rId7"/>
    <sheet name="Cash Flow Consolidated" sheetId="44" r:id="rId8"/>
    <sheet name="AR Aging" sheetId="45" r:id="rId9"/>
    <sheet name="Sheet1" sheetId="54" r:id="rId10"/>
    <sheet name="Dinar Data June FS" sheetId="50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a" localSheetId="6">#REF!</definedName>
    <definedName name="\a" localSheetId="1">#REF!</definedName>
    <definedName name="\a" localSheetId="3">#REF!</definedName>
    <definedName name="\a">#REF!</definedName>
    <definedName name="\c" localSheetId="6">[1]FLASH!#REF!</definedName>
    <definedName name="\c" localSheetId="1">[1]FLASH!#REF!</definedName>
    <definedName name="\c" localSheetId="3">[1]FLASH!#REF!</definedName>
    <definedName name="\c">[1]FLASH!#REF!</definedName>
    <definedName name="\f" localSheetId="6">[1]FLASH!#REF!</definedName>
    <definedName name="\f" localSheetId="1">[1]FLASH!#REF!</definedName>
    <definedName name="\f" localSheetId="3">[1]FLASH!#REF!</definedName>
    <definedName name="\f">[1]FLASH!#REF!</definedName>
    <definedName name="\q" localSheetId="6">[1]FLASH!#REF!</definedName>
    <definedName name="\q" localSheetId="1">[1]FLASH!#REF!</definedName>
    <definedName name="\q" localSheetId="3">[1]FLASH!#REF!</definedName>
    <definedName name="\q">[1]FLASH!#REF!</definedName>
    <definedName name="\s" localSheetId="6">#REF!</definedName>
    <definedName name="\s" localSheetId="1">#REF!</definedName>
    <definedName name="\s" localSheetId="3">#REF!</definedName>
    <definedName name="\s">#REF!</definedName>
    <definedName name="\t" localSheetId="6">[1]FLASH!#REF!</definedName>
    <definedName name="\t" localSheetId="1">[1]FLASH!#REF!</definedName>
    <definedName name="\t" localSheetId="3">[1]FLASH!#REF!</definedName>
    <definedName name="\t">[1]FLASH!#REF!</definedName>
    <definedName name="\u" localSheetId="6">'[2]R &amp; M - H L P'!#REF!</definedName>
    <definedName name="\u" localSheetId="1">'[2]R &amp; M - H L P'!#REF!</definedName>
    <definedName name="\u" localSheetId="3">'[2]R &amp; M - H L P'!#REF!</definedName>
    <definedName name="\u">'[2]R &amp; M - H L P'!#REF!</definedName>
    <definedName name="\z">'[2]R &amp; M - H L P'!#REF!</definedName>
    <definedName name="_1" localSheetId="6">#REF!</definedName>
    <definedName name="_1" localSheetId="1">#REF!</definedName>
    <definedName name="_1" localSheetId="3">#REF!</definedName>
    <definedName name="_1">#REF!</definedName>
    <definedName name="_2" localSheetId="6">#REF!</definedName>
    <definedName name="_2" localSheetId="1">#REF!</definedName>
    <definedName name="_2" localSheetId="3">#REF!</definedName>
    <definedName name="_2">#REF!</definedName>
    <definedName name="_3" localSheetId="6">#REF!</definedName>
    <definedName name="_3" localSheetId="1">#REF!</definedName>
    <definedName name="_3" localSheetId="3">#REF!</definedName>
    <definedName name="_3">#REF!</definedName>
    <definedName name="_xlnm._FilterDatabase" localSheetId="8" hidden="1">'AR Aging'!$A$1:$I$45</definedName>
    <definedName name="_xlnm._FilterDatabase" localSheetId="6" hidden="1">'BS Dec Consolidated'!$A$9:$I$128</definedName>
    <definedName name="_xlnm._FilterDatabase" localSheetId="1" hidden="1">'BS Dec KSA'!$A$9:$I$128</definedName>
    <definedName name="_xlnm._FilterDatabase" localSheetId="3" hidden="1">'BS Dec USA'!$A$5:$Z$131</definedName>
    <definedName name="_xlnm._FilterDatabase" localSheetId="5" hidden="1">'IS Dec Consolidated'!$A$7:$Y$97</definedName>
    <definedName name="_xlnm._FilterDatabase" localSheetId="0" hidden="1">'IS Dec KSA'!$A$8:$Y$139</definedName>
    <definedName name="_xlnm._FilterDatabase" localSheetId="2" hidden="1">'IS Dec USA'!$A$5:$C$97</definedName>
    <definedName name="_Key2" localSheetId="6" hidden="1">#REF!</definedName>
    <definedName name="_Key2" localSheetId="1" hidden="1">#REF!</definedName>
    <definedName name="_Key2" localSheetId="3" hidden="1">#REF!</definedName>
    <definedName name="_Key2" hidden="1">#REF!</definedName>
    <definedName name="_Order2" hidden="1">0</definedName>
    <definedName name="_Sort" localSheetId="6" hidden="1">#REF!</definedName>
    <definedName name="_Sort" localSheetId="1" hidden="1">#REF!</definedName>
    <definedName name="_Sort" localSheetId="3" hidden="1">#REF!</definedName>
    <definedName name="_Sort" hidden="1">#REF!</definedName>
    <definedName name="A" localSheetId="6">#REF!</definedName>
    <definedName name="A" localSheetId="1">#REF!</definedName>
    <definedName name="A" localSheetId="3">#REF!</definedName>
    <definedName name="A">#REF!</definedName>
    <definedName name="Audit_adj">[3]validation!$I$9</definedName>
    <definedName name="Audit_adj_LY">[3]validation_LY!$I$9</definedName>
    <definedName name="Axis" localSheetId="6">OFFSET(#REF!,0,0,MAX(#REF!),1)</definedName>
    <definedName name="Axis" localSheetId="1">OFFSET(#REF!,0,0,MAX(#REF!),1)</definedName>
    <definedName name="Axis" localSheetId="3">OFFSET(#REF!,0,0,MAX(#REF!),1)</definedName>
    <definedName name="Axis">OFFSET(#REF!,0,0,MAX(#REF!),1)</definedName>
    <definedName name="Axis1" localSheetId="6">OFFSET(#REF!,0,0,MAX(#REF!),1)</definedName>
    <definedName name="Axis1" localSheetId="1">OFFSET(#REF!,0,0,MAX(#REF!),1)</definedName>
    <definedName name="Axis1" localSheetId="3">OFFSET(#REF!,0,0,MAX(#REF!),1)</definedName>
    <definedName name="Axis1">OFFSET(#REF!,0,0,MAX(#REF!),1)</definedName>
    <definedName name="B" localSheetId="6">#REF!</definedName>
    <definedName name="B" localSheetId="1">#REF!</definedName>
    <definedName name="B" localSheetId="3">#REF!</definedName>
    <definedName name="B">#REF!</definedName>
    <definedName name="BUDGETM">'[4]Budget By Month'!$E$7:$R$83</definedName>
    <definedName name="C_">'[2]R &amp; M - H L P'!#REF!</definedName>
    <definedName name="CEO">[3]validation!$U$80:$U$82</definedName>
    <definedName name="CHARTMONTH">'[4]Budget By Month'!$AA$26:$AC$41</definedName>
    <definedName name="CIQWBGuid" hidden="1">"04c75487-eaf2-4b3e-a120-7f6f9bcd9c86"</definedName>
    <definedName name="Country">[5]PDI!$A$827:$A$838</definedName>
    <definedName name="_xlnm.Criteria">[6]pter94!#REF!</definedName>
    <definedName name="D" localSheetId="6">#REF!</definedName>
    <definedName name="D" localSheetId="1">#REF!</definedName>
    <definedName name="D" localSheetId="3">#REF!</definedName>
    <definedName name="D">#REF!</definedName>
    <definedName name="Data" localSheetId="6">OFFSET(#REF!,0,0,MAX(#REF!),1)</definedName>
    <definedName name="Data" localSheetId="1">OFFSET(#REF!,0,0,MAX(#REF!),1)</definedName>
    <definedName name="Data" localSheetId="3">OFFSET(#REF!,0,0,MAX(#REF!),1)</definedName>
    <definedName name="Data">OFFSET(#REF!,0,0,MAX(#REF!),1)</definedName>
    <definedName name="Data1" localSheetId="6">OFFSET(#REF!,0,0,MAX(#REF!),1)</definedName>
    <definedName name="Data1" localSheetId="1">OFFSET(#REF!,0,0,MAX(#REF!),1)</definedName>
    <definedName name="Data1" localSheetId="3">OFFSET(#REF!,0,0,MAX(#REF!),1)</definedName>
    <definedName name="Data1">OFFSET(#REF!,0,0,MAX(#REF!),1)</definedName>
    <definedName name="_xlnm.Database" localSheetId="6">#REF!</definedName>
    <definedName name="_xlnm.Database" localSheetId="1">#REF!</definedName>
    <definedName name="_xlnm.Database" localSheetId="3">#REF!</definedName>
    <definedName name="_xlnm.Database">#REF!</definedName>
    <definedName name="DimensionLedgerAccountType">'[7]Dynamics Enum Cache'!$A$1:$A$10</definedName>
    <definedName name="E" localSheetId="6">#REF!</definedName>
    <definedName name="E" localSheetId="1">#REF!</definedName>
    <definedName name="E" localSheetId="3">#REF!</definedName>
    <definedName name="E">#REF!</definedName>
    <definedName name="EO">[3]validation!$U$81:$U$82</definedName>
    <definedName name="_xlnm.Extract">[6]pter94!#REF!</definedName>
    <definedName name="F" localSheetId="6">#REF!</definedName>
    <definedName name="F" localSheetId="1">#REF!</definedName>
    <definedName name="F" localSheetId="3">#REF!</definedName>
    <definedName name="F">#REF!</definedName>
    <definedName name="FindPic">INDIRECT('[8]Employee Information2'!$A$2)</definedName>
    <definedName name="HIDEBUDGET">'[4]Budget By Month'!$J$1:$P$1</definedName>
    <definedName name="HIDETRACKING">[4]Tracking!$H$1:$O$2</definedName>
    <definedName name="LedgerJournalACType">'[9]Dynamics Enum Cache'!$A$1:$A$6</definedName>
    <definedName name="M" localSheetId="6">#REF!</definedName>
    <definedName name="M" localSheetId="1">#REF!</definedName>
    <definedName name="M" localSheetId="3">#REF!</definedName>
    <definedName name="M">#REF!</definedName>
    <definedName name="MONTHSA">[4]Tracking!$AE$26:$AF$37</definedName>
    <definedName name="MONTHSB">[4]Tracking!$AF$26:$AG$37</definedName>
    <definedName name="MONTHSC">[4]Tracking!$AB$26:$AD$40</definedName>
    <definedName name="MONTHSD">[4]Tracking!$AF$26:$AH$38</definedName>
    <definedName name="MONTHSE">[4]Comparison!$R$26:$T$40</definedName>
    <definedName name="P">'[2]R &amp; M - H L P'!#REF!</definedName>
    <definedName name="Period_Code">[10]list!$C$5</definedName>
    <definedName name="Print_Area_MI" localSheetId="6">#REF!</definedName>
    <definedName name="Print_Area_MI" localSheetId="1">#REF!</definedName>
    <definedName name="Print_Area_MI" localSheetId="3">#REF!</definedName>
    <definedName name="Print_Area_MI">#REF!</definedName>
    <definedName name="PT">'[2]R &amp; M - H L P'!#REF!</definedName>
    <definedName name="R_">[1]FLASH!#REF!</definedName>
    <definedName name="_xlnm.Recorder" localSheetId="6">#REF!</definedName>
    <definedName name="_xlnm.Recorder" localSheetId="1">#REF!</definedName>
    <definedName name="_xlnm.Recorder" localSheetId="3">#REF!</definedName>
    <definedName name="_xlnm.Recorder">#REF!</definedName>
    <definedName name="Reporting_Date">[10]dbase!$A$3:$B$15</definedName>
    <definedName name="S">'[2]R &amp; M - H L P'!#REF!</definedName>
    <definedName name="SA1_Axis" localSheetId="6">OFFSET(#REF!,0,0,MAX(#REF!),1)</definedName>
    <definedName name="SA1_Axis" localSheetId="1">OFFSET(#REF!,0,0,MAX(#REF!),1)</definedName>
    <definedName name="SA1_Axis" localSheetId="3">OFFSET(#REF!,0,0,MAX(#REF!),1)</definedName>
    <definedName name="SA1_Axis">OFFSET(#REF!,0,0,MAX(#REF!),1)</definedName>
    <definedName name="SA1_Data" localSheetId="6">OFFSET(#REF!,0,0,MAX(#REF!),1)</definedName>
    <definedName name="SA1_Data" localSheetId="1">OFFSET(#REF!,0,0,MAX(#REF!),1)</definedName>
    <definedName name="SA1_Data" localSheetId="3">OFFSET(#REF!,0,0,MAX(#REF!),1)</definedName>
    <definedName name="SA1_Data">OFFSET(#REF!,0,0,MAX(#REF!),1)</definedName>
    <definedName name="SA2_Axis" localSheetId="6">OFFSET(#REF!,0,0,MAX(#REF!),1)</definedName>
    <definedName name="SA2_Axis" localSheetId="1">OFFSET(#REF!,0,0,MAX(#REF!),1)</definedName>
    <definedName name="SA2_Axis" localSheetId="3">OFFSET(#REF!,0,0,MAX(#REF!),1)</definedName>
    <definedName name="SA2_Axis">OFFSET(#REF!,0,0,MAX(#REF!),1)</definedName>
    <definedName name="SA2_Data" localSheetId="6">OFFSET(#REF!,0,0,MAX(#REF!),1)</definedName>
    <definedName name="SA2_Data" localSheetId="1">OFFSET(#REF!,0,0,MAX(#REF!),1)</definedName>
    <definedName name="SA2_Data" localSheetId="3">OFFSET(#REF!,0,0,MAX(#REF!),1)</definedName>
    <definedName name="SA2_Data">OFFSET(#REF!,0,0,MAX(#REF!),1)</definedName>
    <definedName name="SA3_Axis" localSheetId="6">OFFSET(#REF!,0,0,MAX(#REF!),1)</definedName>
    <definedName name="SA3_Axis" localSheetId="1">OFFSET(#REF!,0,0,MAX(#REF!),1)</definedName>
    <definedName name="SA3_Axis" localSheetId="3">OFFSET(#REF!,0,0,MAX(#REF!),1)</definedName>
    <definedName name="SA3_Axis">OFFSET(#REF!,0,0,MAX(#REF!),1)</definedName>
    <definedName name="SA3_Data" localSheetId="6">OFFSET(#REF!,0,0,MAX(#REF!),1)</definedName>
    <definedName name="SA3_Data" localSheetId="1">OFFSET(#REF!,0,0,MAX(#REF!),1)</definedName>
    <definedName name="SA3_Data" localSheetId="3">OFFSET(#REF!,0,0,MAX(#REF!),1)</definedName>
    <definedName name="SA3_Data">OFFSET(#REF!,0,0,MAX(#REF!),1)</definedName>
    <definedName name="SA4_Axis" localSheetId="6">OFFSET(#REF!,0,0,MAX(#REF!),1)</definedName>
    <definedName name="SA4_Axis" localSheetId="1">OFFSET(#REF!,0,0,MAX(#REF!),1)</definedName>
    <definedName name="SA4_Axis" localSheetId="3">OFFSET(#REF!,0,0,MAX(#REF!),1)</definedName>
    <definedName name="SA4_Axis">OFFSET(#REF!,0,0,MAX(#REF!),1)</definedName>
    <definedName name="SA4_Data" localSheetId="6">OFFSET(#REF!,0,0,MAX(#REF!),1)</definedName>
    <definedName name="SA4_Data" localSheetId="1">OFFSET(#REF!,0,0,MAX(#REF!),1)</definedName>
    <definedName name="SA4_Data" localSheetId="3">OFFSET(#REF!,0,0,MAX(#REF!),1)</definedName>
    <definedName name="SA4_Data">OFFSET(#REF!,0,0,MAX(#REF!),1)</definedName>
    <definedName name="SA5_Axis" localSheetId="6">OFFSET(#REF!,0,0,MAX(#REF!),1)</definedName>
    <definedName name="SA5_Axis" localSheetId="1">OFFSET(#REF!,0,0,MAX(#REF!),1)</definedName>
    <definedName name="SA5_Axis" localSheetId="3">OFFSET(#REF!,0,0,MAX(#REF!),1)</definedName>
    <definedName name="SA5_Axis">OFFSET(#REF!,0,0,MAX(#REF!),1)</definedName>
    <definedName name="SA5_Data" localSheetId="6">OFFSET(#REF!,0,0,MAX(#REF!),1)</definedName>
    <definedName name="SA5_Data" localSheetId="1">OFFSET(#REF!,0,0,MAX(#REF!),1)</definedName>
    <definedName name="SA5_Data" localSheetId="3">OFFSET(#REF!,0,0,MAX(#REF!),1)</definedName>
    <definedName name="SA5_Data">OFFSET(#REF!,0,0,MAX(#REF!),1)</definedName>
    <definedName name="SA5_Data2" localSheetId="6">OFFSET(#REF!,0,0,MAX(#REF!),1)</definedName>
    <definedName name="SA5_Data2" localSheetId="1">OFFSET(#REF!,0,0,MAX(#REF!),1)</definedName>
    <definedName name="SA5_Data2" localSheetId="3">OFFSET(#REF!,0,0,MAX(#REF!),1)</definedName>
    <definedName name="SA5_Data2">OFFSET(#REF!,0,0,MAX(#REF!),1)</definedName>
    <definedName name="saja" localSheetId="6" hidden="1">#REF!</definedName>
    <definedName name="saja" localSheetId="1" hidden="1">#REF!</definedName>
    <definedName name="saja" localSheetId="3" hidden="1">#REF!</definedName>
    <definedName name="saja" hidden="1">#REF!</definedName>
    <definedName name="sdf" localSheetId="6">#REF!</definedName>
    <definedName name="sdf" localSheetId="1">#REF!</definedName>
    <definedName name="sdf" localSheetId="3">#REF!</definedName>
    <definedName name="sdf">#REF!</definedName>
    <definedName name="Stock_groups" localSheetId="6">OFFSET(#REF!,0,0,MAX(#REF!),1)</definedName>
    <definedName name="Stock_groups" localSheetId="1">OFFSET(#REF!,0,0,MAX(#REF!),1)</definedName>
    <definedName name="Stock_groups" localSheetId="3">OFFSET(#REF!,0,0,MAX(#REF!),1)</definedName>
    <definedName name="Stock_groups">OFFSET(#REF!,0,0,MAX(#REF!),1)</definedName>
    <definedName name="Stocks_AVG" localSheetId="6">OFFSET(#REF!,0,0,MAX(#REF!),1)</definedName>
    <definedName name="Stocks_AVG" localSheetId="1">OFFSET(#REF!,0,0,MAX(#REF!),1)</definedName>
    <definedName name="Stocks_AVG" localSheetId="3">OFFSET(#REF!,0,0,MAX(#REF!),1)</definedName>
    <definedName name="Stocks_AVG">OFFSET(#REF!,0,0,MAX(#REF!),1)</definedName>
    <definedName name="T">[1]FLASH!#REF!</definedName>
    <definedName name="TRACKING">[4]Tracking!$D$7:$Q$84</definedName>
    <definedName name="TRN" localSheetId="6">OFFSET(#REF!,0,0,MAX(#REF!),1)</definedName>
    <definedName name="TRN" localSheetId="1">OFFSET(#REF!,0,0,MAX(#REF!),1)</definedName>
    <definedName name="TRN" localSheetId="3">OFFSET(#REF!,0,0,MAX(#REF!),1)</definedName>
    <definedName name="TRN">OFFSET(#REF!,0,0,MAX(#REF!),1)</definedName>
    <definedName name="Turnover_group" localSheetId="6">OFFSET(#REF!,0,0,MAX(#REF!),1)</definedName>
    <definedName name="Turnover_group" localSheetId="1">OFFSET(#REF!,0,0,MAX(#REF!),1)</definedName>
    <definedName name="Turnover_group" localSheetId="3">OFFSET(#REF!,0,0,MAX(#REF!),1)</definedName>
    <definedName name="Turnover_group">OFFSET(#REF!,0,0,MAX(#REF!),1)</definedName>
    <definedName name="validapproval">[11]Sheet4!$F$9:$F$17</definedName>
    <definedName name="validar">[11]Sheet4!$I$9:$I$17</definedName>
    <definedName name="validcom1">[11]Sheet4!$K$9:$K$22</definedName>
    <definedName name="validEDO">[11]Sheet4!$H$9:$H$19</definedName>
    <definedName name="valideov">[11]Sheet4!$M$9:$M$19</definedName>
    <definedName name="validexecutive">[11]Sheet4!$E$9:$E$19</definedName>
    <definedName name="validloc2">[11]Sheet4!$C$9:$C$27</definedName>
    <definedName name="validorderstatus">[11]Sheet4!$G$9:$G$20</definedName>
    <definedName name="validpp">[11]Sheet4!$L$9:$L$18</definedName>
    <definedName name="validpro1">[11]Sheet4!$B$9:$B$28</definedName>
    <definedName name="validprovinces">[11]Sheet4!$D$9:$D$13</definedName>
    <definedName name="validps">[11]Sheet4!$J$9:$J$20</definedName>
    <definedName name="WeekStart">[12]Settings!$H$4</definedName>
    <definedName name="z">[13]TRIAL!$N$228:$X$261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1" l="1"/>
  <c r="C2" i="41"/>
  <c r="C8" i="42" l="1"/>
  <c r="D5" i="42"/>
  <c r="E5" i="42"/>
  <c r="F5" i="42"/>
  <c r="G5" i="42"/>
  <c r="H5" i="42"/>
  <c r="I5" i="42"/>
  <c r="J5" i="42"/>
  <c r="K5" i="42"/>
  <c r="L5" i="42"/>
  <c r="M5" i="42"/>
  <c r="N5" i="42"/>
  <c r="C5" i="42"/>
  <c r="P6" i="41" l="1"/>
  <c r="E4" i="41" s="1" a="1"/>
  <c r="E4" i="41" s="1"/>
  <c r="O6" i="41"/>
  <c r="N6" i="41"/>
  <c r="M6" i="41"/>
  <c r="L6" i="41"/>
  <c r="K6" i="41"/>
  <c r="J4" i="41" s="1" a="1"/>
  <c r="J4" i="41" s="1"/>
  <c r="J6" i="41"/>
  <c r="I6" i="41"/>
  <c r="H6" i="41"/>
  <c r="G6" i="41"/>
  <c r="F6" i="41"/>
  <c r="E6" i="41"/>
  <c r="M4" i="41" a="1"/>
  <c r="M4" i="41" s="1"/>
  <c r="L4" i="41" a="1"/>
  <c r="L4" i="41" s="1"/>
  <c r="N4" i="41" a="1"/>
  <c r="N4" i="41" s="1"/>
  <c r="C37" i="41"/>
  <c r="F4" i="41" a="1"/>
  <c r="F4" i="41" s="1"/>
  <c r="G4" i="41" a="1"/>
  <c r="G4" i="41" s="1"/>
  <c r="O4" i="41" a="1"/>
  <c r="O4" i="41" s="1"/>
  <c r="C18" i="41"/>
  <c r="P4" i="41" a="1"/>
  <c r="P4" i="41" s="1"/>
  <c r="K4" i="41" a="1"/>
  <c r="K4" i="41" s="1"/>
  <c r="I4" i="41" a="1"/>
  <c r="I4" i="41" s="1"/>
  <c r="H4" i="41" a="1"/>
  <c r="H4" i="41" s="1"/>
  <c r="C95" i="41"/>
  <c r="C78" i="41"/>
  <c r="C76" i="41"/>
  <c r="F3" i="41" l="1"/>
  <c r="G3" i="41" s="1"/>
  <c r="F2" i="41"/>
  <c r="G2" i="41" s="1"/>
  <c r="H2" i="41" s="1"/>
  <c r="I2" i="41" s="1"/>
  <c r="J2" i="41" s="1"/>
  <c r="K2" i="41" s="1"/>
  <c r="L2" i="41" s="1"/>
  <c r="M2" i="41" s="1"/>
  <c r="N2" i="41" s="1"/>
  <c r="O2" i="41" s="1"/>
  <c r="P2" i="41" s="1"/>
  <c r="H3" i="41" l="1"/>
  <c r="I3" i="41" l="1"/>
  <c r="J3" i="41" l="1"/>
  <c r="K3" i="41" l="1"/>
  <c r="L3" i="41" l="1"/>
  <c r="M3" i="41" l="1"/>
  <c r="N3" i="41" l="1"/>
  <c r="O3" i="41" l="1"/>
  <c r="P3" i="41" l="1"/>
  <c r="C41" i="44" l="1"/>
  <c r="N3" i="42" l="1" a="1"/>
  <c r="N3" i="42" s="1"/>
  <c r="I3" i="42" a="1"/>
  <c r="I3" i="42" s="1"/>
  <c r="J3" i="42" a="1"/>
  <c r="J3" i="42" s="1"/>
  <c r="K3" i="42" a="1"/>
  <c r="K3" i="42" s="1"/>
  <c r="L3" i="42" a="1"/>
  <c r="L3" i="42" s="1"/>
  <c r="M3" i="42" a="1"/>
  <c r="M3" i="42" s="1"/>
  <c r="H3" i="42" a="1"/>
  <c r="H3" i="42" s="1"/>
  <c r="G3" i="42" a="1"/>
  <c r="G3" i="42" s="1"/>
  <c r="F3" i="42" a="1"/>
  <c r="F3" i="42" s="1"/>
  <c r="E3" i="42" a="1"/>
  <c r="E3" i="42" s="1"/>
  <c r="D3" i="42" a="1"/>
  <c r="D3" i="42" s="1"/>
  <c r="C3" i="42" a="1"/>
  <c r="C3" i="42" s="1"/>
  <c r="D2" i="42"/>
  <c r="D1" i="42"/>
  <c r="E1" i="42" s="1"/>
  <c r="F1" i="42" s="1"/>
  <c r="G1" i="42" s="1"/>
  <c r="H1" i="42" s="1"/>
  <c r="I1" i="42" s="1"/>
  <c r="J1" i="42" s="1"/>
  <c r="K1" i="42" s="1"/>
  <c r="L1" i="42" s="1"/>
  <c r="M1" i="42" s="1"/>
  <c r="N1" i="42" s="1"/>
  <c r="C29" i="42"/>
  <c r="D29" i="42"/>
  <c r="E29" i="42"/>
  <c r="S97" i="41"/>
  <c r="R97" i="41"/>
  <c r="Q97" i="41"/>
  <c r="P97" i="41"/>
  <c r="O97" i="41"/>
  <c r="N97" i="41"/>
  <c r="M97" i="41"/>
  <c r="L97" i="41"/>
  <c r="K97" i="41"/>
  <c r="J97" i="41"/>
  <c r="I97" i="41"/>
  <c r="H97" i="41"/>
  <c r="G97" i="41"/>
  <c r="F97" i="41"/>
  <c r="E97" i="41"/>
  <c r="D97" i="41"/>
  <c r="C97" i="41"/>
  <c r="G15" i="41"/>
  <c r="E15" i="41"/>
  <c r="D17" i="41"/>
  <c r="E17" i="41"/>
  <c r="F17" i="41"/>
  <c r="G17" i="41"/>
  <c r="H17" i="41"/>
  <c r="I17" i="41"/>
  <c r="J17" i="41"/>
  <c r="K17" i="41"/>
  <c r="L17" i="41"/>
  <c r="M17" i="41"/>
  <c r="N17" i="41"/>
  <c r="O17" i="41"/>
  <c r="P17" i="41"/>
  <c r="Q17" i="41"/>
  <c r="R17" i="41"/>
  <c r="S17" i="41"/>
  <c r="C17" i="41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D13" i="4"/>
  <c r="D12" i="4"/>
  <c r="D76" i="4"/>
  <c r="D78" i="4"/>
  <c r="D81" i="4"/>
  <c r="D83" i="4"/>
  <c r="D85" i="4"/>
  <c r="D89" i="4"/>
  <c r="D91" i="4"/>
  <c r="D11" i="4"/>
  <c r="D10" i="4"/>
  <c r="D70" i="45"/>
  <c r="D69" i="45"/>
  <c r="D68" i="45"/>
  <c r="D67" i="45"/>
  <c r="E66" i="45"/>
  <c r="D66" i="45"/>
  <c r="E65" i="45"/>
  <c r="H61" i="45"/>
  <c r="E70" i="45" s="1"/>
  <c r="G61" i="45"/>
  <c r="E69" i="45" s="1"/>
  <c r="F61" i="45"/>
  <c r="E68" i="45" s="1"/>
  <c r="E61" i="45"/>
  <c r="E67" i="45" s="1"/>
  <c r="D61" i="45"/>
  <c r="C61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I3" i="45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I2" i="45"/>
  <c r="I61" i="45" s="1"/>
  <c r="B33" i="44"/>
  <c r="E2" i="42" l="1"/>
  <c r="E71" i="45"/>
  <c r="F71" i="45" s="1"/>
  <c r="F2" i="42" l="1"/>
  <c r="F65" i="45"/>
  <c r="F66" i="45"/>
  <c r="F69" i="45"/>
  <c r="F70" i="45"/>
  <c r="F68" i="45"/>
  <c r="F67" i="45"/>
  <c r="G2" i="42" l="1"/>
  <c r="B47" i="44"/>
  <c r="N63" i="42"/>
  <c r="M63" i="42"/>
  <c r="L63" i="42"/>
  <c r="K63" i="42"/>
  <c r="J63" i="42"/>
  <c r="I63" i="42"/>
  <c r="H63" i="42"/>
  <c r="G63" i="42"/>
  <c r="F63" i="42"/>
  <c r="E63" i="42"/>
  <c r="D63" i="42"/>
  <c r="C63" i="42"/>
  <c r="N61" i="42"/>
  <c r="M61" i="42"/>
  <c r="L61" i="42"/>
  <c r="K61" i="42"/>
  <c r="J61" i="42"/>
  <c r="I61" i="42"/>
  <c r="H61" i="42"/>
  <c r="G61" i="42"/>
  <c r="F61" i="42"/>
  <c r="E61" i="42"/>
  <c r="D61" i="42"/>
  <c r="C61" i="42"/>
  <c r="N66" i="42"/>
  <c r="M66" i="42"/>
  <c r="L66" i="42"/>
  <c r="L65" i="42" s="1"/>
  <c r="K66" i="42"/>
  <c r="K65" i="42" s="1"/>
  <c r="J66" i="42"/>
  <c r="J65" i="42" s="1"/>
  <c r="I66" i="42"/>
  <c r="I65" i="42" s="1"/>
  <c r="H66" i="42"/>
  <c r="H65" i="42" s="1"/>
  <c r="G66" i="42"/>
  <c r="G65" i="42" s="1"/>
  <c r="F66" i="42"/>
  <c r="F65" i="42" s="1"/>
  <c r="E66" i="42"/>
  <c r="E65" i="42" s="1"/>
  <c r="D66" i="42"/>
  <c r="D65" i="42" s="1"/>
  <c r="C66" i="42"/>
  <c r="C65" i="42" s="1"/>
  <c r="N65" i="42"/>
  <c r="M65" i="42"/>
  <c r="D65" i="3"/>
  <c r="C65" i="3"/>
  <c r="N65" i="3"/>
  <c r="M65" i="3"/>
  <c r="L65" i="3"/>
  <c r="K65" i="3"/>
  <c r="J65" i="3"/>
  <c r="I65" i="3"/>
  <c r="H65" i="3"/>
  <c r="G65" i="3"/>
  <c r="F65" i="3"/>
  <c r="E65" i="3"/>
  <c r="N65" i="40"/>
  <c r="M65" i="40"/>
  <c r="L65" i="40"/>
  <c r="K65" i="40"/>
  <c r="J65" i="40"/>
  <c r="I65" i="40"/>
  <c r="H65" i="40"/>
  <c r="G65" i="40"/>
  <c r="F65" i="40"/>
  <c r="E65" i="40"/>
  <c r="D65" i="40"/>
  <c r="C65" i="40"/>
  <c r="H2" i="42" l="1"/>
  <c r="N39" i="42"/>
  <c r="M39" i="42"/>
  <c r="L39" i="42"/>
  <c r="K39" i="42"/>
  <c r="J39" i="42"/>
  <c r="I39" i="42"/>
  <c r="H39" i="42"/>
  <c r="G39" i="42"/>
  <c r="F39" i="42"/>
  <c r="E39" i="42"/>
  <c r="D39" i="42"/>
  <c r="C39" i="42"/>
  <c r="E96" i="3"/>
  <c r="I2" i="42" l="1"/>
  <c r="F96" i="3"/>
  <c r="F59" i="3"/>
  <c r="C59" i="3"/>
  <c r="N59" i="40"/>
  <c r="M59" i="40"/>
  <c r="L59" i="40"/>
  <c r="K59" i="40"/>
  <c r="J59" i="40"/>
  <c r="I59" i="40"/>
  <c r="H59" i="40"/>
  <c r="G59" i="40"/>
  <c r="F59" i="40"/>
  <c r="E59" i="40"/>
  <c r="D59" i="40"/>
  <c r="C59" i="40"/>
  <c r="N59" i="3"/>
  <c r="M59" i="3"/>
  <c r="L59" i="3"/>
  <c r="K59" i="3"/>
  <c r="J59" i="3"/>
  <c r="I59" i="3"/>
  <c r="H59" i="3"/>
  <c r="G59" i="3"/>
  <c r="E59" i="3"/>
  <c r="D59" i="3"/>
  <c r="J2" i="42" l="1"/>
  <c r="C111" i="3"/>
  <c r="K2" i="42" l="1"/>
  <c r="M48" i="38"/>
  <c r="E78" i="41"/>
  <c r="D78" i="38"/>
  <c r="C78" i="38" s="1"/>
  <c r="C78" i="4"/>
  <c r="L2" i="42" l="1"/>
  <c r="D78" i="41"/>
  <c r="D11" i="54"/>
  <c r="E12" i="54"/>
  <c r="M2" i="42" l="1"/>
  <c r="B57" i="44"/>
  <c r="D37" i="4"/>
  <c r="D31" i="4"/>
  <c r="D30" i="4"/>
  <c r="D95" i="38"/>
  <c r="D93" i="38"/>
  <c r="D91" i="38"/>
  <c r="D89" i="38"/>
  <c r="D87" i="38"/>
  <c r="D85" i="38"/>
  <c r="D83" i="38"/>
  <c r="D81" i="38"/>
  <c r="D33" i="38"/>
  <c r="D32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35" i="38"/>
  <c r="D19" i="38"/>
  <c r="C122" i="42"/>
  <c r="C120" i="42"/>
  <c r="C118" i="42"/>
  <c r="C116" i="42"/>
  <c r="C114" i="42"/>
  <c r="C109" i="42"/>
  <c r="C107" i="42"/>
  <c r="C99" i="42"/>
  <c r="C98" i="42"/>
  <c r="C97" i="42"/>
  <c r="C94" i="42"/>
  <c r="C93" i="42"/>
  <c r="C92" i="42"/>
  <c r="C91" i="42"/>
  <c r="C90" i="42"/>
  <c r="C89" i="42"/>
  <c r="C88" i="42"/>
  <c r="C87" i="42"/>
  <c r="C86" i="42"/>
  <c r="C85" i="42"/>
  <c r="C84" i="42"/>
  <c r="C83" i="42"/>
  <c r="C82" i="42"/>
  <c r="C81" i="42"/>
  <c r="C80" i="42"/>
  <c r="C79" i="42"/>
  <c r="C78" i="42"/>
  <c r="C59" i="42"/>
  <c r="C57" i="42"/>
  <c r="C56" i="42"/>
  <c r="C55" i="42"/>
  <c r="C54" i="42"/>
  <c r="C53" i="42"/>
  <c r="C52" i="42"/>
  <c r="C51" i="42"/>
  <c r="C50" i="42"/>
  <c r="C44" i="42"/>
  <c r="C43" i="42"/>
  <c r="C42" i="42"/>
  <c r="C41" i="42"/>
  <c r="C40" i="42"/>
  <c r="C38" i="42"/>
  <c r="C37" i="42"/>
  <c r="C36" i="42"/>
  <c r="C35" i="42"/>
  <c r="C34" i="42"/>
  <c r="C33" i="42"/>
  <c r="C32" i="42"/>
  <c r="C28" i="42"/>
  <c r="C27" i="42" s="1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31" i="40"/>
  <c r="C49" i="40"/>
  <c r="C69" i="40" s="1"/>
  <c r="C96" i="40"/>
  <c r="C124" i="40"/>
  <c r="C111" i="40"/>
  <c r="C77" i="40"/>
  <c r="C27" i="40"/>
  <c r="C10" i="40"/>
  <c r="C77" i="3"/>
  <c r="C49" i="3"/>
  <c r="C69" i="3" s="1"/>
  <c r="C31" i="3"/>
  <c r="C10" i="3"/>
  <c r="C124" i="3"/>
  <c r="D111" i="3"/>
  <c r="C96" i="3"/>
  <c r="D77" i="3"/>
  <c r="N49" i="3"/>
  <c r="N69" i="3" s="1"/>
  <c r="M49" i="3"/>
  <c r="M69" i="3" s="1"/>
  <c r="L49" i="3"/>
  <c r="L69" i="3" s="1"/>
  <c r="K49" i="3"/>
  <c r="K69" i="3" s="1"/>
  <c r="J49" i="3"/>
  <c r="J69" i="3" s="1"/>
  <c r="I49" i="3"/>
  <c r="I69" i="3" s="1"/>
  <c r="H49" i="3"/>
  <c r="H69" i="3" s="1"/>
  <c r="G49" i="3"/>
  <c r="G69" i="3" s="1"/>
  <c r="F49" i="3"/>
  <c r="F69" i="3" s="1"/>
  <c r="E49" i="3"/>
  <c r="E69" i="3" s="1"/>
  <c r="D49" i="3"/>
  <c r="D69" i="3" s="1"/>
  <c r="N49" i="40"/>
  <c r="N69" i="40" s="1"/>
  <c r="M49" i="40"/>
  <c r="M69" i="40" s="1"/>
  <c r="L49" i="40"/>
  <c r="L69" i="40" s="1"/>
  <c r="K49" i="40"/>
  <c r="K69" i="40" s="1"/>
  <c r="J49" i="40"/>
  <c r="J69" i="40" s="1"/>
  <c r="I49" i="40"/>
  <c r="I69" i="40" s="1"/>
  <c r="H49" i="40"/>
  <c r="H69" i="40" s="1"/>
  <c r="G49" i="40"/>
  <c r="G69" i="40" s="1"/>
  <c r="F49" i="40"/>
  <c r="F69" i="40" s="1"/>
  <c r="E49" i="40"/>
  <c r="E69" i="40" s="1"/>
  <c r="D49" i="40"/>
  <c r="D69" i="40" s="1"/>
  <c r="N57" i="42"/>
  <c r="M57" i="42"/>
  <c r="L57" i="42"/>
  <c r="K57" i="42"/>
  <c r="J57" i="42"/>
  <c r="I57" i="42"/>
  <c r="H57" i="42"/>
  <c r="G57" i="42"/>
  <c r="F57" i="42"/>
  <c r="E57" i="42"/>
  <c r="D57" i="42"/>
  <c r="N77" i="3"/>
  <c r="M77" i="3"/>
  <c r="L77" i="3"/>
  <c r="K77" i="3"/>
  <c r="J77" i="3"/>
  <c r="I77" i="3"/>
  <c r="H77" i="3"/>
  <c r="G77" i="3"/>
  <c r="F77" i="3"/>
  <c r="E77" i="3"/>
  <c r="E102" i="3" s="1"/>
  <c r="N2" i="42" l="1"/>
  <c r="C49" i="42"/>
  <c r="C69" i="42" s="1"/>
  <c r="C96" i="42"/>
  <c r="C31" i="42"/>
  <c r="C124" i="42"/>
  <c r="C111" i="42"/>
  <c r="C102" i="3"/>
  <c r="C10" i="42"/>
  <c r="C77" i="42"/>
  <c r="C46" i="40"/>
  <c r="C102" i="40"/>
  <c r="C127" i="40" s="1"/>
  <c r="E31" i="3"/>
  <c r="D31" i="3"/>
  <c r="C27" i="3"/>
  <c r="D96" i="3"/>
  <c r="D10" i="3"/>
  <c r="D93" i="41"/>
  <c r="D95" i="41"/>
  <c r="E91" i="41"/>
  <c r="E89" i="41"/>
  <c r="E87" i="41"/>
  <c r="E85" i="41"/>
  <c r="E83" i="41"/>
  <c r="E81" i="41"/>
  <c r="E33" i="41"/>
  <c r="E76" i="41"/>
  <c r="E32" i="41"/>
  <c r="E69" i="41"/>
  <c r="E68" i="41"/>
  <c r="E67" i="41"/>
  <c r="E66" i="41"/>
  <c r="E65" i="41"/>
  <c r="E64" i="41"/>
  <c r="E63" i="41"/>
  <c r="E62" i="41"/>
  <c r="E61" i="41"/>
  <c r="E60" i="41"/>
  <c r="E59" i="41"/>
  <c r="E58" i="41"/>
  <c r="E57" i="41"/>
  <c r="E56" i="41"/>
  <c r="E55" i="41"/>
  <c r="E54" i="41"/>
  <c r="E53" i="41"/>
  <c r="E51" i="41"/>
  <c r="E50" i="41"/>
  <c r="E49" i="41"/>
  <c r="E47" i="41"/>
  <c r="E46" i="41"/>
  <c r="E45" i="41"/>
  <c r="E43" i="41"/>
  <c r="E42" i="41"/>
  <c r="E41" i="41"/>
  <c r="E40" i="41"/>
  <c r="E39" i="41"/>
  <c r="E38" i="41"/>
  <c r="E37" i="41"/>
  <c r="E36" i="41"/>
  <c r="E35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4" i="41"/>
  <c r="E12" i="41"/>
  <c r="E11" i="41"/>
  <c r="E10" i="41"/>
  <c r="F10" i="41"/>
  <c r="C102" i="42" l="1"/>
  <c r="C127" i="42" s="1"/>
  <c r="C46" i="42"/>
  <c r="C72" i="42" s="1"/>
  <c r="E52" i="41"/>
  <c r="E48" i="41"/>
  <c r="E44" i="41"/>
  <c r="E34" i="41"/>
  <c r="C46" i="3"/>
  <c r="D65" i="4"/>
  <c r="D64" i="4"/>
  <c r="D62" i="4"/>
  <c r="D61" i="4"/>
  <c r="D60" i="4"/>
  <c r="D59" i="4"/>
  <c r="D58" i="4"/>
  <c r="E13" i="4"/>
  <c r="D32" i="4"/>
  <c r="D33" i="4"/>
  <c r="D69" i="4"/>
  <c r="D68" i="4"/>
  <c r="D67" i="4"/>
  <c r="D66" i="4"/>
  <c r="D57" i="4"/>
  <c r="E52" i="4"/>
  <c r="E48" i="4"/>
  <c r="E44" i="4"/>
  <c r="D87" i="4"/>
  <c r="D56" i="4"/>
  <c r="F43" i="41"/>
  <c r="G43" i="41"/>
  <c r="B60" i="44" l="1"/>
  <c r="C33" i="44"/>
  <c r="C128" i="42"/>
  <c r="D43" i="41"/>
  <c r="E70" i="41"/>
  <c r="E34" i="4"/>
  <c r="C31" i="4"/>
  <c r="C94" i="4"/>
  <c r="C92" i="4"/>
  <c r="C90" i="4"/>
  <c r="C89" i="4"/>
  <c r="C88" i="4"/>
  <c r="C87" i="4"/>
  <c r="C86" i="4"/>
  <c r="C85" i="4"/>
  <c r="C84" i="4"/>
  <c r="C82" i="4"/>
  <c r="C80" i="4"/>
  <c r="C33" i="4"/>
  <c r="C77" i="4"/>
  <c r="C75" i="4"/>
  <c r="C32" i="4"/>
  <c r="C87" i="38"/>
  <c r="C95" i="38"/>
  <c r="C94" i="38"/>
  <c r="C92" i="38"/>
  <c r="C90" i="38"/>
  <c r="C89" i="38"/>
  <c r="C88" i="38"/>
  <c r="C86" i="38"/>
  <c r="C85" i="38"/>
  <c r="C84" i="38"/>
  <c r="C82" i="38"/>
  <c r="C80" i="38"/>
  <c r="C33" i="38"/>
  <c r="C77" i="38"/>
  <c r="C75" i="38"/>
  <c r="C32" i="38"/>
  <c r="D122" i="42"/>
  <c r="D120" i="42"/>
  <c r="D118" i="42"/>
  <c r="D116" i="42"/>
  <c r="D114" i="42"/>
  <c r="D109" i="42"/>
  <c r="D107" i="42"/>
  <c r="D99" i="42"/>
  <c r="D98" i="42"/>
  <c r="D97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59" i="42"/>
  <c r="D56" i="42"/>
  <c r="D55" i="42"/>
  <c r="D54" i="42"/>
  <c r="D53" i="42"/>
  <c r="D52" i="42"/>
  <c r="D51" i="42"/>
  <c r="D50" i="42"/>
  <c r="D44" i="42"/>
  <c r="D43" i="42"/>
  <c r="D42" i="42"/>
  <c r="D41" i="42"/>
  <c r="D40" i="42"/>
  <c r="D38" i="42"/>
  <c r="D37" i="42"/>
  <c r="D36" i="42"/>
  <c r="D35" i="42"/>
  <c r="D34" i="42"/>
  <c r="D33" i="42"/>
  <c r="D32" i="42"/>
  <c r="D28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11" i="40"/>
  <c r="E111" i="40"/>
  <c r="F111" i="40"/>
  <c r="D10" i="40"/>
  <c r="D102" i="3"/>
  <c r="D27" i="3"/>
  <c r="D46" i="3" s="1"/>
  <c r="E27" i="3"/>
  <c r="E10" i="3"/>
  <c r="E111" i="3"/>
  <c r="F124" i="3"/>
  <c r="E124" i="3"/>
  <c r="D124" i="3"/>
  <c r="F111" i="3"/>
  <c r="F102" i="3"/>
  <c r="F87" i="41"/>
  <c r="F91" i="41"/>
  <c r="F89" i="41"/>
  <c r="F85" i="41"/>
  <c r="F83" i="41"/>
  <c r="F81" i="41"/>
  <c r="F33" i="41"/>
  <c r="F76" i="41"/>
  <c r="F32" i="41"/>
  <c r="F69" i="41"/>
  <c r="F68" i="41"/>
  <c r="F67" i="41"/>
  <c r="F66" i="41"/>
  <c r="F65" i="41"/>
  <c r="F64" i="41"/>
  <c r="F63" i="41"/>
  <c r="F62" i="41"/>
  <c r="F61" i="41"/>
  <c r="F60" i="41"/>
  <c r="F59" i="41"/>
  <c r="F58" i="41"/>
  <c r="F57" i="41"/>
  <c r="F56" i="41"/>
  <c r="F55" i="41"/>
  <c r="F54" i="41"/>
  <c r="F53" i="41"/>
  <c r="F51" i="41"/>
  <c r="F50" i="41"/>
  <c r="F49" i="41"/>
  <c r="F47" i="41"/>
  <c r="F46" i="41"/>
  <c r="F45" i="41"/>
  <c r="F42" i="41"/>
  <c r="F41" i="41"/>
  <c r="F40" i="41"/>
  <c r="F39" i="41"/>
  <c r="F38" i="41"/>
  <c r="F37" i="41"/>
  <c r="F36" i="41"/>
  <c r="F35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G18" i="41"/>
  <c r="F14" i="41"/>
  <c r="F12" i="41"/>
  <c r="F11" i="41"/>
  <c r="C68" i="4"/>
  <c r="D18" i="41" l="1"/>
  <c r="D87" i="41"/>
  <c r="C87" i="41"/>
  <c r="D96" i="42"/>
  <c r="D111" i="42"/>
  <c r="D31" i="42"/>
  <c r="D49" i="42"/>
  <c r="D69" i="42" s="1"/>
  <c r="E70" i="4"/>
  <c r="E73" i="4" s="1"/>
  <c r="D124" i="42"/>
  <c r="F52" i="41"/>
  <c r="D77" i="42"/>
  <c r="D102" i="42" l="1"/>
  <c r="E84" i="42" l="1"/>
  <c r="F84" i="42"/>
  <c r="G84" i="42"/>
  <c r="H84" i="42"/>
  <c r="I84" i="42"/>
  <c r="J84" i="42"/>
  <c r="K84" i="42"/>
  <c r="L84" i="42"/>
  <c r="M84" i="42"/>
  <c r="E122" i="42"/>
  <c r="E120" i="42"/>
  <c r="E118" i="42"/>
  <c r="E116" i="42"/>
  <c r="E114" i="42"/>
  <c r="E109" i="42"/>
  <c r="E107" i="42"/>
  <c r="E99" i="42"/>
  <c r="E98" i="42"/>
  <c r="E97" i="42"/>
  <c r="E94" i="42"/>
  <c r="E93" i="42"/>
  <c r="E92" i="42"/>
  <c r="E91" i="42"/>
  <c r="E90" i="42"/>
  <c r="E89" i="42"/>
  <c r="E88" i="42"/>
  <c r="E87" i="42"/>
  <c r="E86" i="42"/>
  <c r="E85" i="42"/>
  <c r="E83" i="42"/>
  <c r="E82" i="42"/>
  <c r="E81" i="42"/>
  <c r="E80" i="42"/>
  <c r="E79" i="42"/>
  <c r="E78" i="42"/>
  <c r="E59" i="42"/>
  <c r="E56" i="42"/>
  <c r="E55" i="42"/>
  <c r="E54" i="42"/>
  <c r="E53" i="42"/>
  <c r="E52" i="42"/>
  <c r="E51" i="42"/>
  <c r="E50" i="42"/>
  <c r="E44" i="42"/>
  <c r="E43" i="42"/>
  <c r="E42" i="42"/>
  <c r="E41" i="42"/>
  <c r="E40" i="42"/>
  <c r="E38" i="42"/>
  <c r="E37" i="42"/>
  <c r="E36" i="42"/>
  <c r="E35" i="42"/>
  <c r="E34" i="42"/>
  <c r="E33" i="42"/>
  <c r="E32" i="42"/>
  <c r="E28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G91" i="41"/>
  <c r="G89" i="41"/>
  <c r="G85" i="41"/>
  <c r="G83" i="41"/>
  <c r="G81" i="41"/>
  <c r="G33" i="41"/>
  <c r="G76" i="41"/>
  <c r="G32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1" i="41"/>
  <c r="G50" i="41"/>
  <c r="G49" i="41"/>
  <c r="G47" i="41"/>
  <c r="G46" i="41"/>
  <c r="G45" i="41"/>
  <c r="G42" i="41"/>
  <c r="G41" i="41"/>
  <c r="G40" i="41"/>
  <c r="G39" i="41"/>
  <c r="G38" i="41"/>
  <c r="G37" i="41"/>
  <c r="G36" i="41"/>
  <c r="G35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4" i="41"/>
  <c r="G12" i="41"/>
  <c r="G11" i="41"/>
  <c r="G10" i="41"/>
  <c r="E124" i="40"/>
  <c r="E10" i="40"/>
  <c r="E124" i="42" l="1"/>
  <c r="E31" i="42"/>
  <c r="E49" i="42"/>
  <c r="E69" i="42" s="1"/>
  <c r="D40" i="41"/>
  <c r="D56" i="41"/>
  <c r="D26" i="41"/>
  <c r="D57" i="41"/>
  <c r="D27" i="41"/>
  <c r="D58" i="41"/>
  <c r="D11" i="41"/>
  <c r="D45" i="41"/>
  <c r="D76" i="41"/>
  <c r="D46" i="41"/>
  <c r="D60" i="41"/>
  <c r="C33" i="41"/>
  <c r="D33" i="41"/>
  <c r="D14" i="41"/>
  <c r="D30" i="41"/>
  <c r="D47" i="41"/>
  <c r="D61" i="41"/>
  <c r="D81" i="41"/>
  <c r="D19" i="41"/>
  <c r="D31" i="41"/>
  <c r="D49" i="41"/>
  <c r="D62" i="41"/>
  <c r="D83" i="41"/>
  <c r="D20" i="41"/>
  <c r="D35" i="41"/>
  <c r="D50" i="41"/>
  <c r="D63" i="41"/>
  <c r="C85" i="41"/>
  <c r="D85" i="41"/>
  <c r="D25" i="41"/>
  <c r="D68" i="41"/>
  <c r="D41" i="41"/>
  <c r="D69" i="41"/>
  <c r="D10" i="41"/>
  <c r="D42" i="41"/>
  <c r="C32" i="41"/>
  <c r="D32" i="41"/>
  <c r="D28" i="41"/>
  <c r="D59" i="41"/>
  <c r="D12" i="41"/>
  <c r="D29" i="41"/>
  <c r="D21" i="41"/>
  <c r="D36" i="41"/>
  <c r="D51" i="41"/>
  <c r="D64" i="41"/>
  <c r="C89" i="41"/>
  <c r="D89" i="41"/>
  <c r="D22" i="41"/>
  <c r="D37" i="41"/>
  <c r="D53" i="41"/>
  <c r="D65" i="41"/>
  <c r="D91" i="41"/>
  <c r="D23" i="41"/>
  <c r="D38" i="41"/>
  <c r="D54" i="41"/>
  <c r="D66" i="41"/>
  <c r="D24" i="41"/>
  <c r="D39" i="41"/>
  <c r="D55" i="41"/>
  <c r="D67" i="41"/>
  <c r="E111" i="42"/>
  <c r="E96" i="42"/>
  <c r="E77" i="42"/>
  <c r="G52" i="41"/>
  <c r="D52" i="41" s="1"/>
  <c r="F120" i="42"/>
  <c r="F86" i="42"/>
  <c r="N122" i="42"/>
  <c r="M122" i="42"/>
  <c r="L122" i="42"/>
  <c r="K122" i="42"/>
  <c r="J122" i="42"/>
  <c r="I122" i="42"/>
  <c r="H122" i="42"/>
  <c r="G122" i="42"/>
  <c r="F122" i="42"/>
  <c r="N120" i="42"/>
  <c r="M120" i="42"/>
  <c r="L120" i="42"/>
  <c r="K120" i="42"/>
  <c r="J120" i="42"/>
  <c r="I120" i="42"/>
  <c r="H120" i="42"/>
  <c r="G120" i="42"/>
  <c r="N118" i="42"/>
  <c r="M118" i="42"/>
  <c r="L118" i="42"/>
  <c r="K118" i="42"/>
  <c r="J118" i="42"/>
  <c r="I118" i="42"/>
  <c r="H118" i="42"/>
  <c r="G118" i="42"/>
  <c r="F118" i="42"/>
  <c r="N116" i="42"/>
  <c r="M116" i="42"/>
  <c r="L116" i="42"/>
  <c r="K116" i="42"/>
  <c r="J116" i="42"/>
  <c r="I116" i="42"/>
  <c r="H116" i="42"/>
  <c r="G116" i="42"/>
  <c r="F116" i="42"/>
  <c r="N114" i="42"/>
  <c r="M114" i="42"/>
  <c r="L114" i="42"/>
  <c r="K114" i="42"/>
  <c r="J114" i="42"/>
  <c r="I114" i="42"/>
  <c r="H114" i="42"/>
  <c r="G114" i="42"/>
  <c r="F114" i="42"/>
  <c r="N109" i="42"/>
  <c r="M109" i="42"/>
  <c r="L109" i="42"/>
  <c r="K109" i="42"/>
  <c r="J109" i="42"/>
  <c r="I109" i="42"/>
  <c r="H109" i="42"/>
  <c r="G109" i="42"/>
  <c r="F109" i="42"/>
  <c r="N107" i="42"/>
  <c r="M107" i="42"/>
  <c r="L107" i="42"/>
  <c r="K107" i="42"/>
  <c r="J107" i="42"/>
  <c r="I107" i="42"/>
  <c r="H107" i="42"/>
  <c r="G107" i="42"/>
  <c r="F107" i="42"/>
  <c r="N98" i="42"/>
  <c r="M98" i="42"/>
  <c r="L98" i="42"/>
  <c r="K98" i="42"/>
  <c r="J98" i="42"/>
  <c r="I98" i="42"/>
  <c r="H98" i="42"/>
  <c r="G98" i="42"/>
  <c r="F98" i="42"/>
  <c r="N97" i="42"/>
  <c r="M97" i="42"/>
  <c r="L97" i="42"/>
  <c r="K97" i="42"/>
  <c r="J97" i="42"/>
  <c r="I97" i="42"/>
  <c r="H97" i="42"/>
  <c r="G97" i="42"/>
  <c r="F97" i="42"/>
  <c r="N93" i="42"/>
  <c r="M93" i="42"/>
  <c r="L93" i="42"/>
  <c r="K93" i="42"/>
  <c r="J93" i="42"/>
  <c r="I93" i="42"/>
  <c r="H93" i="42"/>
  <c r="G93" i="42"/>
  <c r="F93" i="42"/>
  <c r="N92" i="42"/>
  <c r="M92" i="42"/>
  <c r="L92" i="42"/>
  <c r="K92" i="42"/>
  <c r="J92" i="42"/>
  <c r="I92" i="42"/>
  <c r="H92" i="42"/>
  <c r="G92" i="42"/>
  <c r="F92" i="42"/>
  <c r="N91" i="42"/>
  <c r="M91" i="42"/>
  <c r="L91" i="42"/>
  <c r="K91" i="42"/>
  <c r="J91" i="42"/>
  <c r="I91" i="42"/>
  <c r="H91" i="42"/>
  <c r="G91" i="42"/>
  <c r="F91" i="42"/>
  <c r="N90" i="42"/>
  <c r="M90" i="42"/>
  <c r="L90" i="42"/>
  <c r="K90" i="42"/>
  <c r="J90" i="42"/>
  <c r="I90" i="42"/>
  <c r="H90" i="42"/>
  <c r="G90" i="42"/>
  <c r="F90" i="42"/>
  <c r="N89" i="42"/>
  <c r="M89" i="42"/>
  <c r="L89" i="42"/>
  <c r="K89" i="42"/>
  <c r="J89" i="42"/>
  <c r="I89" i="42"/>
  <c r="H89" i="42"/>
  <c r="G89" i="42"/>
  <c r="F89" i="42"/>
  <c r="N88" i="42"/>
  <c r="M88" i="42"/>
  <c r="L88" i="42"/>
  <c r="K88" i="42"/>
  <c r="J88" i="42"/>
  <c r="I88" i="42"/>
  <c r="H88" i="42"/>
  <c r="G88" i="42"/>
  <c r="F88" i="42"/>
  <c r="N87" i="42"/>
  <c r="M87" i="42"/>
  <c r="L87" i="42"/>
  <c r="K87" i="42"/>
  <c r="J87" i="42"/>
  <c r="I87" i="42"/>
  <c r="H87" i="42"/>
  <c r="G87" i="42"/>
  <c r="F87" i="42"/>
  <c r="N86" i="42"/>
  <c r="M86" i="42"/>
  <c r="L86" i="42"/>
  <c r="K86" i="42"/>
  <c r="J86" i="42"/>
  <c r="I86" i="42"/>
  <c r="H86" i="42"/>
  <c r="G86" i="42"/>
  <c r="N85" i="42"/>
  <c r="M85" i="42"/>
  <c r="L85" i="42"/>
  <c r="K85" i="42"/>
  <c r="J85" i="42"/>
  <c r="I85" i="42"/>
  <c r="H85" i="42"/>
  <c r="G85" i="42"/>
  <c r="F85" i="42"/>
  <c r="N84" i="42"/>
  <c r="N83" i="42"/>
  <c r="M83" i="42"/>
  <c r="L83" i="42"/>
  <c r="K83" i="42"/>
  <c r="J83" i="42"/>
  <c r="I83" i="42"/>
  <c r="H83" i="42"/>
  <c r="G83" i="42"/>
  <c r="F83" i="42"/>
  <c r="N82" i="42"/>
  <c r="M82" i="42"/>
  <c r="L82" i="42"/>
  <c r="K82" i="42"/>
  <c r="J82" i="42"/>
  <c r="I82" i="42"/>
  <c r="H82" i="42"/>
  <c r="G82" i="42"/>
  <c r="F82" i="42"/>
  <c r="N81" i="42"/>
  <c r="M81" i="42"/>
  <c r="L81" i="42"/>
  <c r="K81" i="42"/>
  <c r="J81" i="42"/>
  <c r="I81" i="42"/>
  <c r="H81" i="42"/>
  <c r="G81" i="42"/>
  <c r="F81" i="42"/>
  <c r="N80" i="42"/>
  <c r="M80" i="42"/>
  <c r="L80" i="42"/>
  <c r="K80" i="42"/>
  <c r="J80" i="42"/>
  <c r="I80" i="42"/>
  <c r="H80" i="42"/>
  <c r="G80" i="42"/>
  <c r="F80" i="42"/>
  <c r="N79" i="42"/>
  <c r="M79" i="42"/>
  <c r="L79" i="42"/>
  <c r="K79" i="42"/>
  <c r="J79" i="42"/>
  <c r="I79" i="42"/>
  <c r="H79" i="42"/>
  <c r="G79" i="42"/>
  <c r="F79" i="42"/>
  <c r="N78" i="42"/>
  <c r="M78" i="42"/>
  <c r="L78" i="42"/>
  <c r="K78" i="42"/>
  <c r="J78" i="42"/>
  <c r="I78" i="42"/>
  <c r="H78" i="42"/>
  <c r="G78" i="42"/>
  <c r="F78" i="42"/>
  <c r="N59" i="42"/>
  <c r="M59" i="42"/>
  <c r="L59" i="42"/>
  <c r="K59" i="42"/>
  <c r="J59" i="42"/>
  <c r="I59" i="42"/>
  <c r="H59" i="42"/>
  <c r="G59" i="42"/>
  <c r="F59" i="42"/>
  <c r="N56" i="42"/>
  <c r="M56" i="42"/>
  <c r="L56" i="42"/>
  <c r="K56" i="42"/>
  <c r="J56" i="42"/>
  <c r="I56" i="42"/>
  <c r="H56" i="42"/>
  <c r="G56" i="42"/>
  <c r="F56" i="42"/>
  <c r="N55" i="42"/>
  <c r="M55" i="42"/>
  <c r="L55" i="42"/>
  <c r="K55" i="42"/>
  <c r="J55" i="42"/>
  <c r="I55" i="42"/>
  <c r="H55" i="42"/>
  <c r="G55" i="42"/>
  <c r="F55" i="42"/>
  <c r="N54" i="42"/>
  <c r="M54" i="42"/>
  <c r="L54" i="42"/>
  <c r="K54" i="42"/>
  <c r="J54" i="42"/>
  <c r="I54" i="42"/>
  <c r="H54" i="42"/>
  <c r="G54" i="42"/>
  <c r="F54" i="42"/>
  <c r="N53" i="42"/>
  <c r="M53" i="42"/>
  <c r="L53" i="42"/>
  <c r="K53" i="42"/>
  <c r="J53" i="42"/>
  <c r="I53" i="42"/>
  <c r="H53" i="42"/>
  <c r="G53" i="42"/>
  <c r="F53" i="42"/>
  <c r="N52" i="42"/>
  <c r="M52" i="42"/>
  <c r="L52" i="42"/>
  <c r="K52" i="42"/>
  <c r="J52" i="42"/>
  <c r="I52" i="42"/>
  <c r="H52" i="42"/>
  <c r="G52" i="42"/>
  <c r="F52" i="42"/>
  <c r="N51" i="42"/>
  <c r="M51" i="42"/>
  <c r="L51" i="42"/>
  <c r="K51" i="42"/>
  <c r="J51" i="42"/>
  <c r="I51" i="42"/>
  <c r="H51" i="42"/>
  <c r="G51" i="42"/>
  <c r="F51" i="42"/>
  <c r="N50" i="42"/>
  <c r="M50" i="42"/>
  <c r="L50" i="42"/>
  <c r="K50" i="42"/>
  <c r="J50" i="42"/>
  <c r="I50" i="42"/>
  <c r="H50" i="42"/>
  <c r="G50" i="42"/>
  <c r="F50" i="42"/>
  <c r="N43" i="42"/>
  <c r="M43" i="42"/>
  <c r="L43" i="42"/>
  <c r="K43" i="42"/>
  <c r="J43" i="42"/>
  <c r="I43" i="42"/>
  <c r="H43" i="42"/>
  <c r="G43" i="42"/>
  <c r="F43" i="42"/>
  <c r="N42" i="42"/>
  <c r="M42" i="42"/>
  <c r="L42" i="42"/>
  <c r="K42" i="42"/>
  <c r="J42" i="42"/>
  <c r="I42" i="42"/>
  <c r="H42" i="42"/>
  <c r="G42" i="42"/>
  <c r="F42" i="42"/>
  <c r="N41" i="42"/>
  <c r="M41" i="42"/>
  <c r="L41" i="42"/>
  <c r="K41" i="42"/>
  <c r="J41" i="42"/>
  <c r="I41" i="42"/>
  <c r="H41" i="42"/>
  <c r="G41" i="42"/>
  <c r="F41" i="42"/>
  <c r="N40" i="42"/>
  <c r="M40" i="42"/>
  <c r="L40" i="42"/>
  <c r="K40" i="42"/>
  <c r="J40" i="42"/>
  <c r="I40" i="42"/>
  <c r="H40" i="42"/>
  <c r="G40" i="42"/>
  <c r="F40" i="42"/>
  <c r="N38" i="42"/>
  <c r="M38" i="42"/>
  <c r="L38" i="42"/>
  <c r="K38" i="42"/>
  <c r="J38" i="42"/>
  <c r="I38" i="42"/>
  <c r="H38" i="42"/>
  <c r="G38" i="42"/>
  <c r="F38" i="42"/>
  <c r="N37" i="42"/>
  <c r="M37" i="42"/>
  <c r="L37" i="42"/>
  <c r="K37" i="42"/>
  <c r="J37" i="42"/>
  <c r="I37" i="42"/>
  <c r="H37" i="42"/>
  <c r="G37" i="42"/>
  <c r="F37" i="42"/>
  <c r="N36" i="42"/>
  <c r="M36" i="42"/>
  <c r="L36" i="42"/>
  <c r="K36" i="42"/>
  <c r="J36" i="42"/>
  <c r="I36" i="42"/>
  <c r="H36" i="42"/>
  <c r="G36" i="42"/>
  <c r="F36" i="42"/>
  <c r="N35" i="42"/>
  <c r="M35" i="42"/>
  <c r="L35" i="42"/>
  <c r="K35" i="42"/>
  <c r="J35" i="42"/>
  <c r="I35" i="42"/>
  <c r="H35" i="42"/>
  <c r="G35" i="42"/>
  <c r="F35" i="42"/>
  <c r="N34" i="42"/>
  <c r="M34" i="42"/>
  <c r="L34" i="42"/>
  <c r="K34" i="42"/>
  <c r="J34" i="42"/>
  <c r="I34" i="42"/>
  <c r="H34" i="42"/>
  <c r="G34" i="42"/>
  <c r="F34" i="42"/>
  <c r="N33" i="42"/>
  <c r="M33" i="42"/>
  <c r="L33" i="42"/>
  <c r="K33" i="42"/>
  <c r="J33" i="42"/>
  <c r="I33" i="42"/>
  <c r="H33" i="42"/>
  <c r="G33" i="42"/>
  <c r="F33" i="42"/>
  <c r="N32" i="42"/>
  <c r="M32" i="42"/>
  <c r="L32" i="42"/>
  <c r="K32" i="42"/>
  <c r="J32" i="42"/>
  <c r="I32" i="42"/>
  <c r="H32" i="42"/>
  <c r="G32" i="42"/>
  <c r="F32" i="42"/>
  <c r="N29" i="42"/>
  <c r="M29" i="42"/>
  <c r="L29" i="42"/>
  <c r="K29" i="42"/>
  <c r="J29" i="42"/>
  <c r="I29" i="42"/>
  <c r="H29" i="42"/>
  <c r="G29" i="42"/>
  <c r="F29" i="42"/>
  <c r="N28" i="42"/>
  <c r="M28" i="42"/>
  <c r="L28" i="42"/>
  <c r="K28" i="42"/>
  <c r="J28" i="42"/>
  <c r="I28" i="42"/>
  <c r="H28" i="42"/>
  <c r="G28" i="42"/>
  <c r="F28" i="42"/>
  <c r="N25" i="42"/>
  <c r="M25" i="42"/>
  <c r="L25" i="42"/>
  <c r="K25" i="42"/>
  <c r="J25" i="42"/>
  <c r="I25" i="42"/>
  <c r="H25" i="42"/>
  <c r="G25" i="42"/>
  <c r="F25" i="42"/>
  <c r="N24" i="42"/>
  <c r="M24" i="42"/>
  <c r="L24" i="42"/>
  <c r="K24" i="42"/>
  <c r="J24" i="42"/>
  <c r="I24" i="42"/>
  <c r="H24" i="42"/>
  <c r="G24" i="42"/>
  <c r="F24" i="42"/>
  <c r="N23" i="42"/>
  <c r="M23" i="42"/>
  <c r="L23" i="42"/>
  <c r="K23" i="42"/>
  <c r="J23" i="42"/>
  <c r="I23" i="42"/>
  <c r="H23" i="42"/>
  <c r="G23" i="42"/>
  <c r="F23" i="42"/>
  <c r="N22" i="42"/>
  <c r="M22" i="42"/>
  <c r="L22" i="42"/>
  <c r="K22" i="42"/>
  <c r="J22" i="42"/>
  <c r="I22" i="42"/>
  <c r="H22" i="42"/>
  <c r="G22" i="42"/>
  <c r="F22" i="42"/>
  <c r="N21" i="42"/>
  <c r="M21" i="42"/>
  <c r="L21" i="42"/>
  <c r="K21" i="42"/>
  <c r="J21" i="42"/>
  <c r="I21" i="42"/>
  <c r="H21" i="42"/>
  <c r="G21" i="42"/>
  <c r="F21" i="42"/>
  <c r="N20" i="42"/>
  <c r="M20" i="42"/>
  <c r="L20" i="42"/>
  <c r="K20" i="42"/>
  <c r="J20" i="42"/>
  <c r="I20" i="42"/>
  <c r="H20" i="42"/>
  <c r="G20" i="42"/>
  <c r="F20" i="42"/>
  <c r="N19" i="42"/>
  <c r="M19" i="42"/>
  <c r="L19" i="42"/>
  <c r="K19" i="42"/>
  <c r="J19" i="42"/>
  <c r="I19" i="42"/>
  <c r="H19" i="42"/>
  <c r="G19" i="42"/>
  <c r="F19" i="42"/>
  <c r="N18" i="42"/>
  <c r="M18" i="42"/>
  <c r="L18" i="42"/>
  <c r="K18" i="42"/>
  <c r="J18" i="42"/>
  <c r="I18" i="42"/>
  <c r="H18" i="42"/>
  <c r="G18" i="42"/>
  <c r="F18" i="42"/>
  <c r="N17" i="42"/>
  <c r="M17" i="42"/>
  <c r="L17" i="42"/>
  <c r="K17" i="42"/>
  <c r="J17" i="42"/>
  <c r="I17" i="42"/>
  <c r="H17" i="42"/>
  <c r="G17" i="42"/>
  <c r="F17" i="42"/>
  <c r="N16" i="42"/>
  <c r="M16" i="42"/>
  <c r="L16" i="42"/>
  <c r="K16" i="42"/>
  <c r="J16" i="42"/>
  <c r="I16" i="42"/>
  <c r="H16" i="42"/>
  <c r="G16" i="42"/>
  <c r="F16" i="42"/>
  <c r="N15" i="42"/>
  <c r="M15" i="42"/>
  <c r="L15" i="42"/>
  <c r="K15" i="42"/>
  <c r="J15" i="42"/>
  <c r="I15" i="42"/>
  <c r="H15" i="42"/>
  <c r="G15" i="42"/>
  <c r="F15" i="42"/>
  <c r="N14" i="42"/>
  <c r="M14" i="42"/>
  <c r="L14" i="42"/>
  <c r="K14" i="42"/>
  <c r="J14" i="42"/>
  <c r="I14" i="42"/>
  <c r="H14" i="42"/>
  <c r="G14" i="42"/>
  <c r="F14" i="42"/>
  <c r="N13" i="42"/>
  <c r="M13" i="42"/>
  <c r="L13" i="42"/>
  <c r="K13" i="42"/>
  <c r="J13" i="42"/>
  <c r="I13" i="42"/>
  <c r="H13" i="42"/>
  <c r="G13" i="42"/>
  <c r="F13" i="42"/>
  <c r="N12" i="42"/>
  <c r="M12" i="42"/>
  <c r="L12" i="42"/>
  <c r="K12" i="42"/>
  <c r="J12" i="42"/>
  <c r="I12" i="42"/>
  <c r="H12" i="42"/>
  <c r="G12" i="42"/>
  <c r="F12" i="42"/>
  <c r="F11" i="42"/>
  <c r="G11" i="42"/>
  <c r="H11" i="42"/>
  <c r="I11" i="42"/>
  <c r="J11" i="42"/>
  <c r="K11" i="42"/>
  <c r="L11" i="42"/>
  <c r="M11" i="42"/>
  <c r="N11" i="42"/>
  <c r="J49" i="42" l="1"/>
  <c r="J69" i="42" s="1"/>
  <c r="K49" i="42"/>
  <c r="K69" i="42" s="1"/>
  <c r="M49" i="42"/>
  <c r="M69" i="42" s="1"/>
  <c r="N49" i="42"/>
  <c r="N69" i="42" s="1"/>
  <c r="F49" i="42"/>
  <c r="F69" i="42" s="1"/>
  <c r="G49" i="42"/>
  <c r="G69" i="42" s="1"/>
  <c r="I49" i="42"/>
  <c r="I69" i="42" s="1"/>
  <c r="L49" i="42"/>
  <c r="L69" i="42" s="1"/>
  <c r="H49" i="42"/>
  <c r="H69" i="42" s="1"/>
  <c r="H27" i="42"/>
  <c r="H10" i="42"/>
  <c r="M10" i="42"/>
  <c r="I10" i="42"/>
  <c r="F111" i="42"/>
  <c r="H31" i="42"/>
  <c r="F124" i="42"/>
  <c r="F77" i="42"/>
  <c r="G10" i="42"/>
  <c r="F10" i="42"/>
  <c r="L10" i="42"/>
  <c r="K10" i="42"/>
  <c r="J10" i="42"/>
  <c r="J95" i="41" l="1"/>
  <c r="I95" i="41"/>
  <c r="J93" i="41"/>
  <c r="I93" i="41"/>
  <c r="J91" i="41"/>
  <c r="I91" i="41"/>
  <c r="J83" i="41"/>
  <c r="I83" i="41"/>
  <c r="J81" i="41"/>
  <c r="I81" i="41"/>
  <c r="J76" i="41"/>
  <c r="I76" i="41"/>
  <c r="J69" i="41"/>
  <c r="I69" i="41"/>
  <c r="J68" i="41"/>
  <c r="I68" i="41"/>
  <c r="J67" i="41"/>
  <c r="I67" i="41"/>
  <c r="J66" i="41"/>
  <c r="I66" i="41"/>
  <c r="J65" i="41"/>
  <c r="I65" i="41"/>
  <c r="J64" i="41"/>
  <c r="I64" i="41"/>
  <c r="J63" i="41"/>
  <c r="I63" i="41"/>
  <c r="J62" i="41"/>
  <c r="I62" i="41"/>
  <c r="J61" i="41"/>
  <c r="I61" i="41"/>
  <c r="J60" i="41"/>
  <c r="I60" i="41"/>
  <c r="J59" i="41"/>
  <c r="I59" i="41"/>
  <c r="J58" i="41"/>
  <c r="I58" i="41"/>
  <c r="J57" i="41"/>
  <c r="I57" i="41"/>
  <c r="J56" i="41"/>
  <c r="I56" i="41"/>
  <c r="J55" i="41"/>
  <c r="I55" i="41"/>
  <c r="J54" i="41"/>
  <c r="I54" i="41"/>
  <c r="J53" i="41"/>
  <c r="I53" i="41"/>
  <c r="J51" i="41"/>
  <c r="I51" i="41"/>
  <c r="J50" i="41"/>
  <c r="I50" i="41"/>
  <c r="J49" i="41"/>
  <c r="I49" i="41"/>
  <c r="J47" i="41"/>
  <c r="I47" i="41"/>
  <c r="J46" i="41"/>
  <c r="I46" i="41"/>
  <c r="J45" i="41"/>
  <c r="I45" i="41"/>
  <c r="J43" i="41"/>
  <c r="I43" i="41"/>
  <c r="J42" i="41"/>
  <c r="I42" i="41"/>
  <c r="J41" i="41"/>
  <c r="I41" i="41"/>
  <c r="J40" i="41"/>
  <c r="I40" i="41"/>
  <c r="J39" i="41"/>
  <c r="I39" i="41"/>
  <c r="J38" i="41"/>
  <c r="I38" i="41"/>
  <c r="J37" i="41"/>
  <c r="I37" i="41"/>
  <c r="J36" i="41"/>
  <c r="I36" i="41"/>
  <c r="J35" i="41"/>
  <c r="I35" i="41"/>
  <c r="J31" i="41"/>
  <c r="I31" i="41"/>
  <c r="J30" i="41"/>
  <c r="I30" i="41"/>
  <c r="J29" i="41"/>
  <c r="I29" i="41"/>
  <c r="J28" i="41"/>
  <c r="I28" i="41"/>
  <c r="J27" i="41"/>
  <c r="I27" i="41"/>
  <c r="J26" i="41"/>
  <c r="I26" i="41"/>
  <c r="J25" i="41"/>
  <c r="I25" i="41"/>
  <c r="J24" i="41"/>
  <c r="I24" i="41"/>
  <c r="J23" i="41"/>
  <c r="I23" i="41"/>
  <c r="J22" i="41"/>
  <c r="I22" i="41"/>
  <c r="J21" i="41"/>
  <c r="I21" i="41"/>
  <c r="J20" i="41"/>
  <c r="I20" i="41"/>
  <c r="J19" i="41"/>
  <c r="I19" i="41"/>
  <c r="J18" i="41"/>
  <c r="I18" i="41"/>
  <c r="J14" i="41"/>
  <c r="I14" i="41"/>
  <c r="J12" i="41"/>
  <c r="I12" i="41"/>
  <c r="J11" i="41"/>
  <c r="I11" i="41"/>
  <c r="I10" i="41"/>
  <c r="J10" i="41"/>
  <c r="K95" i="41"/>
  <c r="K93" i="41"/>
  <c r="K91" i="41"/>
  <c r="K83" i="41"/>
  <c r="K81" i="41"/>
  <c r="K76" i="41"/>
  <c r="K69" i="41"/>
  <c r="K68" i="41"/>
  <c r="K67" i="41"/>
  <c r="K66" i="41"/>
  <c r="K65" i="41"/>
  <c r="K64" i="41"/>
  <c r="K63" i="41"/>
  <c r="K62" i="41"/>
  <c r="K61" i="41"/>
  <c r="K60" i="41"/>
  <c r="K59" i="41"/>
  <c r="K58" i="41"/>
  <c r="K57" i="41"/>
  <c r="K56" i="41"/>
  <c r="K55" i="41"/>
  <c r="K54" i="41"/>
  <c r="K53" i="41"/>
  <c r="K51" i="41"/>
  <c r="K50" i="41"/>
  <c r="K49" i="41"/>
  <c r="K47" i="41"/>
  <c r="K46" i="41"/>
  <c r="K45" i="41"/>
  <c r="K43" i="41"/>
  <c r="K42" i="41"/>
  <c r="K41" i="41"/>
  <c r="K40" i="41"/>
  <c r="K39" i="41"/>
  <c r="K38" i="41"/>
  <c r="K37" i="41"/>
  <c r="K36" i="41"/>
  <c r="K35" i="41"/>
  <c r="K31" i="41"/>
  <c r="K30" i="41"/>
  <c r="K29" i="41"/>
  <c r="K28" i="41"/>
  <c r="K27" i="41"/>
  <c r="K26" i="41"/>
  <c r="K25" i="41"/>
  <c r="K24" i="41"/>
  <c r="K23" i="41"/>
  <c r="K22" i="41"/>
  <c r="K21" i="41"/>
  <c r="K20" i="41"/>
  <c r="K19" i="41"/>
  <c r="K18" i="41"/>
  <c r="K14" i="41"/>
  <c r="K12" i="41"/>
  <c r="K11" i="41"/>
  <c r="K10" i="41"/>
  <c r="O95" i="41"/>
  <c r="N95" i="41"/>
  <c r="M95" i="41"/>
  <c r="O93" i="41"/>
  <c r="N93" i="41"/>
  <c r="M93" i="41"/>
  <c r="O91" i="41"/>
  <c r="N91" i="41"/>
  <c r="M91" i="41"/>
  <c r="O83" i="41"/>
  <c r="N83" i="41"/>
  <c r="M83" i="41"/>
  <c r="O81" i="41"/>
  <c r="N81" i="41"/>
  <c r="M81" i="41"/>
  <c r="O76" i="41"/>
  <c r="N76" i="41"/>
  <c r="M76" i="41"/>
  <c r="O69" i="41"/>
  <c r="N69" i="41"/>
  <c r="M69" i="41"/>
  <c r="O68" i="41"/>
  <c r="N68" i="41"/>
  <c r="M68" i="41"/>
  <c r="O67" i="41"/>
  <c r="N67" i="41"/>
  <c r="M67" i="41"/>
  <c r="O66" i="41"/>
  <c r="N66" i="41"/>
  <c r="M66" i="41"/>
  <c r="O65" i="41"/>
  <c r="N65" i="41"/>
  <c r="M65" i="41"/>
  <c r="O64" i="41"/>
  <c r="N64" i="41"/>
  <c r="M64" i="41"/>
  <c r="O63" i="41"/>
  <c r="N63" i="41"/>
  <c r="M63" i="41"/>
  <c r="O62" i="41"/>
  <c r="N62" i="41"/>
  <c r="M62" i="41"/>
  <c r="O61" i="41"/>
  <c r="N61" i="41"/>
  <c r="M61" i="41"/>
  <c r="O60" i="41"/>
  <c r="N60" i="41"/>
  <c r="M60" i="41"/>
  <c r="O59" i="41"/>
  <c r="N59" i="41"/>
  <c r="M59" i="41"/>
  <c r="O58" i="41"/>
  <c r="N58" i="41"/>
  <c r="M58" i="41"/>
  <c r="O57" i="41"/>
  <c r="N57" i="41"/>
  <c r="M57" i="41"/>
  <c r="O56" i="41"/>
  <c r="N56" i="41"/>
  <c r="M56" i="41"/>
  <c r="O55" i="41"/>
  <c r="N55" i="41"/>
  <c r="M55" i="41"/>
  <c r="O54" i="41"/>
  <c r="N54" i="41"/>
  <c r="M54" i="41"/>
  <c r="O53" i="41"/>
  <c r="N53" i="41"/>
  <c r="M53" i="41"/>
  <c r="O51" i="41"/>
  <c r="N51" i="41"/>
  <c r="M51" i="41"/>
  <c r="O50" i="41"/>
  <c r="N50" i="41"/>
  <c r="M50" i="41"/>
  <c r="O49" i="41"/>
  <c r="N49" i="41"/>
  <c r="M49" i="41"/>
  <c r="O47" i="41"/>
  <c r="N47" i="41"/>
  <c r="M47" i="41"/>
  <c r="O46" i="41"/>
  <c r="N46" i="41"/>
  <c r="M46" i="41"/>
  <c r="O45" i="41"/>
  <c r="N45" i="41"/>
  <c r="M45" i="41"/>
  <c r="O43" i="41"/>
  <c r="N43" i="41"/>
  <c r="M43" i="41"/>
  <c r="O42" i="41"/>
  <c r="N42" i="41"/>
  <c r="M42" i="41"/>
  <c r="O41" i="41"/>
  <c r="N41" i="41"/>
  <c r="M41" i="41"/>
  <c r="O40" i="41"/>
  <c r="N40" i="41"/>
  <c r="M40" i="41"/>
  <c r="O39" i="41"/>
  <c r="N39" i="41"/>
  <c r="M39" i="41"/>
  <c r="O38" i="41"/>
  <c r="N38" i="41"/>
  <c r="M38" i="41"/>
  <c r="O37" i="41"/>
  <c r="N37" i="41"/>
  <c r="M37" i="41"/>
  <c r="O36" i="41"/>
  <c r="N36" i="41"/>
  <c r="M36" i="41"/>
  <c r="O35" i="41"/>
  <c r="N35" i="41"/>
  <c r="M35" i="41"/>
  <c r="O31" i="41"/>
  <c r="N31" i="41"/>
  <c r="M31" i="41"/>
  <c r="O30" i="41"/>
  <c r="N30" i="41"/>
  <c r="M30" i="41"/>
  <c r="O29" i="41"/>
  <c r="N29" i="41"/>
  <c r="M29" i="41"/>
  <c r="O28" i="41"/>
  <c r="N28" i="41"/>
  <c r="M28" i="41"/>
  <c r="O27" i="41"/>
  <c r="N27" i="41"/>
  <c r="M27" i="41"/>
  <c r="O26" i="41"/>
  <c r="N26" i="41"/>
  <c r="M26" i="41"/>
  <c r="O25" i="41"/>
  <c r="N25" i="41"/>
  <c r="M25" i="41"/>
  <c r="O24" i="41"/>
  <c r="N24" i="41"/>
  <c r="M24" i="41"/>
  <c r="O23" i="41"/>
  <c r="N23" i="41"/>
  <c r="M23" i="41"/>
  <c r="O22" i="41"/>
  <c r="N22" i="41"/>
  <c r="M22" i="41"/>
  <c r="O21" i="41"/>
  <c r="N21" i="41"/>
  <c r="M21" i="41"/>
  <c r="O20" i="41"/>
  <c r="N20" i="41"/>
  <c r="M20" i="41"/>
  <c r="O19" i="41"/>
  <c r="N19" i="41"/>
  <c r="M19" i="41"/>
  <c r="O18" i="41"/>
  <c r="N18" i="41"/>
  <c r="M18" i="41"/>
  <c r="O14" i="41"/>
  <c r="N14" i="41"/>
  <c r="M14" i="41"/>
  <c r="O12" i="41"/>
  <c r="N12" i="41"/>
  <c r="M12" i="41"/>
  <c r="O11" i="41"/>
  <c r="N11" i="41"/>
  <c r="M11" i="41"/>
  <c r="N10" i="41"/>
  <c r="M10" i="41"/>
  <c r="O10" i="41"/>
  <c r="R95" i="41"/>
  <c r="Q95" i="41"/>
  <c r="R93" i="41"/>
  <c r="Q93" i="41"/>
  <c r="R91" i="41"/>
  <c r="Q91" i="41"/>
  <c r="R83" i="41"/>
  <c r="Q83" i="41"/>
  <c r="R81" i="41"/>
  <c r="Q81" i="41"/>
  <c r="R76" i="41"/>
  <c r="Q76" i="41"/>
  <c r="R69" i="41"/>
  <c r="Q69" i="41"/>
  <c r="R68" i="41"/>
  <c r="Q68" i="41"/>
  <c r="R67" i="41"/>
  <c r="Q67" i="41"/>
  <c r="R66" i="41"/>
  <c r="Q66" i="41"/>
  <c r="R65" i="41"/>
  <c r="Q65" i="41"/>
  <c r="R64" i="41"/>
  <c r="Q64" i="41"/>
  <c r="R63" i="41"/>
  <c r="Q63" i="41"/>
  <c r="R62" i="41"/>
  <c r="Q62" i="41"/>
  <c r="R61" i="41"/>
  <c r="Q61" i="41"/>
  <c r="R60" i="41"/>
  <c r="Q60" i="41"/>
  <c r="R59" i="41"/>
  <c r="Q59" i="41"/>
  <c r="R58" i="41"/>
  <c r="Q58" i="41"/>
  <c r="R57" i="41"/>
  <c r="Q57" i="41"/>
  <c r="R56" i="41"/>
  <c r="Q56" i="41"/>
  <c r="R55" i="41"/>
  <c r="Q55" i="41"/>
  <c r="R54" i="41"/>
  <c r="Q54" i="41"/>
  <c r="R53" i="41"/>
  <c r="Q53" i="41"/>
  <c r="R51" i="41"/>
  <c r="Q51" i="41"/>
  <c r="R50" i="41"/>
  <c r="Q50" i="41"/>
  <c r="R49" i="41"/>
  <c r="Q49" i="41"/>
  <c r="R47" i="41"/>
  <c r="Q47" i="41"/>
  <c r="R46" i="41"/>
  <c r="Q46" i="41"/>
  <c r="R45" i="41"/>
  <c r="Q45" i="41"/>
  <c r="R43" i="41"/>
  <c r="Q43" i="41"/>
  <c r="R42" i="41"/>
  <c r="Q42" i="41"/>
  <c r="R41" i="41"/>
  <c r="Q41" i="41"/>
  <c r="R40" i="41"/>
  <c r="Q40" i="41"/>
  <c r="R39" i="41"/>
  <c r="Q39" i="41"/>
  <c r="R38" i="41"/>
  <c r="Q38" i="41"/>
  <c r="R37" i="41"/>
  <c r="Q37" i="41"/>
  <c r="R36" i="41"/>
  <c r="Q36" i="41"/>
  <c r="R35" i="41"/>
  <c r="Q35" i="41"/>
  <c r="R31" i="41"/>
  <c r="Q31" i="41"/>
  <c r="R30" i="41"/>
  <c r="Q30" i="41"/>
  <c r="R29" i="41"/>
  <c r="Q29" i="41"/>
  <c r="R28" i="41"/>
  <c r="Q28" i="41"/>
  <c r="R27" i="41"/>
  <c r="Q27" i="41"/>
  <c r="R26" i="41"/>
  <c r="Q26" i="41"/>
  <c r="R25" i="41"/>
  <c r="Q25" i="41"/>
  <c r="R24" i="41"/>
  <c r="Q24" i="41"/>
  <c r="R23" i="41"/>
  <c r="Q23" i="41"/>
  <c r="R22" i="41"/>
  <c r="Q22" i="41"/>
  <c r="R21" i="41"/>
  <c r="Q21" i="41"/>
  <c r="R20" i="41"/>
  <c r="Q20" i="41"/>
  <c r="R19" i="41"/>
  <c r="Q19" i="41"/>
  <c r="R18" i="41"/>
  <c r="Q18" i="41"/>
  <c r="Q14" i="41"/>
  <c r="Q12" i="41"/>
  <c r="Q11" i="41"/>
  <c r="Q10" i="41"/>
  <c r="R14" i="41"/>
  <c r="R12" i="41"/>
  <c r="R11" i="41"/>
  <c r="R10" i="41"/>
  <c r="S95" i="41"/>
  <c r="S93" i="41"/>
  <c r="S91" i="41"/>
  <c r="S83" i="41"/>
  <c r="S81" i="41"/>
  <c r="S76" i="41"/>
  <c r="S69" i="41"/>
  <c r="S68" i="41"/>
  <c r="S67" i="41"/>
  <c r="S66" i="41"/>
  <c r="S65" i="41"/>
  <c r="S64" i="41"/>
  <c r="S63" i="41"/>
  <c r="S62" i="41"/>
  <c r="S61" i="41"/>
  <c r="S60" i="41"/>
  <c r="S59" i="41"/>
  <c r="S58" i="41"/>
  <c r="S57" i="41"/>
  <c r="S56" i="41"/>
  <c r="S55" i="41"/>
  <c r="S54" i="41"/>
  <c r="S53" i="41"/>
  <c r="S51" i="41"/>
  <c r="S50" i="41"/>
  <c r="S49" i="41"/>
  <c r="S47" i="41"/>
  <c r="S46" i="41"/>
  <c r="S45" i="41"/>
  <c r="S43" i="41"/>
  <c r="S42" i="41"/>
  <c r="S41" i="41"/>
  <c r="S40" i="41"/>
  <c r="S39" i="41"/>
  <c r="S38" i="41"/>
  <c r="S37" i="41"/>
  <c r="S36" i="41"/>
  <c r="S35" i="41"/>
  <c r="S31" i="41"/>
  <c r="S30" i="41"/>
  <c r="S29" i="41"/>
  <c r="S28" i="41"/>
  <c r="S27" i="41"/>
  <c r="S26" i="41"/>
  <c r="S25" i="41"/>
  <c r="S24" i="41"/>
  <c r="S23" i="41"/>
  <c r="S22" i="41"/>
  <c r="S21" i="41"/>
  <c r="S20" i="41"/>
  <c r="S19" i="41"/>
  <c r="S18" i="41"/>
  <c r="S14" i="41"/>
  <c r="S12" i="41"/>
  <c r="S11" i="41"/>
  <c r="S10" i="41"/>
  <c r="P91" i="38"/>
  <c r="L91" i="38"/>
  <c r="H91" i="38"/>
  <c r="S17" i="38"/>
  <c r="R17" i="38"/>
  <c r="Q17" i="38"/>
  <c r="O17" i="38"/>
  <c r="N17" i="38"/>
  <c r="M17" i="38"/>
  <c r="K17" i="38"/>
  <c r="J17" i="38"/>
  <c r="I17" i="38"/>
  <c r="G17" i="38"/>
  <c r="F17" i="38"/>
  <c r="E17" i="38"/>
  <c r="F124" i="40"/>
  <c r="F10" i="40"/>
  <c r="N111" i="3"/>
  <c r="M111" i="3"/>
  <c r="L111" i="3"/>
  <c r="K111" i="3"/>
  <c r="J111" i="3"/>
  <c r="I111" i="3"/>
  <c r="H111" i="3"/>
  <c r="G111" i="3"/>
  <c r="F31" i="3"/>
  <c r="F10" i="3"/>
  <c r="S52" i="38"/>
  <c r="R52" i="38"/>
  <c r="Q52" i="38"/>
  <c r="O52" i="38"/>
  <c r="N52" i="38"/>
  <c r="M52" i="38"/>
  <c r="K52" i="38"/>
  <c r="J52" i="38"/>
  <c r="I52" i="38"/>
  <c r="G52" i="38"/>
  <c r="F52" i="38"/>
  <c r="E52" i="38"/>
  <c r="P22" i="38"/>
  <c r="L22" i="38"/>
  <c r="H22" i="38"/>
  <c r="D22" i="38"/>
  <c r="P31" i="38"/>
  <c r="L31" i="38"/>
  <c r="H31" i="38"/>
  <c r="D31" i="38"/>
  <c r="P68" i="38"/>
  <c r="L68" i="38"/>
  <c r="L41" i="38"/>
  <c r="L40" i="38"/>
  <c r="L39" i="38"/>
  <c r="L26" i="38"/>
  <c r="P22" i="4"/>
  <c r="L22" i="4"/>
  <c r="H22" i="4"/>
  <c r="D22" i="4"/>
  <c r="P91" i="4"/>
  <c r="L91" i="4"/>
  <c r="H91" i="4"/>
  <c r="H76" i="4"/>
  <c r="H69" i="4"/>
  <c r="H67" i="4"/>
  <c r="H66" i="4"/>
  <c r="H65" i="4"/>
  <c r="H64" i="4"/>
  <c r="H62" i="4"/>
  <c r="H61" i="4"/>
  <c r="H60" i="4"/>
  <c r="H59" i="4"/>
  <c r="H58" i="4"/>
  <c r="H57" i="4"/>
  <c r="H56" i="4"/>
  <c r="H55" i="4"/>
  <c r="C91" i="38" l="1"/>
  <c r="C91" i="4"/>
  <c r="C22" i="4"/>
  <c r="H65" i="41"/>
  <c r="H25" i="41"/>
  <c r="H36" i="41"/>
  <c r="H11" i="41"/>
  <c r="H18" i="41"/>
  <c r="H22" i="41"/>
  <c r="H26" i="41"/>
  <c r="H37" i="41"/>
  <c r="H46" i="41"/>
  <c r="H51" i="41"/>
  <c r="H56" i="41"/>
  <c r="H60" i="41"/>
  <c r="H64" i="41"/>
  <c r="H68" i="41"/>
  <c r="H83" i="41"/>
  <c r="H23" i="41"/>
  <c r="H31" i="41"/>
  <c r="H42" i="41"/>
  <c r="H47" i="41"/>
  <c r="H57" i="41"/>
  <c r="H91" i="41"/>
  <c r="H20" i="41"/>
  <c r="H24" i="41"/>
  <c r="H28" i="41"/>
  <c r="H35" i="41"/>
  <c r="H39" i="41"/>
  <c r="H43" i="41"/>
  <c r="H49" i="41"/>
  <c r="H54" i="41"/>
  <c r="H58" i="41"/>
  <c r="H62" i="41"/>
  <c r="H66" i="41"/>
  <c r="H76" i="41"/>
  <c r="H93" i="41"/>
  <c r="H27" i="41"/>
  <c r="H12" i="41"/>
  <c r="H53" i="41"/>
  <c r="H61" i="41"/>
  <c r="H69" i="41"/>
  <c r="H41" i="41"/>
  <c r="H19" i="41"/>
  <c r="H38" i="41"/>
  <c r="H14" i="41"/>
  <c r="H21" i="41"/>
  <c r="H29" i="41"/>
  <c r="H40" i="41"/>
  <c r="H45" i="41"/>
  <c r="H55" i="41"/>
  <c r="H63" i="41"/>
  <c r="H95" i="41"/>
  <c r="H30" i="41"/>
  <c r="H10" i="41"/>
  <c r="H50" i="41"/>
  <c r="H59" i="41"/>
  <c r="H67" i="41"/>
  <c r="H81" i="41"/>
  <c r="P21" i="41"/>
  <c r="P25" i="41"/>
  <c r="P29" i="41"/>
  <c r="P36" i="41"/>
  <c r="P40" i="41"/>
  <c r="P45" i="41"/>
  <c r="P50" i="41"/>
  <c r="P55" i="41"/>
  <c r="P59" i="41"/>
  <c r="P63" i="41"/>
  <c r="P67" i="41"/>
  <c r="P81" i="41"/>
  <c r="P95" i="41"/>
  <c r="J34" i="41"/>
  <c r="L20" i="41"/>
  <c r="L28" i="41"/>
  <c r="L39" i="41"/>
  <c r="L58" i="41"/>
  <c r="L66" i="41"/>
  <c r="L93" i="41"/>
  <c r="P28" i="41"/>
  <c r="N44" i="41"/>
  <c r="M48" i="41"/>
  <c r="O48" i="41"/>
  <c r="L83" i="41"/>
  <c r="I34" i="41"/>
  <c r="P12" i="41"/>
  <c r="P20" i="41"/>
  <c r="P39" i="41"/>
  <c r="P49" i="41"/>
  <c r="P58" i="41"/>
  <c r="P66" i="41"/>
  <c r="P93" i="41"/>
  <c r="L18" i="41"/>
  <c r="L21" i="41"/>
  <c r="L26" i="41"/>
  <c r="L29" i="41"/>
  <c r="L37" i="41"/>
  <c r="L40" i="41"/>
  <c r="L46" i="41"/>
  <c r="L50" i="41"/>
  <c r="L56" i="41"/>
  <c r="L59" i="41"/>
  <c r="L64" i="41"/>
  <c r="L67" i="41"/>
  <c r="L95" i="41"/>
  <c r="L76" i="41"/>
  <c r="L24" i="41"/>
  <c r="L35" i="41"/>
  <c r="L43" i="41"/>
  <c r="L54" i="41"/>
  <c r="L62" i="41"/>
  <c r="P14" i="41"/>
  <c r="L55" i="41"/>
  <c r="L63" i="41"/>
  <c r="K44" i="41"/>
  <c r="Q44" i="41"/>
  <c r="L12" i="41"/>
  <c r="L23" i="41"/>
  <c r="L31" i="41"/>
  <c r="L42" i="41"/>
  <c r="O44" i="41"/>
  <c r="N48" i="41"/>
  <c r="L53" i="41"/>
  <c r="L61" i="41"/>
  <c r="L69" i="41"/>
  <c r="P22" i="41"/>
  <c r="P26" i="41"/>
  <c r="P30" i="41"/>
  <c r="P37" i="41"/>
  <c r="P41" i="41"/>
  <c r="P46" i="41"/>
  <c r="Q48" i="41"/>
  <c r="P56" i="41"/>
  <c r="P60" i="41"/>
  <c r="P64" i="41"/>
  <c r="P68" i="41"/>
  <c r="P83" i="41"/>
  <c r="L25" i="41"/>
  <c r="L36" i="41"/>
  <c r="P27" i="41"/>
  <c r="P38" i="41"/>
  <c r="P47" i="41"/>
  <c r="Q52" i="41"/>
  <c r="P65" i="41"/>
  <c r="P23" i="41"/>
  <c r="P31" i="41"/>
  <c r="P42" i="41"/>
  <c r="P53" i="41"/>
  <c r="P61" i="41"/>
  <c r="P69" i="41"/>
  <c r="L19" i="41"/>
  <c r="L27" i="41"/>
  <c r="L38" i="41"/>
  <c r="L47" i="41"/>
  <c r="L57" i="41"/>
  <c r="L65" i="41"/>
  <c r="L91" i="41"/>
  <c r="L14" i="41"/>
  <c r="L81" i="41"/>
  <c r="P19" i="41"/>
  <c r="P57" i="41"/>
  <c r="P91" i="41"/>
  <c r="P11" i="41"/>
  <c r="P24" i="41"/>
  <c r="P43" i="41"/>
  <c r="P54" i="41"/>
  <c r="P62" i="41"/>
  <c r="P76" i="41"/>
  <c r="L11" i="41"/>
  <c r="L22" i="41"/>
  <c r="L30" i="41"/>
  <c r="L41" i="41"/>
  <c r="L51" i="41"/>
  <c r="L60" i="41"/>
  <c r="L68" i="41"/>
  <c r="O34" i="41"/>
  <c r="I44" i="41"/>
  <c r="P51" i="41"/>
  <c r="M34" i="41"/>
  <c r="K48" i="41"/>
  <c r="J52" i="41"/>
  <c r="M52" i="41"/>
  <c r="I52" i="41"/>
  <c r="Q34" i="41"/>
  <c r="P35" i="41"/>
  <c r="O52" i="41"/>
  <c r="N52" i="41"/>
  <c r="J48" i="41"/>
  <c r="K52" i="41"/>
  <c r="N34" i="41"/>
  <c r="L45" i="41"/>
  <c r="P18" i="41"/>
  <c r="J44" i="41"/>
  <c r="R34" i="41"/>
  <c r="R44" i="41"/>
  <c r="R48" i="41"/>
  <c r="R52" i="41"/>
  <c r="M44" i="41"/>
  <c r="K34" i="41"/>
  <c r="I48" i="41"/>
  <c r="L49" i="41"/>
  <c r="C22" i="38"/>
  <c r="C31" i="38"/>
  <c r="C68" i="38"/>
  <c r="G10" i="3"/>
  <c r="C40" i="41" l="1"/>
  <c r="C93" i="41"/>
  <c r="C20" i="41"/>
  <c r="C51" i="41"/>
  <c r="C29" i="41"/>
  <c r="C91" i="41"/>
  <c r="C46" i="41"/>
  <c r="C81" i="41"/>
  <c r="C21" i="41"/>
  <c r="C66" i="41"/>
  <c r="C57" i="41"/>
  <c r="C67" i="41"/>
  <c r="C14" i="41"/>
  <c r="C62" i="41"/>
  <c r="C47" i="41"/>
  <c r="C26" i="41"/>
  <c r="C59" i="41"/>
  <c r="C38" i="41"/>
  <c r="C58" i="41"/>
  <c r="C42" i="41"/>
  <c r="C22" i="41"/>
  <c r="C50" i="41"/>
  <c r="C19" i="41"/>
  <c r="C54" i="41"/>
  <c r="C31" i="41"/>
  <c r="C41" i="41"/>
  <c r="C49" i="41"/>
  <c r="C23" i="41"/>
  <c r="C11" i="41"/>
  <c r="C30" i="41"/>
  <c r="C69" i="41"/>
  <c r="C43" i="41"/>
  <c r="C83" i="41"/>
  <c r="C36" i="41"/>
  <c r="C61" i="41"/>
  <c r="C39" i="41"/>
  <c r="C68" i="41"/>
  <c r="C25" i="41"/>
  <c r="C63" i="41"/>
  <c r="C53" i="41"/>
  <c r="C35" i="41"/>
  <c r="C64" i="41"/>
  <c r="C65" i="41"/>
  <c r="C55" i="41"/>
  <c r="C12" i="41"/>
  <c r="C28" i="41"/>
  <c r="C60" i="41"/>
  <c r="C45" i="41"/>
  <c r="C27" i="41"/>
  <c r="C24" i="41"/>
  <c r="C56" i="41"/>
  <c r="H48" i="41"/>
  <c r="Q70" i="41"/>
  <c r="H52" i="41"/>
  <c r="H44" i="41"/>
  <c r="H34" i="41"/>
  <c r="R70" i="41"/>
  <c r="I70" i="41"/>
  <c r="K70" i="41"/>
  <c r="O70" i="41"/>
  <c r="M70" i="41"/>
  <c r="J70" i="41"/>
  <c r="N70" i="41"/>
  <c r="C44" i="41" l="1"/>
  <c r="H70" i="41"/>
  <c r="F52" i="4"/>
  <c r="G52" i="4"/>
  <c r="I52" i="4"/>
  <c r="J52" i="4"/>
  <c r="K52" i="4"/>
  <c r="M52" i="4"/>
  <c r="N52" i="4"/>
  <c r="O52" i="4"/>
  <c r="Q52" i="4"/>
  <c r="R52" i="4"/>
  <c r="S52" i="4"/>
  <c r="F48" i="4"/>
  <c r="G48" i="4"/>
  <c r="I48" i="4"/>
  <c r="J48" i="4"/>
  <c r="K48" i="4"/>
  <c r="M48" i="4"/>
  <c r="N48" i="4"/>
  <c r="O48" i="4"/>
  <c r="Q48" i="4"/>
  <c r="R48" i="4"/>
  <c r="S48" i="4"/>
  <c r="F44" i="4"/>
  <c r="G44" i="4"/>
  <c r="I44" i="4"/>
  <c r="J44" i="4"/>
  <c r="K44" i="4"/>
  <c r="M44" i="4"/>
  <c r="N44" i="4"/>
  <c r="O44" i="4"/>
  <c r="Q44" i="4"/>
  <c r="R44" i="4"/>
  <c r="S44" i="4"/>
  <c r="F34" i="4"/>
  <c r="G34" i="4"/>
  <c r="I34" i="4"/>
  <c r="J34" i="4"/>
  <c r="K34" i="4"/>
  <c r="M34" i="4"/>
  <c r="N34" i="4"/>
  <c r="O34" i="4"/>
  <c r="Q34" i="4"/>
  <c r="R34" i="4"/>
  <c r="S34" i="4"/>
  <c r="S13" i="4"/>
  <c r="R13" i="4"/>
  <c r="Q13" i="4"/>
  <c r="O13" i="4"/>
  <c r="N13" i="4"/>
  <c r="M13" i="4"/>
  <c r="K13" i="4"/>
  <c r="J13" i="4"/>
  <c r="I13" i="4"/>
  <c r="G13" i="4"/>
  <c r="F13" i="4"/>
  <c r="N124" i="3"/>
  <c r="N96" i="3"/>
  <c r="N102" i="3" s="1"/>
  <c r="M124" i="3"/>
  <c r="L124" i="3"/>
  <c r="H124" i="3"/>
  <c r="I124" i="3"/>
  <c r="J124" i="3"/>
  <c r="K124" i="3"/>
  <c r="G124" i="40"/>
  <c r="G111" i="40"/>
  <c r="G77" i="40"/>
  <c r="G102" i="40" s="1"/>
  <c r="G31" i="40"/>
  <c r="G10" i="40"/>
  <c r="G124" i="3"/>
  <c r="G96" i="3"/>
  <c r="G31" i="3"/>
  <c r="G27" i="3"/>
  <c r="F15" i="4" l="1"/>
  <c r="G77" i="42"/>
  <c r="G127" i="40"/>
  <c r="N77" i="42"/>
  <c r="N111" i="42"/>
  <c r="N124" i="42"/>
  <c r="G124" i="42"/>
  <c r="G111" i="42"/>
  <c r="N96" i="42"/>
  <c r="N127" i="3"/>
  <c r="G46" i="3"/>
  <c r="G102" i="3"/>
  <c r="G127" i="3" s="1"/>
  <c r="G46" i="40"/>
  <c r="G72" i="40" s="1"/>
  <c r="G128" i="40" l="1"/>
  <c r="N102" i="42"/>
  <c r="N127" i="42" s="1"/>
  <c r="G72" i="3"/>
  <c r="G128" i="3" s="1"/>
  <c r="K45" i="42" l="1"/>
  <c r="P127" i="3"/>
  <c r="I111" i="40"/>
  <c r="H111" i="40"/>
  <c r="H10" i="40"/>
  <c r="H10" i="3"/>
  <c r="H124" i="42" l="1"/>
  <c r="H96" i="42"/>
  <c r="H111" i="42"/>
  <c r="H77" i="42"/>
  <c r="K70" i="4"/>
  <c r="K73" i="4" s="1"/>
  <c r="H102" i="42" l="1"/>
  <c r="H127" i="42" s="1"/>
  <c r="H46" i="42"/>
  <c r="H72" i="42" s="1"/>
  <c r="H128" i="42" l="1"/>
  <c r="L35" i="38" l="1"/>
  <c r="L63" i="38"/>
  <c r="L95" i="4"/>
  <c r="L11" i="4"/>
  <c r="L10" i="4"/>
  <c r="L54" i="4"/>
  <c r="J27" i="50"/>
  <c r="I27" i="50"/>
  <c r="H27" i="50"/>
  <c r="G27" i="50"/>
  <c r="AL18" i="50"/>
  <c r="AK18" i="50"/>
  <c r="AJ18" i="50"/>
  <c r="AI18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AL8" i="50"/>
  <c r="AL22" i="50" s="1"/>
  <c r="AK8" i="50"/>
  <c r="AK22" i="50" s="1"/>
  <c r="AJ8" i="50"/>
  <c r="AJ22" i="50" s="1"/>
  <c r="AI8" i="50"/>
  <c r="AI22" i="50" s="1"/>
  <c r="AH8" i="50"/>
  <c r="AH22" i="50" s="1"/>
  <c r="AG8" i="50"/>
  <c r="AG22" i="50" s="1"/>
  <c r="AF8" i="50"/>
  <c r="AF22" i="50" s="1"/>
  <c r="AE8" i="50"/>
  <c r="AE22" i="50" s="1"/>
  <c r="AD8" i="50"/>
  <c r="AD22" i="50" s="1"/>
  <c r="AC8" i="50"/>
  <c r="AC22" i="50" s="1"/>
  <c r="AB8" i="50"/>
  <c r="AB22" i="50" s="1"/>
  <c r="AA8" i="50"/>
  <c r="AA22" i="50" s="1"/>
  <c r="Z8" i="50"/>
  <c r="Z22" i="50" s="1"/>
  <c r="Y8" i="50"/>
  <c r="Y22" i="50" s="1"/>
  <c r="X8" i="50"/>
  <c r="X22" i="50" s="1"/>
  <c r="W8" i="50"/>
  <c r="W22" i="50" s="1"/>
  <c r="V8" i="50"/>
  <c r="V22" i="50" s="1"/>
  <c r="U8" i="50"/>
  <c r="U22" i="50" s="1"/>
  <c r="T8" i="50"/>
  <c r="T22" i="50" s="1"/>
  <c r="S8" i="50"/>
  <c r="S22" i="50" s="1"/>
  <c r="R8" i="50"/>
  <c r="R22" i="50" s="1"/>
  <c r="Q8" i="50"/>
  <c r="Q22" i="50" s="1"/>
  <c r="P8" i="50"/>
  <c r="P22" i="50" s="1"/>
  <c r="O8" i="50"/>
  <c r="O22" i="50" s="1"/>
  <c r="N8" i="50"/>
  <c r="N27" i="50" s="1"/>
  <c r="M8" i="50"/>
  <c r="M22" i="50" s="1"/>
  <c r="M25" i="50" s="1"/>
  <c r="M26" i="50" s="1"/>
  <c r="L8" i="50"/>
  <c r="L22" i="50" s="1"/>
  <c r="L25" i="50" s="1"/>
  <c r="L26" i="50" s="1"/>
  <c r="K8" i="50"/>
  <c r="K22" i="50" s="1"/>
  <c r="K25" i="50" s="1"/>
  <c r="K26" i="50" s="1"/>
  <c r="J8" i="50"/>
  <c r="J22" i="50" s="1"/>
  <c r="J25" i="50" s="1"/>
  <c r="J26" i="50" s="1"/>
  <c r="I8" i="50"/>
  <c r="I22" i="50" s="1"/>
  <c r="I25" i="50" s="1"/>
  <c r="I26" i="50" s="1"/>
  <c r="H8" i="50"/>
  <c r="H22" i="50" s="1"/>
  <c r="H25" i="50" s="1"/>
  <c r="H26" i="50" s="1"/>
  <c r="G8" i="50"/>
  <c r="G22" i="50" s="1"/>
  <c r="G25" i="50" s="1"/>
  <c r="G26" i="50" s="1"/>
  <c r="F8" i="50"/>
  <c r="F27" i="50" s="1"/>
  <c r="E8" i="50"/>
  <c r="E22" i="50" s="1"/>
  <c r="E25" i="50" s="1"/>
  <c r="E26" i="50" s="1"/>
  <c r="D8" i="50"/>
  <c r="D22" i="50" s="1"/>
  <c r="D25" i="50" s="1"/>
  <c r="D26" i="50" s="1"/>
  <c r="D29" i="50" s="1"/>
  <c r="C8" i="50"/>
  <c r="C22" i="50" s="1"/>
  <c r="C25" i="50" s="1"/>
  <c r="C26" i="50" s="1"/>
  <c r="AL7" i="50"/>
  <c r="AL21" i="50" s="1"/>
  <c r="AK7" i="50"/>
  <c r="AK21" i="50" s="1"/>
  <c r="AJ7" i="50"/>
  <c r="AJ21" i="50" s="1"/>
  <c r="AI7" i="50"/>
  <c r="AI21" i="50" s="1"/>
  <c r="AH7" i="50"/>
  <c r="AH21" i="50" s="1"/>
  <c r="AG7" i="50"/>
  <c r="AG21" i="50" s="1"/>
  <c r="AF7" i="50"/>
  <c r="AF21" i="50" s="1"/>
  <c r="AE7" i="50"/>
  <c r="AE21" i="50" s="1"/>
  <c r="AD7" i="50"/>
  <c r="AD21" i="50" s="1"/>
  <c r="AC7" i="50"/>
  <c r="AC21" i="50" s="1"/>
  <c r="AB7" i="50"/>
  <c r="AB21" i="50" s="1"/>
  <c r="AA7" i="50"/>
  <c r="AA21" i="50" s="1"/>
  <c r="Z7" i="50"/>
  <c r="Z21" i="50" s="1"/>
  <c r="Y7" i="50"/>
  <c r="Y21" i="50" s="1"/>
  <c r="X7" i="50"/>
  <c r="X21" i="50" s="1"/>
  <c r="W7" i="50"/>
  <c r="W21" i="50" s="1"/>
  <c r="V7" i="50"/>
  <c r="V21" i="50" s="1"/>
  <c r="U7" i="50"/>
  <c r="U21" i="50" s="1"/>
  <c r="T7" i="50"/>
  <c r="T21" i="50" s="1"/>
  <c r="S7" i="50"/>
  <c r="S21" i="50" s="1"/>
  <c r="R7" i="50"/>
  <c r="R21" i="50" s="1"/>
  <c r="Q7" i="50"/>
  <c r="Q21" i="50" s="1"/>
  <c r="P7" i="50"/>
  <c r="P21" i="50" s="1"/>
  <c r="O7" i="50"/>
  <c r="O21" i="50" s="1"/>
  <c r="N7" i="50"/>
  <c r="N21" i="50" s="1"/>
  <c r="M7" i="50"/>
  <c r="M21" i="50" s="1"/>
  <c r="L7" i="50"/>
  <c r="L21" i="50" s="1"/>
  <c r="K7" i="50"/>
  <c r="K21" i="50" s="1"/>
  <c r="J7" i="50"/>
  <c r="J21" i="50" s="1"/>
  <c r="I7" i="50"/>
  <c r="I21" i="50" s="1"/>
  <c r="H7" i="50"/>
  <c r="H21" i="50" s="1"/>
  <c r="G7" i="50"/>
  <c r="G21" i="50" s="1"/>
  <c r="F7" i="50"/>
  <c r="F21" i="50" s="1"/>
  <c r="E7" i="50"/>
  <c r="E21" i="50" s="1"/>
  <c r="D7" i="50"/>
  <c r="D21" i="50" s="1"/>
  <c r="C7" i="50"/>
  <c r="C21" i="50" s="1"/>
  <c r="AL6" i="50"/>
  <c r="AL20" i="50" s="1"/>
  <c r="AK6" i="50"/>
  <c r="AK20" i="50" s="1"/>
  <c r="AJ6" i="50"/>
  <c r="AJ20" i="50" s="1"/>
  <c r="AI6" i="50"/>
  <c r="AI20" i="50" s="1"/>
  <c r="AH6" i="50"/>
  <c r="AH20" i="50" s="1"/>
  <c r="AG6" i="50"/>
  <c r="AG20" i="50" s="1"/>
  <c r="AF6" i="50"/>
  <c r="AF20" i="50" s="1"/>
  <c r="AE6" i="50"/>
  <c r="AE20" i="50" s="1"/>
  <c r="AD6" i="50"/>
  <c r="AD20" i="50" s="1"/>
  <c r="AC6" i="50"/>
  <c r="AC20" i="50" s="1"/>
  <c r="AB6" i="50"/>
  <c r="AB20" i="50" s="1"/>
  <c r="AA6" i="50"/>
  <c r="AA20" i="50" s="1"/>
  <c r="Z6" i="50"/>
  <c r="Z20" i="50" s="1"/>
  <c r="Y6" i="50"/>
  <c r="Y20" i="50" s="1"/>
  <c r="X6" i="50"/>
  <c r="X20" i="50" s="1"/>
  <c r="W6" i="50"/>
  <c r="W20" i="50" s="1"/>
  <c r="V6" i="50"/>
  <c r="V20" i="50" s="1"/>
  <c r="U6" i="50"/>
  <c r="U20" i="50" s="1"/>
  <c r="T6" i="50"/>
  <c r="T20" i="50" s="1"/>
  <c r="S6" i="50"/>
  <c r="S20" i="50" s="1"/>
  <c r="R6" i="50"/>
  <c r="R20" i="50" s="1"/>
  <c r="Q6" i="50"/>
  <c r="Q20" i="50" s="1"/>
  <c r="P6" i="50"/>
  <c r="P20" i="50" s="1"/>
  <c r="O6" i="50"/>
  <c r="O20" i="50" s="1"/>
  <c r="N6" i="50"/>
  <c r="N20" i="50" s="1"/>
  <c r="M6" i="50"/>
  <c r="M20" i="50" s="1"/>
  <c r="L6" i="50"/>
  <c r="L20" i="50" s="1"/>
  <c r="K6" i="50"/>
  <c r="K20" i="50" s="1"/>
  <c r="J6" i="50"/>
  <c r="J20" i="50" s="1"/>
  <c r="I6" i="50"/>
  <c r="I20" i="50" s="1"/>
  <c r="H6" i="50"/>
  <c r="H20" i="50" s="1"/>
  <c r="G6" i="50"/>
  <c r="G20" i="50" s="1"/>
  <c r="F6" i="50"/>
  <c r="F20" i="50" s="1"/>
  <c r="E6" i="50"/>
  <c r="E20" i="50" s="1"/>
  <c r="D6" i="50"/>
  <c r="D20" i="50" s="1"/>
  <c r="C6" i="50"/>
  <c r="C20" i="50" s="1"/>
  <c r="AL5" i="50"/>
  <c r="AL19" i="50" s="1"/>
  <c r="AK5" i="50"/>
  <c r="AK19" i="50" s="1"/>
  <c r="AJ5" i="50"/>
  <c r="AJ19" i="50" s="1"/>
  <c r="AI5" i="50"/>
  <c r="AI19" i="50" s="1"/>
  <c r="AH5" i="50"/>
  <c r="AH19" i="50" s="1"/>
  <c r="AG5" i="50"/>
  <c r="AG19" i="50" s="1"/>
  <c r="AF5" i="50"/>
  <c r="AF19" i="50" s="1"/>
  <c r="AE5" i="50"/>
  <c r="AE19" i="50" s="1"/>
  <c r="AD5" i="50"/>
  <c r="AD19" i="50" s="1"/>
  <c r="AC5" i="50"/>
  <c r="AC19" i="50" s="1"/>
  <c r="AB5" i="50"/>
  <c r="AB19" i="50" s="1"/>
  <c r="AA5" i="50"/>
  <c r="AA19" i="50" s="1"/>
  <c r="Z5" i="50"/>
  <c r="Z19" i="50" s="1"/>
  <c r="Y5" i="50"/>
  <c r="Y19" i="50" s="1"/>
  <c r="X5" i="50"/>
  <c r="X19" i="50" s="1"/>
  <c r="W5" i="50"/>
  <c r="W19" i="50" s="1"/>
  <c r="V5" i="50"/>
  <c r="V19" i="50" s="1"/>
  <c r="U5" i="50"/>
  <c r="U19" i="50" s="1"/>
  <c r="T5" i="50"/>
  <c r="T19" i="50" s="1"/>
  <c r="S5" i="50"/>
  <c r="S19" i="50" s="1"/>
  <c r="R5" i="50"/>
  <c r="R19" i="50" s="1"/>
  <c r="Q5" i="50"/>
  <c r="Q19" i="50" s="1"/>
  <c r="P5" i="50"/>
  <c r="P19" i="50" s="1"/>
  <c r="O5" i="50"/>
  <c r="O19" i="50" s="1"/>
  <c r="N5" i="50"/>
  <c r="N19" i="50" s="1"/>
  <c r="M5" i="50"/>
  <c r="M19" i="50" s="1"/>
  <c r="L5" i="50"/>
  <c r="L19" i="50" s="1"/>
  <c r="K5" i="50"/>
  <c r="K19" i="50" s="1"/>
  <c r="J5" i="50"/>
  <c r="J19" i="50" s="1"/>
  <c r="I5" i="50"/>
  <c r="I19" i="50" s="1"/>
  <c r="H5" i="50"/>
  <c r="H19" i="50" s="1"/>
  <c r="G5" i="50"/>
  <c r="G19" i="50" s="1"/>
  <c r="F5" i="50"/>
  <c r="F19" i="50" s="1"/>
  <c r="E5" i="50"/>
  <c r="E19" i="50" s="1"/>
  <c r="D5" i="50"/>
  <c r="D19" i="50" s="1"/>
  <c r="C5" i="50"/>
  <c r="C19" i="50" s="1"/>
  <c r="F22" i="50" l="1"/>
  <c r="F25" i="50" s="1"/>
  <c r="F26" i="50" s="1"/>
  <c r="N22" i="50"/>
  <c r="N25" i="50" s="1"/>
  <c r="N26" i="50" s="1"/>
  <c r="C27" i="50"/>
  <c r="K27" i="50"/>
  <c r="D27" i="50"/>
  <c r="E27" i="50"/>
  <c r="M27" i="50"/>
  <c r="L27" i="50"/>
  <c r="O27" i="50" l="1"/>
  <c r="Q27" i="50" s="1"/>
  <c r="I124" i="42" l="1"/>
  <c r="I111" i="42"/>
  <c r="E10" i="42"/>
  <c r="D10" i="42"/>
  <c r="B2" i="44" s="1"/>
  <c r="I77" i="42" l="1"/>
  <c r="I10" i="40"/>
  <c r="I10" i="3" l="1"/>
  <c r="L69" i="38"/>
  <c r="L67" i="38"/>
  <c r="L66" i="38"/>
  <c r="L65" i="38"/>
  <c r="L64" i="38"/>
  <c r="L62" i="38"/>
  <c r="L61" i="38"/>
  <c r="L60" i="38"/>
  <c r="L59" i="38"/>
  <c r="L58" i="38"/>
  <c r="L57" i="38"/>
  <c r="L56" i="38"/>
  <c r="L55" i="38"/>
  <c r="L76" i="4"/>
  <c r="L30" i="4"/>
  <c r="L69" i="4"/>
  <c r="L67" i="4"/>
  <c r="L66" i="4"/>
  <c r="L65" i="4"/>
  <c r="L64" i="4"/>
  <c r="L63" i="4"/>
  <c r="L62" i="4"/>
  <c r="L61" i="4"/>
  <c r="L60" i="4"/>
  <c r="L58" i="4"/>
  <c r="L57" i="4"/>
  <c r="L56" i="4"/>
  <c r="S52" i="41" l="1"/>
  <c r="J124" i="42" l="1"/>
  <c r="J77" i="42"/>
  <c r="J111" i="42"/>
  <c r="J10" i="40" l="1"/>
  <c r="J10" i="3"/>
  <c r="L76" i="38"/>
  <c r="H76" i="38"/>
  <c r="D76" i="38"/>
  <c r="C69" i="38"/>
  <c r="C57" i="38"/>
  <c r="P30" i="38"/>
  <c r="C30" i="38" s="1"/>
  <c r="P59" i="38"/>
  <c r="C59" i="38" s="1"/>
  <c r="P76" i="4"/>
  <c r="C76" i="4" s="1"/>
  <c r="P69" i="4"/>
  <c r="C69" i="4" s="1"/>
  <c r="P54" i="4"/>
  <c r="D54" i="4"/>
  <c r="H54" i="4"/>
  <c r="P40" i="4"/>
  <c r="L40" i="4"/>
  <c r="H40" i="4"/>
  <c r="D40" i="4"/>
  <c r="P39" i="4"/>
  <c r="L39" i="4"/>
  <c r="H39" i="4"/>
  <c r="D39" i="4"/>
  <c r="C39" i="4" l="1"/>
  <c r="C40" i="4"/>
  <c r="C54" i="4"/>
  <c r="P76" i="38" l="1"/>
  <c r="C76" i="38" s="1"/>
  <c r="P30" i="4"/>
  <c r="C30" i="4" s="1"/>
  <c r="K10" i="40"/>
  <c r="K10" i="3"/>
  <c r="K111" i="42" l="1"/>
  <c r="K124" i="42"/>
  <c r="K77" i="42"/>
  <c r="C52" i="41" l="1"/>
  <c r="L124" i="42" l="1"/>
  <c r="M111" i="42"/>
  <c r="L111" i="42"/>
  <c r="L77" i="42"/>
  <c r="L10" i="40"/>
  <c r="L10" i="3"/>
  <c r="P63" i="38"/>
  <c r="C63" i="38" s="1"/>
  <c r="P57" i="4" l="1"/>
  <c r="C57" i="4" s="1"/>
  <c r="D63" i="4"/>
  <c r="H63" i="4"/>
  <c r="P63" i="4"/>
  <c r="C63" i="4" l="1"/>
  <c r="M124" i="42"/>
  <c r="M96" i="42"/>
  <c r="L96" i="42"/>
  <c r="K96" i="42"/>
  <c r="J96" i="42"/>
  <c r="J102" i="42" s="1"/>
  <c r="I96" i="42"/>
  <c r="G96" i="42"/>
  <c r="F96" i="42"/>
  <c r="N31" i="42"/>
  <c r="M31" i="42"/>
  <c r="L31" i="42"/>
  <c r="K31" i="42"/>
  <c r="J31" i="42"/>
  <c r="I31" i="42"/>
  <c r="G31" i="42"/>
  <c r="F31" i="42"/>
  <c r="N27" i="42"/>
  <c r="M27" i="42"/>
  <c r="L27" i="42"/>
  <c r="K27" i="42"/>
  <c r="J27" i="42"/>
  <c r="I27" i="42"/>
  <c r="G27" i="42"/>
  <c r="F27" i="42"/>
  <c r="E27" i="42"/>
  <c r="D27" i="42"/>
  <c r="N10" i="42"/>
  <c r="S48" i="41"/>
  <c r="G48" i="41"/>
  <c r="F48" i="41"/>
  <c r="S44" i="41"/>
  <c r="G44" i="41"/>
  <c r="F44" i="41"/>
  <c r="S34" i="41"/>
  <c r="G34" i="41"/>
  <c r="F34" i="41"/>
  <c r="P10" i="41"/>
  <c r="P64" i="38"/>
  <c r="C64" i="38" s="1"/>
  <c r="D48" i="41" l="1"/>
  <c r="D44" i="41"/>
  <c r="D34" i="41"/>
  <c r="F70" i="41"/>
  <c r="P52" i="41"/>
  <c r="I46" i="42"/>
  <c r="E46" i="42"/>
  <c r="G102" i="42"/>
  <c r="G127" i="42" s="1"/>
  <c r="L46" i="42"/>
  <c r="D46" i="42"/>
  <c r="F46" i="42"/>
  <c r="N46" i="42"/>
  <c r="F102" i="42"/>
  <c r="F127" i="42" s="1"/>
  <c r="K46" i="42"/>
  <c r="G46" i="42"/>
  <c r="D127" i="42"/>
  <c r="E102" i="42"/>
  <c r="E127" i="42" s="1"/>
  <c r="I102" i="42"/>
  <c r="I127" i="42" s="1"/>
  <c r="M46" i="42"/>
  <c r="J46" i="42"/>
  <c r="J127" i="42"/>
  <c r="K102" i="42"/>
  <c r="K127" i="42" s="1"/>
  <c r="S70" i="41"/>
  <c r="G70" i="41"/>
  <c r="P44" i="41"/>
  <c r="P48" i="41"/>
  <c r="P34" i="41"/>
  <c r="D70" i="41" l="1"/>
  <c r="P70" i="41"/>
  <c r="I72" i="42"/>
  <c r="I128" i="42" s="1"/>
  <c r="E72" i="42"/>
  <c r="E128" i="42" s="1"/>
  <c r="D72" i="42"/>
  <c r="D128" i="42" s="1"/>
  <c r="K72" i="42"/>
  <c r="K128" i="42" s="1"/>
  <c r="G72" i="42"/>
  <c r="G128" i="42" s="1"/>
  <c r="J72" i="42"/>
  <c r="J128" i="42" s="1"/>
  <c r="L72" i="42"/>
  <c r="F72" i="42"/>
  <c r="F128" i="42" s="1"/>
  <c r="M72" i="42"/>
  <c r="N72" i="42"/>
  <c r="C48" i="41" l="1"/>
  <c r="N124" i="40"/>
  <c r="M124" i="40"/>
  <c r="L124" i="40"/>
  <c r="K124" i="40"/>
  <c r="J124" i="40"/>
  <c r="I124" i="40"/>
  <c r="H124" i="40"/>
  <c r="D124" i="40"/>
  <c r="N111" i="40"/>
  <c r="M111" i="40"/>
  <c r="L111" i="40"/>
  <c r="K111" i="40"/>
  <c r="J111" i="40"/>
  <c r="N96" i="40"/>
  <c r="M96" i="40"/>
  <c r="L96" i="40"/>
  <c r="K96" i="40"/>
  <c r="J96" i="40"/>
  <c r="I96" i="40"/>
  <c r="H96" i="40"/>
  <c r="F96" i="40"/>
  <c r="E96" i="40"/>
  <c r="E102" i="40" s="1"/>
  <c r="D96" i="40"/>
  <c r="N77" i="40"/>
  <c r="M77" i="40"/>
  <c r="L77" i="40"/>
  <c r="K77" i="40"/>
  <c r="J77" i="40"/>
  <c r="I77" i="40"/>
  <c r="H77" i="40"/>
  <c r="F77" i="40"/>
  <c r="E77" i="40"/>
  <c r="D77" i="40"/>
  <c r="C72" i="40"/>
  <c r="N31" i="40"/>
  <c r="M31" i="40"/>
  <c r="L31" i="40"/>
  <c r="K31" i="40"/>
  <c r="J31" i="40"/>
  <c r="I31" i="40"/>
  <c r="H31" i="40"/>
  <c r="F31" i="40"/>
  <c r="E31" i="40"/>
  <c r="D31" i="40"/>
  <c r="N27" i="40"/>
  <c r="M27" i="40"/>
  <c r="L27" i="40"/>
  <c r="K27" i="40"/>
  <c r="J27" i="40"/>
  <c r="I27" i="40"/>
  <c r="H27" i="40"/>
  <c r="F27" i="40"/>
  <c r="E27" i="40"/>
  <c r="D27" i="40"/>
  <c r="N10" i="40"/>
  <c r="M10" i="40"/>
  <c r="D46" i="40" l="1"/>
  <c r="H46" i="40"/>
  <c r="L46" i="40"/>
  <c r="I46" i="40"/>
  <c r="E46" i="40"/>
  <c r="F46" i="40"/>
  <c r="J102" i="40"/>
  <c r="J127" i="40" s="1"/>
  <c r="F102" i="40"/>
  <c r="F127" i="40" s="1"/>
  <c r="K46" i="40"/>
  <c r="M46" i="40"/>
  <c r="N102" i="40"/>
  <c r="N127" i="40" s="1"/>
  <c r="L102" i="40"/>
  <c r="L127" i="40" s="1"/>
  <c r="E127" i="40"/>
  <c r="M102" i="40"/>
  <c r="M127" i="40" s="1"/>
  <c r="I102" i="40"/>
  <c r="I127" i="40" s="1"/>
  <c r="K102" i="40"/>
  <c r="K127" i="40" s="1"/>
  <c r="D102" i="40"/>
  <c r="D127" i="40" s="1"/>
  <c r="H102" i="40"/>
  <c r="H127" i="40" s="1"/>
  <c r="N46" i="40"/>
  <c r="J46" i="40"/>
  <c r="M10" i="3"/>
  <c r="D23" i="4"/>
  <c r="H23" i="4"/>
  <c r="L23" i="4"/>
  <c r="D23" i="38"/>
  <c r="H23" i="38"/>
  <c r="L23" i="38"/>
  <c r="P23" i="38"/>
  <c r="P67" i="38"/>
  <c r="C67" i="38" s="1"/>
  <c r="P66" i="38"/>
  <c r="C66" i="38" s="1"/>
  <c r="P65" i="38"/>
  <c r="C65" i="38" s="1"/>
  <c r="P62" i="38"/>
  <c r="C62" i="38" s="1"/>
  <c r="P61" i="38"/>
  <c r="C61" i="38" s="1"/>
  <c r="P60" i="38"/>
  <c r="C60" i="38" s="1"/>
  <c r="P58" i="38"/>
  <c r="C58" i="38" s="1"/>
  <c r="P56" i="38"/>
  <c r="C56" i="38" s="1"/>
  <c r="P19" i="38"/>
  <c r="P93" i="38"/>
  <c r="L93" i="38"/>
  <c r="H93" i="38"/>
  <c r="P83" i="38"/>
  <c r="L83" i="38"/>
  <c r="H83" i="38"/>
  <c r="P81" i="38"/>
  <c r="L81" i="38"/>
  <c r="H81" i="38"/>
  <c r="C81" i="38"/>
  <c r="H55" i="38"/>
  <c r="L53" i="38"/>
  <c r="L52" i="38" s="1"/>
  <c r="H53" i="38"/>
  <c r="L51" i="38"/>
  <c r="H51" i="38"/>
  <c r="D51" i="38"/>
  <c r="L50" i="38"/>
  <c r="H50" i="38"/>
  <c r="D50" i="38"/>
  <c r="L49" i="38"/>
  <c r="H49" i="38"/>
  <c r="D49" i="38"/>
  <c r="Q48" i="38"/>
  <c r="O48" i="38"/>
  <c r="N48" i="38"/>
  <c r="K48" i="38"/>
  <c r="J48" i="38"/>
  <c r="I48" i="38"/>
  <c r="G48" i="38"/>
  <c r="F48" i="38"/>
  <c r="E48" i="38"/>
  <c r="L47" i="38"/>
  <c r="H47" i="38"/>
  <c r="D47" i="38"/>
  <c r="L46" i="38"/>
  <c r="H46" i="38"/>
  <c r="D46" i="38"/>
  <c r="L45" i="38"/>
  <c r="H45" i="38"/>
  <c r="D45" i="38"/>
  <c r="Q44" i="38"/>
  <c r="O44" i="38"/>
  <c r="N44" i="38"/>
  <c r="M44" i="38"/>
  <c r="K44" i="38"/>
  <c r="J44" i="38"/>
  <c r="I44" i="38"/>
  <c r="G44" i="38"/>
  <c r="F44" i="38"/>
  <c r="E44" i="38"/>
  <c r="L43" i="38"/>
  <c r="H43" i="38"/>
  <c r="D43" i="38"/>
  <c r="L42" i="38"/>
  <c r="H42" i="38"/>
  <c r="D42" i="38"/>
  <c r="H41" i="38"/>
  <c r="D41" i="38"/>
  <c r="L38" i="38"/>
  <c r="H38" i="38"/>
  <c r="D38" i="38"/>
  <c r="L37" i="38"/>
  <c r="H37" i="38"/>
  <c r="D37" i="38"/>
  <c r="L36" i="38"/>
  <c r="H36" i="38"/>
  <c r="D36" i="38"/>
  <c r="H35" i="38"/>
  <c r="Q34" i="38"/>
  <c r="O34" i="38"/>
  <c r="N34" i="38"/>
  <c r="M34" i="38"/>
  <c r="K34" i="38"/>
  <c r="J34" i="38"/>
  <c r="I34" i="38"/>
  <c r="G34" i="38"/>
  <c r="F34" i="38"/>
  <c r="E34" i="38"/>
  <c r="L29" i="38"/>
  <c r="H29" i="38"/>
  <c r="D29" i="38"/>
  <c r="L28" i="38"/>
  <c r="H28" i="38"/>
  <c r="D28" i="38"/>
  <c r="L27" i="38"/>
  <c r="H27" i="38"/>
  <c r="D27" i="38"/>
  <c r="L12" i="38"/>
  <c r="H12" i="38"/>
  <c r="D12" i="38"/>
  <c r="H26" i="38"/>
  <c r="D26" i="38"/>
  <c r="L25" i="38"/>
  <c r="H25" i="38"/>
  <c r="D25" i="38"/>
  <c r="L24" i="38"/>
  <c r="H24" i="38"/>
  <c r="D24" i="38"/>
  <c r="L21" i="38"/>
  <c r="H21" i="38"/>
  <c r="D21" i="38"/>
  <c r="L20" i="38"/>
  <c r="H20" i="38"/>
  <c r="D20" i="38"/>
  <c r="L19" i="38"/>
  <c r="H19" i="38"/>
  <c r="L18" i="38"/>
  <c r="H18" i="38"/>
  <c r="D18" i="38"/>
  <c r="L14" i="38"/>
  <c r="H14" i="38"/>
  <c r="D14" i="38"/>
  <c r="Q13" i="38"/>
  <c r="Q13" i="41" s="1"/>
  <c r="O13" i="38"/>
  <c r="N13" i="38"/>
  <c r="M13" i="38"/>
  <c r="K13" i="38"/>
  <c r="J13" i="38"/>
  <c r="J13" i="41" s="1"/>
  <c r="J15" i="41" s="1"/>
  <c r="J73" i="41" s="1"/>
  <c r="I13" i="38"/>
  <c r="I13" i="41" s="1"/>
  <c r="G13" i="38"/>
  <c r="F13" i="38"/>
  <c r="E13" i="38"/>
  <c r="L11" i="38"/>
  <c r="H11" i="38"/>
  <c r="D11" i="38"/>
  <c r="L10" i="38"/>
  <c r="H10" i="38"/>
  <c r="D10" i="38"/>
  <c r="D14" i="4"/>
  <c r="H14" i="4"/>
  <c r="L14" i="4"/>
  <c r="C83" i="38" l="1"/>
  <c r="D34" i="38"/>
  <c r="C93" i="38"/>
  <c r="E15" i="38"/>
  <c r="E13" i="41"/>
  <c r="F15" i="38"/>
  <c r="D15" i="38" s="1"/>
  <c r="F13" i="41"/>
  <c r="D17" i="38"/>
  <c r="G15" i="38"/>
  <c r="G13" i="41"/>
  <c r="N15" i="38"/>
  <c r="N13" i="41"/>
  <c r="N15" i="41" s="1"/>
  <c r="N73" i="41" s="1"/>
  <c r="M15" i="38"/>
  <c r="M13" i="41"/>
  <c r="O15" i="38"/>
  <c r="O13" i="41"/>
  <c r="O15" i="41" s="1"/>
  <c r="O73" i="41" s="1"/>
  <c r="Q15" i="41"/>
  <c r="Q73" i="41" s="1"/>
  <c r="K15" i="38"/>
  <c r="K13" i="41"/>
  <c r="K15" i="41" s="1"/>
  <c r="K73" i="41" s="1"/>
  <c r="I15" i="41"/>
  <c r="I73" i="41" s="1"/>
  <c r="H17" i="38"/>
  <c r="L17" i="38"/>
  <c r="D52" i="38"/>
  <c r="I70" i="38"/>
  <c r="I73" i="38" s="1"/>
  <c r="I97" i="38" s="1"/>
  <c r="H52" i="38"/>
  <c r="D72" i="40"/>
  <c r="D128" i="40" s="1"/>
  <c r="I72" i="40"/>
  <c r="I128" i="40" s="1"/>
  <c r="F72" i="40"/>
  <c r="F128" i="40" s="1"/>
  <c r="E72" i="40"/>
  <c r="E128" i="40" s="1"/>
  <c r="L72" i="40"/>
  <c r="L128" i="40" s="1"/>
  <c r="H72" i="40"/>
  <c r="H128" i="40" s="1"/>
  <c r="N72" i="40"/>
  <c r="N128" i="40" s="1"/>
  <c r="C128" i="40"/>
  <c r="J72" i="40"/>
  <c r="J128" i="40" s="1"/>
  <c r="K72" i="40"/>
  <c r="K128" i="40" s="1"/>
  <c r="M72" i="40"/>
  <c r="M128" i="40" s="1"/>
  <c r="H44" i="38"/>
  <c r="L44" i="38"/>
  <c r="H48" i="38"/>
  <c r="C23" i="38"/>
  <c r="P23" i="4"/>
  <c r="C23" i="4" s="1"/>
  <c r="G70" i="38"/>
  <c r="G73" i="38" s="1"/>
  <c r="G97" i="38" s="1"/>
  <c r="L34" i="38"/>
  <c r="H13" i="38"/>
  <c r="L13" i="38"/>
  <c r="L48" i="38"/>
  <c r="D48" i="38"/>
  <c r="Q70" i="38"/>
  <c r="Q73" i="38" s="1"/>
  <c r="Q97" i="38" s="1"/>
  <c r="P12" i="38"/>
  <c r="C12" i="38" s="1"/>
  <c r="P37" i="38"/>
  <c r="C37" i="38" s="1"/>
  <c r="P26" i="38"/>
  <c r="C26" i="38" s="1"/>
  <c r="P43" i="38"/>
  <c r="C43" i="38" s="1"/>
  <c r="P45" i="38"/>
  <c r="C45" i="38" s="1"/>
  <c r="P18" i="38"/>
  <c r="P27" i="38"/>
  <c r="C27" i="38" s="1"/>
  <c r="P38" i="38"/>
  <c r="C38" i="38" s="1"/>
  <c r="P49" i="38"/>
  <c r="C49" i="38" s="1"/>
  <c r="P42" i="38"/>
  <c r="C42" i="38" s="1"/>
  <c r="C19" i="38"/>
  <c r="P41" i="38"/>
  <c r="C41" i="38" s="1"/>
  <c r="P11" i="38"/>
  <c r="C11" i="38" s="1"/>
  <c r="P25" i="38"/>
  <c r="C25" i="38" s="1"/>
  <c r="P20" i="38"/>
  <c r="C20" i="38" s="1"/>
  <c r="P46" i="38"/>
  <c r="C46" i="38" s="1"/>
  <c r="S13" i="38"/>
  <c r="R34" i="38"/>
  <c r="P35" i="38"/>
  <c r="C35" i="38" s="1"/>
  <c r="P47" i="38"/>
  <c r="C47" i="38" s="1"/>
  <c r="P10" i="38"/>
  <c r="P51" i="38"/>
  <c r="C51" i="38" s="1"/>
  <c r="P55" i="38"/>
  <c r="C55" i="38" s="1"/>
  <c r="P29" i="38"/>
  <c r="C29" i="38" s="1"/>
  <c r="D13" i="38"/>
  <c r="P14" i="38"/>
  <c r="C14" i="38" s="1"/>
  <c r="P21" i="38"/>
  <c r="C21" i="38" s="1"/>
  <c r="J70" i="38"/>
  <c r="J73" i="38" s="1"/>
  <c r="J97" i="38" s="1"/>
  <c r="P28" i="38"/>
  <c r="C28" i="38" s="1"/>
  <c r="S48" i="38"/>
  <c r="P53" i="38"/>
  <c r="R44" i="38"/>
  <c r="D44" i="38"/>
  <c r="S44" i="38"/>
  <c r="N70" i="38"/>
  <c r="N73" i="38" s="1"/>
  <c r="N97" i="38" s="1"/>
  <c r="K70" i="38"/>
  <c r="K73" i="38" s="1"/>
  <c r="K97" i="38" s="1"/>
  <c r="R13" i="38"/>
  <c r="O70" i="38"/>
  <c r="O73" i="38" s="1"/>
  <c r="O97" i="38" s="1"/>
  <c r="P24" i="38"/>
  <c r="C24" i="38" s="1"/>
  <c r="H34" i="38"/>
  <c r="P36" i="38"/>
  <c r="C36" i="38" s="1"/>
  <c r="R48" i="38"/>
  <c r="F70" i="38"/>
  <c r="F73" i="38" s="1"/>
  <c r="F97" i="38" s="1"/>
  <c r="I15" i="38"/>
  <c r="S34" i="38"/>
  <c r="E70" i="38"/>
  <c r="M70" i="38"/>
  <c r="Q15" i="38"/>
  <c r="J15" i="38"/>
  <c r="P50" i="38"/>
  <c r="C50" i="38" s="1"/>
  <c r="P49" i="4"/>
  <c r="P61" i="4"/>
  <c r="C61" i="4" s="1"/>
  <c r="P11" i="4"/>
  <c r="P41" i="4"/>
  <c r="P64" i="4"/>
  <c r="C64" i="4" s="1"/>
  <c r="P65" i="4"/>
  <c r="C65" i="4" s="1"/>
  <c r="P29" i="4"/>
  <c r="P56" i="4"/>
  <c r="C56" i="4" s="1"/>
  <c r="P67" i="4"/>
  <c r="C67" i="4" s="1"/>
  <c r="M70" i="4"/>
  <c r="M73" i="4" s="1"/>
  <c r="N70" i="4"/>
  <c r="N73" i="4" s="1"/>
  <c r="O70" i="4"/>
  <c r="O73" i="4" s="1"/>
  <c r="J70" i="4"/>
  <c r="J73" i="4" s="1"/>
  <c r="F70" i="4"/>
  <c r="F73" i="4" s="1"/>
  <c r="Q70" i="4"/>
  <c r="Q73" i="4" s="1"/>
  <c r="I70" i="4"/>
  <c r="I73" i="4" s="1"/>
  <c r="G70" i="4"/>
  <c r="G73" i="4" s="1"/>
  <c r="F15" i="41" l="1"/>
  <c r="F73" i="41"/>
  <c r="E73" i="41"/>
  <c r="D13" i="41"/>
  <c r="C48" i="38"/>
  <c r="C34" i="38"/>
  <c r="G73" i="41"/>
  <c r="L15" i="38"/>
  <c r="H13" i="41"/>
  <c r="S15" i="38"/>
  <c r="S13" i="41"/>
  <c r="R15" i="38"/>
  <c r="R13" i="41"/>
  <c r="M15" i="41"/>
  <c r="M73" i="41" s="1"/>
  <c r="L13" i="41"/>
  <c r="P17" i="38"/>
  <c r="C18" i="38"/>
  <c r="C17" i="38" s="1"/>
  <c r="P52" i="38"/>
  <c r="P13" i="38"/>
  <c r="C53" i="38"/>
  <c r="C52" i="38" s="1"/>
  <c r="P21" i="4"/>
  <c r="P66" i="4"/>
  <c r="C66" i="4" s="1"/>
  <c r="P53" i="4"/>
  <c r="P35" i="4"/>
  <c r="P58" i="4"/>
  <c r="C58" i="4" s="1"/>
  <c r="P46" i="4"/>
  <c r="P62" i="4"/>
  <c r="C62" i="4" s="1"/>
  <c r="P60" i="4"/>
  <c r="C60" i="4" s="1"/>
  <c r="L70" i="38"/>
  <c r="D70" i="38"/>
  <c r="E73" i="38"/>
  <c r="P48" i="38"/>
  <c r="C10" i="38"/>
  <c r="C13" i="38" s="1"/>
  <c r="C44" i="38"/>
  <c r="S70" i="38"/>
  <c r="S73" i="38" s="1"/>
  <c r="S97" i="38" s="1"/>
  <c r="P44" i="38"/>
  <c r="P34" i="38"/>
  <c r="H73" i="38"/>
  <c r="H97" i="38" s="1"/>
  <c r="R70" i="38"/>
  <c r="R73" i="38" s="1"/>
  <c r="R97" i="38" s="1"/>
  <c r="H15" i="38"/>
  <c r="H70" i="38"/>
  <c r="M73" i="38"/>
  <c r="M97" i="38" s="1"/>
  <c r="P14" i="4"/>
  <c r="C14" i="4" s="1"/>
  <c r="H70" i="4"/>
  <c r="L70" i="4"/>
  <c r="D70" i="4"/>
  <c r="D73" i="4" s="1"/>
  <c r="D15" i="41" l="1"/>
  <c r="D73" i="41"/>
  <c r="D73" i="38"/>
  <c r="D97" i="38" s="1"/>
  <c r="E97" i="38"/>
  <c r="C70" i="38"/>
  <c r="C73" i="38" s="1"/>
  <c r="C97" i="38" s="1"/>
  <c r="H15" i="41"/>
  <c r="P15" i="38"/>
  <c r="C15" i="38" s="1"/>
  <c r="R15" i="41"/>
  <c r="R73" i="41" s="1"/>
  <c r="P13" i="41"/>
  <c r="C13" i="41" s="1"/>
  <c r="P73" i="38"/>
  <c r="P97" i="38" s="1"/>
  <c r="P70" i="38"/>
  <c r="L73" i="38"/>
  <c r="L97" i="38" s="1"/>
  <c r="S70" i="4"/>
  <c r="S73" i="4" s="1"/>
  <c r="R70" i="4"/>
  <c r="R73" i="4" s="1"/>
  <c r="H73" i="41" l="1"/>
  <c r="P15" i="41"/>
  <c r="P73" i="41" s="1"/>
  <c r="P70" i="4"/>
  <c r="N10" i="3" l="1"/>
  <c r="M96" i="3"/>
  <c r="L96" i="3"/>
  <c r="K96" i="3"/>
  <c r="J96" i="3"/>
  <c r="I96" i="3"/>
  <c r="N31" i="3"/>
  <c r="M31" i="3"/>
  <c r="L31" i="3"/>
  <c r="K31" i="3"/>
  <c r="J31" i="3"/>
  <c r="I31" i="3"/>
  <c r="I102" i="3" l="1"/>
  <c r="J102" i="3"/>
  <c r="K112" i="3" s="1"/>
  <c r="K102" i="3"/>
  <c r="K127" i="3" s="1"/>
  <c r="L102" i="3"/>
  <c r="L127" i="3" s="1"/>
  <c r="M102" i="3"/>
  <c r="M127" i="3" s="1"/>
  <c r="P81" i="4"/>
  <c r="L81" i="4"/>
  <c r="H81" i="4"/>
  <c r="C81" i="4" l="1"/>
  <c r="S15" i="41"/>
  <c r="Q15" i="4"/>
  <c r="R15" i="4"/>
  <c r="M15" i="4"/>
  <c r="N15" i="4"/>
  <c r="S15" i="4"/>
  <c r="O15" i="4"/>
  <c r="J127" i="3"/>
  <c r="I127" i="3"/>
  <c r="C127" i="3"/>
  <c r="H96" i="3"/>
  <c r="D72" i="3"/>
  <c r="H31" i="3"/>
  <c r="N27" i="3"/>
  <c r="N46" i="3" s="1"/>
  <c r="N72" i="3" s="1"/>
  <c r="M27" i="3"/>
  <c r="M46" i="3" s="1"/>
  <c r="M72" i="3" s="1"/>
  <c r="L27" i="3"/>
  <c r="L46" i="3" s="1"/>
  <c r="L72" i="3" s="1"/>
  <c r="K27" i="3"/>
  <c r="K46" i="3" s="1"/>
  <c r="K72" i="3" s="1"/>
  <c r="J27" i="3"/>
  <c r="J46" i="3" s="1"/>
  <c r="J72" i="3" s="1"/>
  <c r="I27" i="3"/>
  <c r="I46" i="3" s="1"/>
  <c r="I72" i="3" s="1"/>
  <c r="H27" i="3"/>
  <c r="F27" i="3"/>
  <c r="F46" i="3" s="1"/>
  <c r="F72" i="3" s="1"/>
  <c r="D95" i="4"/>
  <c r="C95" i="4" s="1"/>
  <c r="P93" i="4"/>
  <c r="L93" i="4"/>
  <c r="H93" i="4"/>
  <c r="D93" i="4"/>
  <c r="P83" i="4"/>
  <c r="L83" i="4"/>
  <c r="H83" i="4"/>
  <c r="P55" i="4"/>
  <c r="P52" i="4" s="1"/>
  <c r="L55" i="4"/>
  <c r="D55" i="4"/>
  <c r="L53" i="4"/>
  <c r="H53" i="4"/>
  <c r="H52" i="4" s="1"/>
  <c r="D53" i="4"/>
  <c r="P51" i="4"/>
  <c r="H51" i="4"/>
  <c r="D51" i="4"/>
  <c r="P50" i="4"/>
  <c r="L50" i="4"/>
  <c r="H50" i="4"/>
  <c r="D50" i="4"/>
  <c r="L49" i="4"/>
  <c r="H49" i="4"/>
  <c r="D49" i="4"/>
  <c r="P47" i="4"/>
  <c r="H47" i="4"/>
  <c r="D47" i="4"/>
  <c r="L46" i="4"/>
  <c r="H46" i="4"/>
  <c r="D46" i="4"/>
  <c r="P45" i="4"/>
  <c r="L45" i="4"/>
  <c r="H45" i="4"/>
  <c r="D45" i="4"/>
  <c r="P43" i="4"/>
  <c r="L43" i="4"/>
  <c r="H43" i="4"/>
  <c r="D43" i="4"/>
  <c r="P42" i="4"/>
  <c r="L42" i="4"/>
  <c r="H42" i="4"/>
  <c r="D42" i="4"/>
  <c r="L41" i="4"/>
  <c r="H41" i="4"/>
  <c r="D41" i="4"/>
  <c r="P38" i="4"/>
  <c r="L38" i="4"/>
  <c r="H38" i="4"/>
  <c r="D38" i="4"/>
  <c r="P37" i="4"/>
  <c r="L37" i="4"/>
  <c r="H37" i="4"/>
  <c r="P36" i="4"/>
  <c r="L36" i="4"/>
  <c r="H36" i="4"/>
  <c r="D36" i="4"/>
  <c r="L35" i="4"/>
  <c r="H35" i="4"/>
  <c r="D35" i="4"/>
  <c r="L29" i="4"/>
  <c r="H29" i="4"/>
  <c r="D29" i="4"/>
  <c r="P28" i="4"/>
  <c r="L28" i="4"/>
  <c r="H28" i="4"/>
  <c r="D28" i="4"/>
  <c r="P27" i="4"/>
  <c r="L27" i="4"/>
  <c r="H27" i="4"/>
  <c r="D27" i="4"/>
  <c r="P12" i="4"/>
  <c r="L12" i="4"/>
  <c r="L13" i="4" s="1"/>
  <c r="L73" i="4" s="1"/>
  <c r="H12" i="4"/>
  <c r="P26" i="4"/>
  <c r="L26" i="4"/>
  <c r="H26" i="4"/>
  <c r="D26" i="4"/>
  <c r="P25" i="4"/>
  <c r="L25" i="4"/>
  <c r="H25" i="4"/>
  <c r="D25" i="4"/>
  <c r="P24" i="4"/>
  <c r="L24" i="4"/>
  <c r="H24" i="4"/>
  <c r="D24" i="4"/>
  <c r="L21" i="4"/>
  <c r="H21" i="4"/>
  <c r="D21" i="4"/>
  <c r="P20" i="4"/>
  <c r="L20" i="4"/>
  <c r="H20" i="4"/>
  <c r="P19" i="4"/>
  <c r="L19" i="4"/>
  <c r="H19" i="4"/>
  <c r="D19" i="4"/>
  <c r="P18" i="4"/>
  <c r="L18" i="4"/>
  <c r="H18" i="4"/>
  <c r="H11" i="4"/>
  <c r="P10" i="4"/>
  <c r="H10" i="4"/>
  <c r="C36" i="4" l="1"/>
  <c r="C43" i="4"/>
  <c r="C83" i="4"/>
  <c r="C26" i="4"/>
  <c r="C37" i="4"/>
  <c r="C12" i="4"/>
  <c r="C11" i="4"/>
  <c r="C21" i="4"/>
  <c r="C28" i="4"/>
  <c r="C42" i="4"/>
  <c r="C29" i="4"/>
  <c r="C93" i="4"/>
  <c r="C24" i="4"/>
  <c r="C19" i="4"/>
  <c r="C38" i="4"/>
  <c r="C25" i="4"/>
  <c r="C27" i="4"/>
  <c r="L44" i="4"/>
  <c r="C10" i="4"/>
  <c r="C41" i="4"/>
  <c r="C45" i="4"/>
  <c r="S73" i="41"/>
  <c r="L48" i="4"/>
  <c r="L52" i="4"/>
  <c r="D52" i="4"/>
  <c r="H13" i="4"/>
  <c r="H73" i="4" s="1"/>
  <c r="D48" i="4"/>
  <c r="P13" i="4"/>
  <c r="P73" i="4" s="1"/>
  <c r="P44" i="4"/>
  <c r="D34" i="4"/>
  <c r="D44" i="4"/>
  <c r="P48" i="4"/>
  <c r="H48" i="4"/>
  <c r="H44" i="4"/>
  <c r="P34" i="4"/>
  <c r="L34" i="4"/>
  <c r="H34" i="4"/>
  <c r="I15" i="4"/>
  <c r="J15" i="4"/>
  <c r="K15" i="4"/>
  <c r="P15" i="4"/>
  <c r="G15" i="4"/>
  <c r="L15" i="4"/>
  <c r="E15" i="4"/>
  <c r="E46" i="3"/>
  <c r="E72" i="3" s="1"/>
  <c r="C47" i="4"/>
  <c r="F127" i="3"/>
  <c r="F128" i="3" s="1"/>
  <c r="H102" i="3"/>
  <c r="H127" i="3" s="1"/>
  <c r="H46" i="3"/>
  <c r="H72" i="3" s="1"/>
  <c r="E127" i="3"/>
  <c r="C55" i="4"/>
  <c r="D18" i="4"/>
  <c r="C18" i="4" s="1"/>
  <c r="C46" i="4"/>
  <c r="D20" i="4"/>
  <c r="C20" i="4" s="1"/>
  <c r="C50" i="4"/>
  <c r="C53" i="4"/>
  <c r="C51" i="4"/>
  <c r="C35" i="4"/>
  <c r="C49" i="4"/>
  <c r="C52" i="4" l="1"/>
  <c r="D15" i="4"/>
  <c r="C48" i="4"/>
  <c r="C34" i="4"/>
  <c r="C13" i="4"/>
  <c r="C44" i="4"/>
  <c r="D127" i="3"/>
  <c r="D128" i="3" s="1"/>
  <c r="E128" i="3"/>
  <c r="H15" i="4"/>
  <c r="C70" i="4" l="1"/>
  <c r="C73" i="4" s="1"/>
  <c r="C15" i="4"/>
  <c r="M77" i="42" l="1"/>
  <c r="M102" i="42" s="1"/>
  <c r="M127" i="42" s="1"/>
  <c r="M128" i="42" s="1"/>
  <c r="N128" i="42"/>
  <c r="L102" i="42" l="1"/>
  <c r="L127" i="42" s="1"/>
  <c r="L128" i="42" s="1"/>
  <c r="C34" i="41" l="1"/>
  <c r="C70" i="41" l="1"/>
  <c r="L10" i="41" l="1"/>
  <c r="C10" i="41" l="1"/>
  <c r="L15" i="41"/>
  <c r="C15" i="41" s="1"/>
  <c r="L34" i="41" l="1"/>
  <c r="L44" i="41" l="1"/>
  <c r="L48" i="41"/>
  <c r="L52" i="41" l="1"/>
  <c r="L70" i="41" s="1"/>
  <c r="L73" i="41" s="1"/>
  <c r="C73" i="41" l="1"/>
  <c r="B61" i="44" l="1"/>
  <c r="B62" i="44" s="1"/>
  <c r="C7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<sst xmlns="http://schemas.openxmlformats.org/spreadsheetml/2006/main" count="725" uniqueCount="312">
  <si>
    <t>INCOME STATEMENT (KSA SAR)</t>
  </si>
  <si>
    <t>YTD</t>
  </si>
  <si>
    <t>Q4</t>
  </si>
  <si>
    <t>MTD</t>
  </si>
  <si>
    <t>Q3</t>
  </si>
  <si>
    <t>Q2</t>
  </si>
  <si>
    <t>Q1</t>
  </si>
  <si>
    <t>FOR THE PERIOD 31st December 2024</t>
  </si>
  <si>
    <t>2024</t>
  </si>
  <si>
    <t>Sales</t>
  </si>
  <si>
    <t>Cost of Goods Sold</t>
  </si>
  <si>
    <t>Purchase Discounts</t>
  </si>
  <si>
    <t>Gross Profit / (Loss)</t>
  </si>
  <si>
    <t>Consultation Income</t>
  </si>
  <si>
    <t>Gross Income</t>
  </si>
  <si>
    <t>General and Administrative Expenses</t>
  </si>
  <si>
    <t>Bad Debt</t>
  </si>
  <si>
    <t>Bank Fees and Charges</t>
  </si>
  <si>
    <t>Office Supplies</t>
  </si>
  <si>
    <t>Office Utilities - Electricity/Water/Janitorial</t>
  </si>
  <si>
    <t>Office Expenses</t>
  </si>
  <si>
    <t>Travel Expense</t>
  </si>
  <si>
    <t>Printing and Stationery</t>
  </si>
  <si>
    <t>Rent Expense (G&amp;A)</t>
  </si>
  <si>
    <t>Meals and Entertainment</t>
  </si>
  <si>
    <t>Audit &amp; Consultancy expense</t>
  </si>
  <si>
    <t>Communication Exp - Mobile &amp; Internet</t>
  </si>
  <si>
    <t>Subscriptions &amp; Memberships</t>
  </si>
  <si>
    <t>Penny Difference</t>
  </si>
  <si>
    <t>Low Value Assets</t>
  </si>
  <si>
    <t>Selling Expenses</t>
  </si>
  <si>
    <t>Business travel expenses</t>
  </si>
  <si>
    <t>Collection Commission</t>
  </si>
  <si>
    <t>Dinar commission</t>
  </si>
  <si>
    <t>New customer commission</t>
  </si>
  <si>
    <t>Cash Purchase - Backend Margin</t>
  </si>
  <si>
    <t>Cash Sale Commission</t>
  </si>
  <si>
    <t>Fuel/Mileage Expenses</t>
  </si>
  <si>
    <t>Marketing &amp; Advertising</t>
  </si>
  <si>
    <t>Trade Credit Insurance</t>
  </si>
  <si>
    <t>Legal &amp; Consultation Expenses</t>
  </si>
  <si>
    <t>Consultant Expense</t>
  </si>
  <si>
    <t>Government &amp; Compliance Expense</t>
  </si>
  <si>
    <t>Legal</t>
  </si>
  <si>
    <t>Depreciation Expenses</t>
  </si>
  <si>
    <t>Depreciation - Furniture &amp; Fixture</t>
  </si>
  <si>
    <t>Depreciation - Motor Vehicle</t>
  </si>
  <si>
    <t>Depreciation - Office Equipment's</t>
  </si>
  <si>
    <t>Personnel Expenses</t>
  </si>
  <si>
    <t>Employee Insurance</t>
  </si>
  <si>
    <t>Leave Pay Expense</t>
  </si>
  <si>
    <t>Employee Referral Allowance</t>
  </si>
  <si>
    <t>Maintenance Allowance</t>
  </si>
  <si>
    <t>Employee Related Govt Fees</t>
  </si>
  <si>
    <t>Telecome Allowance</t>
  </si>
  <si>
    <t>US Employer Taxes</t>
  </si>
  <si>
    <t>GOSI</t>
  </si>
  <si>
    <t>HUMAN RESOUACES DEVELOPMENT FUND</t>
  </si>
  <si>
    <t>Recruitments &amp; Visas</t>
  </si>
  <si>
    <t>Bonus</t>
  </si>
  <si>
    <t>Salaries - Basic</t>
  </si>
  <si>
    <t>Salaries - Housing</t>
  </si>
  <si>
    <t>Salaries - Others</t>
  </si>
  <si>
    <t>Salaries - Transportation</t>
  </si>
  <si>
    <t>End Of Service Benefits</t>
  </si>
  <si>
    <t>Staff Education/Growth Allowance</t>
  </si>
  <si>
    <t>Operating expenses</t>
  </si>
  <si>
    <t>Net operating profit / (loss)</t>
  </si>
  <si>
    <t>Charity</t>
  </si>
  <si>
    <t>Exchange Gain or Loss</t>
  </si>
  <si>
    <t>Witholding Tax</t>
  </si>
  <si>
    <t>Investor's Profit sharing (Unrealized)</t>
  </si>
  <si>
    <t>Short term financing expense (Al-Raeda)</t>
  </si>
  <si>
    <t>Financing expense (Arbah)</t>
  </si>
  <si>
    <t>Financing expense (STV)</t>
  </si>
  <si>
    <t>Financing Processing Fee Expense</t>
  </si>
  <si>
    <t>Fundraising Expense</t>
  </si>
  <si>
    <t>Non-operating Income/(Expenses)</t>
  </si>
  <si>
    <t>Zakat / Income Tax</t>
  </si>
  <si>
    <t>Net income / (loss)</t>
  </si>
  <si>
    <t>STATEMENT OF FINANCIAL POSITION (KSA SAR)</t>
  </si>
  <si>
    <t xml:space="preserve"> AS OF 31st December 2024</t>
  </si>
  <si>
    <t>ASSETS</t>
  </si>
  <si>
    <t>Cash and Bank Balances</t>
  </si>
  <si>
    <t>ALINMA BILDNW FEE</t>
  </si>
  <si>
    <t>ALINMA BILDNW PROFIT</t>
  </si>
  <si>
    <t>ALINMA CLIENT PROFIT  </t>
  </si>
  <si>
    <t>ALINMA DINAR DEALs PROFIT</t>
  </si>
  <si>
    <t>ALINMA DINAR DEALs VAT</t>
  </si>
  <si>
    <t>ALINMA EQUITY</t>
  </si>
  <si>
    <t>ALINMA USD</t>
  </si>
  <si>
    <t>ALINMA VAT</t>
  </si>
  <si>
    <t>ALINMA-DEBT</t>
  </si>
  <si>
    <t>ANB-BILDNW TRADINGCOMPANY</t>
  </si>
  <si>
    <t>Riyadh Bank</t>
  </si>
  <si>
    <t>US Checking Account</t>
  </si>
  <si>
    <t>anb - Tanmeya Debt Acct</t>
  </si>
  <si>
    <t>Simplifi</t>
  </si>
  <si>
    <t>Petty Cash</t>
  </si>
  <si>
    <t>Trade Receivables (net)</t>
  </si>
  <si>
    <t>Trade Receivables - Gross</t>
  </si>
  <si>
    <t>Prepaid Expenses &amp; Other recievables</t>
  </si>
  <si>
    <t>Prepaid Vendors</t>
  </si>
  <si>
    <t>Prepaid Accommodation Rent Expense</t>
  </si>
  <si>
    <t>Prepaid Financing Expense</t>
  </si>
  <si>
    <t>Prepaid Govt. Legal Expense</t>
  </si>
  <si>
    <t>Prepaid IT Subscriptions Expense</t>
  </si>
  <si>
    <t>Prepaid Office Rent Expense</t>
  </si>
  <si>
    <t>Prepaid Other Expense</t>
  </si>
  <si>
    <t>Employee Receivable</t>
  </si>
  <si>
    <t>Security deposits</t>
  </si>
  <si>
    <t>Other Receivables</t>
  </si>
  <si>
    <t>Input VAT</t>
  </si>
  <si>
    <t>Profit Reserve Account (Deposit)</t>
  </si>
  <si>
    <t>TOTAL CURRENT ASSETS</t>
  </si>
  <si>
    <t>Fixed Assets (net)</t>
  </si>
  <si>
    <t>Accumulated Depreciation -  Furniture &amp; Fixture</t>
  </si>
  <si>
    <t>Accumulated Depreciation - Motor Vehicle</t>
  </si>
  <si>
    <t>Accumulated Depreciation - Office Equipment's</t>
  </si>
  <si>
    <t>Fixed Asset not yet in use</t>
  </si>
  <si>
    <t>Furniture &amp; Fixture</t>
  </si>
  <si>
    <t>Motor Vehicle</t>
  </si>
  <si>
    <t>Office Equipment</t>
  </si>
  <si>
    <t>Capital Work in Progress</t>
  </si>
  <si>
    <t>Intercompany</t>
  </si>
  <si>
    <t>TOTAL NON CURRENT ASSETS</t>
  </si>
  <si>
    <t>TOTAL ASSETS</t>
  </si>
  <si>
    <t>LIABILITIES &amp; OWNER'S EQUITY</t>
  </si>
  <si>
    <t>Other Payables and Accruals</t>
  </si>
  <si>
    <t>Zakat Provision</t>
  </si>
  <si>
    <t>Misc. Payables</t>
  </si>
  <si>
    <t>Other Payables</t>
  </si>
  <si>
    <t>Unearned Revenue</t>
  </si>
  <si>
    <t>Employee Payable</t>
  </si>
  <si>
    <t>Accounts Payable</t>
  </si>
  <si>
    <t>Accrued Expenses</t>
  </si>
  <si>
    <t>VAT Payable (GAZT)</t>
  </si>
  <si>
    <t>Accrued Investor Profit</t>
  </si>
  <si>
    <t>Accrued Investor Profit (Unrealized)</t>
  </si>
  <si>
    <t>Leave Pay Payable</t>
  </si>
  <si>
    <t>Salary Control Account</t>
  </si>
  <si>
    <t>Consultancy Fee Payable</t>
  </si>
  <si>
    <t>Output VAT</t>
  </si>
  <si>
    <t>GOSI Payable</t>
  </si>
  <si>
    <t>Dividend Payable (Investor)</t>
  </si>
  <si>
    <t>Provision for Doubtful Debts</t>
  </si>
  <si>
    <t>Debt Settlement Payable</t>
  </si>
  <si>
    <t>Short term Financing</t>
  </si>
  <si>
    <t>Interest payable (Al-Raeda)</t>
  </si>
  <si>
    <t>Short-term Financing (Al Raedah)</t>
  </si>
  <si>
    <t>Arbah Murabaha Facility</t>
  </si>
  <si>
    <t>TOTAL CURRENT LIABILITIES</t>
  </si>
  <si>
    <t xml:space="preserve"> </t>
  </si>
  <si>
    <t>External Debt Investor</t>
  </si>
  <si>
    <t>End of Service Indemnity</t>
  </si>
  <si>
    <t>TOTAL LONG-TERM LIABILITIES</t>
  </si>
  <si>
    <t>Equity Financing</t>
  </si>
  <si>
    <t>Contribution from Owners</t>
  </si>
  <si>
    <t>Statutory Reserve</t>
  </si>
  <si>
    <t>Profit &amp; Loss for the period</t>
  </si>
  <si>
    <t>Retained Earnings/(Accumulated Losses)</t>
  </si>
  <si>
    <t>TOTAL OWNER'S EQUITY</t>
  </si>
  <si>
    <t>TOTAL LIABILITIES &amp; EQUITY</t>
  </si>
  <si>
    <t>INCOME STATEMENT (US SAR)</t>
  </si>
  <si>
    <t>Office Equipment Expensed under Sect 1.263(a)-1(f)</t>
  </si>
  <si>
    <t>STATEMENT OF FINANCIAL POSITION (US SAR)</t>
  </si>
  <si>
    <t xml:space="preserve"> As of 31st December 2024</t>
  </si>
  <si>
    <t xml:space="preserve"> ALINMA BILDNW FEE</t>
  </si>
  <si>
    <t xml:space="preserve"> ALINMA BILDNW PROFIT</t>
  </si>
  <si>
    <t xml:space="preserve"> ALINMA CLIENT PROFIT  </t>
  </si>
  <si>
    <t>Riyad Bank</t>
  </si>
  <si>
    <t>ANB Tanmeya Debt A/C</t>
  </si>
  <si>
    <t>Other Receivable</t>
  </si>
  <si>
    <t xml:space="preserve"> Input VAT</t>
  </si>
  <si>
    <t>Profit Reserve Account (Depsoit)</t>
  </si>
  <si>
    <t>Fixed Assets not in use</t>
  </si>
  <si>
    <t>Q4 - A</t>
  </si>
  <si>
    <t>Q3 - A</t>
  </si>
  <si>
    <t>Q2 - A</t>
  </si>
  <si>
    <t>Q1 A</t>
  </si>
  <si>
    <t>Telecom Allowance</t>
  </si>
  <si>
    <t xml:space="preserve"> AS OF 31st Dec 2024</t>
  </si>
  <si>
    <t>ANB - Tanmeya Debt A/C</t>
  </si>
  <si>
    <t>Fixed Assets not in Use</t>
  </si>
  <si>
    <t xml:space="preserve">Account </t>
  </si>
  <si>
    <t xml:space="preserve">Total </t>
  </si>
  <si>
    <t>Beginning Cash Balance</t>
  </si>
  <si>
    <t>Cash Flow from Operating Activities</t>
  </si>
  <si>
    <t/>
  </si>
  <si>
    <t>Accounts Receivable</t>
  </si>
  <si>
    <t>Salaries &amp; Wages Payables</t>
  </si>
  <si>
    <t>Employee Advance</t>
  </si>
  <si>
    <t>End of Service Benefits Payable</t>
  </si>
  <si>
    <t>GCC VAT Payable</t>
  </si>
  <si>
    <t>Net Income</t>
  </si>
  <si>
    <t>Net cash provided by Operating Activities</t>
  </si>
  <si>
    <t>Cash Flow from Investing Activities</t>
  </si>
  <si>
    <t>Net cash provided by Investing Activities</t>
  </si>
  <si>
    <t>Cash Flow from Financing Activities</t>
  </si>
  <si>
    <t>STV Debt</t>
  </si>
  <si>
    <t>Related Party (Loan) US</t>
  </si>
  <si>
    <t>Profit Payable (STV)</t>
  </si>
  <si>
    <t>Net cash provided by Financing Activities</t>
  </si>
  <si>
    <t>Net Change in cash</t>
  </si>
  <si>
    <t>Ending Cash Balance</t>
  </si>
  <si>
    <t>Sl. No.</t>
  </si>
  <si>
    <t>Customer</t>
  </si>
  <si>
    <t>Current</t>
  </si>
  <si>
    <t>1-30 Days</t>
  </si>
  <si>
    <t>31-60 Days</t>
  </si>
  <si>
    <t>61-90 Days</t>
  </si>
  <si>
    <t>91-180 Days</t>
  </si>
  <si>
    <t>Above 180 Days</t>
  </si>
  <si>
    <t>Total AR</t>
  </si>
  <si>
    <t>Abraj Al Madaen Contracting Company</t>
  </si>
  <si>
    <t>Al Mosleh Corner For Cont.</t>
  </si>
  <si>
    <t>Bait Al Jazira Trading &amp; Contracting</t>
  </si>
  <si>
    <t>Clean Technologies Contracting Co.</t>
  </si>
  <si>
    <t>Dur Arabia Company Limited</t>
  </si>
  <si>
    <t>Factory Ercon Middle East Industries Saudi Co</t>
  </si>
  <si>
    <t>Inshaat Al Awtan General Contracting Co</t>
  </si>
  <si>
    <t>Jawahr Al-Hadid Est.</t>
  </si>
  <si>
    <t>Leader Wolf General Contracting</t>
  </si>
  <si>
    <t>Modern Housing Contracting Company</t>
  </si>
  <si>
    <t>Monaqsat Al Khaleej For Communication &amp; Information Technology</t>
  </si>
  <si>
    <t>Nipras Steel Factory</t>
  </si>
  <si>
    <t>Rahat's Test Account</t>
  </si>
  <si>
    <t>Rawnaq Al Emar Contracting Company</t>
  </si>
  <si>
    <t>Rkaez Al Modn Al Motakdma Contracting Co</t>
  </si>
  <si>
    <t>RLCO - Renewable Lighting Factory for Industry</t>
  </si>
  <si>
    <t>Road Services Contracting Company</t>
  </si>
  <si>
    <t>RS Infratech Saudi Ltd.</t>
  </si>
  <si>
    <t>Samatel Trading and Genaral Contracting Co.</t>
  </si>
  <si>
    <t>Saudi Merqab Trading Co.</t>
  </si>
  <si>
    <t>Shaden Contracting Co.</t>
  </si>
  <si>
    <t>Tabrak Najd Contracting Company</t>
  </si>
  <si>
    <t>Taif Al-Mimar Contracting Est</t>
  </si>
  <si>
    <t>شركة أوتاد الفهد المحدودة</t>
  </si>
  <si>
    <t>شركة ارجورا العالمية التجارية</t>
  </si>
  <si>
    <t>شركة اس كي العربية المحدودة</t>
  </si>
  <si>
    <t>شركة اصالة الخليج للتطوير والاستثمار العقاري</t>
  </si>
  <si>
    <t>شركة اعتماد التكييف للمقاولات شركة شخص واحد</t>
  </si>
  <si>
    <t>شركة الابتهاج للمقاولات شركة شخص واحد</t>
  </si>
  <si>
    <t>شركة الاعمال الفائقة الصناعية شركة شخص واحد</t>
  </si>
  <si>
    <t>شركة البناء الأهلي للمقاولات العامة شركة شخص واحد</t>
  </si>
  <si>
    <t>شركة البنايات المطورة العصرية للمقاولات</t>
  </si>
  <si>
    <t>شركة التخصص السعودي للمقاولات العامة</t>
  </si>
  <si>
    <t>شركة الجسور المعدنية للتجارة</t>
  </si>
  <si>
    <t>شركة الراية الخليجية للصناعة شركة شخص واحد</t>
  </si>
  <si>
    <t>شركة الكفاح العالمية للمقاولات</t>
  </si>
  <si>
    <t>شركة المعمار العربي للمقاولات شركة شخص واحد</t>
  </si>
  <si>
    <t>شركة اوزود المحدودة شركة شخص واحد</t>
  </si>
  <si>
    <t>شركة باس للحديد</t>
  </si>
  <si>
    <t>شركة بدائل للجدران</t>
  </si>
  <si>
    <t>شركة بناء البلد للتجارة</t>
  </si>
  <si>
    <t>شركة ركن التباريج</t>
  </si>
  <si>
    <t>شركة روابي احد للمقاولات العامة</t>
  </si>
  <si>
    <t>شركة روابي الحديد التجارية</t>
  </si>
  <si>
    <t>شركة سافانا الدولية للأنشاءات المحدودة</t>
  </si>
  <si>
    <t>شركة سعودي بناء للمقاولات العامة شركة شخص واحد</t>
  </si>
  <si>
    <t>شركة شبكة الشام للمقاولات</t>
  </si>
  <si>
    <t>شركة شهامة الخليج للتجارة</t>
  </si>
  <si>
    <t>شركة عمق التشييد للمقاولات</t>
  </si>
  <si>
    <t>شركة لؤلؤة التطوير للمقاولات شركة شخص واحد</t>
  </si>
  <si>
    <t>شركة مسار الرواد لتجارة الجملة و التجزئة شركة شخص واحد</t>
  </si>
  <si>
    <t>شركة مصنع تكنولوجيا الظل المحدودة</t>
  </si>
  <si>
    <t>شركة ملاءة للمقاولات</t>
  </si>
  <si>
    <t>شركة مواني المها للتجارة ذات مسؤلية محدودة</t>
  </si>
  <si>
    <t>شركة موج بحيرة الركن للمقاولات شركة شخص واحد</t>
  </si>
  <si>
    <t>شركة هدف الاعمار التجارية</t>
  </si>
  <si>
    <t>شركة وجهات العربية للمقاولات شركة شخص واحد</t>
  </si>
  <si>
    <t>فرع شركة اوفرسيزر كونستركشن كومباني برايفت ليمتد</t>
  </si>
  <si>
    <t>Receivable Grade</t>
  </si>
  <si>
    <t>Amount (Mil)</t>
  </si>
  <si>
    <t>% of Total</t>
  </si>
  <si>
    <t xml:space="preserve">Current </t>
  </si>
  <si>
    <t>Total</t>
  </si>
  <si>
    <t>Dinar &amp; Cash Sales Projections</t>
  </si>
  <si>
    <t>Scenario</t>
  </si>
  <si>
    <t>Dinar &amp; Cash Sales</t>
  </si>
  <si>
    <t>Best</t>
  </si>
  <si>
    <t>Dinar deals</t>
  </si>
  <si>
    <t>Cash deals</t>
  </si>
  <si>
    <t>Worst</t>
  </si>
  <si>
    <t>Base</t>
  </si>
  <si>
    <t>Cash Profit Rate</t>
  </si>
  <si>
    <t>Dinar Commission Rate</t>
  </si>
  <si>
    <t>Dinar &amp; Cash Sales Commission Projections</t>
  </si>
  <si>
    <t>Dinar Commission</t>
  </si>
  <si>
    <t>Cash Commission</t>
  </si>
  <si>
    <t>Revenue</t>
  </si>
  <si>
    <t>COGS</t>
  </si>
  <si>
    <t>Debt</t>
  </si>
  <si>
    <t>Equity</t>
  </si>
  <si>
    <t>Financing expense (Al-Raeda)</t>
  </si>
  <si>
    <t>Gain Or Loss on Disposal</t>
  </si>
  <si>
    <t>Buildnow Inc. (US)</t>
  </si>
  <si>
    <t>Buildnow Tech BD</t>
  </si>
  <si>
    <t>Buildnow Trading Co (KSA)</t>
  </si>
  <si>
    <t>MISA KSA</t>
  </si>
  <si>
    <t>Intercompany Receivable</t>
  </si>
  <si>
    <t>Fund Raising Expense receivable</t>
  </si>
  <si>
    <t xml:space="preserve">Intercompany </t>
  </si>
  <si>
    <t>Buildnow BD Technology Subsidiary</t>
  </si>
  <si>
    <t>Investment in Subsidiaries</t>
  </si>
  <si>
    <t>Related parties Loan KSA</t>
  </si>
  <si>
    <t>Provision for Leave Pay</t>
  </si>
  <si>
    <t>Employee Reimbursements</t>
  </si>
  <si>
    <t>شركة ربوع الاتحاد للمقاولات</t>
  </si>
  <si>
    <t>Provision for doubtful Accounts</t>
  </si>
  <si>
    <t xml:space="preserve"> Related parties</t>
  </si>
  <si>
    <t xml:space="preserve"> Related parties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</si>
</sst>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0_)"/>
    <numFmt numFmtId="167" formatCode="#,##0.00_);\(#,##0.00\);&quot;-  &quot;"/>
    <numFmt numFmtId="168" formatCode="[$-409]d\-mmm\-yy;@"/>
    <numFmt numFmtId="169" formatCode="_(* #,##0_);_(* \(#,##0\);_(* &quot;-&quot;??_);_(@_)"/>
    <numFmt numFmtId="170" formatCode="0.0%"/>
    <numFmt numFmtId="171" formatCode="_(* #,##0.0000_);_(* \(#,##0.0000\);_(* &quot;-&quot;??_);_(@_)"/>
    <numFmt numFmtId="172" formatCode="[$SAR]\ #,##0.00"/>
    <numFmt numFmtId="173" formatCode="_(* #,##0.0_);_(* \(#,##0.0\);_(* &quot;-&quot;??_);_(@_)"/>
    <numFmt numFmtId="174" formatCode="_-* #,##0.000_-;\-* #,##0.000_-;_-* &quot;-&quot;??_-;_-@_-"/>
    <numFmt numFmtId="175" formatCode="mmm\ yyyy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2"/>
      <color theme="8" tint="-0.249977111117893"/>
      <name val="Arial"/>
      <family val="2"/>
    </font>
    <font>
      <b/>
      <sz val="12"/>
      <name val="Arial"/>
      <family val="2"/>
    </font>
    <font>
      <sz val="12"/>
      <name val="Cambria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2"/>
      <color indexed="9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186"/>
    </font>
    <font>
      <sz val="12"/>
      <color theme="1"/>
      <name val="Calibri"/>
      <family val="2"/>
      <scheme val="minor"/>
    </font>
    <font>
      <u/>
      <sz val="10"/>
      <color indexed="12"/>
      <name val="Times New Roman"/>
      <family val="1"/>
      <charset val="204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 Light"/>
      <family val="2"/>
      <scheme val="major"/>
    </font>
    <font>
      <b/>
      <sz val="11"/>
      <name val="Calibri"/>
      <family val="2"/>
      <scheme val="minor"/>
    </font>
    <font>
      <b/>
      <i/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u/>
      <sz val="11"/>
      <color theme="3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1"/>
      <name val="Lato"/>
      <family val="2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2"/>
      <name val="Aptos"/>
      <family val="2"/>
    </font>
    <font>
      <b/>
      <sz val="12"/>
      <color theme="8" tint="-0.249977111117893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i/>
      <sz val="11"/>
      <color theme="1"/>
      <name val="Aptos"/>
      <family val="2"/>
    </font>
    <font>
      <sz val="10"/>
      <name val="Aptos"/>
      <family val="2"/>
    </font>
    <font>
      <sz val="12"/>
      <color indexed="9"/>
      <name val="Aptos"/>
      <family val="2"/>
    </font>
    <font>
      <sz val="12"/>
      <color rgb="FFFF0000"/>
      <name val="Aptos"/>
      <family val="2"/>
    </font>
    <font>
      <sz val="11"/>
      <color theme="0"/>
      <name val="Calibri"/>
      <family val="2"/>
      <scheme val="minor"/>
    </font>
    <font>
      <i/>
      <sz val="11"/>
      <color theme="0"/>
      <name val="Arial"/>
      <family val="2"/>
    </font>
    <font>
      <sz val="12"/>
      <color theme="0"/>
      <name val="Arial"/>
      <family val="2"/>
    </font>
    <font>
      <sz val="11"/>
      <color rgb="FF388600"/>
      <name val="Aptos"/>
      <family val="2"/>
    </font>
    <font>
      <sz val="11"/>
      <color rgb="FFFF0000"/>
      <name val="Aptos"/>
      <family val="2"/>
    </font>
    <font>
      <i/>
      <sz val="11"/>
      <color rgb="FFFF0000"/>
      <name val="Aptos"/>
      <family val="2"/>
    </font>
    <font>
      <sz val="10"/>
      <color rgb="FFFF0000"/>
      <name val="Aptos"/>
      <family val="2"/>
    </font>
    <font>
      <i/>
      <sz val="11"/>
      <color rgb="FF388600"/>
      <name val="Aptos"/>
      <family val="2"/>
    </font>
    <font>
      <sz val="10"/>
      <color rgb="FF3886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A0C"/>
        <bgColor indexed="64"/>
      </patternFill>
    </fill>
    <fill>
      <patternFill patternType="solid">
        <fgColor rgb="FFFFCC99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7" fillId="0" borderId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4" borderId="10" applyNumberFormat="0" applyAlignment="0" applyProtection="0"/>
    <xf numFmtId="0" fontId="39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0" applyFont="1"/>
    <xf numFmtId="164" fontId="0" fillId="0" borderId="0" xfId="0" applyNumberFormat="1"/>
    <xf numFmtId="0" fontId="4" fillId="0" borderId="0" xfId="2" applyFont="1" applyAlignment="1" applyProtection="1">
      <alignment vertical="center"/>
      <protection hidden="1"/>
    </xf>
    <xf numFmtId="164" fontId="5" fillId="0" borderId="1" xfId="3" applyFont="1" applyFill="1" applyBorder="1" applyAlignment="1" applyProtection="1">
      <alignment horizontal="left"/>
      <protection hidden="1"/>
    </xf>
    <xf numFmtId="165" fontId="6" fillId="0" borderId="0" xfId="2" applyNumberFormat="1" applyFont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center"/>
      <protection hidden="1"/>
    </xf>
    <xf numFmtId="0" fontId="9" fillId="0" borderId="0" xfId="0" applyFont="1"/>
    <xf numFmtId="165" fontId="8" fillId="0" borderId="0" xfId="2" applyNumberFormat="1" applyFont="1" applyAlignment="1" applyProtection="1">
      <alignment horizontal="center" vertical="center"/>
      <protection hidden="1"/>
    </xf>
    <xf numFmtId="164" fontId="6" fillId="0" borderId="0" xfId="3" applyFont="1" applyFill="1" applyBorder="1" applyAlignment="1" applyProtection="1">
      <alignment horizontal="left"/>
      <protection hidden="1"/>
    </xf>
    <xf numFmtId="17" fontId="6" fillId="0" borderId="0" xfId="2" applyNumberFormat="1" applyFont="1" applyAlignment="1" applyProtection="1">
      <alignment horizontal="center" vertical="center"/>
      <protection hidden="1"/>
    </xf>
    <xf numFmtId="166" fontId="10" fillId="0" borderId="0" xfId="2" applyNumberFormat="1" applyFont="1" applyAlignment="1" applyProtection="1">
      <alignment vertical="center"/>
      <protection hidden="1"/>
    </xf>
    <xf numFmtId="164" fontId="9" fillId="0" borderId="0" xfId="1" applyFont="1" applyFill="1" applyBorder="1" applyAlignment="1" applyProtection="1">
      <alignment horizontal="left" vertical="center"/>
      <protection locked="0"/>
    </xf>
    <xf numFmtId="166" fontId="10" fillId="0" borderId="5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vertical="center"/>
      <protection hidden="1"/>
    </xf>
    <xf numFmtId="166" fontId="10" fillId="0" borderId="1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horizontal="left" vertical="center" indent="1"/>
      <protection hidden="1"/>
    </xf>
    <xf numFmtId="164" fontId="0" fillId="0" borderId="0" xfId="1" applyFont="1" applyBorder="1"/>
    <xf numFmtId="43" fontId="0" fillId="0" borderId="0" xfId="0" applyNumberFormat="1"/>
    <xf numFmtId="166" fontId="8" fillId="0" borderId="5" xfId="2" applyNumberFormat="1" applyFont="1" applyBorder="1" applyAlignment="1" applyProtection="1">
      <alignment vertical="center"/>
      <protection hidden="1"/>
    </xf>
    <xf numFmtId="0" fontId="12" fillId="0" borderId="0" xfId="2" applyFont="1" applyAlignment="1" applyProtection="1">
      <alignment vertical="center"/>
      <protection hidden="1"/>
    </xf>
    <xf numFmtId="167" fontId="13" fillId="0" borderId="0" xfId="2" applyNumberFormat="1" applyFont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center"/>
      <protection locked="0"/>
    </xf>
    <xf numFmtId="164" fontId="5" fillId="0" borderId="0" xfId="3" applyFont="1" applyFill="1" applyBorder="1" applyAlignment="1" applyProtection="1">
      <alignment horizontal="left"/>
      <protection hidden="1"/>
    </xf>
    <xf numFmtId="164" fontId="15" fillId="0" borderId="6" xfId="3" applyFont="1" applyFill="1" applyBorder="1" applyAlignment="1" applyProtection="1">
      <alignment horizontal="left"/>
      <protection hidden="1"/>
    </xf>
    <xf numFmtId="17" fontId="6" fillId="0" borderId="6" xfId="2" applyNumberFormat="1" applyFont="1" applyBorder="1" applyAlignment="1" applyProtection="1">
      <alignment horizontal="center" vertical="center"/>
      <protection hidden="1"/>
    </xf>
    <xf numFmtId="2" fontId="6" fillId="0" borderId="0" xfId="2" applyNumberFormat="1" applyFont="1" applyAlignment="1" applyProtection="1">
      <alignment horizontal="left" vertical="center"/>
      <protection hidden="1"/>
    </xf>
    <xf numFmtId="17" fontId="6" fillId="0" borderId="0" xfId="2" applyNumberFormat="1" applyFont="1" applyAlignment="1" applyProtection="1">
      <alignment horizontal="left" vertical="center"/>
      <protection hidden="1"/>
    </xf>
    <xf numFmtId="166" fontId="14" fillId="0" borderId="0" xfId="2" applyNumberFormat="1" applyFont="1" applyAlignment="1" applyProtection="1">
      <alignment vertical="center"/>
      <protection hidden="1"/>
    </xf>
    <xf numFmtId="9" fontId="2" fillId="0" borderId="0" xfId="4" applyFont="1"/>
    <xf numFmtId="0" fontId="0" fillId="0" borderId="0" xfId="0" applyAlignment="1">
      <alignment horizontal="left"/>
    </xf>
    <xf numFmtId="164" fontId="6" fillId="0" borderId="6" xfId="3" applyFont="1" applyFill="1" applyBorder="1" applyAlignment="1" applyProtection="1">
      <alignment horizontal="left"/>
      <protection hidden="1"/>
    </xf>
    <xf numFmtId="164" fontId="15" fillId="0" borderId="0" xfId="3" applyFont="1" applyFill="1" applyBorder="1" applyAlignment="1" applyProtection="1">
      <alignment horizontal="left"/>
      <protection hidden="1"/>
    </xf>
    <xf numFmtId="164" fontId="14" fillId="0" borderId="0" xfId="1" applyFont="1" applyAlignment="1" applyProtection="1">
      <alignment vertical="center"/>
      <protection hidden="1"/>
    </xf>
    <xf numFmtId="9" fontId="3" fillId="0" borderId="0" xfId="5" applyFont="1" applyAlignment="1" applyProtection="1">
      <alignment vertical="center"/>
      <protection hidden="1"/>
    </xf>
    <xf numFmtId="164" fontId="0" fillId="0" borderId="0" xfId="1" applyFont="1"/>
    <xf numFmtId="168" fontId="8" fillId="0" borderId="0" xfId="3" applyNumberFormat="1" applyFont="1" applyFill="1" applyBorder="1" applyAlignment="1" applyProtection="1">
      <alignment horizontal="center" vertical="center"/>
      <protection hidden="1"/>
    </xf>
    <xf numFmtId="164" fontId="14" fillId="0" borderId="0" xfId="1" applyFont="1" applyFill="1" applyBorder="1" applyAlignment="1" applyProtection="1">
      <alignment vertical="center"/>
      <protection hidden="1"/>
    </xf>
    <xf numFmtId="165" fontId="8" fillId="0" borderId="0" xfId="2" quotePrefix="1" applyNumberFormat="1" applyFont="1" applyAlignment="1" applyProtection="1">
      <alignment horizontal="center" vertical="center"/>
      <protection hidden="1"/>
    </xf>
    <xf numFmtId="164" fontId="0" fillId="0" borderId="0" xfId="1" applyFont="1" applyAlignment="1">
      <alignment horizontal="left"/>
    </xf>
    <xf numFmtId="164" fontId="6" fillId="0" borderId="0" xfId="1" applyFont="1" applyAlignment="1" applyProtection="1">
      <alignment horizontal="center" vertical="center"/>
      <protection hidden="1"/>
    </xf>
    <xf numFmtId="43" fontId="0" fillId="0" borderId="0" xfId="0" applyNumberFormat="1" applyAlignment="1">
      <alignment horizontal="left"/>
    </xf>
    <xf numFmtId="43" fontId="18" fillId="0" borderId="0" xfId="0" applyNumberFormat="1" applyFont="1"/>
    <xf numFmtId="164" fontId="13" fillId="0" borderId="0" xfId="1" applyFont="1" applyAlignment="1" applyProtection="1">
      <alignment horizontal="center" vertical="center"/>
      <protection hidden="1"/>
    </xf>
    <xf numFmtId="164" fontId="6" fillId="0" borderId="6" xfId="1" applyFont="1" applyBorder="1" applyAlignment="1" applyProtection="1">
      <alignment horizontal="center" vertical="center"/>
      <protection hidden="1"/>
    </xf>
    <xf numFmtId="164" fontId="8" fillId="3" borderId="2" xfId="3" applyFont="1" applyFill="1" applyBorder="1" applyAlignment="1" applyProtection="1">
      <alignment horizontal="left" vertical="center"/>
      <protection hidden="1"/>
    </xf>
    <xf numFmtId="164" fontId="8" fillId="3" borderId="2" xfId="3" applyFont="1" applyFill="1" applyBorder="1" applyAlignment="1" applyProtection="1">
      <alignment horizontal="center" vertical="center"/>
      <protection hidden="1"/>
    </xf>
    <xf numFmtId="164" fontId="8" fillId="3" borderId="3" xfId="3" applyFont="1" applyFill="1" applyBorder="1" applyAlignment="1" applyProtection="1">
      <alignment horizontal="center" vertical="center"/>
      <protection hidden="1"/>
    </xf>
    <xf numFmtId="164" fontId="6" fillId="3" borderId="2" xfId="3" applyFont="1" applyFill="1" applyBorder="1" applyAlignment="1" applyProtection="1">
      <alignment horizontal="left" vertical="center"/>
      <protection hidden="1"/>
    </xf>
    <xf numFmtId="168" fontId="8" fillId="3" borderId="3" xfId="3" applyNumberFormat="1" applyFont="1" applyFill="1" applyBorder="1" applyAlignment="1" applyProtection="1">
      <alignment horizontal="center" vertical="center"/>
      <protection hidden="1"/>
    </xf>
    <xf numFmtId="168" fontId="8" fillId="3" borderId="4" xfId="3" applyNumberFormat="1" applyFont="1" applyFill="1" applyBorder="1" applyAlignment="1" applyProtection="1">
      <alignment horizontal="center" vertical="center"/>
      <protection hidden="1"/>
    </xf>
    <xf numFmtId="169" fontId="9" fillId="0" borderId="0" xfId="1" applyNumberFormat="1" applyFont="1" applyFill="1" applyBorder="1" applyAlignment="1" applyProtection="1">
      <alignment horizontal="left" vertical="center"/>
      <protection locked="0"/>
    </xf>
    <xf numFmtId="169" fontId="16" fillId="0" borderId="0" xfId="1" applyNumberFormat="1" applyFont="1" applyFill="1" applyBorder="1" applyAlignment="1" applyProtection="1">
      <alignment horizontal="left" vertical="center"/>
      <protection locked="0"/>
    </xf>
    <xf numFmtId="169" fontId="9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0" xfId="1" applyNumberFormat="1" applyFont="1" applyFill="1" applyBorder="1" applyAlignment="1" applyProtection="1">
      <alignment horizontal="left" vertical="center"/>
      <protection locked="0"/>
    </xf>
    <xf numFmtId="169" fontId="0" fillId="0" borderId="0" xfId="0" applyNumberFormat="1" applyAlignment="1">
      <alignment horizontal="left"/>
    </xf>
    <xf numFmtId="169" fontId="16" fillId="0" borderId="6" xfId="1" applyNumberFormat="1" applyFont="1" applyFill="1" applyBorder="1" applyAlignment="1" applyProtection="1">
      <alignment horizontal="left" vertical="center"/>
      <protection locked="0"/>
    </xf>
    <xf numFmtId="169" fontId="14" fillId="0" borderId="0" xfId="1" applyNumberFormat="1" applyFont="1" applyBorder="1" applyAlignment="1" applyProtection="1">
      <alignment horizontal="left" vertical="center"/>
      <protection hidden="1"/>
    </xf>
    <xf numFmtId="169" fontId="14" fillId="0" borderId="0" xfId="1" applyNumberFormat="1" applyFont="1" applyFill="1" applyBorder="1" applyAlignment="1" applyProtection="1">
      <alignment horizontal="left" vertical="center"/>
      <protection hidden="1"/>
    </xf>
    <xf numFmtId="169" fontId="14" fillId="0" borderId="0" xfId="1" applyNumberFormat="1" applyFont="1" applyAlignment="1" applyProtection="1">
      <alignment vertical="center"/>
      <protection hidden="1"/>
    </xf>
    <xf numFmtId="169" fontId="0" fillId="0" borderId="0" xfId="0" applyNumberFormat="1"/>
    <xf numFmtId="169" fontId="9" fillId="0" borderId="0" xfId="1" applyNumberFormat="1" applyFont="1" applyFill="1" applyBorder="1" applyAlignment="1" applyProtection="1">
      <alignment horizontal="center" vertical="center"/>
      <protection locked="0"/>
    </xf>
    <xf numFmtId="169" fontId="9" fillId="0" borderId="1" xfId="1" applyNumberFormat="1" applyFont="1" applyFill="1" applyBorder="1" applyAlignment="1" applyProtection="1">
      <alignment horizontal="left" vertical="center"/>
      <protection locked="0"/>
    </xf>
    <xf numFmtId="169" fontId="14" fillId="0" borderId="0" xfId="1" applyNumberFormat="1" applyFont="1" applyFill="1" applyAlignment="1" applyProtection="1">
      <alignment vertical="center"/>
      <protection hidden="1"/>
    </xf>
    <xf numFmtId="164" fontId="14" fillId="0" borderId="0" xfId="1" applyFont="1" applyFill="1" applyAlignment="1" applyProtection="1">
      <alignment vertical="center"/>
      <protection hidden="1"/>
    </xf>
    <xf numFmtId="169" fontId="9" fillId="0" borderId="5" xfId="1" applyNumberFormat="1" applyFont="1" applyBorder="1" applyAlignment="1" applyProtection="1">
      <alignment horizontal="left" vertical="center"/>
      <protection locked="0"/>
    </xf>
    <xf numFmtId="0" fontId="17" fillId="0" borderId="0" xfId="14"/>
    <xf numFmtId="0" fontId="23" fillId="0" borderId="0" xfId="14" applyFont="1"/>
    <xf numFmtId="164" fontId="23" fillId="0" borderId="0" xfId="15" applyFont="1" applyFill="1"/>
    <xf numFmtId="164" fontId="23" fillId="0" borderId="0" xfId="15" applyFont="1" applyFill="1" applyAlignment="1"/>
    <xf numFmtId="0" fontId="22" fillId="0" borderId="8" xfId="14" applyFont="1" applyBorder="1" applyAlignment="1">
      <alignment vertical="center"/>
    </xf>
    <xf numFmtId="0" fontId="25" fillId="0" borderId="0" xfId="14" applyFont="1"/>
    <xf numFmtId="164" fontId="26" fillId="0" borderId="7" xfId="15" applyFont="1" applyFill="1" applyBorder="1" applyAlignment="1">
      <alignment horizontal="right"/>
    </xf>
    <xf numFmtId="0" fontId="26" fillId="0" borderId="7" xfId="14" applyFont="1" applyBorder="1" applyAlignment="1">
      <alignment horizontal="left"/>
    </xf>
    <xf numFmtId="0" fontId="24" fillId="0" borderId="0" xfId="14" applyFont="1"/>
    <xf numFmtId="164" fontId="24" fillId="0" borderId="7" xfId="15" applyFont="1" applyFill="1" applyBorder="1"/>
    <xf numFmtId="164" fontId="23" fillId="0" borderId="7" xfId="15" applyFont="1" applyFill="1" applyBorder="1"/>
    <xf numFmtId="0" fontId="23" fillId="0" borderId="7" xfId="14" applyFont="1" applyBorder="1"/>
    <xf numFmtId="164" fontId="27" fillId="0" borderId="7" xfId="15" applyFont="1" applyFill="1" applyBorder="1" applyAlignment="1">
      <alignment horizontal="right"/>
    </xf>
    <xf numFmtId="0" fontId="27" fillId="0" borderId="7" xfId="14" applyFont="1" applyBorder="1" applyAlignment="1">
      <alignment horizontal="left"/>
    </xf>
    <xf numFmtId="164" fontId="22" fillId="0" borderId="7" xfId="15" applyFont="1" applyFill="1" applyBorder="1" applyAlignment="1">
      <alignment horizontal="right"/>
    </xf>
    <xf numFmtId="0" fontId="22" fillId="0" borderId="7" xfId="14" applyFont="1" applyBorder="1" applyAlignment="1">
      <alignment horizontal="left"/>
    </xf>
    <xf numFmtId="164" fontId="0" fillId="0" borderId="7" xfId="15" applyFont="1" applyFill="1" applyBorder="1"/>
    <xf numFmtId="0" fontId="18" fillId="2" borderId="7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left"/>
    </xf>
    <xf numFmtId="164" fontId="0" fillId="0" borderId="0" xfId="15" applyFont="1"/>
    <xf numFmtId="0" fontId="23" fillId="0" borderId="7" xfId="14" applyFont="1" applyBorder="1" applyAlignment="1">
      <alignment horizontal="left"/>
    </xf>
    <xf numFmtId="0" fontId="28" fillId="0" borderId="0" xfId="14" applyFont="1"/>
    <xf numFmtId="164" fontId="29" fillId="2" borderId="7" xfId="15" applyFont="1" applyFill="1" applyBorder="1"/>
    <xf numFmtId="0" fontId="29" fillId="2" borderId="7" xfId="14" applyFont="1" applyFill="1" applyBorder="1"/>
    <xf numFmtId="164" fontId="8" fillId="0" borderId="0" xfId="3" applyFont="1" applyFill="1" applyBorder="1" applyAlignment="1" applyProtection="1">
      <alignment horizontal="center" vertical="center"/>
      <protection hidden="1"/>
    </xf>
    <xf numFmtId="164" fontId="6" fillId="0" borderId="0" xfId="1" applyFont="1" applyBorder="1" applyAlignment="1" applyProtection="1">
      <alignment horizontal="center" vertical="center"/>
      <protection hidden="1"/>
    </xf>
    <xf numFmtId="166" fontId="8" fillId="0" borderId="1" xfId="2" applyNumberFormat="1" applyFont="1" applyBorder="1" applyAlignment="1" applyProtection="1">
      <alignment vertical="center"/>
      <protection hidden="1"/>
    </xf>
    <xf numFmtId="0" fontId="30" fillId="0" borderId="0" xfId="0" applyFont="1"/>
    <xf numFmtId="0" fontId="18" fillId="0" borderId="0" xfId="0" applyFont="1"/>
    <xf numFmtId="164" fontId="18" fillId="0" borderId="0" xfId="1" applyFont="1" applyBorder="1"/>
    <xf numFmtId="164" fontId="18" fillId="0" borderId="0" xfId="0" applyNumberFormat="1" applyFont="1"/>
    <xf numFmtId="169" fontId="11" fillId="0" borderId="1" xfId="1" applyNumberFormat="1" applyFont="1" applyFill="1" applyBorder="1" applyAlignment="1" applyProtection="1">
      <alignment horizontal="left" vertical="center"/>
      <protection locked="0"/>
    </xf>
    <xf numFmtId="164" fontId="18" fillId="0" borderId="0" xfId="1" applyFont="1"/>
    <xf numFmtId="169" fontId="18" fillId="0" borderId="0" xfId="0" applyNumberFormat="1" applyFont="1"/>
    <xf numFmtId="169" fontId="11" fillId="0" borderId="0" xfId="1" applyNumberFormat="1" applyFont="1" applyFill="1" applyBorder="1" applyAlignment="1" applyProtection="1">
      <alignment horizontal="center" vertical="center"/>
      <protection locked="0"/>
    </xf>
    <xf numFmtId="166" fontId="10" fillId="0" borderId="9" xfId="2" applyNumberFormat="1" applyFont="1" applyBorder="1" applyAlignment="1" applyProtection="1">
      <alignment vertical="center"/>
      <protection hidden="1"/>
    </xf>
    <xf numFmtId="169" fontId="9" fillId="0" borderId="9" xfId="1" applyNumberFormat="1" applyFont="1" applyFill="1" applyBorder="1" applyAlignment="1" applyProtection="1">
      <alignment horizontal="left" vertical="center"/>
      <protection locked="0"/>
    </xf>
    <xf numFmtId="169" fontId="0" fillId="0" borderId="0" xfId="1" applyNumberFormat="1" applyFont="1"/>
    <xf numFmtId="164" fontId="28" fillId="0" borderId="0" xfId="1" applyFont="1"/>
    <xf numFmtId="164" fontId="17" fillId="0" borderId="0" xfId="1" applyFont="1"/>
    <xf numFmtId="9" fontId="0" fillId="0" borderId="0" xfId="5" applyFont="1"/>
    <xf numFmtId="169" fontId="23" fillId="0" borderId="7" xfId="15" applyNumberFormat="1" applyFont="1" applyBorder="1"/>
    <xf numFmtId="9" fontId="9" fillId="0" borderId="0" xfId="5" applyFont="1" applyFill="1" applyBorder="1" applyAlignment="1" applyProtection="1">
      <alignment horizontal="center" vertical="center"/>
      <protection locked="0"/>
    </xf>
    <xf numFmtId="171" fontId="0" fillId="0" borderId="0" xfId="1" applyNumberFormat="1" applyFont="1"/>
    <xf numFmtId="164" fontId="9" fillId="0" borderId="5" xfId="1" applyFont="1" applyFill="1" applyBorder="1" applyAlignment="1" applyProtection="1">
      <alignment horizontal="left" vertical="center"/>
      <protection locked="0"/>
    </xf>
    <xf numFmtId="164" fontId="11" fillId="0" borderId="5" xfId="1" applyFont="1" applyFill="1" applyBorder="1" applyAlignment="1" applyProtection="1">
      <alignment horizontal="left" vertical="center"/>
      <protection locked="0"/>
    </xf>
    <xf numFmtId="164" fontId="10" fillId="0" borderId="5" xfId="1" applyFont="1" applyBorder="1" applyAlignment="1" applyProtection="1">
      <alignment vertical="center"/>
      <protection hidden="1"/>
    </xf>
    <xf numFmtId="169" fontId="6" fillId="0" borderId="0" xfId="3" applyNumberFormat="1" applyFont="1" applyFill="1" applyBorder="1" applyAlignment="1" applyProtection="1">
      <alignment horizontal="left"/>
      <protection hidden="1"/>
    </xf>
    <xf numFmtId="169" fontId="6" fillId="0" borderId="0" xfId="2" applyNumberFormat="1" applyFont="1" applyAlignment="1" applyProtection="1">
      <alignment horizontal="center" vertical="center"/>
      <protection hidden="1"/>
    </xf>
    <xf numFmtId="169" fontId="6" fillId="0" borderId="6" xfId="2" applyNumberFormat="1" applyFont="1" applyBorder="1" applyAlignment="1" applyProtection="1">
      <alignment horizontal="center" vertical="center"/>
      <protection hidden="1"/>
    </xf>
    <xf numFmtId="169" fontId="6" fillId="0" borderId="0" xfId="2" applyNumberFormat="1" applyFont="1" applyAlignment="1" applyProtection="1">
      <alignment horizontal="left" vertical="center"/>
      <protection hidden="1"/>
    </xf>
    <xf numFmtId="164" fontId="9" fillId="0" borderId="0" xfId="1" applyFont="1" applyFill="1" applyBorder="1" applyAlignment="1" applyProtection="1">
      <alignment horizontal="center" vertical="center"/>
      <protection locked="0"/>
    </xf>
    <xf numFmtId="164" fontId="0" fillId="0" borderId="7" xfId="15" applyFont="1" applyBorder="1"/>
    <xf numFmtId="164" fontId="18" fillId="0" borderId="7" xfId="15" applyFont="1" applyBorder="1"/>
    <xf numFmtId="170" fontId="18" fillId="0" borderId="7" xfId="5" applyNumberFormat="1" applyFont="1" applyBorder="1" applyAlignment="1">
      <alignment horizontal="center"/>
    </xf>
    <xf numFmtId="169" fontId="10" fillId="0" borderId="5" xfId="1" applyNumberFormat="1" applyFont="1" applyBorder="1" applyAlignment="1" applyProtection="1">
      <alignment vertical="center"/>
      <protection hidden="1"/>
    </xf>
    <xf numFmtId="12" fontId="0" fillId="0" borderId="0" xfId="1" applyNumberFormat="1" applyFont="1"/>
    <xf numFmtId="0" fontId="33" fillId="0" borderId="0" xfId="17" applyFont="1" applyAlignment="1">
      <alignment horizontal="left" vertical="center"/>
    </xf>
    <xf numFmtId="0" fontId="34" fillId="0" borderId="0" xfId="0" applyFont="1"/>
    <xf numFmtId="0" fontId="35" fillId="5" borderId="11" xfId="0" applyFont="1" applyFill="1" applyBorder="1" applyAlignment="1">
      <alignment horizontal="center"/>
    </xf>
    <xf numFmtId="17" fontId="36" fillId="5" borderId="11" xfId="0" applyNumberFormat="1" applyFont="1" applyFill="1" applyBorder="1" applyAlignment="1">
      <alignment horizontal="center"/>
    </xf>
    <xf numFmtId="17" fontId="36" fillId="5" borderId="12" xfId="0" applyNumberFormat="1" applyFont="1" applyFill="1" applyBorder="1" applyAlignment="1">
      <alignment horizontal="center"/>
    </xf>
    <xf numFmtId="169" fontId="34" fillId="0" borderId="0" xfId="1" applyNumberFormat="1" applyFont="1"/>
    <xf numFmtId="0" fontId="32" fillId="4" borderId="10" xfId="18"/>
    <xf numFmtId="10" fontId="32" fillId="4" borderId="10" xfId="18" applyNumberFormat="1"/>
    <xf numFmtId="10" fontId="34" fillId="0" borderId="0" xfId="0" applyNumberFormat="1" applyFont="1"/>
    <xf numFmtId="169" fontId="34" fillId="0" borderId="0" xfId="0" applyNumberFormat="1" applyFont="1"/>
    <xf numFmtId="164" fontId="34" fillId="0" borderId="0" xfId="1" applyFont="1"/>
    <xf numFmtId="164" fontId="34" fillId="0" borderId="0" xfId="0" applyNumberFormat="1" applyFont="1"/>
    <xf numFmtId="169" fontId="10" fillId="0" borderId="5" xfId="1" applyNumberFormat="1" applyFont="1" applyFill="1" applyBorder="1" applyAlignment="1" applyProtection="1">
      <alignment horizontal="left" vertical="center"/>
      <protection locked="0"/>
    </xf>
    <xf numFmtId="169" fontId="10" fillId="0" borderId="0" xfId="1" applyNumberFormat="1" applyFont="1" applyFill="1" applyBorder="1" applyAlignment="1" applyProtection="1">
      <alignment horizontal="left" vertical="center"/>
      <protection locked="0"/>
    </xf>
    <xf numFmtId="169" fontId="14" fillId="0" borderId="0" xfId="1" applyNumberFormat="1" applyFont="1" applyFill="1" applyBorder="1" applyAlignment="1" applyProtection="1">
      <alignment horizontal="left" vertical="center"/>
      <protection locked="0"/>
    </xf>
    <xf numFmtId="169" fontId="8" fillId="0" borderId="5" xfId="1" applyNumberFormat="1" applyFont="1" applyFill="1" applyBorder="1" applyAlignment="1" applyProtection="1">
      <alignment horizontal="left" vertical="center"/>
      <protection locked="0"/>
    </xf>
    <xf numFmtId="169" fontId="37" fillId="0" borderId="0" xfId="0" applyNumberFormat="1" applyFont="1" applyAlignment="1">
      <alignment horizontal="left"/>
    </xf>
    <xf numFmtId="169" fontId="14" fillId="0" borderId="6" xfId="1" applyNumberFormat="1" applyFont="1" applyFill="1" applyBorder="1" applyAlignment="1" applyProtection="1">
      <alignment horizontal="left" vertical="center"/>
      <protection locked="0"/>
    </xf>
    <xf numFmtId="164" fontId="8" fillId="0" borderId="5" xfId="1" applyFont="1" applyFill="1" applyBorder="1" applyAlignment="1" applyProtection="1">
      <alignment horizontal="left" vertical="center"/>
      <protection locked="0"/>
    </xf>
    <xf numFmtId="0" fontId="37" fillId="0" borderId="0" xfId="0" applyFont="1" applyAlignment="1">
      <alignment horizontal="left"/>
    </xf>
    <xf numFmtId="43" fontId="37" fillId="0" borderId="0" xfId="0" applyNumberFormat="1" applyFont="1" applyAlignment="1">
      <alignment horizontal="left"/>
    </xf>
    <xf numFmtId="10" fontId="0" fillId="0" borderId="0" xfId="5" applyNumberFormat="1" applyFont="1"/>
    <xf numFmtId="166" fontId="10" fillId="0" borderId="5" xfId="2" applyNumberFormat="1" applyFont="1" applyBorder="1" applyAlignment="1" applyProtection="1">
      <alignment horizontal="left" vertical="center"/>
      <protection hidden="1"/>
    </xf>
    <xf numFmtId="164" fontId="38" fillId="0" borderId="7" xfId="15" applyFont="1" applyFill="1" applyBorder="1" applyAlignment="1">
      <alignment horizontal="right"/>
    </xf>
    <xf numFmtId="170" fontId="0" fillId="0" borderId="0" xfId="5" applyNumberFormat="1" applyFont="1"/>
    <xf numFmtId="4" fontId="39" fillId="0" borderId="0" xfId="19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7" xfId="5" applyNumberFormat="1" applyFont="1" applyBorder="1" applyAlignment="1">
      <alignment horizontal="center"/>
    </xf>
    <xf numFmtId="0" fontId="40" fillId="0" borderId="0" xfId="0" applyFont="1"/>
    <xf numFmtId="0" fontId="41" fillId="0" borderId="0" xfId="0" applyFont="1"/>
    <xf numFmtId="172" fontId="41" fillId="0" borderId="0" xfId="0" applyNumberFormat="1" applyFont="1"/>
    <xf numFmtId="43" fontId="41" fillId="0" borderId="0" xfId="0" applyNumberFormat="1" applyFont="1"/>
    <xf numFmtId="3" fontId="41" fillId="0" borderId="0" xfId="0" applyNumberFormat="1" applyFont="1"/>
    <xf numFmtId="169" fontId="41" fillId="0" borderId="0" xfId="1" applyNumberFormat="1" applyFont="1" applyBorder="1"/>
    <xf numFmtId="164" fontId="41" fillId="0" borderId="0" xfId="0" applyNumberFormat="1" applyFont="1"/>
    <xf numFmtId="164" fontId="41" fillId="0" borderId="0" xfId="1" applyFont="1"/>
    <xf numFmtId="0" fontId="43" fillId="0" borderId="0" xfId="2" applyFont="1" applyAlignment="1" applyProtection="1">
      <alignment vertical="center"/>
      <protection hidden="1"/>
    </xf>
    <xf numFmtId="164" fontId="44" fillId="0" borderId="1" xfId="3" applyFont="1" applyFill="1" applyBorder="1" applyAlignment="1" applyProtection="1">
      <alignment horizontal="left"/>
      <protection hidden="1"/>
    </xf>
    <xf numFmtId="165" fontId="45" fillId="0" borderId="0" xfId="2" applyNumberFormat="1" applyFont="1" applyAlignment="1" applyProtection="1">
      <alignment horizontal="center" vertical="center"/>
      <protection hidden="1"/>
    </xf>
    <xf numFmtId="164" fontId="45" fillId="0" borderId="0" xfId="1" applyFont="1" applyAlignment="1" applyProtection="1">
      <alignment horizontal="center" vertical="center"/>
      <protection hidden="1"/>
    </xf>
    <xf numFmtId="0" fontId="46" fillId="0" borderId="0" xfId="2" applyFont="1" applyAlignment="1" applyProtection="1">
      <alignment vertical="center"/>
      <protection hidden="1"/>
    </xf>
    <xf numFmtId="172" fontId="46" fillId="0" borderId="0" xfId="2" applyNumberFormat="1" applyFont="1" applyAlignment="1" applyProtection="1">
      <alignment vertical="center"/>
      <protection hidden="1"/>
    </xf>
    <xf numFmtId="164" fontId="45" fillId="0" borderId="0" xfId="1" applyFont="1" applyBorder="1" applyAlignment="1" applyProtection="1">
      <alignment horizontal="center" vertical="center"/>
      <protection hidden="1"/>
    </xf>
    <xf numFmtId="164" fontId="47" fillId="3" borderId="2" xfId="3" applyFont="1" applyFill="1" applyBorder="1" applyAlignment="1" applyProtection="1">
      <alignment horizontal="left" vertical="center"/>
      <protection hidden="1"/>
    </xf>
    <xf numFmtId="164" fontId="47" fillId="3" borderId="2" xfId="3" applyFont="1" applyFill="1" applyBorder="1" applyAlignment="1" applyProtection="1">
      <alignment horizontal="center" vertical="center"/>
      <protection hidden="1"/>
    </xf>
    <xf numFmtId="164" fontId="47" fillId="3" borderId="3" xfId="3" applyFont="1" applyFill="1" applyBorder="1" applyAlignment="1" applyProtection="1">
      <alignment horizontal="center" vertical="center"/>
      <protection hidden="1"/>
    </xf>
    <xf numFmtId="164" fontId="47" fillId="0" borderId="0" xfId="3" applyFont="1" applyFill="1" applyBorder="1" applyAlignment="1" applyProtection="1">
      <alignment horizontal="center" vertical="center"/>
      <protection hidden="1"/>
    </xf>
    <xf numFmtId="165" fontId="47" fillId="0" borderId="0" xfId="2" quotePrefix="1" applyNumberFormat="1" applyFont="1" applyAlignment="1" applyProtection="1">
      <alignment horizontal="center" vertical="center"/>
      <protection hidden="1"/>
    </xf>
    <xf numFmtId="165" fontId="47" fillId="0" borderId="0" xfId="2" applyNumberFormat="1" applyFont="1" applyAlignment="1" applyProtection="1">
      <alignment horizontal="center" vertical="center"/>
      <protection hidden="1"/>
    </xf>
    <xf numFmtId="164" fontId="45" fillId="0" borderId="0" xfId="3" applyFont="1" applyFill="1" applyBorder="1" applyAlignment="1" applyProtection="1">
      <alignment horizontal="left"/>
      <protection hidden="1"/>
    </xf>
    <xf numFmtId="169" fontId="45" fillId="0" borderId="0" xfId="2" applyNumberFormat="1" applyFont="1" applyAlignment="1" applyProtection="1">
      <alignment horizontal="center" vertical="center"/>
      <protection hidden="1"/>
    </xf>
    <xf numFmtId="17" fontId="45" fillId="0" borderId="0" xfId="2" applyNumberFormat="1" applyFont="1" applyAlignment="1" applyProtection="1">
      <alignment horizontal="center" vertical="center"/>
      <protection hidden="1"/>
    </xf>
    <xf numFmtId="166" fontId="48" fillId="0" borderId="7" xfId="2" applyNumberFormat="1" applyFont="1" applyBorder="1" applyAlignment="1" applyProtection="1">
      <alignment vertical="center"/>
      <protection hidden="1"/>
    </xf>
    <xf numFmtId="169" fontId="41" fillId="0" borderId="7" xfId="1" applyNumberFormat="1" applyFont="1" applyFill="1" applyBorder="1" applyAlignment="1" applyProtection="1">
      <alignment horizontal="left" vertical="center"/>
      <protection locked="0"/>
    </xf>
    <xf numFmtId="169" fontId="41" fillId="0" borderId="0" xfId="1" applyNumberFormat="1" applyFont="1" applyFill="1" applyBorder="1" applyAlignment="1" applyProtection="1">
      <alignment horizontal="left" vertical="center"/>
      <protection locked="0"/>
    </xf>
    <xf numFmtId="10" fontId="42" fillId="0" borderId="0" xfId="5" applyNumberFormat="1" applyFont="1"/>
    <xf numFmtId="169" fontId="41" fillId="0" borderId="0" xfId="1" applyNumberFormat="1" applyFont="1" applyFill="1" applyBorder="1" applyAlignment="1" applyProtection="1">
      <alignment horizontal="center" vertical="center"/>
      <protection locked="0"/>
    </xf>
    <xf numFmtId="9" fontId="41" fillId="0" borderId="0" xfId="5" applyFont="1"/>
    <xf numFmtId="0" fontId="49" fillId="0" borderId="0" xfId="0" applyFont="1"/>
    <xf numFmtId="166" fontId="47" fillId="0" borderId="7" xfId="2" applyNumberFormat="1" applyFont="1" applyBorder="1" applyAlignment="1" applyProtection="1">
      <alignment vertical="center"/>
      <protection hidden="1"/>
    </xf>
    <xf numFmtId="169" fontId="42" fillId="0" borderId="7" xfId="1" applyNumberFormat="1" applyFont="1" applyFill="1" applyBorder="1" applyAlignment="1" applyProtection="1">
      <alignment horizontal="left" vertical="center"/>
      <protection locked="0"/>
    </xf>
    <xf numFmtId="169" fontId="42" fillId="0" borderId="0" xfId="1" applyNumberFormat="1" applyFont="1" applyFill="1" applyBorder="1" applyAlignment="1" applyProtection="1">
      <alignment horizontal="left" vertical="center"/>
      <protection locked="0"/>
    </xf>
    <xf numFmtId="0" fontId="42" fillId="0" borderId="0" xfId="0" applyFont="1"/>
    <xf numFmtId="9" fontId="42" fillId="0" borderId="0" xfId="5" applyFont="1"/>
    <xf numFmtId="9" fontId="50" fillId="0" borderId="7" xfId="5" applyFont="1" applyBorder="1" applyAlignment="1" applyProtection="1">
      <alignment vertical="center"/>
      <protection hidden="1"/>
    </xf>
    <xf numFmtId="169" fontId="41" fillId="0" borderId="7" xfId="1" applyNumberFormat="1" applyFont="1" applyFill="1" applyBorder="1" applyAlignment="1" applyProtection="1">
      <alignment horizontal="center" vertical="center"/>
      <protection locked="0"/>
    </xf>
    <xf numFmtId="170" fontId="41" fillId="0" borderId="7" xfId="5" applyNumberFormat="1" applyFont="1" applyFill="1" applyBorder="1" applyAlignment="1" applyProtection="1">
      <alignment horizontal="center" vertical="center"/>
      <protection locked="0"/>
    </xf>
    <xf numFmtId="164" fontId="42" fillId="0" borderId="0" xfId="1" applyFont="1"/>
    <xf numFmtId="169" fontId="42" fillId="0" borderId="0" xfId="0" applyNumberFormat="1" applyFont="1"/>
    <xf numFmtId="164" fontId="42" fillId="0" borderId="0" xfId="0" applyNumberFormat="1" applyFont="1"/>
    <xf numFmtId="166" fontId="50" fillId="0" borderId="7" xfId="2" applyNumberFormat="1" applyFont="1" applyBorder="1" applyAlignment="1" applyProtection="1">
      <alignment horizontal="left" vertical="center" indent="1"/>
      <protection hidden="1"/>
    </xf>
    <xf numFmtId="169" fontId="42" fillId="0" borderId="0" xfId="1" applyNumberFormat="1" applyFont="1" applyFill="1" applyBorder="1" applyAlignment="1" applyProtection="1">
      <alignment horizontal="center" vertical="center"/>
      <protection locked="0"/>
    </xf>
    <xf numFmtId="164" fontId="42" fillId="0" borderId="0" xfId="1" applyFont="1" applyBorder="1"/>
    <xf numFmtId="166" fontId="50" fillId="0" borderId="0" xfId="2" applyNumberFormat="1" applyFont="1" applyAlignment="1" applyProtection="1">
      <alignment vertical="center"/>
      <protection hidden="1"/>
    </xf>
    <xf numFmtId="170" fontId="41" fillId="0" borderId="0" xfId="5" applyNumberFormat="1" applyFont="1" applyFill="1" applyBorder="1" applyAlignment="1" applyProtection="1">
      <alignment horizontal="center" vertical="center"/>
      <protection locked="0"/>
    </xf>
    <xf numFmtId="164" fontId="41" fillId="0" borderId="0" xfId="1" applyFont="1" applyBorder="1"/>
    <xf numFmtId="164" fontId="41" fillId="0" borderId="0" xfId="1" applyFont="1" applyFill="1" applyBorder="1" applyAlignment="1" applyProtection="1">
      <alignment horizontal="left" vertical="center"/>
      <protection locked="0"/>
    </xf>
    <xf numFmtId="164" fontId="48" fillId="0" borderId="5" xfId="1" applyFont="1" applyBorder="1" applyAlignment="1" applyProtection="1">
      <alignment vertical="center"/>
      <protection hidden="1"/>
    </xf>
    <xf numFmtId="169" fontId="41" fillId="0" borderId="5" xfId="1" applyNumberFormat="1" applyFont="1" applyFill="1" applyBorder="1" applyAlignment="1" applyProtection="1">
      <alignment horizontal="left" vertical="center"/>
      <protection locked="0"/>
    </xf>
    <xf numFmtId="0" fontId="51" fillId="0" borderId="0" xfId="2" applyFont="1" applyAlignment="1" applyProtection="1">
      <alignment vertical="center"/>
      <protection hidden="1"/>
    </xf>
    <xf numFmtId="164" fontId="52" fillId="0" borderId="0" xfId="1" applyFont="1" applyAlignment="1" applyProtection="1">
      <alignment horizontal="center" vertical="center"/>
      <protection hidden="1"/>
    </xf>
    <xf numFmtId="167" fontId="52" fillId="0" borderId="0" xfId="2" applyNumberFormat="1" applyFont="1" applyAlignment="1" applyProtection="1">
      <alignment horizontal="center" vertical="center"/>
      <protection hidden="1"/>
    </xf>
    <xf numFmtId="4" fontId="41" fillId="0" borderId="0" xfId="0" applyNumberFormat="1" applyFont="1"/>
    <xf numFmtId="169" fontId="41" fillId="0" borderId="0" xfId="0" applyNumberFormat="1" applyFont="1"/>
    <xf numFmtId="164" fontId="18" fillId="3" borderId="7" xfId="15" applyFont="1" applyFill="1" applyBorder="1" applyAlignment="1">
      <alignment horizontal="center"/>
    </xf>
    <xf numFmtId="170" fontId="0" fillId="0" borderId="7" xfId="5" applyNumberFormat="1" applyFont="1" applyBorder="1" applyAlignment="1">
      <alignment horizontal="center"/>
    </xf>
    <xf numFmtId="170" fontId="41" fillId="0" borderId="0" xfId="5" applyNumberFormat="1" applyFont="1"/>
    <xf numFmtId="166" fontId="48" fillId="0" borderId="13" xfId="2" applyNumberFormat="1" applyFont="1" applyBorder="1" applyAlignment="1" applyProtection="1">
      <alignment vertical="center"/>
      <protection hidden="1"/>
    </xf>
    <xf numFmtId="164" fontId="41" fillId="0" borderId="7" xfId="1" applyFont="1" applyFill="1" applyBorder="1" applyAlignment="1" applyProtection="1">
      <alignment horizontal="left" vertical="center"/>
      <protection locked="0"/>
    </xf>
    <xf numFmtId="166" fontId="10" fillId="0" borderId="14" xfId="2" applyNumberFormat="1" applyFont="1" applyBorder="1" applyAlignment="1" applyProtection="1">
      <alignment vertical="center"/>
      <protection hidden="1"/>
    </xf>
    <xf numFmtId="169" fontId="10" fillId="0" borderId="14" xfId="1" applyNumberFormat="1" applyFont="1" applyFill="1" applyBorder="1" applyAlignment="1" applyProtection="1">
      <alignment horizontal="left" vertical="center"/>
      <protection locked="0"/>
    </xf>
    <xf numFmtId="169" fontId="14" fillId="0" borderId="15" xfId="1" applyNumberFormat="1" applyFont="1" applyFill="1" applyBorder="1" applyAlignment="1" applyProtection="1">
      <alignment horizontal="left" vertical="center"/>
      <protection hidden="1"/>
    </xf>
    <xf numFmtId="169" fontId="14" fillId="0" borderId="15" xfId="1" applyNumberFormat="1" applyFont="1" applyBorder="1" applyAlignment="1" applyProtection="1">
      <alignment horizontal="left" vertical="center"/>
      <protection hidden="1"/>
    </xf>
    <xf numFmtId="169" fontId="14" fillId="0" borderId="16" xfId="1" applyNumberFormat="1" applyFont="1" applyFill="1" applyBorder="1" applyAlignment="1" applyProtection="1">
      <alignment horizontal="left" vertical="center"/>
      <protection hidden="1"/>
    </xf>
    <xf numFmtId="169" fontId="14" fillId="0" borderId="16" xfId="1" applyNumberFormat="1" applyFont="1" applyBorder="1" applyAlignment="1" applyProtection="1">
      <alignment horizontal="left" vertical="center"/>
      <protection hidden="1"/>
    </xf>
    <xf numFmtId="169" fontId="10" fillId="0" borderId="15" xfId="1" applyNumberFormat="1" applyFont="1" applyFill="1" applyBorder="1" applyAlignment="1" applyProtection="1">
      <alignment horizontal="left" vertical="center"/>
      <protection locked="0"/>
    </xf>
    <xf numFmtId="169" fontId="8" fillId="0" borderId="1" xfId="1" applyNumberFormat="1" applyFont="1" applyFill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/>
    </xf>
    <xf numFmtId="164" fontId="25" fillId="0" borderId="0" xfId="14" applyNumberFormat="1" applyFont="1"/>
    <xf numFmtId="0" fontId="23" fillId="0" borderId="0" xfId="14" applyFont="1" applyAlignment="1">
      <alignment horizontal="left"/>
    </xf>
    <xf numFmtId="169" fontId="23" fillId="0" borderId="0" xfId="15" applyNumberFormat="1" applyFont="1" applyBorder="1"/>
    <xf numFmtId="0" fontId="25" fillId="0" borderId="0" xfId="14" applyFont="1" applyAlignment="1">
      <alignment horizontal="left"/>
    </xf>
    <xf numFmtId="169" fontId="25" fillId="0" borderId="0" xfId="15" applyNumberFormat="1" applyFont="1" applyBorder="1"/>
    <xf numFmtId="164" fontId="24" fillId="0" borderId="0" xfId="1" applyFont="1"/>
    <xf numFmtId="173" fontId="0" fillId="0" borderId="0" xfId="1" applyNumberFormat="1" applyFont="1"/>
    <xf numFmtId="2" fontId="0" fillId="0" borderId="0" xfId="0" applyNumberFormat="1"/>
    <xf numFmtId="165" fontId="47" fillId="0" borderId="11" xfId="2" quotePrefix="1" applyNumberFormat="1" applyFont="1" applyBorder="1" applyAlignment="1" applyProtection="1">
      <alignment horizontal="center" vertical="center"/>
      <protection hidden="1"/>
    </xf>
    <xf numFmtId="174" fontId="41" fillId="0" borderId="0" xfId="0" applyNumberFormat="1" applyFont="1"/>
    <xf numFmtId="166" fontId="3" fillId="6" borderId="0" xfId="2" applyNumberFormat="1" applyFill="1" applyAlignment="1" applyProtection="1">
      <alignment horizontal="left" vertical="center" indent="1"/>
      <protection hidden="1"/>
    </xf>
    <xf numFmtId="169" fontId="10" fillId="6" borderId="0" xfId="1" applyNumberFormat="1" applyFont="1" applyFill="1" applyBorder="1" applyAlignment="1" applyProtection="1">
      <alignment horizontal="left" vertical="center"/>
      <protection locked="0"/>
    </xf>
    <xf numFmtId="164" fontId="23" fillId="0" borderId="0" xfId="14" applyNumberFormat="1" applyFont="1"/>
    <xf numFmtId="173" fontId="22" fillId="0" borderId="7" xfId="15" applyNumberFormat="1" applyFont="1" applyFill="1" applyBorder="1" applyAlignment="1">
      <alignment horizontal="right"/>
    </xf>
    <xf numFmtId="164" fontId="47" fillId="3" borderId="5" xfId="3" applyFont="1" applyFill="1" applyBorder="1" applyAlignment="1" applyProtection="1">
      <alignment horizontal="center" vertical="center"/>
      <protection hidden="1"/>
    </xf>
    <xf numFmtId="169" fontId="54" fillId="0" borderId="0" xfId="1" applyNumberFormat="1" applyFont="1"/>
    <xf numFmtId="169" fontId="55" fillId="0" borderId="0" xfId="1" applyNumberFormat="1" applyFont="1" applyAlignment="1" applyProtection="1">
      <alignment vertical="center"/>
      <protection hidden="1"/>
    </xf>
    <xf numFmtId="169" fontId="55" fillId="0" borderId="0" xfId="1" applyNumberFormat="1" applyFont="1" applyFill="1" applyBorder="1" applyAlignment="1" applyProtection="1">
      <alignment vertical="center"/>
      <protection hidden="1"/>
    </xf>
    <xf numFmtId="169" fontId="53" fillId="0" borderId="0" xfId="1" applyNumberFormat="1" applyFont="1"/>
    <xf numFmtId="169" fontId="9" fillId="0" borderId="9" xfId="1" applyNumberFormat="1" applyFont="1" applyFill="1" applyBorder="1" applyAlignment="1" applyProtection="1">
      <alignment horizontal="center" vertical="center"/>
      <protection locked="0"/>
    </xf>
    <xf numFmtId="175" fontId="0" fillId="0" borderId="0" xfId="0" applyNumberFormat="1"/>
    <xf numFmtId="169" fontId="0" fillId="0" borderId="0" xfId="1" applyNumberFormat="1" applyFont="1" applyBorder="1"/>
    <xf numFmtId="172" fontId="0" fillId="0" borderId="0" xfId="0" applyNumberFormat="1"/>
    <xf numFmtId="169" fontId="56" fillId="0" borderId="7" xfId="1" applyNumberFormat="1" applyFont="1" applyFill="1" applyBorder="1" applyAlignment="1" applyProtection="1">
      <alignment horizontal="left" vertical="center"/>
      <protection locked="0"/>
    </xf>
    <xf numFmtId="169" fontId="57" fillId="0" borderId="7" xfId="1" applyNumberFormat="1" applyFont="1" applyFill="1" applyBorder="1" applyAlignment="1" applyProtection="1">
      <alignment horizontal="left" vertical="center"/>
      <protection locked="0"/>
    </xf>
    <xf numFmtId="0" fontId="58" fillId="0" borderId="0" xfId="0" applyFont="1"/>
    <xf numFmtId="166" fontId="59" fillId="0" borderId="7" xfId="2" applyNumberFormat="1" applyFont="1" applyBorder="1" applyAlignment="1" applyProtection="1">
      <alignment horizontal="left" vertical="center" indent="1"/>
      <protection hidden="1"/>
    </xf>
    <xf numFmtId="169" fontId="57" fillId="0" borderId="0" xfId="1" applyNumberFormat="1" applyFont="1" applyFill="1" applyBorder="1" applyAlignment="1" applyProtection="1">
      <alignment horizontal="center" vertical="center"/>
      <protection locked="0"/>
    </xf>
    <xf numFmtId="164" fontId="57" fillId="0" borderId="0" xfId="1" applyFont="1"/>
    <xf numFmtId="0" fontId="57" fillId="0" borderId="0" xfId="0" applyFont="1"/>
    <xf numFmtId="0" fontId="60" fillId="0" borderId="0" xfId="0" applyFont="1"/>
    <xf numFmtId="166" fontId="61" fillId="0" borderId="7" xfId="2" applyNumberFormat="1" applyFont="1" applyBorder="1" applyAlignment="1" applyProtection="1">
      <alignment horizontal="left" vertical="center" indent="1"/>
      <protection hidden="1"/>
    </xf>
    <xf numFmtId="169" fontId="56" fillId="0" borderId="0" xfId="1" applyNumberFormat="1" applyFont="1" applyFill="1" applyBorder="1" applyAlignment="1" applyProtection="1">
      <alignment horizontal="center" vertical="center"/>
      <protection locked="0"/>
    </xf>
    <xf numFmtId="0" fontId="56" fillId="0" borderId="0" xfId="0" applyFont="1"/>
    <xf numFmtId="164" fontId="56" fillId="0" borderId="0" xfId="1" applyFont="1"/>
    <xf numFmtId="3" fontId="6" fillId="0" borderId="0" xfId="2" applyNumberFormat="1" applyFont="1" applyAlignment="1" applyProtection="1">
      <alignment horizontal="left" vertical="center"/>
      <protection hidden="1"/>
    </xf>
    <xf numFmtId="0" fontId="0" fillId="0" borderId="0" xfId="0" applyAlignment="1">
      <alignment horizontal="center"/>
    </xf>
    <xf numFmtId="164" fontId="47" fillId="0" borderId="0" xfId="3" applyFont="1" applyFill="1" applyBorder="1" applyAlignment="1" applyProtection="1">
      <alignment horizontal="center" vertical="center"/>
      <protection hidden="1"/>
    </xf>
  </cellXfs>
  <cellStyles count="20">
    <cellStyle name="Comma" xfId="1" builtinId="3"/>
    <cellStyle name="Comma 2" xfId="6" xr:uid="{E46470C1-9B5A-4595-B209-B5A22F6FD35E}"/>
    <cellStyle name="Comma 2 2" xfId="7" xr:uid="{BA0C3283-85F2-41BD-9661-20BB2D881126}"/>
    <cellStyle name="Comma 3" xfId="3" xr:uid="{147C344F-3D53-4FE3-8774-243D3CF11B01}"/>
    <cellStyle name="Comma 3 2" xfId="16" xr:uid="{3758C139-D6F1-4644-901C-53F30D40E40A}"/>
    <cellStyle name="Comma 4" xfId="9" xr:uid="{191F8C21-BA55-403F-BC42-DFE1138F8939}"/>
    <cellStyle name="Comma 5" xfId="15" xr:uid="{24C21BC8-A91C-4AFE-9022-64F6AC64A7DA}"/>
    <cellStyle name="Hyperlink" xfId="19" builtinId="8"/>
    <cellStyle name="Hyperlink 2" xfId="12" xr:uid="{350FA1E1-E5C7-4199-AF70-85B280018591}"/>
    <cellStyle name="Input" xfId="18" builtinId="20"/>
    <cellStyle name="Normal" xfId="0" builtinId="0"/>
    <cellStyle name="Normal 2" xfId="8" xr:uid="{681FB9BE-6DC9-4FB1-A33D-E24E61A47736}"/>
    <cellStyle name="Normal 3" xfId="2" xr:uid="{E39BFA08-FE75-4DFC-A8E8-664EABCEF1BE}"/>
    <cellStyle name="Normal 3 2" xfId="11" xr:uid="{60DEF4BE-60B7-4F32-872F-44EA9054FC58}"/>
    <cellStyle name="Normal 4" xfId="13" xr:uid="{BB154376-835B-4ED8-9B12-C6EA34D5846E}"/>
    <cellStyle name="Normal 5" xfId="14" xr:uid="{F7A7360B-B185-477C-A0F4-1810C6835428}"/>
    <cellStyle name="Per cent" xfId="5" builtinId="5"/>
    <cellStyle name="Percent 2" xfId="4" xr:uid="{D01D47D2-8288-454C-920B-CA85C2E1B8E3}"/>
    <cellStyle name="Percent 3" xfId="10" xr:uid="{CD6283D0-F5C1-46A2-B2E2-954EC1CA2F95}"/>
    <cellStyle name="Title" xfId="17" builtinId="15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DA0C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1</xdr:row>
      <xdr:rowOff>11207</xdr:rowOff>
    </xdr:from>
    <xdr:to>
      <xdr:col>2</xdr:col>
      <xdr:colOff>301970</xdr:colOff>
      <xdr:row>4</xdr:row>
      <xdr:rowOff>171899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89B25-1FA7-40B8-A654-929BB6B7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68" y="201707"/>
          <a:ext cx="3064734" cy="722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43025</xdr:colOff>
      <xdr:row>0</xdr:row>
      <xdr:rowOff>67235</xdr:rowOff>
    </xdr:from>
    <xdr:to>
      <xdr:col>1</xdr:col>
      <xdr:colOff>3577732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0F125-00A4-42BB-B159-083124B4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729" y="67235"/>
          <a:ext cx="3531532" cy="800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1</xdr:row>
      <xdr:rowOff>11207</xdr:rowOff>
    </xdr:from>
    <xdr:to>
      <xdr:col>2</xdr:col>
      <xdr:colOff>301970</xdr:colOff>
      <xdr:row>4</xdr:row>
      <xdr:rowOff>168089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1EA96-5A66-42A8-B032-588F3BE2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68" y="201707"/>
          <a:ext cx="3071877" cy="7220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67235</xdr:rowOff>
    </xdr:from>
    <xdr:to>
      <xdr:col>1</xdr:col>
      <xdr:colOff>3565150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C71AE-9579-4E57-A8DD-1003A8F1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93" y="67235"/>
          <a:ext cx="3531532" cy="847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320040</xdr:colOff>
      <xdr:row>2</xdr:row>
      <xdr:rowOff>76200</xdr:rowOff>
    </xdr:from>
    <xdr:to>
      <xdr:col>13</xdr:col>
      <xdr:colOff>251012</xdr:colOff>
      <xdr:row>8</xdr:row>
      <xdr:rowOff>92784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8EADB1-0658-4714-B837-E5038977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240" y="441960"/>
          <a:ext cx="6636572" cy="111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236220</xdr:colOff>
      <xdr:row>9</xdr:row>
      <xdr:rowOff>152400</xdr:rowOff>
    </xdr:from>
    <xdr:to>
      <xdr:col>15</xdr:col>
      <xdr:colOff>91440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29D292-5360-6EE2-0AAF-3397290E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" y="1798320"/>
          <a:ext cx="8389620" cy="7345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266700</xdr:colOff>
      <xdr:row>8</xdr:row>
      <xdr:rowOff>121920</xdr:rowOff>
    </xdr:from>
    <xdr:to>
      <xdr:col>21</xdr:col>
      <xdr:colOff>373380</xdr:colOff>
      <xdr:row>16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B199F0-D827-B1A7-6C60-ADCB2D1E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584960"/>
          <a:ext cx="315468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2</xdr:row>
      <xdr:rowOff>11207</xdr:rowOff>
    </xdr:from>
    <xdr:to>
      <xdr:col>2</xdr:col>
      <xdr:colOff>415336</xdr:colOff>
      <xdr:row>5</xdr:row>
      <xdr:rowOff>129619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D95E8-F211-4726-A9A6-C3A849E5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68" y="201707"/>
          <a:ext cx="3071877" cy="72203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11</xdr:col>
      <xdr:colOff>929230</xdr:colOff>
      <xdr:row>123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AB6C2C-6D31-6E61-005A-82E3D849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6160" y="20734020"/>
          <a:ext cx="6614160" cy="113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67235</xdr:rowOff>
    </xdr:from>
    <xdr:to>
      <xdr:col>1</xdr:col>
      <xdr:colOff>3565150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C114D-2475-4CC4-9253-4FA42C84D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93" y="67235"/>
          <a:ext cx="3531532" cy="847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n/Fin/excel/Impwork/FLASH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hammad.Naeem/AppData/Local/Microsoft/Windows/Temporary%20Internet%20Files/Content.Outlook/SX4M0MTP/Budget%20201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R%20Ajaz\01%20RAR%20Ajaz\00%20Accounts\Budget%202018%20with%20three%20mths%20Proj\01%20RAR%20BU's%20HO%20Budget%202018\4%20Industrial%20Units%20Budget%202018\01%20Steel%20-%202018%20Budget%20F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sood\Local%20Settings\Temporary%20Internet%20Files\OLKAFC\Personal\Budget_Planner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t-server\1-pmt\12-PMT%20Reports\000-PDI%20Excel%20sheet%20and%20Monthly%20reports%202011-2012\PMT-Rpt-Master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AUDIT\AUDIT9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Chart%20of%20accounts%20final%20templ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yroll\1-MS%20DATA\MASTER%20DA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Ledger%20balances\ledgertran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oel.Ines\Documents\Noel\2009\Expenses\0109%20YTD%20IS_Detailed%20Expenses_JAN-JUL_Comple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%20FILES\Hisham\Specification%20development\Project%20list-%20DHW-Dec%20201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lshammari/Desktop/&#1582;&#1591;&#1577;%20&#1585;&#1608;&#1575;&#1578;&#157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n/TRIAL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cuments\Buildnow\FS\Dec'24\Profit%20and%20Loss%20KSA.xlsx" TargetMode="External"/><Relationship Id="rId1" Type="http://schemas.openxmlformats.org/officeDocument/2006/relationships/externalLinkPath" Target="/personal/syed_faruq_buildnow_sa/Documents/Buildnow/Hisham/Investco-SIDF%20Data%20Room/4.%20Finance/Profit%20and%20Loss%20K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LASH"/>
      <sheetName val="Print"/>
      <sheetName val="Sheet1"/>
      <sheetName val="Print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8"/>
      <sheetName val="Sheet9"/>
      <sheetName val="Budget Summary"/>
      <sheetName val="Income"/>
      <sheetName val="Write-up"/>
      <sheetName val="Sheet4"/>
      <sheetName val="Estimated Actual"/>
      <sheetName val="Salary 11"/>
      <sheetName val="Salary Summary"/>
      <sheetName val="Sheet7"/>
      <sheetName val="TOTAL STAFF"/>
      <sheetName val="Other Exp."/>
      <sheetName val="R &amp; M - H L P"/>
      <sheetName val="Sheet1"/>
      <sheetName val="Sheet12"/>
      <sheetName val="Trend"/>
      <sheetName val="Sales"/>
      <sheetName val="S2"/>
      <sheetName val="S1"/>
      <sheetName val="Sheet3"/>
      <sheetName val="Sheet21"/>
      <sheetName val="Working"/>
      <sheetName val="Sheet6"/>
      <sheetName val="P1"/>
      <sheetName val="P2"/>
      <sheetName val="P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_Bud"/>
      <sheetName val="validation_LY"/>
      <sheetName val="validation"/>
      <sheetName val="input"/>
      <sheetName val="reports list"/>
      <sheetName val="kpi"/>
      <sheetName val="rar01"/>
      <sheetName val="rar01A"/>
      <sheetName val="rar02"/>
      <sheetName val="rar02A"/>
      <sheetName val="rar03"/>
      <sheetName val="rar03A"/>
      <sheetName val="rar04"/>
      <sheetName val="rar05"/>
      <sheetName val="rar05A"/>
      <sheetName val="rar05B"/>
      <sheetName val="rar06"/>
      <sheetName val="rar07"/>
      <sheetName val="rar08"/>
      <sheetName val="Highlights"/>
      <sheetName val="KPIs"/>
      <sheetName val="Ratio_Bud"/>
      <sheetName val="CF_Bud"/>
      <sheetName val="BS_Bud"/>
      <sheetName val="PL_Bud"/>
      <sheetName val="RE_Bud"/>
      <sheetName val="Cash_Budget"/>
      <sheetName val="DSO_Bud"/>
      <sheetName val="CF_Budget"/>
      <sheetName val="CF_LY"/>
      <sheetName val="Other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Budget"/>
      <sheetName val="Budget By Month"/>
      <sheetName val="Tracking"/>
      <sheetName val="Comparison"/>
      <sheetName val="Daily Spend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t-Title"/>
      <sheetName val="PUF"/>
      <sheetName val="PDI"/>
      <sheetName val="Year-Smry"/>
      <sheetName val="PUF-1"/>
      <sheetName val="PUF-2"/>
      <sheetName val="PUF-3"/>
      <sheetName val="PDI-4"/>
      <sheetName val="PDI-3"/>
      <sheetName val="PDI-2"/>
      <sheetName val="PDI-1"/>
      <sheetName val="PUF-4"/>
      <sheetName val="PDI-9"/>
      <sheetName val="PDI-5"/>
      <sheetName val="PDI-8"/>
      <sheetName val="PDI-6"/>
      <sheetName val="PDI-7"/>
      <sheetName val="Sheet1"/>
      <sheetName val="Sheet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er94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MainAccount"/>
      <sheetName val="MainAccountCategory"/>
      <sheetName val="Dynamics AX Stat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ATA (3)"/>
      <sheetName val="ACT-DATA (2)"/>
      <sheetName val="Grading Systems (2)"/>
      <sheetName val="AGE-Before final (2)"/>
      <sheetName val="AGE-Before final"/>
      <sheetName val="Add-Remove TAS"/>
      <sheetName val="رواتب شهر    -2010"/>
      <sheetName val="تعريف (2)"/>
      <sheetName val="Grading Structure"/>
      <sheetName val="Grading Systems"/>
      <sheetName val="Vacation Settlement"/>
      <sheetName val="عقد عمل"/>
      <sheetName val="SFC Summary"/>
      <sheetName val="SA SFC-OS"/>
      <sheetName val="SA Dept-Loctn"/>
      <sheetName val="SA RATIO BY SECTION"/>
      <sheetName val="SA RATIO (2)"/>
      <sheetName val="SA RATIO"/>
      <sheetName val="Report New App."/>
      <sheetName val="Report Res.Ter."/>
      <sheetName val="Monthly Report"/>
      <sheetName val="SA RATIO BY DEPTLOCA"/>
      <sheetName val="Postion By Branch"/>
      <sheetName val="Setting"/>
      <sheetName val="PicDATA"/>
      <sheetName val="Sheet2"/>
      <sheetName val="File Cover"/>
      <sheetName val="SIMAH"/>
      <sheetName val="PP-New Employee"/>
      <sheetName val="ADIB Academy"/>
      <sheetName val="Employee Information2"/>
      <sheetName val="ID Expiring Report"/>
      <sheetName val="ACT-DATA"/>
      <sheetName val="NACT-DATA"/>
      <sheetName val="قرار تعيين"/>
      <sheetName val="Families Data (Bupa)"/>
      <sheetName val="MI All"/>
      <sheetName val="Services"/>
      <sheetName val="Bupa"/>
      <sheetName val="PAYROLL"/>
      <sheetName val="PAYROLL1"/>
      <sheetName val="HA"/>
      <sheetName val="LOAN"/>
      <sheetName val="MI-Other Loan"/>
      <sheetName val="Other Deduction"/>
      <sheetName val="MI Upgrade"/>
      <sheetName val="MI Upgrade (2)"/>
      <sheetName val="Ref. No. maker"/>
      <sheetName val="EC Normal"/>
      <sheetName val="EC Normal EOS"/>
      <sheetName val="EC Full Details"/>
      <sheetName val="EC WO Salary"/>
      <sheetName val="خطاب تثبيت"/>
      <sheetName val="خطاب تثبيت (F)"/>
      <sheetName val="EN CERTIFICATE (2)"/>
      <sheetName val="قرار نقل"/>
      <sheetName val="قرار ترقية"/>
      <sheetName val="خبرة"/>
      <sheetName val="خبرة F"/>
      <sheetName val="Clearance"/>
      <sheetName val="EOS"/>
      <sheetName val="قرار"/>
      <sheetName val="EOS-B"/>
      <sheetName val="TO RATIO"/>
      <sheetName val="GOSI"/>
      <sheetName val="Warning Letter  (2)"/>
      <sheetName val="Warning Letter "/>
      <sheetName val="Warning Letter  (3)"/>
      <sheetName val="EN CERTIFIC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A2" t="str">
            <v>A1378_</v>
          </cell>
        </row>
      </sheetData>
      <sheetData sheetId="31"/>
      <sheetData sheetId="32">
        <row r="1">
          <cell r="A1" t="str">
            <v>IMP #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LedgerJournalTran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list"/>
      <sheetName val="conso"/>
      <sheetName val="steel"/>
      <sheetName val="fasteners"/>
      <sheetName val="filters"/>
      <sheetName val="polywood"/>
      <sheetName val="efs"/>
      <sheetName val="bmd"/>
      <sheetName val="cement"/>
      <sheetName val="goodyear"/>
      <sheetName val="transport"/>
      <sheetName val="saveto"/>
      <sheetName val="ramat"/>
      <sheetName val="insuwrap"/>
      <sheetName val="sascom"/>
      <sheetName val="food"/>
      <sheetName val="cwc"/>
      <sheetName val="sidmas"/>
      <sheetName val="uae"/>
      <sheetName val="donaldson"/>
      <sheetName val="nibco"/>
      <sheetName val="comate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olidays"/>
    </sheetNames>
    <sheetDataSet>
      <sheetData sheetId="0" refreshError="1">
        <row r="4">
          <cell r="H4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TRIAL"/>
      <sheetName val="FA"/>
      <sheetName val="2006"/>
      <sheetName val="Sheet3"/>
      <sheetName val="2005"/>
      <sheetName val="2004"/>
      <sheetName val="Sheet1"/>
      <sheetName val="Sheet2"/>
      <sheetName val="TRIALMarch"/>
      <sheetName val="TRIAL (Dec)"/>
      <sheetName val="owner"/>
      <sheetName val="Sheet5"/>
      <sheetName val="Bs-Detail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_and_loss KSA"/>
      <sheetName val="profit_and_loss USA"/>
      <sheetName val="PnL All"/>
      <sheetName val="BS KSA"/>
      <sheetName val="BS USA"/>
      <sheetName val="BS Conso"/>
      <sheetName val="CF"/>
      <sheetName val="AR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>
        <row r="56">
          <cell r="C56">
            <v>-3527269.7399999993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8F99-DA19-4332-A4C0-5CCFC501E6FF}">
  <sheetPr codeName="Sheet1"/>
  <dimension ref="A4:Y160"/>
  <sheetViews>
    <sheetView showGridLines="0" zoomScale="90" zoomScaleNormal="90" workbookViewId="0">
      <pane xSplit="2" ySplit="9" topLeftCell="C19" activePane="bottomRight" state="frozen"/>
      <selection pane="topRight" activeCell="C1" sqref="C1"/>
      <selection pane="bottomLeft" activeCell="A10" sqref="A10"/>
      <selection pane="bottomRight" activeCell="H102" sqref="H102"/>
    </sheetView>
  </sheetViews>
  <sheetFormatPr defaultRowHeight="14.25" outlineLevelRow="1" outlineLevelCol="1" x14ac:dyDescent="0.45"/>
  <cols>
    <col min="1" max="1" width="3.46484375" style="1" customWidth="1"/>
    <col min="2" max="2" width="42.46484375" bestFit="1" customWidth="1"/>
    <col min="3" max="3" width="18.53125" customWidth="1"/>
    <col min="4" max="4" width="17" customWidth="1"/>
    <col min="5" max="5" width="18.53125" customWidth="1" outlineLevel="1"/>
    <col min="6" max="6" width="17" customWidth="1" outlineLevel="1"/>
    <col min="7" max="7" width="15.53125" customWidth="1" outlineLevel="1"/>
    <col min="8" max="8" width="13.46484375" customWidth="1"/>
    <col min="9" max="11" width="15.53125" customWidth="1" outlineLevel="1"/>
    <col min="12" max="12" width="17" customWidth="1"/>
    <col min="13" max="15" width="15.53125" customWidth="1" outlineLevel="1"/>
    <col min="16" max="16" width="17" customWidth="1"/>
    <col min="17" max="19" width="15.53125" customWidth="1" outlineLevel="1"/>
    <col min="20" max="20" width="4" customWidth="1" outlineLevel="1"/>
    <col min="21" max="21" width="11.53125" bestFit="1" customWidth="1"/>
    <col min="22" max="22" width="12.53125" bestFit="1" customWidth="1"/>
    <col min="23" max="23" width="11.53125" bestFit="1" customWidth="1"/>
    <col min="24" max="24" width="10.53125" bestFit="1" customWidth="1"/>
    <col min="25" max="25" width="11.53125" bestFit="1" customWidth="1"/>
  </cols>
  <sheetData>
    <row r="4" spans="1:22" x14ac:dyDescent="0.45">
      <c r="C4" s="148"/>
      <c r="D4" s="2"/>
      <c r="E4" s="2"/>
      <c r="F4" s="2"/>
      <c r="G4" s="2"/>
      <c r="H4" s="2"/>
      <c r="I4" s="2"/>
      <c r="J4" s="2"/>
      <c r="K4" s="2"/>
      <c r="L4" s="2"/>
      <c r="M4" s="2"/>
      <c r="P4" s="2"/>
      <c r="Q4" s="2"/>
    </row>
    <row r="5" spans="1:22" s="6" customFormat="1" ht="15.4" x14ac:dyDescent="0.4">
      <c r="A5" s="3"/>
      <c r="B5" s="4"/>
      <c r="C5" s="5"/>
      <c r="D5" s="40"/>
      <c r="E5" s="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92"/>
    </row>
    <row r="6" spans="1:22" s="6" customFormat="1" ht="15.75" thickBot="1" x14ac:dyDescent="0.45">
      <c r="A6" s="3"/>
      <c r="B6" s="23"/>
      <c r="C6" s="5"/>
      <c r="D6" s="40"/>
      <c r="E6" s="5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92"/>
    </row>
    <row r="7" spans="1:22" ht="14.65" thickBot="1" x14ac:dyDescent="0.5">
      <c r="B7" s="45" t="s">
        <v>0</v>
      </c>
      <c r="C7" s="46" t="s">
        <v>1</v>
      </c>
      <c r="D7" s="47" t="s">
        <v>2</v>
      </c>
      <c r="E7" s="47" t="s">
        <v>3</v>
      </c>
      <c r="F7" s="47" t="s">
        <v>3</v>
      </c>
      <c r="G7" s="47" t="s">
        <v>3</v>
      </c>
      <c r="H7" s="47" t="s">
        <v>4</v>
      </c>
      <c r="I7" s="47" t="s">
        <v>3</v>
      </c>
      <c r="J7" s="47" t="s">
        <v>3</v>
      </c>
      <c r="K7" s="47" t="s">
        <v>3</v>
      </c>
      <c r="L7" s="47" t="s">
        <v>5</v>
      </c>
      <c r="M7" s="47" t="s">
        <v>3</v>
      </c>
      <c r="N7" s="47" t="s">
        <v>3</v>
      </c>
      <c r="O7" s="47" t="s">
        <v>3</v>
      </c>
      <c r="P7" s="47" t="s">
        <v>6</v>
      </c>
      <c r="Q7" s="47" t="s">
        <v>3</v>
      </c>
      <c r="R7" s="47" t="s">
        <v>3</v>
      </c>
      <c r="S7" s="47" t="s">
        <v>3</v>
      </c>
      <c r="T7" s="91"/>
    </row>
    <row r="8" spans="1:22" x14ac:dyDescent="0.45">
      <c r="B8" s="7" t="s">
        <v>7</v>
      </c>
      <c r="C8" s="8">
        <v>45657</v>
      </c>
      <c r="D8" s="38" t="s">
        <v>8</v>
      </c>
      <c r="E8" s="8">
        <v>45657</v>
      </c>
      <c r="F8" s="8">
        <v>45626</v>
      </c>
      <c r="G8" s="8">
        <v>45596</v>
      </c>
      <c r="H8" s="38" t="s">
        <v>8</v>
      </c>
      <c r="I8" s="8">
        <v>45565</v>
      </c>
      <c r="J8" s="8">
        <v>45535</v>
      </c>
      <c r="K8" s="8">
        <v>45504</v>
      </c>
      <c r="L8" s="38" t="s">
        <v>8</v>
      </c>
      <c r="M8" s="8">
        <v>45473</v>
      </c>
      <c r="N8" s="8">
        <v>45443</v>
      </c>
      <c r="O8" s="8">
        <v>45412</v>
      </c>
      <c r="P8" s="38" t="s">
        <v>8</v>
      </c>
      <c r="Q8" s="8">
        <v>45382</v>
      </c>
      <c r="R8" s="8">
        <v>45350</v>
      </c>
      <c r="S8" s="8">
        <v>45322</v>
      </c>
      <c r="T8" s="8"/>
    </row>
    <row r="9" spans="1:22" ht="15.4" x14ac:dyDescent="0.45">
      <c r="B9" s="9"/>
      <c r="C9" s="10"/>
      <c r="D9" s="10"/>
      <c r="E9" s="10"/>
      <c r="F9" s="40"/>
      <c r="G9" s="4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2" x14ac:dyDescent="0.45">
      <c r="B10" s="11" t="s">
        <v>9</v>
      </c>
      <c r="C10" s="51">
        <f>SUM(D10:S10)-P10-L10-H10-D10</f>
        <v>76420879.800000027</v>
      </c>
      <c r="D10" s="51">
        <f>SUM(E10:G10)</f>
        <v>21384439.829999998</v>
      </c>
      <c r="E10" s="51">
        <v>10080211.189999999</v>
      </c>
      <c r="F10" s="51">
        <v>7198821.5999999996</v>
      </c>
      <c r="G10" s="51">
        <v>4105407.04</v>
      </c>
      <c r="H10" s="51">
        <f>SUM(I10:K10)</f>
        <v>18352784.899999999</v>
      </c>
      <c r="I10" s="12">
        <v>4309452.55</v>
      </c>
      <c r="J10" s="51">
        <v>6772611.9900000002</v>
      </c>
      <c r="K10" s="51">
        <v>7270720.3600000003</v>
      </c>
      <c r="L10" s="51">
        <f>SUM(M10:O10)</f>
        <v>19534533.07</v>
      </c>
      <c r="M10" s="51">
        <v>6957712.6200000001</v>
      </c>
      <c r="N10" s="51">
        <v>7682337.1699999999</v>
      </c>
      <c r="O10" s="51">
        <v>4894483.28</v>
      </c>
      <c r="P10" s="51">
        <f>SUM(Q10:S10)</f>
        <v>17149122</v>
      </c>
      <c r="Q10" s="51">
        <v>9910492.9399999995</v>
      </c>
      <c r="R10" s="51">
        <v>4805893.41</v>
      </c>
      <c r="S10" s="51">
        <v>2432735.65</v>
      </c>
      <c r="T10" s="51"/>
    </row>
    <row r="11" spans="1:22" x14ac:dyDescent="0.45">
      <c r="B11" s="11" t="s">
        <v>10</v>
      </c>
      <c r="C11" s="51">
        <f t="shared" ref="C11:C12" si="0">SUM(D11:S11)-P11-L11-H11-D11</f>
        <v>69127801.870000005</v>
      </c>
      <c r="D11" s="51">
        <f>SUM(E11:G11)</f>
        <v>19099399.469999999</v>
      </c>
      <c r="E11" s="51">
        <v>9065157.9299999997</v>
      </c>
      <c r="F11" s="51">
        <v>6363434.9699999997</v>
      </c>
      <c r="G11" s="51">
        <v>3670806.57</v>
      </c>
      <c r="H11" s="51">
        <f>SUM(I11:K11)</f>
        <v>16705222.759999998</v>
      </c>
      <c r="I11" s="51">
        <v>3901380</v>
      </c>
      <c r="J11" s="51">
        <v>6268335.9699999997</v>
      </c>
      <c r="K11" s="51">
        <v>6535506.79</v>
      </c>
      <c r="L11" s="51">
        <f>SUM(M11:O11)</f>
        <v>17712882.800000001</v>
      </c>
      <c r="M11" s="51">
        <v>6212033.4699999997</v>
      </c>
      <c r="N11" s="51">
        <v>6980089.3600000003</v>
      </c>
      <c r="O11" s="51">
        <v>4520759.97</v>
      </c>
      <c r="P11" s="51">
        <f>SUM(Q11:S11)</f>
        <v>15610296.840000002</v>
      </c>
      <c r="Q11" s="51">
        <v>9054208.3900000006</v>
      </c>
      <c r="R11" s="51">
        <v>4407294.05</v>
      </c>
      <c r="S11" s="51">
        <v>2148794.4</v>
      </c>
      <c r="T11" s="51"/>
    </row>
    <row r="12" spans="1:22" outlineLevel="1" x14ac:dyDescent="0.45">
      <c r="B12" s="11" t="s">
        <v>11</v>
      </c>
      <c r="C12" s="51">
        <f t="shared" si="0"/>
        <v>-93226.450000000012</v>
      </c>
      <c r="D12" s="51">
        <f>SUM(E12:G12)</f>
        <v>-1236.25</v>
      </c>
      <c r="E12" s="51">
        <v>0</v>
      </c>
      <c r="F12" s="51"/>
      <c r="G12" s="62">
        <v>-1236.25</v>
      </c>
      <c r="H12" s="51">
        <f>SUM(I12:K12)</f>
        <v>-54172.81</v>
      </c>
      <c r="I12" s="51">
        <v>-6670</v>
      </c>
      <c r="J12" s="51">
        <v>-7915.43</v>
      </c>
      <c r="K12" s="51">
        <v>-39587.379999999997</v>
      </c>
      <c r="L12" s="51">
        <f>SUM(M12:O12)</f>
        <v>-18295.8</v>
      </c>
      <c r="M12" s="62"/>
      <c r="N12" s="62">
        <v>-5820.46</v>
      </c>
      <c r="O12" s="62">
        <v>-12475.34</v>
      </c>
      <c r="P12" s="51">
        <f>SUM(Q12:S12)</f>
        <v>-19521.59</v>
      </c>
      <c r="Q12" s="62">
        <v>-11033.03</v>
      </c>
      <c r="R12" s="51">
        <v>-8488.56</v>
      </c>
      <c r="S12" s="51">
        <v>0</v>
      </c>
      <c r="T12" s="62"/>
      <c r="V12" s="35"/>
    </row>
    <row r="13" spans="1:22" x14ac:dyDescent="0.45">
      <c r="B13" s="102" t="s">
        <v>12</v>
      </c>
      <c r="C13" s="103">
        <f>+C10-(C11+C12)</f>
        <v>7386304.380000025</v>
      </c>
      <c r="D13" s="103">
        <f>+D10-(D11+D12)</f>
        <v>2286276.6099999994</v>
      </c>
      <c r="E13" s="103">
        <f>+E10-(E11+E12)</f>
        <v>1015053.2599999998</v>
      </c>
      <c r="F13" s="103">
        <f t="shared" ref="F13:S13" si="1">+F10-(F11+F12)</f>
        <v>835386.62999999989</v>
      </c>
      <c r="G13" s="103">
        <f t="shared" si="1"/>
        <v>435836.7200000002</v>
      </c>
      <c r="H13" s="103">
        <f t="shared" si="1"/>
        <v>1701734.9500000011</v>
      </c>
      <c r="I13" s="103">
        <f t="shared" si="1"/>
        <v>414742.54999999981</v>
      </c>
      <c r="J13" s="103">
        <f t="shared" si="1"/>
        <v>512191.45000000019</v>
      </c>
      <c r="K13" s="103">
        <f t="shared" si="1"/>
        <v>774800.95000000019</v>
      </c>
      <c r="L13" s="103">
        <f t="shared" si="1"/>
        <v>1839946.0700000003</v>
      </c>
      <c r="M13" s="103">
        <f t="shared" si="1"/>
        <v>745679.15000000037</v>
      </c>
      <c r="N13" s="103">
        <f t="shared" si="1"/>
        <v>708068.26999999955</v>
      </c>
      <c r="O13" s="103">
        <f t="shared" si="1"/>
        <v>386198.65000000037</v>
      </c>
      <c r="P13" s="103">
        <f t="shared" si="1"/>
        <v>1558346.7499999981</v>
      </c>
      <c r="Q13" s="103">
        <f t="shared" si="1"/>
        <v>867317.57999999821</v>
      </c>
      <c r="R13" s="103">
        <f t="shared" si="1"/>
        <v>407087.91999999993</v>
      </c>
      <c r="S13" s="103">
        <f t="shared" si="1"/>
        <v>283941.25</v>
      </c>
      <c r="T13" s="51"/>
      <c r="U13" s="18"/>
    </row>
    <row r="14" spans="1:22" x14ac:dyDescent="0.45">
      <c r="B14" s="15" t="s">
        <v>13</v>
      </c>
      <c r="C14" s="63">
        <f>+D14+H14+L14+P14</f>
        <v>293478.27</v>
      </c>
      <c r="D14" s="63">
        <f>SUM(E14:G14)</f>
        <v>26086.959999999999</v>
      </c>
      <c r="E14" s="51">
        <v>26086.959999999999</v>
      </c>
      <c r="F14" s="63"/>
      <c r="G14" s="63">
        <v>0</v>
      </c>
      <c r="H14" s="63">
        <f>SUM(I14:K14)</f>
        <v>143478.26</v>
      </c>
      <c r="I14" s="63">
        <v>0</v>
      </c>
      <c r="J14" s="63">
        <v>0</v>
      </c>
      <c r="K14" s="63">
        <v>143478.26</v>
      </c>
      <c r="L14" s="63">
        <f>SUM(M14:O14)</f>
        <v>0</v>
      </c>
      <c r="M14" s="63">
        <v>0</v>
      </c>
      <c r="N14" s="63">
        <v>0</v>
      </c>
      <c r="O14" s="63">
        <v>0</v>
      </c>
      <c r="P14" s="63">
        <f>SUM(Q14:S14)</f>
        <v>123913.05</v>
      </c>
      <c r="Q14" s="63">
        <v>19565.22</v>
      </c>
      <c r="R14" s="63">
        <v>104347.83</v>
      </c>
      <c r="S14" s="63">
        <v>0</v>
      </c>
      <c r="T14" s="51"/>
      <c r="U14" s="18"/>
    </row>
    <row r="15" spans="1:22" s="95" customFormat="1" x14ac:dyDescent="0.45">
      <c r="A15" s="94"/>
      <c r="B15" s="19" t="s">
        <v>14</v>
      </c>
      <c r="C15" s="54">
        <f>+D15+H15+L15+P15</f>
        <v>7679782.6499999985</v>
      </c>
      <c r="D15" s="54">
        <f>SUM(E15:G15)</f>
        <v>2312363.5699999998</v>
      </c>
      <c r="E15" s="54">
        <f>+E14+E13</f>
        <v>1041140.2199999997</v>
      </c>
      <c r="F15" s="54">
        <f>+F14+F13</f>
        <v>835386.62999999989</v>
      </c>
      <c r="G15" s="54">
        <f>+G14+G13</f>
        <v>435836.7200000002</v>
      </c>
      <c r="H15" s="54">
        <f>SUM(I15:K15)</f>
        <v>1845213.2100000002</v>
      </c>
      <c r="I15" s="54">
        <f>+I14+I13</f>
        <v>414742.54999999981</v>
      </c>
      <c r="J15" s="54">
        <f>+J14+J13</f>
        <v>512191.45000000019</v>
      </c>
      <c r="K15" s="54">
        <f>+K14+K13</f>
        <v>918279.2100000002</v>
      </c>
      <c r="L15" s="54">
        <f>SUM(M15:O15)</f>
        <v>1839946.0700000003</v>
      </c>
      <c r="M15" s="54">
        <f>+M14+M13</f>
        <v>745679.15000000037</v>
      </c>
      <c r="N15" s="54">
        <f>+N14+N13</f>
        <v>708068.26999999955</v>
      </c>
      <c r="O15" s="54">
        <f>+O14+O13</f>
        <v>386198.65000000037</v>
      </c>
      <c r="P15" s="54">
        <f>SUM(Q15:S15)</f>
        <v>1682259.7999999982</v>
      </c>
      <c r="Q15" s="54">
        <f>+Q14+Q13</f>
        <v>886882.79999999818</v>
      </c>
      <c r="R15" s="54">
        <f>+R14+R13</f>
        <v>511435.74999999994</v>
      </c>
      <c r="S15" s="54">
        <f>+S14+S13</f>
        <v>283941.25</v>
      </c>
      <c r="T15" s="55"/>
      <c r="U15" s="42"/>
    </row>
    <row r="16" spans="1:22" x14ac:dyDescent="0.45">
      <c r="B16" s="34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118"/>
      <c r="O16" s="109"/>
      <c r="P16" s="62"/>
      <c r="Q16" s="109"/>
      <c r="R16" s="109"/>
      <c r="S16" s="109"/>
      <c r="T16" s="62"/>
      <c r="V16" s="35"/>
    </row>
    <row r="17" spans="1:24" s="95" customFormat="1" x14ac:dyDescent="0.45">
      <c r="A17" s="94"/>
      <c r="B17" s="93" t="s">
        <v>15</v>
      </c>
      <c r="C17" s="98">
        <f>SUM(C18:C33)</f>
        <v>865548.78000000026</v>
      </c>
      <c r="D17" s="98">
        <f>SUM(D18:D33)</f>
        <v>472997.60000000003</v>
      </c>
      <c r="E17" s="98">
        <f>SUM(E18:E33)</f>
        <v>293429.8</v>
      </c>
      <c r="F17" s="98">
        <f t="shared" ref="F17:S17" si="2">SUM(F18:F33)</f>
        <v>73778.62</v>
      </c>
      <c r="G17" s="98">
        <f t="shared" si="2"/>
        <v>105789.18</v>
      </c>
      <c r="H17" s="98">
        <f t="shared" si="2"/>
        <v>144942.12</v>
      </c>
      <c r="I17" s="98">
        <f t="shared" si="2"/>
        <v>65829.61</v>
      </c>
      <c r="J17" s="98">
        <f t="shared" si="2"/>
        <v>32644.120000000003</v>
      </c>
      <c r="K17" s="98">
        <f t="shared" si="2"/>
        <v>46364.26</v>
      </c>
      <c r="L17" s="98">
        <f t="shared" si="2"/>
        <v>129102.09</v>
      </c>
      <c r="M17" s="98">
        <f t="shared" si="2"/>
        <v>35813.930000000008</v>
      </c>
      <c r="N17" s="98">
        <f t="shared" si="2"/>
        <v>60308.189999999995</v>
      </c>
      <c r="O17" s="98">
        <f t="shared" si="2"/>
        <v>32979.97</v>
      </c>
      <c r="P17" s="98">
        <f t="shared" si="2"/>
        <v>118611.09999999999</v>
      </c>
      <c r="Q17" s="98">
        <f t="shared" si="2"/>
        <v>34474.94</v>
      </c>
      <c r="R17" s="98">
        <f t="shared" si="2"/>
        <v>37465.490000000005</v>
      </c>
      <c r="S17" s="98">
        <f t="shared" si="2"/>
        <v>46670.67</v>
      </c>
      <c r="T17" s="55"/>
      <c r="V17" s="99"/>
      <c r="W17" s="100"/>
      <c r="X17" s="97"/>
    </row>
    <row r="18" spans="1:24" outlineLevel="1" x14ac:dyDescent="0.45">
      <c r="B18" s="16" t="s">
        <v>16</v>
      </c>
      <c r="C18" s="51">
        <f>SUM(D18:S18)-P18-L18-H18-D18</f>
        <v>203016.6400000001</v>
      </c>
      <c r="D18" s="51">
        <f>SUM(E18:G18)</f>
        <v>203011.78</v>
      </c>
      <c r="E18" s="51">
        <v>203009.5</v>
      </c>
      <c r="F18" s="51">
        <v>0.37</v>
      </c>
      <c r="G18" s="62">
        <v>1.91</v>
      </c>
      <c r="H18" s="51">
        <f>SUM(I18:K18)</f>
        <v>2.67</v>
      </c>
      <c r="I18" s="51">
        <v>0.5</v>
      </c>
      <c r="J18" s="51">
        <v>0.4</v>
      </c>
      <c r="K18" s="51">
        <v>1.77</v>
      </c>
      <c r="L18" s="51">
        <f>SUM(M18:O18)</f>
        <v>0.63</v>
      </c>
      <c r="M18" s="62">
        <v>0</v>
      </c>
      <c r="N18" s="62">
        <v>0.63</v>
      </c>
      <c r="O18" s="62">
        <v>0</v>
      </c>
      <c r="P18" s="51">
        <f>SUM(Q18:S18)</f>
        <v>1.56</v>
      </c>
      <c r="Q18" s="62">
        <v>0.51</v>
      </c>
      <c r="R18" s="51">
        <v>0.27</v>
      </c>
      <c r="S18" s="51">
        <v>0.78</v>
      </c>
      <c r="T18" s="62"/>
      <c r="V18" s="35"/>
    </row>
    <row r="19" spans="1:24" outlineLevel="1" x14ac:dyDescent="0.45">
      <c r="B19" s="16" t="s">
        <v>17</v>
      </c>
      <c r="C19" s="51">
        <f t="shared" ref="C19:C31" si="3">SUM(D19:S19)-P19-L19-H19-D19</f>
        <v>7108.2499999999982</v>
      </c>
      <c r="D19" s="51">
        <f t="shared" ref="D19:D53" si="4">SUM(E19:G19)</f>
        <v>1210.76</v>
      </c>
      <c r="E19" s="51">
        <v>354.16</v>
      </c>
      <c r="F19" s="51">
        <v>434.86</v>
      </c>
      <c r="G19" s="62">
        <v>421.74</v>
      </c>
      <c r="H19" s="51">
        <f t="shared" ref="H19:H53" si="5">SUM(I19:K19)</f>
        <v>1167.17</v>
      </c>
      <c r="I19" s="51">
        <v>268.89</v>
      </c>
      <c r="J19" s="51">
        <v>319.69</v>
      </c>
      <c r="K19" s="51">
        <v>578.59</v>
      </c>
      <c r="L19" s="51">
        <f t="shared" ref="L19:L53" si="6">SUM(M19:O19)</f>
        <v>2248.14</v>
      </c>
      <c r="M19" s="62">
        <v>570.09</v>
      </c>
      <c r="N19" s="62">
        <v>954.67</v>
      </c>
      <c r="O19" s="62">
        <v>723.38</v>
      </c>
      <c r="P19" s="51">
        <f t="shared" ref="P19:P51" si="7">SUM(Q19:S19)</f>
        <v>2482.1799999999998</v>
      </c>
      <c r="Q19" s="62">
        <v>872.4</v>
      </c>
      <c r="R19" s="51">
        <v>1040.1400000000001</v>
      </c>
      <c r="S19" s="51">
        <v>569.64</v>
      </c>
      <c r="T19" s="62"/>
      <c r="V19" s="35"/>
    </row>
    <row r="20" spans="1:24" outlineLevel="1" x14ac:dyDescent="0.45">
      <c r="B20" s="16" t="s">
        <v>18</v>
      </c>
      <c r="C20" s="51">
        <f t="shared" si="3"/>
        <v>25690.34</v>
      </c>
      <c r="D20" s="51">
        <f t="shared" si="4"/>
        <v>2690.87</v>
      </c>
      <c r="E20" s="51">
        <v>819.32</v>
      </c>
      <c r="F20" s="51">
        <v>669.05</v>
      </c>
      <c r="G20" s="62">
        <v>1202.5</v>
      </c>
      <c r="H20" s="51">
        <f>SUM(I20:K20)</f>
        <v>8440</v>
      </c>
      <c r="I20" s="51">
        <v>4877.46</v>
      </c>
      <c r="J20" s="51">
        <v>3027.63</v>
      </c>
      <c r="K20" s="51">
        <v>534.91</v>
      </c>
      <c r="L20" s="51">
        <f t="shared" si="6"/>
        <v>8750.4000000000015</v>
      </c>
      <c r="M20" s="62">
        <v>682.6</v>
      </c>
      <c r="N20" s="62">
        <v>7993.77</v>
      </c>
      <c r="O20" s="62">
        <v>74.03</v>
      </c>
      <c r="P20" s="51">
        <f t="shared" si="7"/>
        <v>5809.07</v>
      </c>
      <c r="Q20" s="62">
        <v>7.83</v>
      </c>
      <c r="R20" s="51">
        <v>3179.47</v>
      </c>
      <c r="S20" s="51">
        <v>2621.77</v>
      </c>
      <c r="T20" s="62"/>
      <c r="V20" s="35"/>
    </row>
    <row r="21" spans="1:24" outlineLevel="1" x14ac:dyDescent="0.45">
      <c r="B21" s="16" t="s">
        <v>19</v>
      </c>
      <c r="C21" s="51">
        <f t="shared" si="3"/>
        <v>24609.210000000003</v>
      </c>
      <c r="D21" s="51">
        <f t="shared" si="4"/>
        <v>13664.34</v>
      </c>
      <c r="E21" s="51">
        <v>4705.55</v>
      </c>
      <c r="F21" s="51">
        <v>1182.28</v>
      </c>
      <c r="G21" s="62">
        <v>7776.51</v>
      </c>
      <c r="H21" s="51">
        <f t="shared" si="5"/>
        <v>6139.69</v>
      </c>
      <c r="I21" s="51">
        <v>282</v>
      </c>
      <c r="J21" s="51">
        <v>4257.6499999999996</v>
      </c>
      <c r="K21" s="51">
        <v>1600.04</v>
      </c>
      <c r="L21" s="51">
        <f t="shared" si="6"/>
        <v>3342.28</v>
      </c>
      <c r="M21" s="62">
        <v>983.6</v>
      </c>
      <c r="N21" s="62">
        <v>1889.74</v>
      </c>
      <c r="O21" s="62">
        <v>468.94</v>
      </c>
      <c r="P21" s="51">
        <f t="shared" si="7"/>
        <v>1462.9</v>
      </c>
      <c r="Q21" s="62">
        <v>824.4</v>
      </c>
      <c r="R21" s="51">
        <v>454</v>
      </c>
      <c r="S21" s="51">
        <v>184.5</v>
      </c>
      <c r="T21" s="62"/>
      <c r="V21" s="35"/>
    </row>
    <row r="22" spans="1:24" outlineLevel="1" x14ac:dyDescent="0.45">
      <c r="B22" s="16" t="s">
        <v>20</v>
      </c>
      <c r="C22" s="51">
        <f t="shared" si="3"/>
        <v>481</v>
      </c>
      <c r="D22" s="51">
        <f t="shared" ref="D22" si="8">SUM(E22:G22)</f>
        <v>1</v>
      </c>
      <c r="E22" s="51">
        <v>0</v>
      </c>
      <c r="F22" s="51">
        <v>0</v>
      </c>
      <c r="G22" s="62">
        <v>1</v>
      </c>
      <c r="H22" s="51">
        <f t="shared" si="5"/>
        <v>0</v>
      </c>
      <c r="I22" s="51">
        <v>0</v>
      </c>
      <c r="J22" s="51">
        <v>0</v>
      </c>
      <c r="K22" s="51">
        <v>0</v>
      </c>
      <c r="L22" s="51">
        <f t="shared" si="6"/>
        <v>0</v>
      </c>
      <c r="M22" s="62">
        <v>0</v>
      </c>
      <c r="N22" s="62">
        <v>0</v>
      </c>
      <c r="O22" s="62">
        <v>0</v>
      </c>
      <c r="P22" s="51">
        <f t="shared" si="7"/>
        <v>480</v>
      </c>
      <c r="Q22" s="62">
        <v>0</v>
      </c>
      <c r="R22" s="51">
        <v>480</v>
      </c>
      <c r="S22" s="51">
        <v>0</v>
      </c>
      <c r="T22" s="62"/>
      <c r="V22" s="35"/>
    </row>
    <row r="23" spans="1:24" outlineLevel="1" x14ac:dyDescent="0.45">
      <c r="B23" s="16" t="s">
        <v>21</v>
      </c>
      <c r="C23" s="51">
        <f t="shared" si="3"/>
        <v>29931.989999999998</v>
      </c>
      <c r="D23" s="51">
        <f t="shared" ref="D23" si="9">SUM(E23:G23)</f>
        <v>3750</v>
      </c>
      <c r="E23" s="51">
        <v>3750</v>
      </c>
      <c r="F23" s="51">
        <v>0</v>
      </c>
      <c r="G23" s="62">
        <v>0</v>
      </c>
      <c r="H23" s="51">
        <f t="shared" ref="H23" si="10">SUM(I23:K23)</f>
        <v>18156.739999999998</v>
      </c>
      <c r="I23" s="51">
        <v>2446.84</v>
      </c>
      <c r="J23" s="51">
        <v>0</v>
      </c>
      <c r="K23" s="51">
        <v>15709.9</v>
      </c>
      <c r="L23" s="51">
        <f t="shared" ref="L23" si="11">SUM(M23:O23)</f>
        <v>8025.25</v>
      </c>
      <c r="M23" s="62">
        <v>0</v>
      </c>
      <c r="N23" s="62">
        <v>8025.25</v>
      </c>
      <c r="O23" s="62">
        <v>0</v>
      </c>
      <c r="P23" s="51">
        <f t="shared" ref="P23" si="12">SUM(Q23:S23)</f>
        <v>0</v>
      </c>
      <c r="Q23" s="62">
        <v>0</v>
      </c>
      <c r="R23" s="51">
        <v>0</v>
      </c>
      <c r="S23" s="51">
        <v>0</v>
      </c>
      <c r="T23" s="62"/>
      <c r="V23" s="35"/>
    </row>
    <row r="24" spans="1:24" outlineLevel="1" x14ac:dyDescent="0.45">
      <c r="B24" s="16" t="s">
        <v>22</v>
      </c>
      <c r="C24" s="51">
        <f t="shared" si="3"/>
        <v>4591.3599999999997</v>
      </c>
      <c r="D24" s="51">
        <f t="shared" si="4"/>
        <v>1056.29</v>
      </c>
      <c r="E24" s="51">
        <v>241</v>
      </c>
      <c r="F24" s="51">
        <v>675.29</v>
      </c>
      <c r="G24" s="62">
        <v>140</v>
      </c>
      <c r="H24" s="51">
        <f t="shared" si="5"/>
        <v>2690.93</v>
      </c>
      <c r="I24" s="51">
        <v>990.06</v>
      </c>
      <c r="J24" s="51">
        <v>0</v>
      </c>
      <c r="K24" s="51">
        <v>1700.87</v>
      </c>
      <c r="L24" s="51">
        <f t="shared" si="6"/>
        <v>69.569999999999993</v>
      </c>
      <c r="M24" s="62">
        <v>69.569999999999993</v>
      </c>
      <c r="N24" s="62">
        <v>0</v>
      </c>
      <c r="O24" s="62">
        <v>0</v>
      </c>
      <c r="P24" s="51">
        <f t="shared" si="7"/>
        <v>774.57</v>
      </c>
      <c r="Q24" s="62">
        <v>0</v>
      </c>
      <c r="R24" s="51">
        <v>774.57</v>
      </c>
      <c r="S24" s="51">
        <v>0</v>
      </c>
      <c r="T24" s="62"/>
      <c r="V24" s="35"/>
    </row>
    <row r="25" spans="1:24" outlineLevel="1" x14ac:dyDescent="0.45">
      <c r="B25" s="16" t="s">
        <v>23</v>
      </c>
      <c r="C25" s="51">
        <f t="shared" si="3"/>
        <v>127377.94</v>
      </c>
      <c r="D25" s="51">
        <f t="shared" si="4"/>
        <v>48093.19</v>
      </c>
      <c r="E25" s="51">
        <v>32096.09</v>
      </c>
      <c r="F25" s="51">
        <v>7998.55</v>
      </c>
      <c r="G25" s="62">
        <v>7998.55</v>
      </c>
      <c r="H25" s="51">
        <f t="shared" si="5"/>
        <v>23995.64</v>
      </c>
      <c r="I25" s="51">
        <v>7998.55</v>
      </c>
      <c r="J25" s="51">
        <v>7998.55</v>
      </c>
      <c r="K25" s="51">
        <v>7998.54</v>
      </c>
      <c r="L25" s="51">
        <f t="shared" si="6"/>
        <v>23899.98</v>
      </c>
      <c r="M25" s="62">
        <v>7966.66</v>
      </c>
      <c r="N25" s="62">
        <v>7966.66</v>
      </c>
      <c r="O25" s="62">
        <v>7966.66</v>
      </c>
      <c r="P25" s="51">
        <f t="shared" si="7"/>
        <v>31389.129999999997</v>
      </c>
      <c r="Q25" s="62">
        <v>10162.66</v>
      </c>
      <c r="R25" s="51">
        <v>10162.66</v>
      </c>
      <c r="S25" s="51">
        <v>11063.81</v>
      </c>
      <c r="T25" s="62"/>
      <c r="V25" s="123"/>
    </row>
    <row r="26" spans="1:24" outlineLevel="1" x14ac:dyDescent="0.45">
      <c r="B26" s="16" t="s">
        <v>24</v>
      </c>
      <c r="C26" s="51">
        <f t="shared" si="3"/>
        <v>84744.320000000036</v>
      </c>
      <c r="D26" s="51">
        <f t="shared" si="4"/>
        <v>48368.41</v>
      </c>
      <c r="E26" s="51">
        <v>3897.75</v>
      </c>
      <c r="F26" s="51">
        <v>25111.759999999998</v>
      </c>
      <c r="G26" s="62">
        <v>19358.900000000001</v>
      </c>
      <c r="H26" s="51">
        <f t="shared" si="5"/>
        <v>19542.3</v>
      </c>
      <c r="I26" s="51">
        <v>8268.64</v>
      </c>
      <c r="J26" s="51">
        <v>6052.74</v>
      </c>
      <c r="K26" s="51">
        <v>5220.92</v>
      </c>
      <c r="L26" s="51">
        <f t="shared" si="6"/>
        <v>8918.73</v>
      </c>
      <c r="M26" s="62">
        <v>3696.52</v>
      </c>
      <c r="N26" s="62">
        <v>3183.82</v>
      </c>
      <c r="O26" s="62">
        <v>2038.39</v>
      </c>
      <c r="P26" s="51">
        <f t="shared" si="7"/>
        <v>7914.880000000001</v>
      </c>
      <c r="Q26" s="62">
        <v>1173.6600000000001</v>
      </c>
      <c r="R26" s="51">
        <v>3478.57</v>
      </c>
      <c r="S26" s="51">
        <v>3262.65</v>
      </c>
      <c r="T26" s="62"/>
      <c r="V26" s="35"/>
    </row>
    <row r="27" spans="1:24" outlineLevel="1" x14ac:dyDescent="0.45">
      <c r="B27" s="16" t="s">
        <v>25</v>
      </c>
      <c r="C27" s="51">
        <f t="shared" si="3"/>
        <v>42500</v>
      </c>
      <c r="D27" s="51">
        <f t="shared" si="4"/>
        <v>17500</v>
      </c>
      <c r="E27" s="51">
        <v>17500</v>
      </c>
      <c r="F27" s="51">
        <v>0</v>
      </c>
      <c r="G27" s="62">
        <v>0</v>
      </c>
      <c r="H27" s="51">
        <f t="shared" si="5"/>
        <v>0</v>
      </c>
      <c r="I27" s="51">
        <v>0</v>
      </c>
      <c r="J27" s="51">
        <v>0</v>
      </c>
      <c r="K27" s="51">
        <v>0</v>
      </c>
      <c r="L27" s="51">
        <f t="shared" si="6"/>
        <v>12500</v>
      </c>
      <c r="M27" s="62">
        <v>12500</v>
      </c>
      <c r="N27" s="62">
        <v>0</v>
      </c>
      <c r="O27" s="62">
        <v>0</v>
      </c>
      <c r="P27" s="51">
        <f t="shared" si="7"/>
        <v>12500</v>
      </c>
      <c r="Q27" s="62">
        <v>0</v>
      </c>
      <c r="R27" s="51">
        <v>0</v>
      </c>
      <c r="S27" s="51">
        <v>12500</v>
      </c>
      <c r="T27" s="62"/>
      <c r="V27" s="35"/>
    </row>
    <row r="28" spans="1:24" outlineLevel="1" x14ac:dyDescent="0.45">
      <c r="B28" s="16" t="s">
        <v>26</v>
      </c>
      <c r="C28" s="51">
        <f t="shared" si="3"/>
        <v>24754.899999999994</v>
      </c>
      <c r="D28" s="51">
        <f t="shared" si="4"/>
        <v>8450.2099999999991</v>
      </c>
      <c r="E28" s="51">
        <v>2142.64</v>
      </c>
      <c r="F28" s="51">
        <v>2122.61</v>
      </c>
      <c r="G28" s="62">
        <v>4184.96</v>
      </c>
      <c r="H28" s="51">
        <f t="shared" si="5"/>
        <v>3845.24</v>
      </c>
      <c r="I28" s="51">
        <v>0</v>
      </c>
      <c r="J28" s="51">
        <v>1922.61</v>
      </c>
      <c r="K28" s="51">
        <v>1922.63</v>
      </c>
      <c r="L28" s="51">
        <f t="shared" si="6"/>
        <v>6691.58</v>
      </c>
      <c r="M28" s="62">
        <v>1929.83</v>
      </c>
      <c r="N28" s="62">
        <v>2812.12</v>
      </c>
      <c r="O28" s="62">
        <v>1949.63</v>
      </c>
      <c r="P28" s="51">
        <f t="shared" si="7"/>
        <v>5767.87</v>
      </c>
      <c r="Q28" s="62">
        <v>1922.63</v>
      </c>
      <c r="R28" s="51">
        <v>1922.61</v>
      </c>
      <c r="S28" s="51">
        <v>1922.63</v>
      </c>
      <c r="T28" s="62"/>
      <c r="V28" s="35"/>
    </row>
    <row r="29" spans="1:24" outlineLevel="1" x14ac:dyDescent="0.45">
      <c r="B29" s="16" t="s">
        <v>27</v>
      </c>
      <c r="C29" s="51">
        <f t="shared" si="3"/>
        <v>227892.91000000003</v>
      </c>
      <c r="D29" s="51">
        <f t="shared" si="4"/>
        <v>62247.3</v>
      </c>
      <c r="E29" s="51">
        <v>22184.55</v>
      </c>
      <c r="F29" s="51">
        <v>31415.34</v>
      </c>
      <c r="G29" s="62">
        <v>8647.41</v>
      </c>
      <c r="H29" s="51">
        <f t="shared" si="5"/>
        <v>60961.74</v>
      </c>
      <c r="I29" s="51">
        <v>40696.67</v>
      </c>
      <c r="J29" s="51">
        <v>9168.9500000000007</v>
      </c>
      <c r="K29" s="51">
        <v>11096.12</v>
      </c>
      <c r="L29" s="51">
        <f t="shared" si="6"/>
        <v>54654.93</v>
      </c>
      <c r="M29" s="62">
        <v>7414.94</v>
      </c>
      <c r="N29" s="62">
        <v>27481.49</v>
      </c>
      <c r="O29" s="62">
        <v>19758.5</v>
      </c>
      <c r="P29" s="51">
        <f t="shared" si="7"/>
        <v>50028.94</v>
      </c>
      <c r="Q29" s="62">
        <v>19510.849999999999</v>
      </c>
      <c r="R29" s="51">
        <v>15973.2</v>
      </c>
      <c r="S29" s="51">
        <v>14544.89</v>
      </c>
      <c r="T29" s="62"/>
      <c r="V29" s="35"/>
    </row>
    <row r="30" spans="1:24" outlineLevel="1" x14ac:dyDescent="0.45">
      <c r="B30" s="16" t="s">
        <v>28</v>
      </c>
      <c r="C30" s="51">
        <f t="shared" si="3"/>
        <v>-103.77</v>
      </c>
      <c r="D30" s="51">
        <f t="shared" si="4"/>
        <v>-0.24</v>
      </c>
      <c r="E30" s="51">
        <v>0.24</v>
      </c>
      <c r="F30" s="51">
        <v>0.01</v>
      </c>
      <c r="G30" s="62">
        <v>-0.49</v>
      </c>
      <c r="H30" s="51"/>
      <c r="I30" s="51">
        <v>0</v>
      </c>
      <c r="J30" s="51">
        <v>-104.1</v>
      </c>
      <c r="K30" s="51">
        <v>-0.03</v>
      </c>
      <c r="L30" s="51">
        <f t="shared" si="6"/>
        <v>0.6</v>
      </c>
      <c r="M30" s="62">
        <v>0.12</v>
      </c>
      <c r="N30" s="62">
        <v>0.04</v>
      </c>
      <c r="O30" s="62">
        <v>0.44</v>
      </c>
      <c r="P30" s="51">
        <f t="shared" si="7"/>
        <v>0</v>
      </c>
      <c r="Q30" s="62">
        <v>0</v>
      </c>
      <c r="R30" s="51">
        <v>0</v>
      </c>
      <c r="S30" s="51">
        <v>0</v>
      </c>
      <c r="T30" s="62"/>
      <c r="V30" s="35"/>
    </row>
    <row r="31" spans="1:24" outlineLevel="1" x14ac:dyDescent="0.45">
      <c r="B31" s="16" t="s">
        <v>29</v>
      </c>
      <c r="C31" s="51">
        <f t="shared" si="3"/>
        <v>5344.88</v>
      </c>
      <c r="D31" s="51">
        <f t="shared" si="4"/>
        <v>5344.88</v>
      </c>
      <c r="E31" s="51">
        <v>729</v>
      </c>
      <c r="F31" s="51">
        <v>4168.5</v>
      </c>
      <c r="G31" s="62">
        <v>447.38</v>
      </c>
      <c r="H31" s="51"/>
      <c r="I31" s="51">
        <v>0</v>
      </c>
      <c r="J31" s="51">
        <v>0</v>
      </c>
      <c r="K31" s="51">
        <v>0</v>
      </c>
      <c r="L31" s="51"/>
      <c r="M31" s="62">
        <v>0</v>
      </c>
      <c r="N31" s="62">
        <v>0</v>
      </c>
      <c r="O31" s="62">
        <v>0</v>
      </c>
      <c r="P31" s="51"/>
      <c r="Q31" s="62">
        <v>0</v>
      </c>
      <c r="R31" s="51">
        <v>0</v>
      </c>
      <c r="S31" s="51">
        <v>0</v>
      </c>
      <c r="T31" s="62"/>
      <c r="V31" s="35"/>
    </row>
    <row r="32" spans="1:24" outlineLevel="1" x14ac:dyDescent="0.45">
      <c r="B32" s="16" t="s">
        <v>68</v>
      </c>
      <c r="C32" s="51">
        <f>SUM(D32:S32)-P32-L32-H32-D32</f>
        <v>10000</v>
      </c>
      <c r="D32" s="51">
        <f>SUM(E32:G32)</f>
        <v>10000</v>
      </c>
      <c r="E32" s="51">
        <v>2000</v>
      </c>
      <c r="F32" s="51">
        <v>0</v>
      </c>
      <c r="G32" s="62">
        <v>8000</v>
      </c>
      <c r="H32" s="51"/>
      <c r="I32" s="51"/>
      <c r="J32" s="51"/>
      <c r="K32" s="51"/>
      <c r="L32" s="51"/>
      <c r="M32" s="62"/>
      <c r="N32" s="62"/>
      <c r="O32" s="62"/>
      <c r="P32" s="51"/>
      <c r="Q32" s="62"/>
      <c r="R32" s="51"/>
      <c r="S32" s="51"/>
      <c r="T32" s="62"/>
      <c r="V32" s="35"/>
    </row>
    <row r="33" spans="1:22" outlineLevel="1" x14ac:dyDescent="0.45">
      <c r="B33" s="16" t="s">
        <v>70</v>
      </c>
      <c r="C33" s="51">
        <f>SUM(D33:S33)-P33-L33-H33-D33</f>
        <v>47608.81</v>
      </c>
      <c r="D33" s="51">
        <f>SUM(E33:G33)</f>
        <v>47608.81</v>
      </c>
      <c r="E33" s="51">
        <v>0</v>
      </c>
      <c r="F33" s="51">
        <v>0</v>
      </c>
      <c r="G33" s="62">
        <v>47608.81</v>
      </c>
      <c r="H33" s="51"/>
      <c r="I33" s="51"/>
      <c r="J33" s="51"/>
      <c r="K33" s="51"/>
      <c r="L33" s="51"/>
      <c r="M33" s="62"/>
      <c r="N33" s="62"/>
      <c r="O33" s="62"/>
      <c r="P33" s="51"/>
      <c r="Q33" s="62"/>
      <c r="R33" s="51"/>
      <c r="S33" s="51"/>
      <c r="T33" s="62"/>
      <c r="V33" s="35"/>
    </row>
    <row r="34" spans="1:22" s="95" customFormat="1" x14ac:dyDescent="0.45">
      <c r="A34" s="94"/>
      <c r="B34" s="93" t="s">
        <v>30</v>
      </c>
      <c r="C34" s="98">
        <f>SUM(C35:C43)</f>
        <v>591969.18000000017</v>
      </c>
      <c r="D34" s="98">
        <f t="shared" ref="D34:S34" si="13">SUM(D35:D43)</f>
        <v>189997.51</v>
      </c>
      <c r="E34" s="98">
        <f>SUM(E35:E43)</f>
        <v>58404.56</v>
      </c>
      <c r="F34" s="98">
        <f t="shared" si="13"/>
        <v>67054.63</v>
      </c>
      <c r="G34" s="98">
        <f t="shared" si="13"/>
        <v>64538.32</v>
      </c>
      <c r="H34" s="98">
        <f t="shared" si="13"/>
        <v>155905.83000000002</v>
      </c>
      <c r="I34" s="98">
        <f t="shared" si="13"/>
        <v>69145.88</v>
      </c>
      <c r="J34" s="98">
        <f t="shared" si="13"/>
        <v>42955.06</v>
      </c>
      <c r="K34" s="98">
        <f t="shared" si="13"/>
        <v>43804.89</v>
      </c>
      <c r="L34" s="98">
        <f t="shared" si="13"/>
        <v>149135.99</v>
      </c>
      <c r="M34" s="98">
        <f t="shared" si="13"/>
        <v>54509.3</v>
      </c>
      <c r="N34" s="98">
        <f t="shared" si="13"/>
        <v>49451.06</v>
      </c>
      <c r="O34" s="98">
        <f t="shared" si="13"/>
        <v>45175.630000000005</v>
      </c>
      <c r="P34" s="98">
        <f t="shared" si="13"/>
        <v>96929.85</v>
      </c>
      <c r="Q34" s="98">
        <f t="shared" si="13"/>
        <v>39630.020000000004</v>
      </c>
      <c r="R34" s="98">
        <f t="shared" si="13"/>
        <v>32625.35</v>
      </c>
      <c r="S34" s="98">
        <f t="shared" si="13"/>
        <v>24674.48</v>
      </c>
      <c r="T34" s="101"/>
      <c r="V34" s="99"/>
    </row>
    <row r="35" spans="1:22" outlineLevel="1" x14ac:dyDescent="0.45">
      <c r="B35" s="16" t="s">
        <v>31</v>
      </c>
      <c r="C35" s="51">
        <f t="shared" ref="C35:C53" si="14">SUM(D35:S35)-P35-L35-H35-D35</f>
        <v>96381.630000000034</v>
      </c>
      <c r="D35" s="51">
        <f t="shared" si="4"/>
        <v>61361.03</v>
      </c>
      <c r="E35" s="51">
        <v>18271.010000000002</v>
      </c>
      <c r="F35" s="51">
        <v>18913.71</v>
      </c>
      <c r="G35" s="62">
        <v>24176.31</v>
      </c>
      <c r="H35" s="51">
        <f t="shared" si="5"/>
        <v>13512.900000000001</v>
      </c>
      <c r="I35" s="51">
        <v>4564.6400000000003</v>
      </c>
      <c r="J35" s="51">
        <v>690</v>
      </c>
      <c r="K35" s="51">
        <v>8258.26</v>
      </c>
      <c r="L35" s="51">
        <f t="shared" si="6"/>
        <v>16278.5</v>
      </c>
      <c r="M35" s="62">
        <v>2500</v>
      </c>
      <c r="N35" s="62">
        <v>0</v>
      </c>
      <c r="O35" s="62">
        <v>13778.5</v>
      </c>
      <c r="P35" s="51">
        <f t="shared" si="7"/>
        <v>5229.2</v>
      </c>
      <c r="Q35" s="62">
        <v>1340</v>
      </c>
      <c r="R35" s="51">
        <v>3889.2</v>
      </c>
      <c r="S35" s="51">
        <v>0</v>
      </c>
      <c r="T35" s="62"/>
      <c r="V35" s="35"/>
    </row>
    <row r="36" spans="1:22" outlineLevel="1" x14ac:dyDescent="0.45">
      <c r="B36" s="16" t="s">
        <v>32</v>
      </c>
      <c r="C36" s="51">
        <f t="shared" si="14"/>
        <v>61150.530000000006</v>
      </c>
      <c r="D36" s="51">
        <f t="shared" si="4"/>
        <v>8117.57</v>
      </c>
      <c r="E36" s="51">
        <v>4797.13</v>
      </c>
      <c r="F36" s="51">
        <v>0</v>
      </c>
      <c r="G36" s="62">
        <v>3320.44</v>
      </c>
      <c r="H36" s="51">
        <f t="shared" si="5"/>
        <v>17715.010000000002</v>
      </c>
      <c r="I36" s="51">
        <v>3388.45</v>
      </c>
      <c r="J36" s="51">
        <v>11016.84</v>
      </c>
      <c r="K36" s="51">
        <v>3309.72</v>
      </c>
      <c r="L36" s="51">
        <f t="shared" si="6"/>
        <v>17647.359999999997</v>
      </c>
      <c r="M36" s="62">
        <v>10814.05</v>
      </c>
      <c r="N36" s="62">
        <v>4426.28</v>
      </c>
      <c r="O36" s="62">
        <v>2407.0300000000002</v>
      </c>
      <c r="P36" s="51">
        <f t="shared" si="7"/>
        <v>17670.59</v>
      </c>
      <c r="Q36" s="62">
        <v>6731.53</v>
      </c>
      <c r="R36" s="51">
        <v>1817.82</v>
      </c>
      <c r="S36" s="51">
        <v>9121.24</v>
      </c>
      <c r="T36" s="62"/>
      <c r="V36" s="35"/>
    </row>
    <row r="37" spans="1:22" outlineLevel="1" x14ac:dyDescent="0.45">
      <c r="B37" s="16" t="s">
        <v>33</v>
      </c>
      <c r="C37" s="51">
        <f t="shared" si="14"/>
        <v>8543.4800000000032</v>
      </c>
      <c r="D37" s="51">
        <f t="shared" si="4"/>
        <v>0</v>
      </c>
      <c r="E37" s="51">
        <v>0</v>
      </c>
      <c r="F37" s="51">
        <v>0</v>
      </c>
      <c r="G37" s="62">
        <v>0</v>
      </c>
      <c r="H37" s="51">
        <f t="shared" si="5"/>
        <v>2869.5699999999997</v>
      </c>
      <c r="I37" s="51">
        <v>0</v>
      </c>
      <c r="J37" s="51">
        <v>1304.3499999999999</v>
      </c>
      <c r="K37" s="51">
        <v>1565.22</v>
      </c>
      <c r="L37" s="51">
        <f t="shared" si="6"/>
        <v>391.3</v>
      </c>
      <c r="M37" s="62">
        <v>0</v>
      </c>
      <c r="N37" s="62">
        <v>0</v>
      </c>
      <c r="O37" s="62">
        <v>391.3</v>
      </c>
      <c r="P37" s="51">
        <f t="shared" si="7"/>
        <v>5282.6100000000006</v>
      </c>
      <c r="Q37" s="62">
        <v>2086.96</v>
      </c>
      <c r="R37" s="51">
        <v>0</v>
      </c>
      <c r="S37" s="51">
        <v>3195.65</v>
      </c>
      <c r="T37" s="62"/>
      <c r="V37" s="35"/>
    </row>
    <row r="38" spans="1:22" outlineLevel="1" x14ac:dyDescent="0.45">
      <c r="B38" s="16" t="s">
        <v>34</v>
      </c>
      <c r="C38" s="51">
        <f t="shared" si="14"/>
        <v>44606.180000000008</v>
      </c>
      <c r="D38" s="51">
        <f t="shared" si="4"/>
        <v>13166.48</v>
      </c>
      <c r="E38" s="51">
        <v>5000</v>
      </c>
      <c r="F38" s="51">
        <v>8166.48</v>
      </c>
      <c r="G38" s="62">
        <v>0</v>
      </c>
      <c r="H38" s="51">
        <f t="shared" si="5"/>
        <v>9439.7000000000007</v>
      </c>
      <c r="I38" s="51">
        <v>1500</v>
      </c>
      <c r="J38" s="51">
        <v>5939.7</v>
      </c>
      <c r="K38" s="51">
        <v>2000</v>
      </c>
      <c r="L38" s="51">
        <f t="shared" si="6"/>
        <v>13000</v>
      </c>
      <c r="M38" s="62">
        <v>7000</v>
      </c>
      <c r="N38" s="62">
        <v>3000</v>
      </c>
      <c r="O38" s="62">
        <v>3000</v>
      </c>
      <c r="P38" s="51">
        <f t="shared" si="7"/>
        <v>9000</v>
      </c>
      <c r="Q38" s="62">
        <v>2000</v>
      </c>
      <c r="R38" s="51">
        <v>1000</v>
      </c>
      <c r="S38" s="51">
        <v>6000</v>
      </c>
      <c r="T38" s="62"/>
      <c r="V38" s="35"/>
    </row>
    <row r="39" spans="1:22" outlineLevel="1" x14ac:dyDescent="0.45">
      <c r="B39" s="16" t="s">
        <v>35</v>
      </c>
      <c r="C39" s="51">
        <f t="shared" si="14"/>
        <v>4457.7700000000004</v>
      </c>
      <c r="D39" s="51">
        <f t="shared" ref="D39:D40" si="15">SUM(E39:G39)</f>
        <v>687.5</v>
      </c>
      <c r="E39" s="51">
        <v>107.5</v>
      </c>
      <c r="F39" s="51">
        <v>0</v>
      </c>
      <c r="G39" s="62">
        <v>580</v>
      </c>
      <c r="H39" s="51">
        <f t="shared" ref="H39:H40" si="16">SUM(I39:K39)</f>
        <v>481.81</v>
      </c>
      <c r="I39" s="51">
        <v>481.81</v>
      </c>
      <c r="J39" s="51">
        <v>0</v>
      </c>
      <c r="K39" s="51">
        <v>0</v>
      </c>
      <c r="L39" s="51">
        <f t="shared" ref="L39:L40" si="17">SUM(M39:O39)</f>
        <v>3288.46</v>
      </c>
      <c r="M39" s="62">
        <v>506.13</v>
      </c>
      <c r="N39" s="62">
        <v>2782.33</v>
      </c>
      <c r="O39" s="62">
        <v>0</v>
      </c>
      <c r="P39" s="51">
        <f t="shared" ref="P39:P40" si="18">SUM(Q39:S39)</f>
        <v>0</v>
      </c>
      <c r="Q39" s="62">
        <v>0</v>
      </c>
      <c r="R39" s="51">
        <v>0</v>
      </c>
      <c r="S39" s="51">
        <v>0</v>
      </c>
      <c r="T39" s="62"/>
      <c r="V39" s="35"/>
    </row>
    <row r="40" spans="1:22" outlineLevel="1" x14ac:dyDescent="0.45">
      <c r="B40" s="16" t="s">
        <v>36</v>
      </c>
      <c r="C40" s="51">
        <f t="shared" si="14"/>
        <v>21797.18</v>
      </c>
      <c r="D40" s="51">
        <f t="shared" si="15"/>
        <v>240</v>
      </c>
      <c r="E40" s="51">
        <v>0</v>
      </c>
      <c r="F40" s="51">
        <v>120</v>
      </c>
      <c r="G40" s="62">
        <v>120</v>
      </c>
      <c r="H40" s="51">
        <f t="shared" si="16"/>
        <v>4162.38</v>
      </c>
      <c r="I40" s="51">
        <v>720</v>
      </c>
      <c r="J40" s="51">
        <v>3442.38</v>
      </c>
      <c r="K40" s="51">
        <v>0</v>
      </c>
      <c r="L40" s="51">
        <f t="shared" si="17"/>
        <v>17394.8</v>
      </c>
      <c r="M40" s="62">
        <v>6744.8</v>
      </c>
      <c r="N40" s="62">
        <v>10650</v>
      </c>
      <c r="O40" s="62">
        <v>0</v>
      </c>
      <c r="P40" s="51">
        <f t="shared" si="18"/>
        <v>0</v>
      </c>
      <c r="Q40" s="62">
        <v>0</v>
      </c>
      <c r="R40" s="51">
        <v>0</v>
      </c>
      <c r="S40" s="51">
        <v>0</v>
      </c>
      <c r="T40" s="62"/>
      <c r="V40" s="35"/>
    </row>
    <row r="41" spans="1:22" outlineLevel="1" x14ac:dyDescent="0.45">
      <c r="B41" s="16" t="s">
        <v>37</v>
      </c>
      <c r="C41" s="51">
        <f t="shared" si="14"/>
        <v>42649.179999999993</v>
      </c>
      <c r="D41" s="51">
        <f t="shared" si="4"/>
        <v>12753.84</v>
      </c>
      <c r="E41" s="51">
        <v>4340.78</v>
      </c>
      <c r="F41" s="51">
        <v>3114.39</v>
      </c>
      <c r="G41" s="62">
        <v>5298.67</v>
      </c>
      <c r="H41" s="51">
        <f t="shared" si="5"/>
        <v>10160.15</v>
      </c>
      <c r="I41" s="51">
        <v>4905.08</v>
      </c>
      <c r="J41" s="51">
        <v>1943.42</v>
      </c>
      <c r="K41" s="51">
        <v>3311.65</v>
      </c>
      <c r="L41" s="51">
        <f t="shared" si="6"/>
        <v>12392.19</v>
      </c>
      <c r="M41" s="62">
        <v>4093.31</v>
      </c>
      <c r="N41" s="62">
        <v>5875.86</v>
      </c>
      <c r="O41" s="62">
        <v>2423.02</v>
      </c>
      <c r="P41" s="51">
        <f t="shared" si="7"/>
        <v>7343</v>
      </c>
      <c r="Q41" s="62">
        <v>4287.21</v>
      </c>
      <c r="R41" s="51">
        <v>1634.11</v>
      </c>
      <c r="S41" s="51">
        <v>1421.68</v>
      </c>
      <c r="T41" s="62"/>
      <c r="V41" s="35"/>
    </row>
    <row r="42" spans="1:22" outlineLevel="1" x14ac:dyDescent="0.45">
      <c r="B42" s="16" t="s">
        <v>38</v>
      </c>
      <c r="C42" s="51">
        <f t="shared" si="14"/>
        <v>93575.77</v>
      </c>
      <c r="D42" s="51">
        <f t="shared" si="4"/>
        <v>16006.67</v>
      </c>
      <c r="E42" s="51">
        <v>0</v>
      </c>
      <c r="F42" s="51">
        <v>10851.91</v>
      </c>
      <c r="G42" s="62">
        <v>5154.76</v>
      </c>
      <c r="H42" s="51">
        <f t="shared" si="5"/>
        <v>41735.47</v>
      </c>
      <c r="I42" s="51">
        <v>34993.800000000003</v>
      </c>
      <c r="J42" s="51">
        <v>0</v>
      </c>
      <c r="K42" s="51">
        <v>6741.67</v>
      </c>
      <c r="L42" s="51">
        <f t="shared" si="6"/>
        <v>18316.57</v>
      </c>
      <c r="M42" s="62">
        <v>6055.73</v>
      </c>
      <c r="N42" s="62">
        <v>5907.61</v>
      </c>
      <c r="O42" s="62">
        <v>6353.23</v>
      </c>
      <c r="P42" s="51">
        <f t="shared" si="7"/>
        <v>17517.060000000001</v>
      </c>
      <c r="Q42" s="62">
        <v>6361.77</v>
      </c>
      <c r="R42" s="51">
        <v>6219.38</v>
      </c>
      <c r="S42" s="51">
        <v>4935.91</v>
      </c>
      <c r="T42" s="62"/>
      <c r="V42" s="35"/>
    </row>
    <row r="43" spans="1:22" outlineLevel="1" x14ac:dyDescent="0.45">
      <c r="B43" s="16" t="s">
        <v>39</v>
      </c>
      <c r="C43" s="51">
        <f t="shared" si="14"/>
        <v>218807.46000000002</v>
      </c>
      <c r="D43" s="51">
        <f t="shared" si="4"/>
        <v>77664.42</v>
      </c>
      <c r="E43" s="51">
        <v>25888.14</v>
      </c>
      <c r="F43" s="51">
        <v>25888.14</v>
      </c>
      <c r="G43" s="62">
        <v>25888.14</v>
      </c>
      <c r="H43" s="51">
        <f t="shared" si="5"/>
        <v>55828.84</v>
      </c>
      <c r="I43" s="51">
        <v>18592.099999999999</v>
      </c>
      <c r="J43" s="51">
        <v>18618.37</v>
      </c>
      <c r="K43" s="51">
        <v>18618.37</v>
      </c>
      <c r="L43" s="51">
        <f t="shared" si="6"/>
        <v>50426.81</v>
      </c>
      <c r="M43" s="62">
        <v>16795.28</v>
      </c>
      <c r="N43" s="62">
        <v>16808.98</v>
      </c>
      <c r="O43" s="62">
        <v>16822.55</v>
      </c>
      <c r="P43" s="51">
        <f t="shared" si="7"/>
        <v>34887.39</v>
      </c>
      <c r="Q43" s="62">
        <v>16822.55</v>
      </c>
      <c r="R43" s="51">
        <v>18064.84</v>
      </c>
      <c r="S43" s="51">
        <v>0</v>
      </c>
      <c r="T43" s="62"/>
      <c r="V43" s="35"/>
    </row>
    <row r="44" spans="1:22" s="95" customFormat="1" x14ac:dyDescent="0.45">
      <c r="A44" s="94"/>
      <c r="B44" s="93" t="s">
        <v>40</v>
      </c>
      <c r="C44" s="98">
        <f>SUM(C45:C47)</f>
        <v>408151.67999999993</v>
      </c>
      <c r="D44" s="98">
        <f t="shared" ref="D44:S44" si="19">SUM(D45:D47)</f>
        <v>210401.21999999997</v>
      </c>
      <c r="E44" s="98">
        <f>SUM(E45:E47)</f>
        <v>161922.26</v>
      </c>
      <c r="F44" s="98">
        <f t="shared" si="19"/>
        <v>23924.35</v>
      </c>
      <c r="G44" s="98">
        <f t="shared" si="19"/>
        <v>24554.61</v>
      </c>
      <c r="H44" s="98">
        <f t="shared" si="19"/>
        <v>91831.38</v>
      </c>
      <c r="I44" s="98">
        <f t="shared" si="19"/>
        <v>28490.25</v>
      </c>
      <c r="J44" s="98">
        <f t="shared" si="19"/>
        <v>50369.3</v>
      </c>
      <c r="K44" s="98">
        <f t="shared" si="19"/>
        <v>12971.83</v>
      </c>
      <c r="L44" s="98">
        <f t="shared" si="19"/>
        <v>33638.5</v>
      </c>
      <c r="M44" s="98">
        <f t="shared" si="19"/>
        <v>16664.25</v>
      </c>
      <c r="N44" s="98">
        <f t="shared" si="19"/>
        <v>17119.25</v>
      </c>
      <c r="O44" s="98">
        <f t="shared" si="19"/>
        <v>16242.5</v>
      </c>
      <c r="P44" s="98">
        <f t="shared" si="19"/>
        <v>55893.08</v>
      </c>
      <c r="Q44" s="98">
        <f t="shared" si="19"/>
        <v>16716</v>
      </c>
      <c r="R44" s="98">
        <f t="shared" si="19"/>
        <v>19628.09</v>
      </c>
      <c r="S44" s="98">
        <f t="shared" si="19"/>
        <v>19548.989999999998</v>
      </c>
      <c r="T44" s="101"/>
      <c r="V44" s="99"/>
    </row>
    <row r="45" spans="1:22" outlineLevel="1" x14ac:dyDescent="0.45">
      <c r="B45" s="16" t="s">
        <v>41</v>
      </c>
      <c r="C45" s="51">
        <f>SUM(D45:S45)-P45-L45-H45-D45</f>
        <v>74533.33</v>
      </c>
      <c r="D45" s="51">
        <f t="shared" si="4"/>
        <v>0</v>
      </c>
      <c r="E45" s="51">
        <v>0</v>
      </c>
      <c r="F45" s="51">
        <v>0</v>
      </c>
      <c r="G45" s="62">
        <v>0</v>
      </c>
      <c r="H45" s="51">
        <f t="shared" si="5"/>
        <v>13333.33</v>
      </c>
      <c r="I45" s="51">
        <v>3333.33</v>
      </c>
      <c r="J45" s="51">
        <v>0</v>
      </c>
      <c r="K45" s="51">
        <v>10000</v>
      </c>
      <c r="L45" s="51">
        <f t="shared" si="6"/>
        <v>30000</v>
      </c>
      <c r="M45" s="62">
        <v>10000</v>
      </c>
      <c r="N45" s="62">
        <v>10000</v>
      </c>
      <c r="O45" s="62">
        <v>10000</v>
      </c>
      <c r="P45" s="51">
        <f t="shared" si="7"/>
        <v>31200</v>
      </c>
      <c r="Q45" s="62">
        <v>10000</v>
      </c>
      <c r="R45" s="51">
        <v>10000</v>
      </c>
      <c r="S45" s="51">
        <v>11200</v>
      </c>
      <c r="T45" s="62"/>
      <c r="V45" s="99"/>
    </row>
    <row r="46" spans="1:22" outlineLevel="1" x14ac:dyDescent="0.45">
      <c r="B46" s="16" t="s">
        <v>42</v>
      </c>
      <c r="C46" s="51">
        <f t="shared" si="14"/>
        <v>29073.829999999994</v>
      </c>
      <c r="D46" s="51">
        <f t="shared" si="4"/>
        <v>7668.36</v>
      </c>
      <c r="E46" s="51">
        <v>1332.26</v>
      </c>
      <c r="F46" s="51">
        <v>3174.35</v>
      </c>
      <c r="G46" s="62">
        <v>3161.75</v>
      </c>
      <c r="H46" s="51">
        <f t="shared" si="5"/>
        <v>9461.39</v>
      </c>
      <c r="I46" s="51">
        <v>1380.25</v>
      </c>
      <c r="J46" s="51">
        <v>5155.1400000000003</v>
      </c>
      <c r="K46" s="51">
        <v>2926</v>
      </c>
      <c r="L46" s="51">
        <f t="shared" si="6"/>
        <v>3638.5</v>
      </c>
      <c r="M46" s="62">
        <v>1201.75</v>
      </c>
      <c r="N46" s="62">
        <v>1656.75</v>
      </c>
      <c r="O46" s="62">
        <v>780</v>
      </c>
      <c r="P46" s="51">
        <f t="shared" si="7"/>
        <v>8305.58</v>
      </c>
      <c r="Q46" s="62">
        <v>1253.5</v>
      </c>
      <c r="R46" s="51">
        <v>4165.59</v>
      </c>
      <c r="S46" s="51">
        <v>2886.49</v>
      </c>
      <c r="T46" s="62"/>
      <c r="V46" s="99"/>
    </row>
    <row r="47" spans="1:22" outlineLevel="1" x14ac:dyDescent="0.45">
      <c r="B47" s="16" t="s">
        <v>43</v>
      </c>
      <c r="C47" s="51">
        <f t="shared" si="14"/>
        <v>304544.5199999999</v>
      </c>
      <c r="D47" s="51">
        <f t="shared" si="4"/>
        <v>202732.86</v>
      </c>
      <c r="E47" s="51">
        <v>160590</v>
      </c>
      <c r="F47" s="51">
        <v>20750</v>
      </c>
      <c r="G47" s="62">
        <v>21392.86</v>
      </c>
      <c r="H47" s="51">
        <f t="shared" si="5"/>
        <v>69036.66</v>
      </c>
      <c r="I47" s="51">
        <v>23776.67</v>
      </c>
      <c r="J47" s="51">
        <v>45214.16</v>
      </c>
      <c r="K47" s="51">
        <v>45.83</v>
      </c>
      <c r="L47" s="51"/>
      <c r="M47" s="62">
        <v>5462.5</v>
      </c>
      <c r="N47" s="62">
        <v>5462.5</v>
      </c>
      <c r="O47" s="62">
        <v>5462.5</v>
      </c>
      <c r="P47" s="51">
        <f t="shared" si="7"/>
        <v>16387.5</v>
      </c>
      <c r="Q47" s="62">
        <v>5462.5</v>
      </c>
      <c r="R47" s="51">
        <v>5462.5</v>
      </c>
      <c r="S47" s="51">
        <v>5462.5</v>
      </c>
      <c r="T47" s="62"/>
      <c r="V47" s="99"/>
    </row>
    <row r="48" spans="1:22" s="95" customFormat="1" x14ac:dyDescent="0.45">
      <c r="A48" s="94"/>
      <c r="B48" s="93" t="s">
        <v>44</v>
      </c>
      <c r="C48" s="98">
        <f>SUM(C49:C51)</f>
        <v>85187.690000000046</v>
      </c>
      <c r="D48" s="98">
        <f t="shared" ref="D48:S48" si="20">SUM(D49:D51)</f>
        <v>23197.02</v>
      </c>
      <c r="E48" s="98">
        <f>SUM(E49:E51)</f>
        <v>7880.36</v>
      </c>
      <c r="F48" s="98">
        <f t="shared" si="20"/>
        <v>7291.25</v>
      </c>
      <c r="G48" s="98">
        <f t="shared" si="20"/>
        <v>8025.41</v>
      </c>
      <c r="H48" s="98">
        <f t="shared" si="20"/>
        <v>22696.559999999998</v>
      </c>
      <c r="I48" s="98">
        <f t="shared" si="20"/>
        <v>7935.0099999999993</v>
      </c>
      <c r="J48" s="98">
        <f t="shared" si="20"/>
        <v>8024.9</v>
      </c>
      <c r="K48" s="98">
        <f t="shared" si="20"/>
        <v>6736.65</v>
      </c>
      <c r="L48" s="98">
        <f t="shared" si="20"/>
        <v>6332.97</v>
      </c>
      <c r="M48" s="98">
        <f t="shared" si="20"/>
        <v>6736.65</v>
      </c>
      <c r="N48" s="98">
        <f t="shared" si="20"/>
        <v>6736.65</v>
      </c>
      <c r="O48" s="98">
        <f t="shared" si="20"/>
        <v>6736.65</v>
      </c>
      <c r="P48" s="98">
        <f t="shared" si="20"/>
        <v>19084.16</v>
      </c>
      <c r="Q48" s="98">
        <f t="shared" si="20"/>
        <v>6736.65</v>
      </c>
      <c r="R48" s="98">
        <f t="shared" si="20"/>
        <v>6347.16</v>
      </c>
      <c r="S48" s="98">
        <f t="shared" si="20"/>
        <v>6000.35</v>
      </c>
      <c r="T48" s="101"/>
      <c r="V48" s="99"/>
    </row>
    <row r="49" spans="1:24" outlineLevel="1" x14ac:dyDescent="0.45">
      <c r="B49" s="16" t="s">
        <v>45</v>
      </c>
      <c r="C49" s="51">
        <f t="shared" si="14"/>
        <v>15221.760000000006</v>
      </c>
      <c r="D49" s="51">
        <f t="shared" si="4"/>
        <v>3943.41</v>
      </c>
      <c r="E49" s="51">
        <v>1314.47</v>
      </c>
      <c r="F49" s="51">
        <v>1314.47</v>
      </c>
      <c r="G49" s="62">
        <v>1314.47</v>
      </c>
      <c r="H49" s="51">
        <f t="shared" si="5"/>
        <v>3864.57</v>
      </c>
      <c r="I49" s="51">
        <v>1314.47</v>
      </c>
      <c r="J49" s="51">
        <v>1314.47</v>
      </c>
      <c r="K49" s="51">
        <v>1235.6300000000001</v>
      </c>
      <c r="L49" s="51">
        <f t="shared" si="6"/>
        <v>3706.8900000000003</v>
      </c>
      <c r="M49" s="62">
        <v>1235.6300000000001</v>
      </c>
      <c r="N49" s="62">
        <v>1235.6300000000001</v>
      </c>
      <c r="O49" s="62">
        <v>1235.6300000000001</v>
      </c>
      <c r="P49" s="51">
        <f t="shared" si="7"/>
        <v>3706.8900000000003</v>
      </c>
      <c r="Q49" s="62">
        <v>1235.6300000000001</v>
      </c>
      <c r="R49" s="51">
        <v>1235.6300000000001</v>
      </c>
      <c r="S49" s="51">
        <v>1235.6300000000001</v>
      </c>
      <c r="T49" s="62"/>
      <c r="V49" s="99"/>
    </row>
    <row r="50" spans="1:24" outlineLevel="1" x14ac:dyDescent="0.45">
      <c r="B50" s="16" t="s">
        <v>46</v>
      </c>
      <c r="C50" s="51">
        <f t="shared" si="14"/>
        <v>14526.770000000008</v>
      </c>
      <c r="D50" s="51">
        <f t="shared" si="4"/>
        <v>5039.5499999999993</v>
      </c>
      <c r="E50" s="51">
        <v>1679.85</v>
      </c>
      <c r="F50" s="51">
        <v>1679.85</v>
      </c>
      <c r="G50" s="62">
        <v>1679.85</v>
      </c>
      <c r="H50" s="51">
        <f t="shared" si="5"/>
        <v>4235.0599999999995</v>
      </c>
      <c r="I50" s="51">
        <v>1679.85</v>
      </c>
      <c r="J50" s="51">
        <v>1679.85</v>
      </c>
      <c r="K50" s="51">
        <v>875.36</v>
      </c>
      <c r="L50" s="51">
        <f t="shared" si="6"/>
        <v>2626.08</v>
      </c>
      <c r="M50" s="62">
        <v>875.36</v>
      </c>
      <c r="N50" s="62">
        <v>875.36</v>
      </c>
      <c r="O50" s="62">
        <v>875.36</v>
      </c>
      <c r="P50" s="51">
        <f t="shared" si="7"/>
        <v>2626.08</v>
      </c>
      <c r="Q50" s="62">
        <v>875.36</v>
      </c>
      <c r="R50" s="51">
        <v>875.36</v>
      </c>
      <c r="S50" s="51">
        <v>875.36</v>
      </c>
      <c r="T50" s="62"/>
      <c r="V50" s="99"/>
    </row>
    <row r="51" spans="1:24" outlineLevel="1" x14ac:dyDescent="0.45">
      <c r="B51" s="16" t="s">
        <v>47</v>
      </c>
      <c r="C51" s="51">
        <f t="shared" si="14"/>
        <v>55439.160000000033</v>
      </c>
      <c r="D51" s="51">
        <f t="shared" si="4"/>
        <v>14214.060000000001</v>
      </c>
      <c r="E51" s="51">
        <v>4886.04</v>
      </c>
      <c r="F51" s="51">
        <v>4296.93</v>
      </c>
      <c r="G51" s="62">
        <v>5031.09</v>
      </c>
      <c r="H51" s="51">
        <f t="shared" si="5"/>
        <v>14596.93</v>
      </c>
      <c r="I51" s="51">
        <v>4940.6899999999996</v>
      </c>
      <c r="J51" s="51">
        <v>5030.58</v>
      </c>
      <c r="K51" s="51">
        <v>4625.66</v>
      </c>
      <c r="L51" s="51"/>
      <c r="M51" s="62">
        <v>4625.66</v>
      </c>
      <c r="N51" s="62">
        <v>4625.66</v>
      </c>
      <c r="O51" s="62">
        <v>4625.66</v>
      </c>
      <c r="P51" s="51">
        <f t="shared" si="7"/>
        <v>12751.19</v>
      </c>
      <c r="Q51" s="62">
        <v>4625.66</v>
      </c>
      <c r="R51" s="51">
        <v>4236.17</v>
      </c>
      <c r="S51" s="51">
        <v>3889.36</v>
      </c>
      <c r="T51" s="62"/>
      <c r="V51" s="99"/>
    </row>
    <row r="52" spans="1:24" s="95" customFormat="1" x14ac:dyDescent="0.45">
      <c r="A52" s="94"/>
      <c r="B52" s="93" t="s">
        <v>48</v>
      </c>
      <c r="C52" s="98">
        <f>SUM(C53:C69)</f>
        <v>3919359.8199999989</v>
      </c>
      <c r="D52" s="98">
        <f t="shared" ref="D52:S52" si="21">SUM(D53:D69)</f>
        <v>1374316.66</v>
      </c>
      <c r="E52" s="98">
        <f>SUM(E53:E69)</f>
        <v>570580.97</v>
      </c>
      <c r="F52" s="98">
        <f t="shared" si="21"/>
        <v>404929.95</v>
      </c>
      <c r="G52" s="98">
        <f t="shared" si="21"/>
        <v>398805.74</v>
      </c>
      <c r="H52" s="98">
        <f t="shared" si="21"/>
        <v>1092875.52</v>
      </c>
      <c r="I52" s="98">
        <f t="shared" si="21"/>
        <v>385135.93</v>
      </c>
      <c r="J52" s="98">
        <f t="shared" si="21"/>
        <v>411730.57</v>
      </c>
      <c r="K52" s="98">
        <f t="shared" si="21"/>
        <v>302970.84999999998</v>
      </c>
      <c r="L52" s="98">
        <f t="shared" si="21"/>
        <v>829555.76</v>
      </c>
      <c r="M52" s="98">
        <f t="shared" si="21"/>
        <v>290189.96000000002</v>
      </c>
      <c r="N52" s="98">
        <f t="shared" si="21"/>
        <v>283028.24</v>
      </c>
      <c r="O52" s="98">
        <f t="shared" si="21"/>
        <v>256337.55999999997</v>
      </c>
      <c r="P52" s="98">
        <f t="shared" si="21"/>
        <v>615650.05000000016</v>
      </c>
      <c r="Q52" s="98">
        <f t="shared" si="21"/>
        <v>287868.49</v>
      </c>
      <c r="R52" s="98">
        <f t="shared" si="21"/>
        <v>172763.08999999997</v>
      </c>
      <c r="S52" s="98">
        <f t="shared" si="21"/>
        <v>155018.47</v>
      </c>
      <c r="T52" s="55"/>
      <c r="V52" s="99"/>
      <c r="W52" s="100"/>
      <c r="X52" s="97"/>
    </row>
    <row r="53" spans="1:24" outlineLevel="1" x14ac:dyDescent="0.45">
      <c r="B53" s="16" t="s">
        <v>49</v>
      </c>
      <c r="C53" s="51">
        <f t="shared" si="14"/>
        <v>155647.64000000001</v>
      </c>
      <c r="D53" s="51">
        <f t="shared" si="4"/>
        <v>55475.28</v>
      </c>
      <c r="E53" s="51">
        <v>19139.830000000002</v>
      </c>
      <c r="F53" s="51">
        <v>18825.080000000002</v>
      </c>
      <c r="G53" s="62">
        <v>17510.37</v>
      </c>
      <c r="H53" s="51">
        <f t="shared" si="5"/>
        <v>49398.66</v>
      </c>
      <c r="I53" s="51">
        <v>17220.59</v>
      </c>
      <c r="J53" s="51">
        <v>16380.48</v>
      </c>
      <c r="K53" s="51">
        <v>15797.59</v>
      </c>
      <c r="L53" s="51">
        <f t="shared" si="6"/>
        <v>37231.82</v>
      </c>
      <c r="M53" s="62">
        <v>12374.81</v>
      </c>
      <c r="N53" s="62">
        <v>12614.48</v>
      </c>
      <c r="O53" s="62">
        <v>12242.53</v>
      </c>
      <c r="P53" s="51">
        <f t="shared" ref="P53:P54" si="22">SUM(Q53:S53)</f>
        <v>13541.880000000001</v>
      </c>
      <c r="Q53" s="62">
        <v>5797.64</v>
      </c>
      <c r="R53" s="51">
        <v>4107.8599999999997</v>
      </c>
      <c r="S53" s="51">
        <v>3636.38</v>
      </c>
      <c r="T53" s="62"/>
      <c r="V53" s="2"/>
    </row>
    <row r="54" spans="1:24" outlineLevel="1" x14ac:dyDescent="0.45">
      <c r="B54" s="16" t="s">
        <v>50</v>
      </c>
      <c r="C54" s="51">
        <f t="shared" ref="C54" si="23">SUM(D54:S54)-P54-L54-H54-D54</f>
        <v>71427.81</v>
      </c>
      <c r="D54" s="51">
        <f t="shared" ref="D54" si="24">SUM(E54:G54)</f>
        <v>58357.68</v>
      </c>
      <c r="E54" s="51">
        <v>47874.96</v>
      </c>
      <c r="F54" s="51">
        <v>4523.71</v>
      </c>
      <c r="G54" s="62">
        <v>5959.01</v>
      </c>
      <c r="H54" s="51">
        <f t="shared" ref="H54:H62" si="25">SUM(I54:K54)</f>
        <v>11233.130000000001</v>
      </c>
      <c r="I54" s="51">
        <v>2420</v>
      </c>
      <c r="J54" s="51">
        <v>4613.13</v>
      </c>
      <c r="K54" s="51">
        <v>4200</v>
      </c>
      <c r="L54" s="51">
        <f t="shared" ref="L54" si="26">SUM(M54:O54)</f>
        <v>1837</v>
      </c>
      <c r="M54" s="62">
        <v>0</v>
      </c>
      <c r="N54" s="62">
        <v>1837</v>
      </c>
      <c r="O54" s="62">
        <v>0</v>
      </c>
      <c r="P54" s="51">
        <f t="shared" si="22"/>
        <v>0</v>
      </c>
      <c r="Q54" s="62">
        <v>0</v>
      </c>
      <c r="R54" s="51">
        <v>0</v>
      </c>
      <c r="S54" s="51">
        <v>0</v>
      </c>
      <c r="T54" s="62"/>
      <c r="V54" s="2"/>
    </row>
    <row r="55" spans="1:24" outlineLevel="1" x14ac:dyDescent="0.45">
      <c r="B55" s="16" t="s">
        <v>51</v>
      </c>
      <c r="C55" s="51">
        <f>SUM(D55:S55)-P55-L55-H55-D55</f>
        <v>12377.779999999999</v>
      </c>
      <c r="D55" s="51">
        <f t="shared" ref="D55:D62" si="27">SUM(E55:G55)</f>
        <v>3000</v>
      </c>
      <c r="E55" s="51">
        <v>0</v>
      </c>
      <c r="F55" s="51">
        <v>3000</v>
      </c>
      <c r="G55" s="62">
        <v>0</v>
      </c>
      <c r="H55" s="51">
        <f t="shared" si="25"/>
        <v>0</v>
      </c>
      <c r="I55" s="51">
        <v>0</v>
      </c>
      <c r="J55" s="51">
        <v>0</v>
      </c>
      <c r="K55" s="51">
        <v>0</v>
      </c>
      <c r="L55" s="51">
        <f>SUM(M55:O55)</f>
        <v>4377.78</v>
      </c>
      <c r="M55" s="62">
        <v>0</v>
      </c>
      <c r="N55" s="62">
        <v>0</v>
      </c>
      <c r="O55" s="62">
        <v>4377.78</v>
      </c>
      <c r="P55" s="51">
        <f>SUM(Q55:S55)</f>
        <v>5000</v>
      </c>
      <c r="Q55" s="62">
        <v>0</v>
      </c>
      <c r="R55" s="51">
        <v>5000</v>
      </c>
      <c r="S55" s="51">
        <v>0</v>
      </c>
      <c r="T55" s="62"/>
      <c r="V55" s="2"/>
    </row>
    <row r="56" spans="1:24" outlineLevel="1" x14ac:dyDescent="0.45">
      <c r="B56" s="16" t="s">
        <v>52</v>
      </c>
      <c r="C56" s="51">
        <f t="shared" ref="C56:C69" si="28">SUM(D56:S56)-P56-L56-H56-D56</f>
        <v>50915.869999999995</v>
      </c>
      <c r="D56" s="51">
        <f t="shared" si="27"/>
        <v>16500</v>
      </c>
      <c r="E56" s="51">
        <v>9000</v>
      </c>
      <c r="F56" s="51">
        <v>3210.43</v>
      </c>
      <c r="G56" s="62">
        <v>4289.57</v>
      </c>
      <c r="H56" s="51">
        <f t="shared" si="25"/>
        <v>7891</v>
      </c>
      <c r="I56" s="51">
        <v>3000</v>
      </c>
      <c r="J56" s="51">
        <v>1391</v>
      </c>
      <c r="K56" s="51">
        <v>3500</v>
      </c>
      <c r="L56" s="51">
        <f t="shared" ref="L56:L69" si="29">SUM(M56:O56)</f>
        <v>14714</v>
      </c>
      <c r="M56" s="62">
        <v>4000</v>
      </c>
      <c r="N56" s="62">
        <v>7214</v>
      </c>
      <c r="O56" s="62">
        <v>3500</v>
      </c>
      <c r="P56" s="51">
        <f t="shared" ref="P56:P69" si="30">SUM(Q56:S56)</f>
        <v>11810.869999999999</v>
      </c>
      <c r="Q56" s="62">
        <v>6810.87</v>
      </c>
      <c r="R56" s="51">
        <v>2500</v>
      </c>
      <c r="S56" s="51">
        <v>2500</v>
      </c>
      <c r="T56" s="62"/>
    </row>
    <row r="57" spans="1:24" outlineLevel="1" x14ac:dyDescent="0.45">
      <c r="B57" s="16" t="s">
        <v>53</v>
      </c>
      <c r="C57" s="51">
        <f t="shared" si="28"/>
        <v>161134.51</v>
      </c>
      <c r="D57" s="51">
        <f t="shared" si="27"/>
        <v>29728.93</v>
      </c>
      <c r="E57" s="51">
        <v>22339.49</v>
      </c>
      <c r="F57" s="51">
        <v>-1760.56</v>
      </c>
      <c r="G57" s="62">
        <v>9150</v>
      </c>
      <c r="H57" s="51">
        <f t="shared" si="25"/>
        <v>71666.75</v>
      </c>
      <c r="I57" s="51">
        <v>19950</v>
      </c>
      <c r="J57" s="51">
        <v>19250</v>
      </c>
      <c r="K57" s="51">
        <v>32466.75</v>
      </c>
      <c r="L57" s="51">
        <f t="shared" si="29"/>
        <v>42651.83</v>
      </c>
      <c r="M57" s="62">
        <v>17938</v>
      </c>
      <c r="N57" s="62">
        <v>18013</v>
      </c>
      <c r="O57" s="62">
        <v>6700.83</v>
      </c>
      <c r="P57" s="51">
        <f t="shared" ref="P57" si="31">SUM(Q57:S57)</f>
        <v>17087</v>
      </c>
      <c r="Q57" s="62">
        <v>17087</v>
      </c>
      <c r="R57" s="51">
        <v>0</v>
      </c>
      <c r="S57" s="51">
        <v>0</v>
      </c>
      <c r="T57" s="62"/>
    </row>
    <row r="58" spans="1:24" outlineLevel="1" x14ac:dyDescent="0.45">
      <c r="B58" s="16" t="s">
        <v>54</v>
      </c>
      <c r="C58" s="51">
        <f t="shared" si="28"/>
        <v>15800.580000000002</v>
      </c>
      <c r="D58" s="51">
        <f t="shared" si="27"/>
        <v>6600</v>
      </c>
      <c r="E58" s="51">
        <v>3400</v>
      </c>
      <c r="F58" s="51">
        <v>1400</v>
      </c>
      <c r="G58" s="62">
        <v>1800</v>
      </c>
      <c r="H58" s="51">
        <f t="shared" si="25"/>
        <v>2800</v>
      </c>
      <c r="I58" s="51">
        <v>1200</v>
      </c>
      <c r="J58" s="51">
        <v>0</v>
      </c>
      <c r="K58" s="51">
        <v>1600</v>
      </c>
      <c r="L58" s="51">
        <f t="shared" si="29"/>
        <v>3400</v>
      </c>
      <c r="M58" s="62">
        <v>1000</v>
      </c>
      <c r="N58" s="62">
        <v>1200</v>
      </c>
      <c r="O58" s="62">
        <v>1200</v>
      </c>
      <c r="P58" s="51">
        <f t="shared" si="30"/>
        <v>3000.58</v>
      </c>
      <c r="Q58" s="62">
        <v>1400</v>
      </c>
      <c r="R58" s="51">
        <v>800.58</v>
      </c>
      <c r="S58" s="51">
        <v>800</v>
      </c>
      <c r="T58" s="62"/>
    </row>
    <row r="59" spans="1:24" outlineLevel="1" x14ac:dyDescent="0.45">
      <c r="B59" s="16" t="s">
        <v>55</v>
      </c>
      <c r="C59" s="51"/>
      <c r="D59" s="51">
        <f t="shared" si="27"/>
        <v>0</v>
      </c>
      <c r="E59" s="51">
        <v>0</v>
      </c>
      <c r="F59" s="51">
        <v>0</v>
      </c>
      <c r="G59" s="62">
        <v>0</v>
      </c>
      <c r="H59" s="51">
        <f t="shared" si="25"/>
        <v>0</v>
      </c>
      <c r="I59" s="51">
        <v>0</v>
      </c>
      <c r="J59" s="51">
        <v>0</v>
      </c>
      <c r="K59" s="51">
        <v>0</v>
      </c>
      <c r="L59" s="51"/>
      <c r="M59" s="62">
        <v>0</v>
      </c>
      <c r="N59" s="62">
        <v>0</v>
      </c>
      <c r="O59" s="62">
        <v>0</v>
      </c>
      <c r="P59" s="51"/>
      <c r="Q59" s="62">
        <v>0</v>
      </c>
      <c r="R59" s="51">
        <v>0</v>
      </c>
      <c r="S59" s="51">
        <v>0</v>
      </c>
      <c r="T59" s="62"/>
    </row>
    <row r="60" spans="1:24" outlineLevel="1" x14ac:dyDescent="0.45">
      <c r="B60" s="16" t="s">
        <v>56</v>
      </c>
      <c r="C60" s="51">
        <f t="shared" si="28"/>
        <v>167751.58000000002</v>
      </c>
      <c r="D60" s="51">
        <f t="shared" si="27"/>
        <v>51066.619999999995</v>
      </c>
      <c r="E60" s="51">
        <v>17220.560000000001</v>
      </c>
      <c r="F60" s="51">
        <v>17776.14</v>
      </c>
      <c r="G60" s="62">
        <v>16069.92</v>
      </c>
      <c r="H60" s="51">
        <f t="shared" si="25"/>
        <v>47360.020000000004</v>
      </c>
      <c r="I60" s="51">
        <v>15944.87</v>
      </c>
      <c r="J60" s="51">
        <v>15669.64</v>
      </c>
      <c r="K60" s="51">
        <v>15745.51</v>
      </c>
      <c r="L60" s="51">
        <f t="shared" si="29"/>
        <v>42946.210000000006</v>
      </c>
      <c r="M60" s="62">
        <v>14900.91</v>
      </c>
      <c r="N60" s="62">
        <v>14377.1</v>
      </c>
      <c r="O60" s="62">
        <v>13668.2</v>
      </c>
      <c r="P60" s="51">
        <f t="shared" si="30"/>
        <v>26378.730000000003</v>
      </c>
      <c r="Q60" s="62">
        <v>13429.24</v>
      </c>
      <c r="R60" s="51">
        <v>8948.41</v>
      </c>
      <c r="S60" s="51">
        <v>4001.08</v>
      </c>
      <c r="T60" s="62"/>
    </row>
    <row r="61" spans="1:24" outlineLevel="1" x14ac:dyDescent="0.45">
      <c r="B61" s="16" t="s">
        <v>57</v>
      </c>
      <c r="C61" s="51">
        <f t="shared" si="28"/>
        <v>-81000</v>
      </c>
      <c r="D61" s="51">
        <f t="shared" si="27"/>
        <v>-30000</v>
      </c>
      <c r="E61" s="51">
        <v>-15000</v>
      </c>
      <c r="F61" s="51">
        <v>0</v>
      </c>
      <c r="G61" s="62">
        <v>-15000</v>
      </c>
      <c r="H61" s="51">
        <f t="shared" si="25"/>
        <v>-15000</v>
      </c>
      <c r="I61" s="51">
        <v>-3000</v>
      </c>
      <c r="J61" s="51">
        <v>-6000</v>
      </c>
      <c r="K61" s="51">
        <v>-6000</v>
      </c>
      <c r="L61" s="51">
        <f t="shared" si="29"/>
        <v>-12000</v>
      </c>
      <c r="M61" s="62">
        <v>0</v>
      </c>
      <c r="N61" s="62">
        <v>-6000</v>
      </c>
      <c r="O61" s="62">
        <v>-6000</v>
      </c>
      <c r="P61" s="51">
        <f t="shared" si="30"/>
        <v>-24000</v>
      </c>
      <c r="Q61" s="62">
        <v>-6000</v>
      </c>
      <c r="R61" s="51">
        <v>-6000</v>
      </c>
      <c r="S61" s="51">
        <v>-12000</v>
      </c>
      <c r="T61" s="62"/>
    </row>
    <row r="62" spans="1:24" outlineLevel="1" x14ac:dyDescent="0.45">
      <c r="B62" s="16" t="s">
        <v>58</v>
      </c>
      <c r="C62" s="51">
        <f t="shared" si="28"/>
        <v>53546.329999999994</v>
      </c>
      <c r="D62" s="51">
        <f t="shared" si="27"/>
        <v>4172</v>
      </c>
      <c r="E62" s="51">
        <v>0</v>
      </c>
      <c r="F62" s="51">
        <v>0</v>
      </c>
      <c r="G62" s="62">
        <v>4172</v>
      </c>
      <c r="H62" s="51">
        <f t="shared" si="25"/>
        <v>44447.040000000001</v>
      </c>
      <c r="I62" s="51">
        <v>950.37</v>
      </c>
      <c r="J62" s="51">
        <v>43496.67</v>
      </c>
      <c r="K62" s="51">
        <v>0</v>
      </c>
      <c r="L62" s="51">
        <f t="shared" si="29"/>
        <v>0</v>
      </c>
      <c r="M62" s="62">
        <v>0</v>
      </c>
      <c r="N62" s="62">
        <v>0</v>
      </c>
      <c r="O62" s="62">
        <v>0</v>
      </c>
      <c r="P62" s="51">
        <f t="shared" si="30"/>
        <v>4927.29</v>
      </c>
      <c r="Q62" s="62">
        <v>0</v>
      </c>
      <c r="R62" s="51">
        <v>0</v>
      </c>
      <c r="S62" s="51">
        <v>4927.29</v>
      </c>
      <c r="T62" s="62"/>
    </row>
    <row r="63" spans="1:24" outlineLevel="1" x14ac:dyDescent="0.45">
      <c r="B63" s="16" t="s">
        <v>59</v>
      </c>
      <c r="C63" s="51">
        <f t="shared" si="28"/>
        <v>42731.37</v>
      </c>
      <c r="D63" s="51">
        <f t="shared" ref="D63" si="32">SUM(E63:G63)</f>
        <v>5739</v>
      </c>
      <c r="E63" s="51">
        <v>2739</v>
      </c>
      <c r="F63" s="51">
        <v>0</v>
      </c>
      <c r="G63" s="62">
        <v>3000</v>
      </c>
      <c r="H63" s="51">
        <f t="shared" ref="H63:H69" si="33">SUM(I63:K63)</f>
        <v>11992.37</v>
      </c>
      <c r="I63" s="51">
        <v>1000</v>
      </c>
      <c r="J63" s="51">
        <v>10992.37</v>
      </c>
      <c r="K63" s="51">
        <v>0</v>
      </c>
      <c r="L63" s="51">
        <f t="shared" si="29"/>
        <v>0</v>
      </c>
      <c r="M63" s="62">
        <v>0</v>
      </c>
      <c r="N63" s="62">
        <v>0</v>
      </c>
      <c r="O63" s="62">
        <v>0</v>
      </c>
      <c r="P63" s="51">
        <f t="shared" ref="P63" si="34">SUM(Q63:S63)</f>
        <v>25000</v>
      </c>
      <c r="Q63" s="62">
        <v>25000</v>
      </c>
      <c r="R63" s="51">
        <v>0</v>
      </c>
      <c r="S63" s="51">
        <v>0</v>
      </c>
      <c r="T63" s="62"/>
    </row>
    <row r="64" spans="1:24" outlineLevel="1" x14ac:dyDescent="0.45">
      <c r="B64" s="16" t="s">
        <v>60</v>
      </c>
      <c r="C64" s="51">
        <f t="shared" si="28"/>
        <v>2392437.92</v>
      </c>
      <c r="D64" s="51">
        <f t="shared" ref="D64:D70" si="35">SUM(E64:G64)</f>
        <v>803388.87</v>
      </c>
      <c r="E64" s="51">
        <v>274704.86</v>
      </c>
      <c r="F64" s="51">
        <v>259156.23</v>
      </c>
      <c r="G64" s="62">
        <v>269527.78000000003</v>
      </c>
      <c r="H64" s="51">
        <f t="shared" si="33"/>
        <v>653135.13</v>
      </c>
      <c r="I64" s="51">
        <v>246828.76</v>
      </c>
      <c r="J64" s="51">
        <v>226362.21</v>
      </c>
      <c r="K64" s="51">
        <v>179944.16</v>
      </c>
      <c r="L64" s="51">
        <f t="shared" si="29"/>
        <v>536239.26</v>
      </c>
      <c r="M64" s="62">
        <v>183818.93</v>
      </c>
      <c r="N64" s="62">
        <v>179740.96</v>
      </c>
      <c r="O64" s="62">
        <v>172679.37</v>
      </c>
      <c r="P64" s="51">
        <f t="shared" si="30"/>
        <v>399674.66</v>
      </c>
      <c r="Q64" s="62">
        <v>172970.96</v>
      </c>
      <c r="R64" s="51">
        <v>123078.7</v>
      </c>
      <c r="S64" s="51">
        <v>103625</v>
      </c>
      <c r="T64" s="62"/>
    </row>
    <row r="65" spans="1:25" outlineLevel="1" x14ac:dyDescent="0.45">
      <c r="B65" s="16" t="s">
        <v>61</v>
      </c>
      <c r="C65" s="51">
        <f t="shared" si="28"/>
        <v>495183.72999999986</v>
      </c>
      <c r="D65" s="51">
        <f t="shared" si="35"/>
        <v>168553.53</v>
      </c>
      <c r="E65" s="51">
        <v>58989.69</v>
      </c>
      <c r="F65" s="51">
        <v>55452.72</v>
      </c>
      <c r="G65" s="62">
        <v>54111.12</v>
      </c>
      <c r="H65" s="51">
        <f t="shared" si="33"/>
        <v>144565.78</v>
      </c>
      <c r="I65" s="51">
        <v>55492.1</v>
      </c>
      <c r="J65" s="51">
        <v>50338.14</v>
      </c>
      <c r="K65" s="51">
        <v>38735.54</v>
      </c>
      <c r="L65" s="51">
        <f t="shared" si="29"/>
        <v>112634.6</v>
      </c>
      <c r="M65" s="62">
        <v>39705.230000000003</v>
      </c>
      <c r="N65" s="62">
        <v>38594.22</v>
      </c>
      <c r="O65" s="62">
        <v>34335.15</v>
      </c>
      <c r="P65" s="51">
        <f t="shared" si="30"/>
        <v>69429.820000000007</v>
      </c>
      <c r="Q65" s="62">
        <v>34335.15</v>
      </c>
      <c r="R65" s="51">
        <v>24519.67</v>
      </c>
      <c r="S65" s="51">
        <v>10575</v>
      </c>
      <c r="T65" s="62"/>
    </row>
    <row r="66" spans="1:25" outlineLevel="1" x14ac:dyDescent="0.45">
      <c r="B66" s="16" t="s">
        <v>62</v>
      </c>
      <c r="C66" s="51">
        <f t="shared" si="28"/>
        <v>51169.78</v>
      </c>
      <c r="D66" s="51">
        <f t="shared" si="35"/>
        <v>20359.09</v>
      </c>
      <c r="E66" s="51">
        <v>0</v>
      </c>
      <c r="F66" s="51">
        <v>17511.12</v>
      </c>
      <c r="G66" s="62">
        <v>2847.97</v>
      </c>
      <c r="H66" s="51">
        <f t="shared" si="33"/>
        <v>2685.8900000000003</v>
      </c>
      <c r="I66" s="51">
        <v>1200</v>
      </c>
      <c r="J66" s="51">
        <v>0</v>
      </c>
      <c r="K66" s="51">
        <v>1485.89</v>
      </c>
      <c r="L66" s="51">
        <f t="shared" si="29"/>
        <v>-99.76</v>
      </c>
      <c r="M66" s="62">
        <v>0</v>
      </c>
      <c r="N66" s="62">
        <v>0</v>
      </c>
      <c r="O66" s="62">
        <v>-99.76</v>
      </c>
      <c r="P66" s="51">
        <f t="shared" si="30"/>
        <v>28224.559999999998</v>
      </c>
      <c r="Q66" s="62">
        <v>3304.17</v>
      </c>
      <c r="R66" s="51">
        <v>0</v>
      </c>
      <c r="S66" s="51">
        <v>24920.39</v>
      </c>
      <c r="T66" s="62"/>
    </row>
    <row r="67" spans="1:25" outlineLevel="1" x14ac:dyDescent="0.45">
      <c r="B67" s="16" t="s">
        <v>63</v>
      </c>
      <c r="C67" s="51">
        <f t="shared" si="28"/>
        <v>207649.08999999997</v>
      </c>
      <c r="D67" s="51">
        <f t="shared" si="35"/>
        <v>67447.710000000006</v>
      </c>
      <c r="E67" s="51">
        <v>23601.29</v>
      </c>
      <c r="F67" s="51">
        <v>22186.93</v>
      </c>
      <c r="G67" s="62">
        <v>21659.49</v>
      </c>
      <c r="H67" s="51">
        <f t="shared" si="33"/>
        <v>59573.7</v>
      </c>
      <c r="I67" s="51">
        <v>22929.24</v>
      </c>
      <c r="J67" s="51">
        <v>21149.05</v>
      </c>
      <c r="K67" s="51">
        <v>15495.41</v>
      </c>
      <c r="L67" s="51">
        <f t="shared" si="29"/>
        <v>45053.02</v>
      </c>
      <c r="M67" s="62">
        <v>15882.08</v>
      </c>
      <c r="N67" s="62">
        <v>15437.48</v>
      </c>
      <c r="O67" s="62">
        <v>13733.46</v>
      </c>
      <c r="P67" s="51">
        <f t="shared" si="30"/>
        <v>35574.660000000003</v>
      </c>
      <c r="Q67" s="62">
        <v>13733.46</v>
      </c>
      <c r="R67" s="51">
        <v>9807.8700000000008</v>
      </c>
      <c r="S67" s="51">
        <v>12033.33</v>
      </c>
      <c r="T67" s="62"/>
    </row>
    <row r="68" spans="1:25" outlineLevel="1" x14ac:dyDescent="0.45">
      <c r="B68" s="16" t="s">
        <v>64</v>
      </c>
      <c r="C68" s="51">
        <f t="shared" si="28"/>
        <v>120889.78</v>
      </c>
      <c r="D68" s="51">
        <f t="shared" si="35"/>
        <v>113927.94999999998</v>
      </c>
      <c r="E68" s="51">
        <v>106571.29</v>
      </c>
      <c r="F68" s="51">
        <v>3648.15</v>
      </c>
      <c r="G68" s="62">
        <v>3708.51</v>
      </c>
      <c r="H68" s="51"/>
      <c r="I68" s="51">
        <v>0</v>
      </c>
      <c r="J68" s="51">
        <v>6961.83</v>
      </c>
      <c r="K68" s="51">
        <v>0</v>
      </c>
      <c r="L68" s="51"/>
      <c r="M68" s="62">
        <v>0</v>
      </c>
      <c r="N68" s="62">
        <v>0</v>
      </c>
      <c r="O68" s="62">
        <v>0</v>
      </c>
      <c r="P68" s="51"/>
      <c r="Q68" s="62">
        <v>0</v>
      </c>
      <c r="R68" s="51">
        <v>0</v>
      </c>
      <c r="S68" s="51">
        <v>0</v>
      </c>
      <c r="T68" s="62"/>
    </row>
    <row r="69" spans="1:25" outlineLevel="1" x14ac:dyDescent="0.45">
      <c r="B69" s="16" t="s">
        <v>65</v>
      </c>
      <c r="C69" s="51">
        <f t="shared" si="28"/>
        <v>1696.05</v>
      </c>
      <c r="D69" s="51">
        <f t="shared" si="35"/>
        <v>0</v>
      </c>
      <c r="E69" s="51">
        <v>0</v>
      </c>
      <c r="F69" s="51">
        <v>0</v>
      </c>
      <c r="G69" s="62">
        <v>0</v>
      </c>
      <c r="H69" s="51">
        <f t="shared" si="33"/>
        <v>1126.05</v>
      </c>
      <c r="I69" s="51">
        <v>0</v>
      </c>
      <c r="J69" s="51">
        <v>1126.05</v>
      </c>
      <c r="K69" s="51">
        <v>0</v>
      </c>
      <c r="L69" s="51">
        <f t="shared" si="29"/>
        <v>570</v>
      </c>
      <c r="M69" s="62">
        <v>570</v>
      </c>
      <c r="N69" s="62">
        <v>0</v>
      </c>
      <c r="O69" s="62">
        <v>0</v>
      </c>
      <c r="P69" s="51">
        <f t="shared" si="30"/>
        <v>0</v>
      </c>
      <c r="Q69" s="62">
        <v>0</v>
      </c>
      <c r="R69" s="51">
        <v>0</v>
      </c>
      <c r="S69" s="51">
        <v>0</v>
      </c>
      <c r="T69" s="62"/>
    </row>
    <row r="70" spans="1:25" s="95" customFormat="1" x14ac:dyDescent="0.45">
      <c r="A70" s="94"/>
      <c r="B70" s="19" t="s">
        <v>66</v>
      </c>
      <c r="C70" s="54">
        <f>+C52+C48+C44+C34+C17</f>
        <v>5870217.1499999994</v>
      </c>
      <c r="D70" s="54">
        <f t="shared" si="35"/>
        <v>2270910.0099999998</v>
      </c>
      <c r="E70" s="54">
        <f>+E52+E48+E44+E34+E17</f>
        <v>1092217.95</v>
      </c>
      <c r="F70" s="54">
        <f>+F52+F48+F44+F34+F17</f>
        <v>576978.80000000005</v>
      </c>
      <c r="G70" s="54">
        <f>+G52+G48+G44+G34+G17</f>
        <v>601713.26</v>
      </c>
      <c r="H70" s="54">
        <f>SUM(I70:K70)</f>
        <v>1515109.11</v>
      </c>
      <c r="I70" s="54">
        <f>+I52+I48+I44+I34+I17</f>
        <v>556536.68000000005</v>
      </c>
      <c r="J70" s="54">
        <f>+J52+J48+J44+J34+J17</f>
        <v>545723.95000000007</v>
      </c>
      <c r="K70" s="54">
        <f>+K52+K48+K44+K34+K17</f>
        <v>412848.48000000004</v>
      </c>
      <c r="L70" s="54">
        <f>SUM(M70:O70)</f>
        <v>1178029.79</v>
      </c>
      <c r="M70" s="54">
        <f>+M52+M48+M44+M34+M17</f>
        <v>403914.09</v>
      </c>
      <c r="N70" s="54">
        <f>+N52+N48+N44+N34+N17</f>
        <v>416643.39</v>
      </c>
      <c r="O70" s="54">
        <f>+O52+O48+O44+O34+O17</f>
        <v>357472.30999999994</v>
      </c>
      <c r="P70" s="54">
        <f>SUM(Q70:S70)</f>
        <v>906168.24</v>
      </c>
      <c r="Q70" s="54">
        <f>+Q52+Q48+Q44+Q34+Q17</f>
        <v>385426.10000000003</v>
      </c>
      <c r="R70" s="54">
        <f>+R52+R48+R44+R34+R17</f>
        <v>268829.18</v>
      </c>
      <c r="S70" s="54">
        <f>+S52+S48+S44+S34+S17</f>
        <v>251912.96000000002</v>
      </c>
      <c r="T70" s="55"/>
      <c r="W70" s="96"/>
      <c r="X70" s="96"/>
      <c r="Y70" s="97"/>
    </row>
    <row r="71" spans="1:25" x14ac:dyDescent="0.45">
      <c r="B71" s="14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5" x14ac:dyDescent="0.45">
      <c r="B72" s="14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W72" s="17"/>
    </row>
    <row r="73" spans="1:25" x14ac:dyDescent="0.45">
      <c r="B73" s="19" t="s">
        <v>67</v>
      </c>
      <c r="C73" s="54">
        <f t="shared" ref="C73:S73" si="36">SUM(C13+C14)-C70</f>
        <v>1809565.5000000251</v>
      </c>
      <c r="D73" s="54">
        <f>SUM(D13+D14)-D70</f>
        <v>41453.55999999959</v>
      </c>
      <c r="E73" s="54">
        <f>SUM(E13+E14)-E70</f>
        <v>-51077.730000000214</v>
      </c>
      <c r="F73" s="54">
        <f>SUM(F13+F14)-F70</f>
        <v>258407.82999999984</v>
      </c>
      <c r="G73" s="54">
        <f>SUM(G13+G14)-G70</f>
        <v>-165876.5399999998</v>
      </c>
      <c r="H73" s="54">
        <f t="shared" si="36"/>
        <v>330104.10000000102</v>
      </c>
      <c r="I73" s="54">
        <f t="shared" si="36"/>
        <v>-141794.13000000024</v>
      </c>
      <c r="J73" s="54">
        <f t="shared" si="36"/>
        <v>-33532.499999999884</v>
      </c>
      <c r="K73" s="54">
        <f t="shared" si="36"/>
        <v>505430.73000000016</v>
      </c>
      <c r="L73" s="54">
        <f t="shared" si="36"/>
        <v>661916.28000000026</v>
      </c>
      <c r="M73" s="54">
        <f t="shared" si="36"/>
        <v>341765.06000000035</v>
      </c>
      <c r="N73" s="54">
        <f t="shared" si="36"/>
        <v>291424.87999999954</v>
      </c>
      <c r="O73" s="54">
        <f t="shared" si="36"/>
        <v>28726.340000000433</v>
      </c>
      <c r="P73" s="54">
        <f t="shared" si="36"/>
        <v>776091.55999999819</v>
      </c>
      <c r="Q73" s="54">
        <f t="shared" si="36"/>
        <v>501456.69999999815</v>
      </c>
      <c r="R73" s="54">
        <f t="shared" si="36"/>
        <v>242606.56999999995</v>
      </c>
      <c r="S73" s="54">
        <f t="shared" si="36"/>
        <v>32028.289999999979</v>
      </c>
      <c r="T73" s="51"/>
      <c r="U73" s="18"/>
      <c r="V73" s="12"/>
    </row>
    <row r="74" spans="1:25" x14ac:dyDescent="0.45">
      <c r="B74" s="14"/>
      <c r="C74" s="62"/>
      <c r="D74" s="62"/>
      <c r="E74" s="241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V74" s="18"/>
      <c r="W74" s="17"/>
    </row>
    <row r="75" spans="1:25" x14ac:dyDescent="0.45">
      <c r="B75" s="14"/>
      <c r="C75" s="63">
        <f t="shared" ref="C75:C95" si="37">SUM(D75:S75)-P75-L75-H75-D75</f>
        <v>0</v>
      </c>
      <c r="D75" s="62"/>
      <c r="E75" s="63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V75" s="18"/>
      <c r="W75" s="17"/>
    </row>
    <row r="76" spans="1:25" x14ac:dyDescent="0.45">
      <c r="B76" s="13" t="s">
        <v>69</v>
      </c>
      <c r="C76" s="53">
        <f t="shared" si="37"/>
        <v>-51128.210000000006</v>
      </c>
      <c r="D76" s="53">
        <f>SUM(E76:G76)</f>
        <v>-49166.020000000004</v>
      </c>
      <c r="E76" s="53">
        <v>-49465.83</v>
      </c>
      <c r="F76" s="13">
        <v>0</v>
      </c>
      <c r="G76" s="113">
        <v>299.81</v>
      </c>
      <c r="H76" s="53">
        <f>SUM(I76:K76)</f>
        <v>-1737.44</v>
      </c>
      <c r="I76" s="13">
        <v>0</v>
      </c>
      <c r="J76" s="113">
        <v>-1737.44</v>
      </c>
      <c r="K76" s="13">
        <v>0</v>
      </c>
      <c r="L76" s="122">
        <f t="shared" ref="L76" si="38">SUM(M76:O76)</f>
        <v>-224.75</v>
      </c>
      <c r="M76" s="113">
        <v>0</v>
      </c>
      <c r="N76" s="113">
        <v>0</v>
      </c>
      <c r="O76" s="113">
        <v>-224.75</v>
      </c>
      <c r="P76" s="53">
        <f>SUM(Q76:S76)</f>
        <v>0</v>
      </c>
      <c r="Q76" s="113">
        <v>0</v>
      </c>
      <c r="R76" s="113">
        <v>0</v>
      </c>
      <c r="S76" s="113">
        <v>0</v>
      </c>
      <c r="T76" s="62"/>
      <c r="V76" s="18"/>
      <c r="W76" s="17"/>
    </row>
    <row r="77" spans="1:25" x14ac:dyDescent="0.45">
      <c r="B77" s="14"/>
      <c r="C77" s="53">
        <f t="shared" si="37"/>
        <v>0</v>
      </c>
      <c r="D77" s="62"/>
      <c r="E77" s="53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V77" s="2"/>
      <c r="W77" s="2"/>
    </row>
    <row r="78" spans="1:25" x14ac:dyDescent="0.45">
      <c r="B78" s="13" t="s">
        <v>295</v>
      </c>
      <c r="C78" s="53">
        <f t="shared" ref="C78" si="39">SUM(D78:S78)-P78-L78-H78-D78</f>
        <v>6362.26</v>
      </c>
      <c r="D78" s="53">
        <f>SUM(E78:G78)</f>
        <v>6362.26</v>
      </c>
      <c r="E78" s="53">
        <v>6362.26</v>
      </c>
      <c r="F78" s="13"/>
      <c r="G78" s="113"/>
      <c r="H78" s="53"/>
      <c r="I78" s="13"/>
      <c r="J78" s="13"/>
      <c r="K78" s="13"/>
      <c r="L78" s="122"/>
      <c r="M78" s="113"/>
      <c r="N78" s="113"/>
      <c r="O78" s="113"/>
      <c r="P78" s="53"/>
      <c r="Q78" s="113"/>
      <c r="R78" s="113"/>
      <c r="S78" s="113"/>
      <c r="T78" s="62"/>
      <c r="V78" s="2"/>
      <c r="W78" s="2"/>
    </row>
    <row r="79" spans="1:25" x14ac:dyDescent="0.45">
      <c r="B79" s="13"/>
      <c r="C79" s="53"/>
      <c r="D79" s="53"/>
      <c r="E79" s="53"/>
      <c r="F79" s="13"/>
      <c r="G79" s="113"/>
      <c r="H79" s="53"/>
      <c r="I79" s="13"/>
      <c r="J79" s="13"/>
      <c r="K79" s="13"/>
      <c r="L79" s="122"/>
      <c r="M79" s="113"/>
      <c r="N79" s="113"/>
      <c r="O79" s="113"/>
      <c r="P79" s="53"/>
      <c r="Q79" s="113"/>
      <c r="R79" s="113"/>
      <c r="S79" s="113"/>
      <c r="T79" s="62"/>
      <c r="V79" s="2"/>
      <c r="W79" s="2"/>
    </row>
    <row r="80" spans="1:25" x14ac:dyDescent="0.45">
      <c r="B80" s="14"/>
      <c r="C80" s="53">
        <f t="shared" si="37"/>
        <v>0</v>
      </c>
      <c r="D80" s="62"/>
      <c r="E80" s="53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V80" s="2"/>
      <c r="W80" s="2"/>
    </row>
    <row r="81" spans="2:23" x14ac:dyDescent="0.45">
      <c r="B81" s="13" t="s">
        <v>71</v>
      </c>
      <c r="C81" s="53">
        <f t="shared" si="37"/>
        <v>-706164.60999999987</v>
      </c>
      <c r="D81" s="53">
        <f>SUM(E81:G81)</f>
        <v>440000</v>
      </c>
      <c r="E81" s="53">
        <v>475000</v>
      </c>
      <c r="F81" s="53">
        <v>-20000</v>
      </c>
      <c r="G81" s="53">
        <v>-15000</v>
      </c>
      <c r="H81" s="53">
        <f>SUM(I81:K81)</f>
        <v>-369927.06</v>
      </c>
      <c r="I81" s="53">
        <v>-90000</v>
      </c>
      <c r="J81" s="53">
        <v>-108312.47</v>
      </c>
      <c r="K81" s="53">
        <v>-171614.59</v>
      </c>
      <c r="L81" s="53">
        <f>SUM(M81:O81)</f>
        <v>-430787.54000000004</v>
      </c>
      <c r="M81" s="53">
        <v>-164188.26</v>
      </c>
      <c r="N81" s="53">
        <v>-170587.62</v>
      </c>
      <c r="O81" s="53">
        <v>-96011.66</v>
      </c>
      <c r="P81" s="53">
        <f>SUM(Q81:S81)</f>
        <v>-345450.01</v>
      </c>
      <c r="Q81" s="53">
        <v>-184731.71</v>
      </c>
      <c r="R81" s="53">
        <v>-92622.21</v>
      </c>
      <c r="S81" s="53">
        <v>-68096.09</v>
      </c>
      <c r="T81" s="51"/>
      <c r="W81" s="2"/>
    </row>
    <row r="82" spans="2:23" x14ac:dyDescent="0.45">
      <c r="B82" s="14"/>
      <c r="C82" s="53">
        <f t="shared" si="37"/>
        <v>0</v>
      </c>
      <c r="D82" s="62"/>
      <c r="E82" s="53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W82" s="2"/>
    </row>
    <row r="83" spans="2:23" x14ac:dyDescent="0.45">
      <c r="B83" s="13" t="s">
        <v>294</v>
      </c>
      <c r="C83" s="53">
        <f t="shared" si="37"/>
        <v>-365252.64</v>
      </c>
      <c r="D83" s="53">
        <f>SUM(E83:G83)</f>
        <v>-90849.99</v>
      </c>
      <c r="E83" s="53">
        <v>-30283.33</v>
      </c>
      <c r="F83" s="53">
        <v>-30283.33</v>
      </c>
      <c r="G83" s="113">
        <v>-30283.33</v>
      </c>
      <c r="H83" s="53">
        <f>SUM(I83:K83)</f>
        <v>-90849.99</v>
      </c>
      <c r="I83" s="53">
        <v>-30283.33</v>
      </c>
      <c r="J83" s="53">
        <v>-30283.33</v>
      </c>
      <c r="K83" s="53">
        <v>-30283.33</v>
      </c>
      <c r="L83" s="53">
        <f>SUM(M83:O83)</f>
        <v>-90849.99</v>
      </c>
      <c r="M83" s="53">
        <v>-30283.33</v>
      </c>
      <c r="N83" s="53">
        <v>-30283.33</v>
      </c>
      <c r="O83" s="53">
        <v>-30283.33</v>
      </c>
      <c r="P83" s="53">
        <f>SUM(Q83:S83)</f>
        <v>-92702.67</v>
      </c>
      <c r="Q83" s="53">
        <v>-30283.33</v>
      </c>
      <c r="R83" s="53">
        <v>-30283.33</v>
      </c>
      <c r="S83" s="53">
        <v>-32136.01</v>
      </c>
      <c r="T83" s="51"/>
      <c r="W83" s="2"/>
    </row>
    <row r="84" spans="2:23" x14ac:dyDescent="0.45">
      <c r="B84" s="14"/>
      <c r="C84" s="53">
        <f t="shared" si="37"/>
        <v>0</v>
      </c>
      <c r="D84" s="62"/>
      <c r="E84" s="53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W84" s="2"/>
    </row>
    <row r="85" spans="2:23" x14ac:dyDescent="0.45">
      <c r="B85" s="13" t="s">
        <v>73</v>
      </c>
      <c r="C85" s="53">
        <f t="shared" si="37"/>
        <v>-497027.78</v>
      </c>
      <c r="D85" s="53">
        <f>SUM(E85:G85)</f>
        <v>-497027.78</v>
      </c>
      <c r="E85" s="53">
        <v>-255965.28</v>
      </c>
      <c r="F85" s="53">
        <v>-118416.67</v>
      </c>
      <c r="G85" s="113">
        <v>-122645.83</v>
      </c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1"/>
      <c r="W85" s="2"/>
    </row>
    <row r="86" spans="2:23" x14ac:dyDescent="0.45">
      <c r="B86" s="14"/>
      <c r="C86" s="53">
        <f t="shared" si="37"/>
        <v>0</v>
      </c>
      <c r="D86" s="62"/>
      <c r="E86" s="53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W86" s="2"/>
    </row>
    <row r="87" spans="2:23" x14ac:dyDescent="0.45">
      <c r="B87" s="13" t="s">
        <v>74</v>
      </c>
      <c r="C87" s="53">
        <f t="shared" si="37"/>
        <v>0</v>
      </c>
      <c r="D87" s="53">
        <f>SUM(E87:G87)</f>
        <v>0</v>
      </c>
      <c r="E87" s="53">
        <v>0</v>
      </c>
      <c r="F87" s="53"/>
      <c r="G87" s="11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1"/>
      <c r="W87" s="2"/>
    </row>
    <row r="88" spans="2:23" x14ac:dyDescent="0.45">
      <c r="B88" s="14"/>
      <c r="C88" s="53">
        <f t="shared" si="37"/>
        <v>0</v>
      </c>
      <c r="D88" s="62"/>
      <c r="E88" s="53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W88" s="2"/>
    </row>
    <row r="89" spans="2:23" x14ac:dyDescent="0.45">
      <c r="B89" s="13" t="s">
        <v>75</v>
      </c>
      <c r="C89" s="53">
        <f t="shared" si="37"/>
        <v>-102500</v>
      </c>
      <c r="D89" s="53">
        <f>SUM(E89:G89)</f>
        <v>-102500</v>
      </c>
      <c r="E89" s="53">
        <v>0</v>
      </c>
      <c r="F89" s="53">
        <v>-50000</v>
      </c>
      <c r="G89" s="113">
        <v>-52500</v>
      </c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1"/>
      <c r="W89" s="2"/>
    </row>
    <row r="90" spans="2:23" x14ac:dyDescent="0.45">
      <c r="B90" s="14"/>
      <c r="C90" s="53">
        <f t="shared" si="37"/>
        <v>0</v>
      </c>
      <c r="D90" s="62"/>
      <c r="E90" s="53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W90" s="2"/>
    </row>
    <row r="91" spans="2:23" x14ac:dyDescent="0.45">
      <c r="B91" s="146" t="s">
        <v>76</v>
      </c>
      <c r="C91" s="53">
        <f t="shared" si="37"/>
        <v>-5555.5500000000011</v>
      </c>
      <c r="D91" s="53">
        <f>SUM(E91:G91)</f>
        <v>-3333.33</v>
      </c>
      <c r="E91" s="53">
        <v>-1111.1099999999999</v>
      </c>
      <c r="F91" s="53">
        <v>-1111.1099999999999</v>
      </c>
      <c r="G91" s="113">
        <v>-1111.1099999999999</v>
      </c>
      <c r="H91" s="53">
        <f>SUM(I91:K91)</f>
        <v>-2222.2199999999998</v>
      </c>
      <c r="I91" s="53">
        <v>-1111.1099999999999</v>
      </c>
      <c r="J91" s="53">
        <v>-1111.1099999999999</v>
      </c>
      <c r="K91" s="53">
        <v>0</v>
      </c>
      <c r="L91" s="53">
        <f>SUM(M91:O91)</f>
        <v>0</v>
      </c>
      <c r="M91" s="53">
        <v>0</v>
      </c>
      <c r="N91" s="53">
        <v>0</v>
      </c>
      <c r="O91" s="53">
        <v>0</v>
      </c>
      <c r="P91" s="53">
        <f>SUM(Q91:S91)</f>
        <v>0</v>
      </c>
      <c r="Q91" s="53">
        <v>0</v>
      </c>
      <c r="R91" s="53">
        <v>0</v>
      </c>
      <c r="S91" s="53">
        <v>0</v>
      </c>
      <c r="T91" s="51"/>
      <c r="W91" s="2"/>
    </row>
    <row r="92" spans="2:23" x14ac:dyDescent="0.45">
      <c r="B92" s="14"/>
      <c r="C92" s="53">
        <f t="shared" si="37"/>
        <v>0</v>
      </c>
      <c r="D92" s="62"/>
      <c r="E92" s="53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W92" s="2"/>
    </row>
    <row r="93" spans="2:23" x14ac:dyDescent="0.45">
      <c r="B93" s="13" t="s">
        <v>77</v>
      </c>
      <c r="C93" s="53">
        <f t="shared" si="37"/>
        <v>0</v>
      </c>
      <c r="D93" s="53">
        <f>SUM(E93:G93)</f>
        <v>0</v>
      </c>
      <c r="E93" s="53">
        <v>0</v>
      </c>
      <c r="F93" s="53">
        <v>0</v>
      </c>
      <c r="G93" s="53">
        <v>0</v>
      </c>
      <c r="H93" s="53">
        <f>SUM(I93:K93)</f>
        <v>0</v>
      </c>
      <c r="I93" s="53">
        <v>0</v>
      </c>
      <c r="J93" s="53">
        <v>0</v>
      </c>
      <c r="K93" s="53">
        <v>0</v>
      </c>
      <c r="L93" s="53">
        <f>SUM(M93:O93)</f>
        <v>0</v>
      </c>
      <c r="M93" s="53">
        <v>0</v>
      </c>
      <c r="N93" s="53">
        <v>0</v>
      </c>
      <c r="O93" s="53">
        <v>0</v>
      </c>
      <c r="P93" s="53">
        <f>SUM(Q93:S93)</f>
        <v>0</v>
      </c>
      <c r="Q93" s="53">
        <v>0</v>
      </c>
      <c r="R93" s="53">
        <v>0</v>
      </c>
      <c r="S93" s="53">
        <v>0</v>
      </c>
      <c r="T93" s="51"/>
    </row>
    <row r="94" spans="2:23" x14ac:dyDescent="0.45">
      <c r="B94" s="14"/>
      <c r="C94" s="53">
        <f t="shared" si="37"/>
        <v>0</v>
      </c>
      <c r="D94" s="62"/>
      <c r="E94" s="53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2:23" x14ac:dyDescent="0.45">
      <c r="B95" s="13" t="s">
        <v>78</v>
      </c>
      <c r="C95" s="53">
        <f t="shared" si="37"/>
        <v>5910.49</v>
      </c>
      <c r="D95" s="53">
        <f>SUM(E95:G95)</f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f>SUM(M95:O95)</f>
        <v>5910.49</v>
      </c>
      <c r="M95" s="53">
        <v>0</v>
      </c>
      <c r="N95" s="53">
        <v>5910.49</v>
      </c>
      <c r="O95" s="53">
        <v>0</v>
      </c>
      <c r="P95" s="53">
        <v>0</v>
      </c>
      <c r="Q95" s="53">
        <v>0</v>
      </c>
      <c r="R95" s="53">
        <v>0</v>
      </c>
      <c r="S95" s="53">
        <v>0</v>
      </c>
      <c r="T95" s="51"/>
    </row>
    <row r="96" spans="2:23" x14ac:dyDescent="0.45">
      <c r="B96" s="14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2:21" x14ac:dyDescent="0.45">
      <c r="B97" s="19" t="s">
        <v>79</v>
      </c>
      <c r="C97" s="54">
        <f>+C73+C83+C93+C95+C81+C91+C76+C85+C89+C78</f>
        <v>94209.460000025094</v>
      </c>
      <c r="D97" s="54">
        <f t="shared" ref="D97:S97" si="40">+D73+D83+D93+D95+D81+D91+D76+D85+D89+D78</f>
        <v>-255061.30000000045</v>
      </c>
      <c r="E97" s="54">
        <f t="shared" si="40"/>
        <v>93458.979999999763</v>
      </c>
      <c r="F97" s="54">
        <f t="shared" si="40"/>
        <v>38596.719999999841</v>
      </c>
      <c r="G97" s="54">
        <f t="shared" si="40"/>
        <v>-387116.99999999983</v>
      </c>
      <c r="H97" s="54">
        <f t="shared" si="40"/>
        <v>-134632.60999999897</v>
      </c>
      <c r="I97" s="54">
        <f t="shared" si="40"/>
        <v>-263188.57000000024</v>
      </c>
      <c r="J97" s="54">
        <f t="shared" si="40"/>
        <v>-174976.84999999986</v>
      </c>
      <c r="K97" s="54">
        <f t="shared" si="40"/>
        <v>303532.81000000017</v>
      </c>
      <c r="L97" s="54">
        <f t="shared" si="40"/>
        <v>145964.49000000022</v>
      </c>
      <c r="M97" s="54">
        <f t="shared" si="40"/>
        <v>147293.47000000032</v>
      </c>
      <c r="N97" s="54">
        <f t="shared" si="40"/>
        <v>96464.419999999518</v>
      </c>
      <c r="O97" s="54">
        <f t="shared" si="40"/>
        <v>-97793.399999999572</v>
      </c>
      <c r="P97" s="54">
        <f t="shared" si="40"/>
        <v>337938.87999999814</v>
      </c>
      <c r="Q97" s="54">
        <f t="shared" si="40"/>
        <v>286441.65999999817</v>
      </c>
      <c r="R97" s="54">
        <f t="shared" si="40"/>
        <v>119701.02999999993</v>
      </c>
      <c r="S97" s="54">
        <f t="shared" si="40"/>
        <v>-68203.810000000012</v>
      </c>
      <c r="T97" s="55"/>
      <c r="U97" s="2"/>
    </row>
    <row r="98" spans="2:21" ht="15" x14ac:dyDescent="0.45">
      <c r="B98" s="20"/>
      <c r="C98" s="103"/>
      <c r="D98" s="43"/>
      <c r="E98" s="43"/>
      <c r="F98" s="21"/>
      <c r="G98" s="21"/>
      <c r="H98" s="43"/>
      <c r="I98" s="43"/>
      <c r="J98" s="43"/>
      <c r="K98" s="43"/>
      <c r="L98" s="43"/>
      <c r="M98" s="43"/>
      <c r="N98" s="43"/>
      <c r="O98" s="43"/>
      <c r="P98" s="43"/>
      <c r="Q98" s="21"/>
      <c r="R98" s="21"/>
      <c r="S98" s="21"/>
      <c r="T98" s="21"/>
    </row>
    <row r="99" spans="2:21" x14ac:dyDescent="0.45">
      <c r="C99" s="17"/>
      <c r="D99" s="2"/>
      <c r="F99" s="35"/>
      <c r="G99" s="35"/>
      <c r="H99" s="35"/>
      <c r="I99" s="258"/>
      <c r="J99" s="258"/>
    </row>
    <row r="100" spans="2:21" x14ac:dyDescent="0.45">
      <c r="C100" s="35"/>
      <c r="D100" s="2"/>
      <c r="F100" s="2"/>
      <c r="G100" s="35"/>
      <c r="H100" s="35"/>
      <c r="I100" s="2"/>
      <c r="J100" s="35"/>
    </row>
    <row r="101" spans="2:21" x14ac:dyDescent="0.45">
      <c r="C101" s="148"/>
      <c r="D101" s="35"/>
      <c r="E101" s="104"/>
      <c r="F101" s="104"/>
      <c r="G101" s="61"/>
      <c r="H101" s="61"/>
      <c r="I101" s="61"/>
      <c r="J101" s="61"/>
      <c r="K101" s="61"/>
      <c r="L101" s="61"/>
      <c r="M101" s="61"/>
      <c r="N101" s="61"/>
      <c r="O101" s="2"/>
      <c r="P101" s="61"/>
      <c r="Q101" s="61"/>
      <c r="R101" s="61"/>
      <c r="S101" s="61"/>
    </row>
    <row r="102" spans="2:21" x14ac:dyDescent="0.45">
      <c r="D102" s="35"/>
      <c r="E102" s="35"/>
      <c r="F102" s="18"/>
      <c r="G102" s="18"/>
      <c r="H102" s="35"/>
      <c r="I102" s="2"/>
      <c r="J102" s="35"/>
      <c r="K102" s="42"/>
    </row>
    <row r="103" spans="2:21" x14ac:dyDescent="0.45">
      <c r="D103" s="35"/>
      <c r="E103" s="35"/>
      <c r="F103" s="2"/>
      <c r="G103" s="18"/>
      <c r="H103" s="35"/>
    </row>
    <row r="104" spans="2:21" x14ac:dyDescent="0.45">
      <c r="C104" s="35"/>
      <c r="D104" s="35"/>
      <c r="F104" s="18"/>
      <c r="G104" s="18"/>
      <c r="H104" s="35"/>
    </row>
    <row r="105" spans="2:21" x14ac:dyDescent="0.45">
      <c r="C105" s="35"/>
      <c r="D105" s="35"/>
      <c r="F105" s="18"/>
      <c r="G105" s="18"/>
      <c r="H105" s="35"/>
      <c r="O105" s="35"/>
      <c r="P105" s="35"/>
      <c r="Q105" s="35"/>
      <c r="R105" s="35"/>
    </row>
    <row r="106" spans="2:21" x14ac:dyDescent="0.45">
      <c r="C106" s="35"/>
      <c r="D106" s="35"/>
      <c r="O106" s="35"/>
      <c r="P106" s="35"/>
      <c r="Q106" s="35"/>
      <c r="R106" s="35"/>
    </row>
    <row r="107" spans="2:21" x14ac:dyDescent="0.45">
      <c r="C107" s="35"/>
      <c r="D107" s="35"/>
      <c r="O107" s="18"/>
      <c r="P107" s="18"/>
      <c r="Q107" s="18"/>
      <c r="R107" s="18"/>
    </row>
    <row r="108" spans="2:21" x14ac:dyDescent="0.45">
      <c r="C108" s="35"/>
      <c r="D108" s="35"/>
    </row>
    <row r="109" spans="2:21" x14ac:dyDescent="0.45">
      <c r="C109" s="35"/>
      <c r="D109" s="35"/>
    </row>
    <row r="110" spans="2:21" x14ac:dyDescent="0.45">
      <c r="C110" s="35"/>
      <c r="D110" s="35"/>
    </row>
    <row r="111" spans="2:21" x14ac:dyDescent="0.45">
      <c r="C111" s="35"/>
      <c r="D111" s="35"/>
    </row>
    <row r="112" spans="2:21" x14ac:dyDescent="0.45">
      <c r="C112" s="35"/>
      <c r="D112" s="35"/>
    </row>
    <row r="113" spans="3:4" x14ac:dyDescent="0.45">
      <c r="C113" s="35"/>
      <c r="D113" s="35"/>
    </row>
    <row r="114" spans="3:4" x14ac:dyDescent="0.45">
      <c r="C114" s="35"/>
      <c r="D114" s="35"/>
    </row>
    <row r="115" spans="3:4" x14ac:dyDescent="0.45">
      <c r="C115" s="35"/>
      <c r="D115" s="35"/>
    </row>
    <row r="116" spans="3:4" x14ac:dyDescent="0.45">
      <c r="C116" s="35"/>
      <c r="D116" s="35"/>
    </row>
    <row r="117" spans="3:4" x14ac:dyDescent="0.45">
      <c r="C117" s="35"/>
      <c r="D117" s="35"/>
    </row>
    <row r="118" spans="3:4" x14ac:dyDescent="0.45">
      <c r="C118" s="35"/>
      <c r="D118" s="35"/>
    </row>
    <row r="119" spans="3:4" x14ac:dyDescent="0.45">
      <c r="C119" s="35"/>
      <c r="D119" s="35"/>
    </row>
    <row r="120" spans="3:4" x14ac:dyDescent="0.45">
      <c r="C120" s="35"/>
      <c r="D120" s="35"/>
    </row>
    <row r="121" spans="3:4" x14ac:dyDescent="0.45">
      <c r="C121" s="35"/>
      <c r="D121" s="35"/>
    </row>
    <row r="122" spans="3:4" x14ac:dyDescent="0.45">
      <c r="C122" s="35"/>
      <c r="D122" s="35"/>
    </row>
    <row r="123" spans="3:4" x14ac:dyDescent="0.45">
      <c r="C123" s="35"/>
      <c r="D123" s="35"/>
    </row>
    <row r="124" spans="3:4" x14ac:dyDescent="0.45">
      <c r="C124" s="35"/>
      <c r="D124" s="35"/>
    </row>
    <row r="125" spans="3:4" x14ac:dyDescent="0.45">
      <c r="C125" s="35"/>
      <c r="D125" s="35"/>
    </row>
    <row r="126" spans="3:4" x14ac:dyDescent="0.45">
      <c r="C126" s="35"/>
      <c r="D126" s="35"/>
    </row>
    <row r="127" spans="3:4" x14ac:dyDescent="0.45">
      <c r="C127" s="35"/>
      <c r="D127" s="35"/>
    </row>
    <row r="128" spans="3:4" x14ac:dyDescent="0.45">
      <c r="C128" s="35"/>
      <c r="D128" s="35"/>
    </row>
    <row r="129" spans="3:4" x14ac:dyDescent="0.45">
      <c r="C129" s="35"/>
      <c r="D129" s="35"/>
    </row>
    <row r="130" spans="3:4" x14ac:dyDescent="0.45">
      <c r="C130" s="35"/>
      <c r="D130" s="35"/>
    </row>
    <row r="131" spans="3:4" x14ac:dyDescent="0.45">
      <c r="C131" s="35"/>
      <c r="D131" s="35"/>
    </row>
    <row r="132" spans="3:4" x14ac:dyDescent="0.45">
      <c r="C132" s="35"/>
      <c r="D132" s="35"/>
    </row>
    <row r="133" spans="3:4" x14ac:dyDescent="0.45">
      <c r="C133" s="35"/>
      <c r="D133" s="35"/>
    </row>
    <row r="134" spans="3:4" x14ac:dyDescent="0.45">
      <c r="C134" s="35"/>
      <c r="D134" s="35"/>
    </row>
    <row r="135" spans="3:4" x14ac:dyDescent="0.45">
      <c r="C135" s="35"/>
      <c r="D135" s="35"/>
    </row>
    <row r="136" spans="3:4" x14ac:dyDescent="0.45">
      <c r="C136" s="35"/>
      <c r="D136" s="35"/>
    </row>
    <row r="137" spans="3:4" x14ac:dyDescent="0.45">
      <c r="C137" s="35"/>
      <c r="D137" s="35"/>
    </row>
    <row r="138" spans="3:4" x14ac:dyDescent="0.45">
      <c r="C138" s="35"/>
      <c r="D138" s="35"/>
    </row>
    <row r="139" spans="3:4" x14ac:dyDescent="0.45">
      <c r="C139" s="35"/>
      <c r="D139" s="35"/>
    </row>
    <row r="140" spans="3:4" x14ac:dyDescent="0.45">
      <c r="C140" s="35"/>
      <c r="D140" s="35"/>
    </row>
    <row r="141" spans="3:4" x14ac:dyDescent="0.45">
      <c r="C141" s="35"/>
      <c r="D141" s="35"/>
    </row>
    <row r="142" spans="3:4" x14ac:dyDescent="0.45">
      <c r="C142" s="35"/>
      <c r="D142" s="35"/>
    </row>
    <row r="143" spans="3:4" x14ac:dyDescent="0.45">
      <c r="C143" s="35"/>
      <c r="D143" s="35"/>
    </row>
    <row r="144" spans="3:4" x14ac:dyDescent="0.45">
      <c r="C144" s="35"/>
      <c r="D144" s="35"/>
    </row>
    <row r="145" spans="3:4" x14ac:dyDescent="0.45">
      <c r="C145" s="35"/>
      <c r="D145" s="35"/>
    </row>
    <row r="146" spans="3:4" x14ac:dyDescent="0.45">
      <c r="C146" s="35"/>
      <c r="D146" s="35"/>
    </row>
    <row r="147" spans="3:4" x14ac:dyDescent="0.45">
      <c r="C147" s="35"/>
      <c r="D147" s="35"/>
    </row>
    <row r="148" spans="3:4" x14ac:dyDescent="0.45">
      <c r="C148" s="35"/>
      <c r="D148" s="35"/>
    </row>
    <row r="149" spans="3:4" x14ac:dyDescent="0.45">
      <c r="C149" s="35"/>
      <c r="D149" s="35"/>
    </row>
    <row r="150" spans="3:4" x14ac:dyDescent="0.45">
      <c r="C150" s="35"/>
      <c r="D150" s="35"/>
    </row>
    <row r="151" spans="3:4" x14ac:dyDescent="0.45">
      <c r="C151" s="35"/>
      <c r="D151" s="35"/>
    </row>
    <row r="152" spans="3:4" x14ac:dyDescent="0.45">
      <c r="C152" s="35"/>
      <c r="D152" s="35"/>
    </row>
    <row r="153" spans="3:4" x14ac:dyDescent="0.45">
      <c r="C153" s="35"/>
      <c r="D153" s="35"/>
    </row>
    <row r="154" spans="3:4" x14ac:dyDescent="0.45">
      <c r="C154" s="35"/>
      <c r="D154" s="35"/>
    </row>
    <row r="155" spans="3:4" x14ac:dyDescent="0.45">
      <c r="C155" s="35"/>
      <c r="D155" s="35"/>
    </row>
    <row r="156" spans="3:4" x14ac:dyDescent="0.45">
      <c r="C156" s="35"/>
      <c r="D156" s="35"/>
    </row>
    <row r="157" spans="3:4" x14ac:dyDescent="0.45">
      <c r="C157" s="35"/>
      <c r="D157" s="35"/>
    </row>
    <row r="158" spans="3:4" x14ac:dyDescent="0.45">
      <c r="C158" s="35"/>
      <c r="D158" s="35"/>
    </row>
    <row r="159" spans="3:4" x14ac:dyDescent="0.45">
      <c r="C159" s="35"/>
      <c r="D159" s="35"/>
    </row>
    <row r="160" spans="3:4" x14ac:dyDescent="0.45">
      <c r="C160" s="35"/>
      <c r="D160" s="35"/>
    </row>
  </sheetData>
  <autoFilter ref="A8:Y139" xr:uid="{791A8F99-DA19-4332-A4C0-5CCFC501E6FF}"/>
  <mergeCells count="1">
    <mergeCell ref="I99:J99"/>
  </mergeCells>
  <conditionalFormatting sqref="D98:T98">
    <cfRule type="cellIs" dxfId="3" priority="2" operator="equal">
      <formula>0</formula>
    </cfRule>
  </conditionalFormatting>
  <pageMargins left="0.7" right="0.7" top="0.75" bottom="0.75" header="0.3" footer="0.3"/>
  <pageSetup orientation="portrait" r:id="rId1"/>
  <ignoredErrors>
    <ignoredError sqref="C9:P9 P8:S8 Q9:S9" numberStoredAsText="1"/>
    <ignoredError sqref="Q11 P10 H10 H11 Q10" numberStoredAsText="1" unlockedFormula="1"/>
    <ignoredError sqref="L98:O98 R81:S81 P93:S96 P74:S74 P81 P82:S84 P77:S77" numberStoredAsText="1" formula="1" unlockedFormula="1"/>
    <ignoredError sqref="N10:O10 B103:D103 B98 G98:K98 M11:P11 B76:B77 B99 C16:K16 D14 B93:B97 B11 B34:B58 B82 D20 B13:B21 B23 B60:B67 B102:D102 H14 D19 H18:H19 D21 H21 B27 B26 H24:H26 B29 H28:H30 B69:B74 K99 B30 B101 D101 D18 H20 B24 B25 H27 B28 G99:H99 C15 G15:K15 D98 E99 D23 D27 D26 D29 D24 D25 D28 C52:D52 F14 H23 B104:C120 E106:P120 F52:S52 E15 B84 N103:P103 N104:P10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645-DDE9-4B26-92AF-E34B28D71BD4}">
  <sheetPr codeName="Sheet2"/>
  <dimension ref="A5:AA131"/>
  <sheetViews>
    <sheetView showGridLines="0" zoomScale="81" zoomScaleNormal="85" workbookViewId="0">
      <pane xSplit="3" ySplit="9" topLeftCell="D96" activePane="bottomRight" state="frozen"/>
      <selection pane="topRight" activeCell="B28" sqref="B28"/>
      <selection pane="bottomLeft" activeCell="B28" sqref="B28"/>
      <selection pane="bottomRight" activeCell="E104" sqref="E104"/>
    </sheetView>
  </sheetViews>
  <sheetFormatPr defaultRowHeight="14.25" outlineLevelRow="1" x14ac:dyDescent="0.45"/>
  <cols>
    <col min="1" max="1" width="5.53125" style="1" customWidth="1"/>
    <col min="2" max="2" width="55.53125" bestFit="1" customWidth="1"/>
    <col min="3" max="4" width="18.46484375" style="30" customWidth="1"/>
    <col min="5" max="5" width="21" style="30" customWidth="1"/>
    <col min="6" max="6" width="18.46484375" style="30" customWidth="1"/>
    <col min="7" max="7" width="14.53125" style="30" bestFit="1" customWidth="1"/>
    <col min="8" max="10" width="17.53125" style="30" customWidth="1"/>
    <col min="11" max="11" width="17.53125" style="56" customWidth="1"/>
    <col min="12" max="13" width="17.53125" style="30" customWidth="1"/>
    <col min="14" max="14" width="18.46484375" style="143" bestFit="1" customWidth="1"/>
    <col min="15" max="15" width="3" style="30" customWidth="1"/>
    <col min="16" max="16" width="16.53125" style="30" hidden="1" customWidth="1"/>
    <col min="17" max="17" width="1.46484375" bestFit="1" customWidth="1"/>
    <col min="18" max="18" width="9.46484375" hidden="1" customWidth="1"/>
    <col min="19" max="19" width="14.53125" hidden="1" customWidth="1"/>
    <col min="20" max="20" width="15.46484375" hidden="1" customWidth="1"/>
    <col min="21" max="21" width="9.46484375" customWidth="1"/>
    <col min="22" max="22" width="13.46484375" bestFit="1" customWidth="1"/>
    <col min="23" max="23" width="11.53125" bestFit="1" customWidth="1"/>
    <col min="25" max="25" width="11.46484375" bestFit="1" customWidth="1"/>
    <col min="26" max="26" width="11.46484375" customWidth="1"/>
    <col min="27" max="27" width="11.46484375" bestFit="1" customWidth="1"/>
  </cols>
  <sheetData>
    <row r="5" spans="1:16" s="6" customFormat="1" ht="15.75" thickBot="1" x14ac:dyDescent="0.45">
      <c r="A5" s="3"/>
      <c r="B5" s="23"/>
      <c r="C5" s="9"/>
      <c r="D5" s="9"/>
      <c r="E5" s="9"/>
      <c r="F5" s="9"/>
      <c r="G5" s="9"/>
      <c r="H5" s="9"/>
      <c r="I5" s="9"/>
      <c r="J5" s="9"/>
      <c r="K5" s="114"/>
      <c r="L5" s="9"/>
      <c r="M5" s="9"/>
      <c r="N5" s="9"/>
      <c r="O5" s="9"/>
      <c r="P5" s="9"/>
    </row>
    <row r="6" spans="1:16" ht="15.4" thickBot="1" x14ac:dyDescent="0.5">
      <c r="B6" s="48" t="s">
        <v>80</v>
      </c>
      <c r="C6" s="49">
        <v>45657</v>
      </c>
      <c r="D6" s="49">
        <v>45626</v>
      </c>
      <c r="E6" s="49">
        <v>45596</v>
      </c>
      <c r="F6" s="49">
        <v>45565</v>
      </c>
      <c r="G6" s="49">
        <v>45535</v>
      </c>
      <c r="H6" s="49">
        <v>45504</v>
      </c>
      <c r="I6" s="49">
        <v>45473</v>
      </c>
      <c r="J6" s="49">
        <v>45443</v>
      </c>
      <c r="K6" s="49">
        <v>45412</v>
      </c>
      <c r="L6" s="49">
        <v>45382</v>
      </c>
      <c r="M6" s="49">
        <v>45350</v>
      </c>
      <c r="N6" s="49">
        <v>45322</v>
      </c>
      <c r="O6" s="36"/>
      <c r="P6" s="50">
        <v>45291</v>
      </c>
    </row>
    <row r="7" spans="1:16" ht="15" x14ac:dyDescent="0.45">
      <c r="B7" s="7" t="s">
        <v>81</v>
      </c>
      <c r="C7" s="5"/>
      <c r="D7" s="5"/>
      <c r="E7" s="5"/>
      <c r="F7" s="5"/>
      <c r="G7" s="5"/>
      <c r="H7" s="5"/>
      <c r="I7" s="5"/>
      <c r="J7" s="5"/>
      <c r="K7" s="115"/>
      <c r="L7" s="5"/>
      <c r="M7" s="5"/>
      <c r="N7" s="5"/>
      <c r="O7" s="5"/>
      <c r="P7" s="5"/>
    </row>
    <row r="8" spans="1:16" ht="15.75" thickBot="1" x14ac:dyDescent="0.5">
      <c r="B8" s="24" t="s">
        <v>82</v>
      </c>
      <c r="C8" s="25"/>
      <c r="D8" s="25"/>
      <c r="E8" s="44"/>
      <c r="F8" s="25"/>
      <c r="G8" s="25"/>
      <c r="H8" s="25"/>
      <c r="I8" s="25"/>
      <c r="J8" s="25"/>
      <c r="K8" s="116"/>
      <c r="L8" s="25"/>
      <c r="M8" s="25"/>
      <c r="N8" s="25"/>
      <c r="O8" s="10"/>
      <c r="P8" s="25"/>
    </row>
    <row r="9" spans="1:16" ht="15.4" x14ac:dyDescent="0.45">
      <c r="B9" s="9"/>
      <c r="C9" s="26"/>
      <c r="D9" s="26"/>
      <c r="E9" s="26"/>
      <c r="F9" s="26"/>
      <c r="G9" s="26"/>
      <c r="H9" s="26"/>
      <c r="I9" s="26"/>
      <c r="J9" s="26"/>
      <c r="K9" s="117"/>
      <c r="L9" s="26"/>
      <c r="M9" s="26"/>
      <c r="N9" s="26"/>
      <c r="O9" s="26"/>
      <c r="P9" s="27"/>
    </row>
    <row r="10" spans="1:16" s="95" customFormat="1" x14ac:dyDescent="0.45">
      <c r="A10" s="94"/>
      <c r="B10" s="19" t="s">
        <v>83</v>
      </c>
      <c r="C10" s="112">
        <f>SUM(C11:C25)</f>
        <v>10448734.890000001</v>
      </c>
      <c r="D10" s="112">
        <f>SUM(D11:D25)</f>
        <v>13623466.940000001</v>
      </c>
      <c r="E10" s="112">
        <f>SUM(E11:E25)</f>
        <v>14580341.160000002</v>
      </c>
      <c r="F10" s="112">
        <f>SUM(F11:F25)</f>
        <v>4079900.19</v>
      </c>
      <c r="G10" s="112">
        <f>SUM(G11:G25)</f>
        <v>1768114.74</v>
      </c>
      <c r="H10" s="112">
        <f t="shared" ref="H10:N10" si="0">SUM(H11:H25)</f>
        <v>4979907</v>
      </c>
      <c r="I10" s="112">
        <f t="shared" si="0"/>
        <v>7931667.7000000002</v>
      </c>
      <c r="J10" s="112">
        <f t="shared" si="0"/>
        <v>3213576.52</v>
      </c>
      <c r="K10" s="54">
        <f t="shared" si="0"/>
        <v>2302341.1999999997</v>
      </c>
      <c r="L10" s="54">
        <f t="shared" si="0"/>
        <v>5353227.6100000003</v>
      </c>
      <c r="M10" s="54">
        <f t="shared" si="0"/>
        <v>7995326.2999999998</v>
      </c>
      <c r="N10" s="139">
        <f t="shared" si="0"/>
        <v>4556446.72</v>
      </c>
      <c r="O10" s="55"/>
      <c r="P10" s="54">
        <v>3957363.2399999998</v>
      </c>
    </row>
    <row r="11" spans="1:16" outlineLevel="1" x14ac:dyDescent="0.45">
      <c r="B11" s="16" t="s">
        <v>84</v>
      </c>
      <c r="C11" s="51">
        <v>0</v>
      </c>
      <c r="D11" s="51">
        <v>0</v>
      </c>
      <c r="E11" s="51"/>
      <c r="F11" s="51">
        <v>0</v>
      </c>
      <c r="G11" s="51">
        <v>0</v>
      </c>
      <c r="H11" s="51">
        <v>75.7</v>
      </c>
      <c r="I11" s="51">
        <v>75.7</v>
      </c>
      <c r="J11" s="51">
        <v>75.7</v>
      </c>
      <c r="K11" s="51">
        <v>75.7</v>
      </c>
      <c r="L11" s="51">
        <v>0</v>
      </c>
      <c r="M11" s="51">
        <v>37036.550000000003</v>
      </c>
      <c r="N11" s="137">
        <v>26646.61</v>
      </c>
      <c r="O11" s="51"/>
      <c r="P11" s="51">
        <v>0</v>
      </c>
    </row>
    <row r="12" spans="1:16" outlineLevel="1" x14ac:dyDescent="0.45">
      <c r="B12" s="16" t="s">
        <v>85</v>
      </c>
      <c r="C12" s="51">
        <v>140103.67000000001</v>
      </c>
      <c r="D12" s="51">
        <v>140103.67000000001</v>
      </c>
      <c r="E12" s="51">
        <v>140103.67000000001</v>
      </c>
      <c r="F12" s="51">
        <v>0</v>
      </c>
      <c r="G12" s="51">
        <v>0</v>
      </c>
      <c r="H12" s="51">
        <v>569757.94999999995</v>
      </c>
      <c r="I12" s="51">
        <v>0</v>
      </c>
      <c r="J12" s="51">
        <v>0</v>
      </c>
      <c r="K12" s="51">
        <v>0</v>
      </c>
      <c r="L12" s="51">
        <v>0</v>
      </c>
      <c r="M12" s="51">
        <v>428055.73</v>
      </c>
      <c r="N12" s="137">
        <v>408472.76</v>
      </c>
      <c r="O12" s="51"/>
      <c r="P12" s="51">
        <v>0</v>
      </c>
    </row>
    <row r="13" spans="1:16" outlineLevel="1" x14ac:dyDescent="0.45">
      <c r="B13" s="16" t="s">
        <v>86</v>
      </c>
      <c r="C13" s="51">
        <v>166842.98000000001</v>
      </c>
      <c r="D13" s="51">
        <v>166834.93</v>
      </c>
      <c r="E13" s="51">
        <v>166834.93</v>
      </c>
      <c r="F13" s="51">
        <v>339620.94</v>
      </c>
      <c r="G13" s="51">
        <v>339620.94</v>
      </c>
      <c r="H13" s="51">
        <v>-8.0500000000000007</v>
      </c>
      <c r="I13" s="51">
        <v>1708.15</v>
      </c>
      <c r="J13" s="51">
        <v>1708.15</v>
      </c>
      <c r="K13" s="51">
        <v>1708.15</v>
      </c>
      <c r="L13" s="51">
        <v>729157.71</v>
      </c>
      <c r="M13" s="51">
        <v>266776.95</v>
      </c>
      <c r="N13" s="137">
        <v>188464.65</v>
      </c>
      <c r="O13" s="51"/>
      <c r="P13" s="51">
        <v>668024.87</v>
      </c>
    </row>
    <row r="14" spans="1:16" outlineLevel="1" x14ac:dyDescent="0.45">
      <c r="B14" s="16" t="s">
        <v>87</v>
      </c>
      <c r="C14" s="51">
        <v>30000</v>
      </c>
      <c r="D14" s="51">
        <v>0</v>
      </c>
      <c r="E14" s="51">
        <v>0</v>
      </c>
      <c r="F14" s="51">
        <v>0</v>
      </c>
      <c r="G14" s="51">
        <v>0</v>
      </c>
      <c r="H14" s="51">
        <v>165000</v>
      </c>
      <c r="I14" s="51">
        <v>0</v>
      </c>
      <c r="J14" s="51">
        <v>0</v>
      </c>
      <c r="K14" s="51">
        <v>0</v>
      </c>
      <c r="L14" s="51">
        <v>0</v>
      </c>
      <c r="M14" s="51">
        <v>15000</v>
      </c>
      <c r="N14" s="137">
        <v>0</v>
      </c>
      <c r="O14" s="51"/>
      <c r="P14" s="51">
        <v>0</v>
      </c>
    </row>
    <row r="15" spans="1:16" outlineLevel="1" x14ac:dyDescent="0.45">
      <c r="B15" s="16" t="s">
        <v>88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2934.78</v>
      </c>
      <c r="M15" s="51">
        <v>0</v>
      </c>
      <c r="N15" s="137">
        <v>0</v>
      </c>
      <c r="O15" s="51"/>
      <c r="P15" s="51">
        <v>43532.61</v>
      </c>
    </row>
    <row r="16" spans="1:16" outlineLevel="1" x14ac:dyDescent="0.45">
      <c r="B16" s="16" t="s">
        <v>89</v>
      </c>
      <c r="C16" s="51">
        <v>1315636.8600000001</v>
      </c>
      <c r="D16" s="51">
        <v>2292020.2200000002</v>
      </c>
      <c r="E16" s="51">
        <v>1849786.1</v>
      </c>
      <c r="F16" s="51">
        <v>88790.6</v>
      </c>
      <c r="G16" s="51">
        <v>1257082.18</v>
      </c>
      <c r="H16" s="51">
        <v>46543.89</v>
      </c>
      <c r="I16" s="51">
        <v>168320.11</v>
      </c>
      <c r="J16" s="51">
        <v>23714.23</v>
      </c>
      <c r="K16" s="51">
        <v>465178.53</v>
      </c>
      <c r="L16" s="51">
        <v>2339786.4300000002</v>
      </c>
      <c r="M16" s="51">
        <v>3910745.95</v>
      </c>
      <c r="N16" s="137">
        <v>1030009.54</v>
      </c>
      <c r="O16" s="51"/>
      <c r="P16" s="51">
        <v>767469.48</v>
      </c>
    </row>
    <row r="17" spans="1:20" outlineLevel="1" x14ac:dyDescent="0.45">
      <c r="B17" s="16" t="s">
        <v>90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356567.64</v>
      </c>
      <c r="I17" s="51">
        <v>686567.64</v>
      </c>
      <c r="J17" s="51">
        <v>1186567.6399999999</v>
      </c>
      <c r="K17" s="51">
        <v>1186567.6399999999</v>
      </c>
      <c r="L17" s="51">
        <v>1232245.3400000001</v>
      </c>
      <c r="M17" s="51">
        <v>0.44</v>
      </c>
      <c r="N17" s="137">
        <v>0.44</v>
      </c>
      <c r="O17" s="51"/>
      <c r="P17" s="51">
        <v>0.44</v>
      </c>
    </row>
    <row r="18" spans="1:20" outlineLevel="1" x14ac:dyDescent="0.45">
      <c r="B18" s="16" t="s">
        <v>91</v>
      </c>
      <c r="C18" s="51">
        <v>131821.9</v>
      </c>
      <c r="D18" s="51">
        <v>100685.09</v>
      </c>
      <c r="E18" s="51">
        <v>88071.43</v>
      </c>
      <c r="F18" s="51">
        <v>67480.41</v>
      </c>
      <c r="G18" s="51">
        <v>29428.080000000002</v>
      </c>
      <c r="H18" s="51">
        <v>29383.75</v>
      </c>
      <c r="I18" s="51">
        <v>29383.75</v>
      </c>
      <c r="J18" s="51">
        <v>39479.279999999999</v>
      </c>
      <c r="K18" s="51">
        <v>39465.339999999997</v>
      </c>
      <c r="L18" s="51">
        <v>54326.84</v>
      </c>
      <c r="M18" s="51">
        <v>34284.089999999997</v>
      </c>
      <c r="N18" s="137">
        <v>19246.150000000001</v>
      </c>
      <c r="O18" s="51"/>
      <c r="P18" s="51">
        <v>90759.47</v>
      </c>
    </row>
    <row r="19" spans="1:20" outlineLevel="1" x14ac:dyDescent="0.45">
      <c r="B19" s="16" t="s">
        <v>92</v>
      </c>
      <c r="C19" s="51">
        <v>8593232.0800000001</v>
      </c>
      <c r="D19" s="51">
        <v>10906869.630000001</v>
      </c>
      <c r="E19" s="51">
        <v>12317444.25</v>
      </c>
      <c r="F19" s="51">
        <v>3467929.96</v>
      </c>
      <c r="G19" s="51">
        <v>135882.26</v>
      </c>
      <c r="H19" s="51">
        <v>3806484.84</v>
      </c>
      <c r="I19" s="51">
        <v>7042461.0700000003</v>
      </c>
      <c r="J19" s="51">
        <v>1958900.24</v>
      </c>
      <c r="K19" s="51">
        <v>606214.56000000006</v>
      </c>
      <c r="L19" s="51">
        <v>991645.23</v>
      </c>
      <c r="M19" s="51">
        <v>3300295.31</v>
      </c>
      <c r="N19" s="137">
        <v>2883475.29</v>
      </c>
      <c r="O19" s="51"/>
      <c r="P19" s="51">
        <v>2381669.2599999998</v>
      </c>
      <c r="T19" s="2"/>
    </row>
    <row r="20" spans="1:20" outlineLevel="1" x14ac:dyDescent="0.45">
      <c r="B20" s="16" t="s">
        <v>93</v>
      </c>
      <c r="C20" s="51">
        <v>6</v>
      </c>
      <c r="D20" s="51">
        <v>6</v>
      </c>
      <c r="E20" s="51">
        <v>6</v>
      </c>
      <c r="F20" s="51">
        <v>6</v>
      </c>
      <c r="G20" s="51">
        <v>6</v>
      </c>
      <c r="H20" s="51">
        <v>6</v>
      </c>
      <c r="I20" s="51">
        <v>6</v>
      </c>
      <c r="J20" s="51">
        <v>6</v>
      </c>
      <c r="K20" s="51">
        <v>6</v>
      </c>
      <c r="L20" s="51">
        <v>6</v>
      </c>
      <c r="M20" s="51">
        <v>6</v>
      </c>
      <c r="N20" s="137">
        <v>6</v>
      </c>
      <c r="O20" s="51"/>
      <c r="P20" s="51">
        <v>100.8</v>
      </c>
      <c r="T20" s="2"/>
    </row>
    <row r="21" spans="1:20" outlineLevel="1" x14ac:dyDescent="0.45">
      <c r="B21" s="16" t="s">
        <v>94</v>
      </c>
      <c r="C21" s="51">
        <v>30.48</v>
      </c>
      <c r="D21" s="51">
        <v>30.48</v>
      </c>
      <c r="E21" s="51">
        <v>30.48</v>
      </c>
      <c r="F21" s="51">
        <v>30.48</v>
      </c>
      <c r="G21" s="51">
        <v>30.48</v>
      </c>
      <c r="H21" s="51">
        <v>30.48</v>
      </c>
      <c r="I21" s="51">
        <v>30.48</v>
      </c>
      <c r="J21" s="51">
        <v>30.48</v>
      </c>
      <c r="K21" s="51">
        <v>30.48</v>
      </c>
      <c r="L21" s="51">
        <v>30.48</v>
      </c>
      <c r="M21" s="51">
        <v>30.48</v>
      </c>
      <c r="N21" s="137">
        <v>30.48</v>
      </c>
      <c r="O21" s="51"/>
      <c r="P21" s="51">
        <v>6.31</v>
      </c>
      <c r="T21" s="2"/>
    </row>
    <row r="22" spans="1:20" outlineLevel="1" x14ac:dyDescent="0.45">
      <c r="B22" s="16" t="s">
        <v>95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137">
        <v>0</v>
      </c>
      <c r="O22" s="51"/>
      <c r="P22" s="51"/>
      <c r="T22" s="2"/>
    </row>
    <row r="23" spans="1:20" outlineLevel="1" x14ac:dyDescent="0.45">
      <c r="B23" s="16" t="s">
        <v>96</v>
      </c>
      <c r="C23" s="51">
        <v>37094.800000000003</v>
      </c>
      <c r="D23" s="51">
        <v>94.8</v>
      </c>
      <c r="E23" s="51">
        <v>94.8</v>
      </c>
      <c r="F23" s="51">
        <v>94.8</v>
      </c>
      <c r="G23" s="51">
        <v>94.8</v>
      </c>
      <c r="H23" s="51">
        <v>94.8</v>
      </c>
      <c r="I23" s="51">
        <v>94.8</v>
      </c>
      <c r="J23" s="51">
        <v>94.8</v>
      </c>
      <c r="K23" s="51">
        <v>94.8</v>
      </c>
      <c r="L23" s="51">
        <v>94.8</v>
      </c>
      <c r="M23" s="51">
        <v>94.8</v>
      </c>
      <c r="N23" s="137">
        <v>94.8</v>
      </c>
      <c r="O23" s="51"/>
      <c r="P23" s="51"/>
      <c r="T23" s="2"/>
    </row>
    <row r="24" spans="1:20" outlineLevel="1" x14ac:dyDescent="0.45">
      <c r="B24" s="16" t="s">
        <v>97</v>
      </c>
      <c r="C24" s="51">
        <v>7822.62</v>
      </c>
      <c r="D24" s="51">
        <v>7822.62</v>
      </c>
      <c r="E24" s="51">
        <v>12970</v>
      </c>
      <c r="F24" s="51">
        <v>12970</v>
      </c>
      <c r="G24" s="51">
        <v>2970</v>
      </c>
      <c r="H24" s="51">
        <v>2970</v>
      </c>
      <c r="I24" s="51">
        <v>20</v>
      </c>
      <c r="J24" s="51">
        <v>0</v>
      </c>
      <c r="K24" s="51">
        <v>0</v>
      </c>
      <c r="L24" s="51">
        <v>0</v>
      </c>
      <c r="M24" s="51">
        <v>0</v>
      </c>
      <c r="N24" s="137">
        <v>0</v>
      </c>
      <c r="O24" s="51"/>
      <c r="P24" s="51"/>
      <c r="T24" s="2"/>
    </row>
    <row r="25" spans="1:20" outlineLevel="1" x14ac:dyDescent="0.45">
      <c r="B25" s="16" t="s">
        <v>98</v>
      </c>
      <c r="C25" s="51">
        <v>26143.5</v>
      </c>
      <c r="D25" s="51">
        <v>8999.5</v>
      </c>
      <c r="E25" s="51">
        <v>4999.5</v>
      </c>
      <c r="F25" s="51">
        <v>102977</v>
      </c>
      <c r="G25" s="51">
        <v>3000</v>
      </c>
      <c r="H25" s="51">
        <v>3000</v>
      </c>
      <c r="I25" s="51">
        <v>3000</v>
      </c>
      <c r="J25" s="51">
        <v>3000</v>
      </c>
      <c r="K25" s="51">
        <v>3000</v>
      </c>
      <c r="L25" s="51">
        <v>3000</v>
      </c>
      <c r="M25" s="51">
        <v>3000</v>
      </c>
      <c r="N25" s="137">
        <v>0</v>
      </c>
      <c r="O25" s="51"/>
      <c r="P25" s="51">
        <v>5800</v>
      </c>
      <c r="T25" s="2"/>
    </row>
    <row r="26" spans="1:20" ht="15" x14ac:dyDescent="0.45">
      <c r="B26" s="28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138"/>
      <c r="O26" s="52"/>
      <c r="P26" s="52"/>
    </row>
    <row r="27" spans="1:20" s="95" customFormat="1" x14ac:dyDescent="0.45">
      <c r="A27" s="94"/>
      <c r="B27" s="19" t="s">
        <v>99</v>
      </c>
      <c r="C27" s="54">
        <f>SUM(C28:C29)</f>
        <v>39178410.07</v>
      </c>
      <c r="D27" s="54">
        <f t="shared" ref="D27:N27" si="1">SUM(D28:D29)</f>
        <v>35535924.020000003</v>
      </c>
      <c r="E27" s="54">
        <f t="shared" si="1"/>
        <v>33632759.450000003</v>
      </c>
      <c r="F27" s="54">
        <f t="shared" si="1"/>
        <v>34548085.380000003</v>
      </c>
      <c r="G27" s="54">
        <f t="shared" si="1"/>
        <v>37084007.810000002</v>
      </c>
      <c r="H27" s="54">
        <f t="shared" si="1"/>
        <v>34268040.310000002</v>
      </c>
      <c r="I27" s="54">
        <f t="shared" si="1"/>
        <v>31927622.91</v>
      </c>
      <c r="J27" s="54">
        <f t="shared" si="1"/>
        <v>31054504.390000001</v>
      </c>
      <c r="K27" s="54">
        <f t="shared" si="1"/>
        <v>31749970.210000001</v>
      </c>
      <c r="L27" s="54">
        <f t="shared" si="1"/>
        <v>29151142.329999998</v>
      </c>
      <c r="M27" s="54">
        <f t="shared" si="1"/>
        <v>24754358.359999999</v>
      </c>
      <c r="N27" s="139">
        <f t="shared" si="1"/>
        <v>25019981.780000001</v>
      </c>
      <c r="O27" s="55"/>
      <c r="P27" s="54">
        <v>25749559.989999998</v>
      </c>
    </row>
    <row r="28" spans="1:20" outlineLevel="1" x14ac:dyDescent="0.45">
      <c r="B28" s="16" t="s">
        <v>100</v>
      </c>
      <c r="C28" s="51">
        <v>39584419.07</v>
      </c>
      <c r="D28" s="51">
        <v>35738924.020000003</v>
      </c>
      <c r="E28" s="51">
        <v>33835759.450000003</v>
      </c>
      <c r="F28" s="51">
        <v>34751085.380000003</v>
      </c>
      <c r="G28" s="51">
        <v>37287007.810000002</v>
      </c>
      <c r="H28" s="51">
        <v>34471040.310000002</v>
      </c>
      <c r="I28" s="51">
        <v>32130622.91</v>
      </c>
      <c r="J28" s="51">
        <v>31257504.390000001</v>
      </c>
      <c r="K28" s="51">
        <v>31952970.210000001</v>
      </c>
      <c r="L28" s="51">
        <v>29354142.329999998</v>
      </c>
      <c r="M28" s="51">
        <v>24957358.359999999</v>
      </c>
      <c r="N28" s="137">
        <v>25222981.780000001</v>
      </c>
      <c r="O28" s="51"/>
      <c r="P28" s="51">
        <v>25749559.989999998</v>
      </c>
    </row>
    <row r="29" spans="1:20" outlineLevel="1" x14ac:dyDescent="0.45">
      <c r="B29" s="16" t="s">
        <v>309</v>
      </c>
      <c r="C29" s="51">
        <v>-406009</v>
      </c>
      <c r="D29" s="51">
        <v>-203000</v>
      </c>
      <c r="E29" s="51">
        <v>-203000</v>
      </c>
      <c r="F29" s="51">
        <v>-203000</v>
      </c>
      <c r="G29" s="51">
        <v>-203000</v>
      </c>
      <c r="H29" s="51">
        <v>-203000</v>
      </c>
      <c r="I29" s="51">
        <v>-203000</v>
      </c>
      <c r="J29" s="51">
        <v>-203000</v>
      </c>
      <c r="K29" s="51">
        <v>-203000</v>
      </c>
      <c r="L29" s="51">
        <v>-203000</v>
      </c>
      <c r="M29" s="51">
        <v>-203000</v>
      </c>
      <c r="N29" s="51">
        <v>-203000</v>
      </c>
      <c r="O29" s="51"/>
      <c r="P29" s="51">
        <v>0</v>
      </c>
    </row>
    <row r="30" spans="1:20" ht="15" x14ac:dyDescent="0.45">
      <c r="B30" s="28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138"/>
      <c r="O30" s="52"/>
      <c r="P30" s="52"/>
    </row>
    <row r="31" spans="1:20" s="95" customFormat="1" x14ac:dyDescent="0.45">
      <c r="A31" s="94"/>
      <c r="B31" s="19" t="s">
        <v>101</v>
      </c>
      <c r="C31" s="54">
        <f>SUM(C32:C44)</f>
        <v>1263663.57</v>
      </c>
      <c r="D31" s="54">
        <f>SUM(D32:D44)</f>
        <v>1239829.72</v>
      </c>
      <c r="E31" s="54">
        <f>SUM(E32:E44)</f>
        <v>745420.17999999993</v>
      </c>
      <c r="F31" s="54">
        <f t="shared" ref="F31:N31" si="2">SUM(F32:F43)</f>
        <v>366541.22</v>
      </c>
      <c r="G31" s="54">
        <f t="shared" si="2"/>
        <v>453953.95</v>
      </c>
      <c r="H31" s="54">
        <f t="shared" si="2"/>
        <v>352908.58000000007</v>
      </c>
      <c r="I31" s="54">
        <f t="shared" si="2"/>
        <v>312499.7</v>
      </c>
      <c r="J31" s="54">
        <f t="shared" si="2"/>
        <v>353032.39</v>
      </c>
      <c r="K31" s="54">
        <f t="shared" si="2"/>
        <v>318973.06</v>
      </c>
      <c r="L31" s="54">
        <f t="shared" si="2"/>
        <v>-1226013.57</v>
      </c>
      <c r="M31" s="54">
        <f t="shared" si="2"/>
        <v>283971.53999999998</v>
      </c>
      <c r="N31" s="139">
        <f t="shared" si="2"/>
        <v>204303.40000000002</v>
      </c>
      <c r="O31" s="55"/>
      <c r="P31" s="54">
        <v>288133.90999999997</v>
      </c>
    </row>
    <row r="32" spans="1:20" outlineLevel="1" x14ac:dyDescent="0.45">
      <c r="A32" s="29"/>
      <c r="B32" s="16" t="s">
        <v>102</v>
      </c>
      <c r="C32" s="51">
        <v>0</v>
      </c>
      <c r="D32" s="51">
        <v>-8.0500000000000007</v>
      </c>
      <c r="E32" s="51">
        <v>-8.0500000000000007</v>
      </c>
      <c r="F32" s="51">
        <v>-18293.05</v>
      </c>
      <c r="G32" s="51">
        <v>17091.95</v>
      </c>
      <c r="H32" s="51">
        <v>17091.95</v>
      </c>
      <c r="I32" s="51">
        <v>-8.0500000000000007</v>
      </c>
      <c r="J32" s="51">
        <v>-8.0500000000000007</v>
      </c>
      <c r="K32" s="51">
        <v>-8.0500000000000007</v>
      </c>
      <c r="L32" s="51">
        <v>-8.0500000000000007</v>
      </c>
      <c r="M32" s="51">
        <v>-8.0500000000000007</v>
      </c>
      <c r="N32" s="137">
        <v>-8.0500000000000007</v>
      </c>
      <c r="O32" s="51"/>
      <c r="P32" s="51">
        <v>-8.0500000000000007</v>
      </c>
    </row>
    <row r="33" spans="1:16" outlineLevel="1" x14ac:dyDescent="0.45">
      <c r="A33" s="29"/>
      <c r="B33" s="16" t="s">
        <v>103</v>
      </c>
      <c r="C33" s="51">
        <v>0</v>
      </c>
      <c r="D33" s="51">
        <v>-10666.63</v>
      </c>
      <c r="E33" s="51">
        <v>-8533.2999999999993</v>
      </c>
      <c r="F33" s="51">
        <v>-6399.97</v>
      </c>
      <c r="G33" s="51">
        <v>-4266.6400000000003</v>
      </c>
      <c r="H33" s="51">
        <v>-2133.31</v>
      </c>
      <c r="I33" s="51">
        <v>0.02</v>
      </c>
      <c r="J33" s="51">
        <v>2133.35</v>
      </c>
      <c r="K33" s="51">
        <v>-8533.32</v>
      </c>
      <c r="L33" s="51">
        <v>-6399.99</v>
      </c>
      <c r="M33" s="51">
        <v>-2070.66</v>
      </c>
      <c r="N33" s="137">
        <v>2258.67</v>
      </c>
      <c r="O33" s="51"/>
      <c r="P33" s="51"/>
    </row>
    <row r="34" spans="1:16" outlineLevel="1" x14ac:dyDescent="0.45">
      <c r="A34" s="29"/>
      <c r="B34" s="16" t="s">
        <v>104</v>
      </c>
      <c r="C34" s="51">
        <v>34444.449999999997</v>
      </c>
      <c r="D34" s="51">
        <v>35555.56</v>
      </c>
      <c r="E34" s="51">
        <v>36666.67</v>
      </c>
      <c r="F34" s="51">
        <v>37777.78</v>
      </c>
      <c r="G34" s="51">
        <v>38888.89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137">
        <v>0</v>
      </c>
      <c r="O34" s="51"/>
      <c r="P34" s="51"/>
    </row>
    <row r="35" spans="1:16" outlineLevel="1" x14ac:dyDescent="0.45">
      <c r="A35" s="29"/>
      <c r="B35" s="16" t="s">
        <v>105</v>
      </c>
      <c r="C35" s="51">
        <v>32500</v>
      </c>
      <c r="D35" s="51">
        <v>37916.67</v>
      </c>
      <c r="E35" s="51">
        <v>43333.34</v>
      </c>
      <c r="F35" s="51">
        <v>48750.01</v>
      </c>
      <c r="G35" s="51">
        <v>54166.68</v>
      </c>
      <c r="H35" s="51">
        <v>45.84</v>
      </c>
      <c r="I35" s="51">
        <v>91.67</v>
      </c>
      <c r="J35" s="51">
        <v>5554.17</v>
      </c>
      <c r="K35" s="51">
        <v>11016.67</v>
      </c>
      <c r="L35" s="51">
        <v>16479.169999999998</v>
      </c>
      <c r="M35" s="51">
        <v>21941.67</v>
      </c>
      <c r="N35" s="137">
        <v>27404.17</v>
      </c>
      <c r="O35" s="51"/>
      <c r="P35" s="51"/>
    </row>
    <row r="36" spans="1:16" outlineLevel="1" x14ac:dyDescent="0.45">
      <c r="A36" s="29"/>
      <c r="B36" s="16" t="s">
        <v>106</v>
      </c>
      <c r="C36" s="51">
        <v>70455.100000000006</v>
      </c>
      <c r="D36" s="51">
        <v>7399.82</v>
      </c>
      <c r="E36" s="51">
        <v>8407.32</v>
      </c>
      <c r="F36" s="51">
        <v>11165.72</v>
      </c>
      <c r="G36" s="51">
        <v>13924.12</v>
      </c>
      <c r="H36" s="51">
        <v>7232.52</v>
      </c>
      <c r="I36" s="51">
        <v>9203.42</v>
      </c>
      <c r="J36" s="51">
        <v>11174.32</v>
      </c>
      <c r="K36" s="51">
        <v>10743.59</v>
      </c>
      <c r="L36" s="51">
        <v>12932.86</v>
      </c>
      <c r="M36" s="51">
        <v>15122.13</v>
      </c>
      <c r="N36" s="137">
        <v>17311.400000000001</v>
      </c>
      <c r="O36" s="51"/>
      <c r="P36" s="51"/>
    </row>
    <row r="37" spans="1:16" outlineLevel="1" x14ac:dyDescent="0.45">
      <c r="A37" s="29"/>
      <c r="B37" s="16" t="s">
        <v>107</v>
      </c>
      <c r="C37" s="51">
        <v>126562.51</v>
      </c>
      <c r="D37" s="51">
        <v>156525.23000000001</v>
      </c>
      <c r="E37" s="51">
        <v>11730.45</v>
      </c>
      <c r="F37" s="51">
        <v>17595.669999999998</v>
      </c>
      <c r="G37" s="51">
        <v>23460.89</v>
      </c>
      <c r="H37" s="51">
        <v>-5865.19</v>
      </c>
      <c r="I37" s="51">
        <v>0.02</v>
      </c>
      <c r="J37" s="51">
        <v>5833.35</v>
      </c>
      <c r="K37" s="51">
        <v>11666.68</v>
      </c>
      <c r="L37" s="51">
        <v>17500.009999999998</v>
      </c>
      <c r="M37" s="51">
        <v>23333.34</v>
      </c>
      <c r="N37" s="137">
        <v>29166.67</v>
      </c>
      <c r="O37" s="51"/>
      <c r="P37" s="51"/>
    </row>
    <row r="38" spans="1:16" outlineLevel="1" x14ac:dyDescent="0.45">
      <c r="A38" s="29"/>
      <c r="B38" s="16" t="s">
        <v>108</v>
      </c>
      <c r="C38" s="51">
        <v>75416.45</v>
      </c>
      <c r="D38" s="51">
        <v>108630.62</v>
      </c>
      <c r="E38" s="51">
        <v>90215.039999999994</v>
      </c>
      <c r="F38" s="51">
        <v>121117.42</v>
      </c>
      <c r="G38" s="51">
        <v>146777.01999999999</v>
      </c>
      <c r="H38" s="51">
        <v>173911.51</v>
      </c>
      <c r="I38" s="51">
        <v>110904.11</v>
      </c>
      <c r="J38" s="51">
        <v>123278.93</v>
      </c>
      <c r="K38" s="51">
        <v>122420.42</v>
      </c>
      <c r="L38" s="51">
        <v>2208.5500000000002</v>
      </c>
      <c r="M38" s="51">
        <v>99757.97</v>
      </c>
      <c r="N38" s="137">
        <v>9481.31</v>
      </c>
      <c r="O38" s="51"/>
      <c r="P38" s="51">
        <v>71234.03</v>
      </c>
    </row>
    <row r="39" spans="1:16" outlineLevel="1" x14ac:dyDescent="0.45">
      <c r="A39" s="29"/>
      <c r="B39" s="16" t="s">
        <v>301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137"/>
      <c r="O39" s="51"/>
      <c r="P39" s="51"/>
    </row>
    <row r="40" spans="1:16" outlineLevel="1" x14ac:dyDescent="0.45">
      <c r="A40" s="29"/>
      <c r="B40" s="16" t="s">
        <v>109</v>
      </c>
      <c r="C40" s="51">
        <v>150690.88</v>
      </c>
      <c r="D40" s="51">
        <v>130882.32</v>
      </c>
      <c r="E40" s="51">
        <v>127030.83</v>
      </c>
      <c r="F40" s="51">
        <v>99394.9</v>
      </c>
      <c r="G40" s="51">
        <v>108416.5</v>
      </c>
      <c r="H40" s="51">
        <v>107216.1</v>
      </c>
      <c r="I40" s="51">
        <v>138558.16</v>
      </c>
      <c r="J40" s="51">
        <v>152088.92000000001</v>
      </c>
      <c r="K40" s="51">
        <v>119559.81</v>
      </c>
      <c r="L40" s="51">
        <v>92393.14</v>
      </c>
      <c r="M40" s="51">
        <v>76092.47</v>
      </c>
      <c r="N40" s="137">
        <v>70092.47</v>
      </c>
      <c r="O40" s="51"/>
      <c r="P40" s="51">
        <v>57592.47</v>
      </c>
    </row>
    <row r="41" spans="1:16" outlineLevel="1" x14ac:dyDescent="0.45">
      <c r="A41" s="29"/>
      <c r="B41" s="16" t="s">
        <v>110</v>
      </c>
      <c r="C41" s="51">
        <v>2000</v>
      </c>
      <c r="D41" s="51">
        <v>2000</v>
      </c>
      <c r="E41" s="51">
        <v>2000</v>
      </c>
      <c r="F41" s="51">
        <v>2000</v>
      </c>
      <c r="G41" s="51">
        <v>2000</v>
      </c>
      <c r="H41" s="51">
        <v>1500</v>
      </c>
      <c r="I41" s="51">
        <v>1500</v>
      </c>
      <c r="J41" s="51">
        <v>1500</v>
      </c>
      <c r="K41" s="51">
        <v>1500</v>
      </c>
      <c r="L41" s="51">
        <v>1500</v>
      </c>
      <c r="M41" s="51">
        <v>1500</v>
      </c>
      <c r="N41" s="137">
        <v>1500</v>
      </c>
      <c r="O41" s="51"/>
      <c r="P41" s="51">
        <v>1500</v>
      </c>
    </row>
    <row r="42" spans="1:16" outlineLevel="1" x14ac:dyDescent="0.45">
      <c r="A42" s="29"/>
      <c r="B42" s="16" t="s">
        <v>111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500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137">
        <v>0</v>
      </c>
      <c r="O42" s="51"/>
      <c r="P42" s="51">
        <v>112999.2</v>
      </c>
    </row>
    <row r="43" spans="1:16" outlineLevel="1" x14ac:dyDescent="0.45">
      <c r="A43" s="29"/>
      <c r="B43" s="16" t="s">
        <v>112</v>
      </c>
      <c r="C43" s="51">
        <v>28469.18</v>
      </c>
      <c r="D43" s="51">
        <v>28469.18</v>
      </c>
      <c r="E43" s="51">
        <v>53952.88</v>
      </c>
      <c r="F43" s="51">
        <v>53432.74</v>
      </c>
      <c r="G43" s="51">
        <v>53494.54</v>
      </c>
      <c r="H43" s="51">
        <v>53409.16</v>
      </c>
      <c r="I43" s="51">
        <v>52250.35</v>
      </c>
      <c r="J43" s="51">
        <v>51477.4</v>
      </c>
      <c r="K43" s="51">
        <v>50607.26</v>
      </c>
      <c r="L43" s="51">
        <v>-1362619.26</v>
      </c>
      <c r="M43" s="51">
        <v>48302.67</v>
      </c>
      <c r="N43" s="137">
        <v>47096.76</v>
      </c>
      <c r="O43" s="51"/>
      <c r="P43" s="51">
        <v>44816.26</v>
      </c>
    </row>
    <row r="44" spans="1:16" outlineLevel="1" x14ac:dyDescent="0.45">
      <c r="A44" s="29"/>
      <c r="B44" s="16" t="s">
        <v>113</v>
      </c>
      <c r="C44" s="51">
        <v>743125</v>
      </c>
      <c r="D44" s="51">
        <v>743125</v>
      </c>
      <c r="E44" s="51">
        <v>380625</v>
      </c>
      <c r="F44" s="51">
        <v>0</v>
      </c>
      <c r="G44" s="51">
        <v>0</v>
      </c>
      <c r="H44" s="51"/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137"/>
      <c r="O44" s="51"/>
      <c r="P44" s="51"/>
    </row>
    <row r="45" spans="1:16" ht="15" x14ac:dyDescent="0.45">
      <c r="B45" s="28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138"/>
      <c r="O45" s="52"/>
      <c r="P45" s="52"/>
    </row>
    <row r="46" spans="1:16" x14ac:dyDescent="0.45">
      <c r="B46" s="19" t="s">
        <v>114</v>
      </c>
      <c r="C46" s="54">
        <f>+C31+C10+C27</f>
        <v>50890808.530000001</v>
      </c>
      <c r="D46" s="54">
        <f>+D31+D10+D27</f>
        <v>50399220.680000007</v>
      </c>
      <c r="E46" s="54">
        <f t="shared" ref="E46:N46" si="3">+E31+E10+E27</f>
        <v>48958520.790000007</v>
      </c>
      <c r="F46" s="54">
        <f>+F31+F10+F27</f>
        <v>38994526.790000007</v>
      </c>
      <c r="G46" s="54">
        <f t="shared" si="3"/>
        <v>39306076.5</v>
      </c>
      <c r="H46" s="54">
        <f t="shared" si="3"/>
        <v>39600855.890000001</v>
      </c>
      <c r="I46" s="54">
        <f t="shared" si="3"/>
        <v>40171790.310000002</v>
      </c>
      <c r="J46" s="54">
        <f t="shared" si="3"/>
        <v>34621113.299999997</v>
      </c>
      <c r="K46" s="54">
        <f t="shared" si="3"/>
        <v>34371284.469999999</v>
      </c>
      <c r="L46" s="54">
        <f t="shared" si="3"/>
        <v>33278356.369999997</v>
      </c>
      <c r="M46" s="54">
        <f t="shared" si="3"/>
        <v>33033656.199999999</v>
      </c>
      <c r="N46" s="139">
        <f t="shared" si="3"/>
        <v>29780731.900000002</v>
      </c>
      <c r="O46" s="55"/>
      <c r="P46" s="54">
        <v>29995057.139999997</v>
      </c>
    </row>
    <row r="47" spans="1:16" ht="15" x14ac:dyDescent="0.45">
      <c r="B47" s="28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138"/>
      <c r="O47" s="52"/>
      <c r="P47" s="52"/>
    </row>
    <row r="48" spans="1:16" ht="15" x14ac:dyDescent="0.45">
      <c r="B48" s="28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27" s="95" customFormat="1" x14ac:dyDescent="0.45">
      <c r="A49" s="94"/>
      <c r="B49" s="19" t="s">
        <v>115</v>
      </c>
      <c r="C49" s="54">
        <f>SUM(C50:C57)</f>
        <v>208363.25</v>
      </c>
      <c r="D49" s="54">
        <f t="shared" ref="D49:N49" si="4">SUM(D50:D57)</f>
        <v>161601.54999999999</v>
      </c>
      <c r="E49" s="54">
        <f t="shared" si="4"/>
        <v>145409.86000000002</v>
      </c>
      <c r="F49" s="54">
        <f t="shared" si="4"/>
        <v>153435.26999999999</v>
      </c>
      <c r="G49" s="54">
        <f t="shared" si="4"/>
        <v>159109.41</v>
      </c>
      <c r="H49" s="54">
        <f t="shared" si="4"/>
        <v>108959.76000000001</v>
      </c>
      <c r="I49" s="54">
        <f t="shared" si="4"/>
        <v>113097.31</v>
      </c>
      <c r="J49" s="54">
        <f t="shared" si="4"/>
        <v>119833.95999999999</v>
      </c>
      <c r="K49" s="54">
        <f t="shared" si="4"/>
        <v>126570.61000000002</v>
      </c>
      <c r="L49" s="54">
        <f t="shared" si="4"/>
        <v>133307.26</v>
      </c>
      <c r="M49" s="54">
        <f t="shared" si="4"/>
        <v>130695.98999999999</v>
      </c>
      <c r="N49" s="54">
        <f t="shared" si="4"/>
        <v>128719.66999999998</v>
      </c>
      <c r="O49" s="55"/>
      <c r="P49" s="54">
        <v>129248.72000000003</v>
      </c>
    </row>
    <row r="50" spans="1:27" outlineLevel="1" x14ac:dyDescent="0.45">
      <c r="B50" s="16" t="s">
        <v>116</v>
      </c>
      <c r="C50" s="51">
        <v>-23841.55</v>
      </c>
      <c r="D50" s="51">
        <v>-22527.08</v>
      </c>
      <c r="E50" s="51">
        <v>-21212.61</v>
      </c>
      <c r="F50" s="51">
        <v>-19898.14</v>
      </c>
      <c r="G50" s="51">
        <v>-18583.669999999998</v>
      </c>
      <c r="H50" s="51">
        <v>-17269.2</v>
      </c>
      <c r="I50" s="51">
        <v>-16033.57</v>
      </c>
      <c r="J50" s="51">
        <v>-14797.94</v>
      </c>
      <c r="K50" s="51">
        <v>-13562.31</v>
      </c>
      <c r="L50" s="51">
        <v>-12326.68</v>
      </c>
      <c r="M50" s="51">
        <v>-11091.05</v>
      </c>
      <c r="N50" s="137">
        <v>-9855.42</v>
      </c>
      <c r="O50" s="51"/>
      <c r="P50" s="51">
        <v>-8619.7900000000009</v>
      </c>
      <c r="W50" s="35"/>
      <c r="X50" s="35"/>
      <c r="Y50" s="35"/>
      <c r="Z50" s="35"/>
      <c r="AA50" s="35"/>
    </row>
    <row r="51" spans="1:27" outlineLevel="1" x14ac:dyDescent="0.45">
      <c r="B51" s="16" t="s">
        <v>117</v>
      </c>
      <c r="C51" s="51">
        <v>-4022.45</v>
      </c>
      <c r="D51" s="51">
        <v>-24226.6</v>
      </c>
      <c r="E51" s="51">
        <v>-22546.75</v>
      </c>
      <c r="F51" s="51">
        <v>-20866.900000000001</v>
      </c>
      <c r="G51" s="51">
        <v>-19187.05</v>
      </c>
      <c r="H51" s="51">
        <v>-17507.2</v>
      </c>
      <c r="I51" s="51">
        <v>-16631.84</v>
      </c>
      <c r="J51" s="51">
        <v>-15756.48</v>
      </c>
      <c r="K51" s="51">
        <v>-14881.12</v>
      </c>
      <c r="L51" s="51">
        <v>-14005.76</v>
      </c>
      <c r="M51" s="51">
        <v>-13130.4</v>
      </c>
      <c r="N51" s="137">
        <v>-12255.04</v>
      </c>
      <c r="O51" s="51"/>
      <c r="P51" s="51">
        <v>-11379.68</v>
      </c>
      <c r="W51" s="35"/>
      <c r="X51" s="35"/>
      <c r="Y51" s="35"/>
      <c r="Z51" s="35"/>
      <c r="AA51" s="35"/>
    </row>
    <row r="52" spans="1:27" outlineLevel="1" x14ac:dyDescent="0.45">
      <c r="B52" s="16" t="s">
        <v>118</v>
      </c>
      <c r="C52" s="51">
        <v>-91068.56</v>
      </c>
      <c r="D52" s="51">
        <v>-86182.52</v>
      </c>
      <c r="E52" s="51">
        <v>-81885.59</v>
      </c>
      <c r="F52" s="51">
        <v>-76854.5</v>
      </c>
      <c r="G52" s="51">
        <v>-71913.81</v>
      </c>
      <c r="H52" s="51">
        <v>-66883.23</v>
      </c>
      <c r="I52" s="51">
        <v>-62257.57</v>
      </c>
      <c r="J52" s="51">
        <v>-57631.91</v>
      </c>
      <c r="K52" s="51">
        <v>-53006.25</v>
      </c>
      <c r="L52" s="51">
        <v>-48380.59</v>
      </c>
      <c r="M52" s="51">
        <v>-43754.93</v>
      </c>
      <c r="N52" s="137">
        <v>-39518.76</v>
      </c>
      <c r="O52" s="51"/>
      <c r="P52" s="51">
        <v>-35629.4</v>
      </c>
      <c r="W52" s="35"/>
      <c r="X52" s="35"/>
      <c r="Y52" s="35"/>
      <c r="Z52" s="35"/>
      <c r="AA52" s="35"/>
    </row>
    <row r="53" spans="1:27" outlineLevel="1" x14ac:dyDescent="0.45">
      <c r="B53" s="16" t="s">
        <v>119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0.1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137">
        <v>0</v>
      </c>
      <c r="O53" s="51"/>
      <c r="P53" s="51"/>
      <c r="W53" s="35"/>
      <c r="X53" s="35"/>
      <c r="Y53" s="35"/>
      <c r="Z53" s="35"/>
      <c r="AA53" s="35"/>
    </row>
    <row r="54" spans="1:27" outlineLevel="1" x14ac:dyDescent="0.45">
      <c r="B54" s="16" t="s">
        <v>120</v>
      </c>
      <c r="C54" s="51">
        <v>47320.87</v>
      </c>
      <c r="D54" s="51">
        <v>47320.87</v>
      </c>
      <c r="E54" s="51">
        <v>47320.87</v>
      </c>
      <c r="F54" s="51">
        <v>47320.87</v>
      </c>
      <c r="G54" s="51">
        <v>47320.87</v>
      </c>
      <c r="H54" s="51">
        <v>44482.61</v>
      </c>
      <c r="I54" s="51">
        <v>44482.61</v>
      </c>
      <c r="J54" s="51">
        <v>44482.61</v>
      </c>
      <c r="K54" s="51">
        <v>44482.61</v>
      </c>
      <c r="L54" s="51">
        <v>44482.61</v>
      </c>
      <c r="M54" s="51">
        <v>44482.61</v>
      </c>
      <c r="N54" s="137">
        <v>44482.61</v>
      </c>
      <c r="O54" s="51"/>
      <c r="P54" s="51">
        <v>44482.61</v>
      </c>
      <c r="W54" s="35"/>
      <c r="X54" s="35"/>
      <c r="Y54" s="35"/>
      <c r="Z54" s="35"/>
      <c r="AA54" s="35"/>
    </row>
    <row r="55" spans="1:27" outlineLevel="1" x14ac:dyDescent="0.45">
      <c r="B55" s="16" t="s">
        <v>121</v>
      </c>
      <c r="C55" s="51">
        <v>48217.39</v>
      </c>
      <c r="D55" s="51">
        <v>100739.13</v>
      </c>
      <c r="E55" s="51">
        <v>100739.13</v>
      </c>
      <c r="F55" s="51">
        <v>100739.13</v>
      </c>
      <c r="G55" s="51">
        <v>100739.13</v>
      </c>
      <c r="H55" s="51">
        <v>52521.74</v>
      </c>
      <c r="I55" s="51">
        <v>52521.74</v>
      </c>
      <c r="J55" s="51">
        <v>52521.74</v>
      </c>
      <c r="K55" s="51">
        <v>52521.74</v>
      </c>
      <c r="L55" s="51">
        <v>52521.74</v>
      </c>
      <c r="M55" s="51">
        <v>52521.74</v>
      </c>
      <c r="N55" s="137">
        <v>52521.74</v>
      </c>
      <c r="O55" s="51"/>
      <c r="P55" s="51">
        <v>52521.74</v>
      </c>
      <c r="W55" s="35"/>
      <c r="X55" s="35"/>
      <c r="Y55" s="35"/>
      <c r="Z55" s="35"/>
      <c r="AA55" s="35"/>
    </row>
    <row r="56" spans="1:27" ht="15" x14ac:dyDescent="0.45">
      <c r="B56" s="16" t="s">
        <v>122</v>
      </c>
      <c r="C56" s="51">
        <v>140389.23000000001</v>
      </c>
      <c r="D56" s="51">
        <v>132960.54</v>
      </c>
      <c r="E56" s="51">
        <v>122994.81</v>
      </c>
      <c r="F56" s="51">
        <v>122994.81</v>
      </c>
      <c r="G56" s="51">
        <v>120733.94</v>
      </c>
      <c r="H56" s="51">
        <v>113614.94</v>
      </c>
      <c r="I56" s="51">
        <v>111015.94</v>
      </c>
      <c r="J56" s="51">
        <v>111015.94</v>
      </c>
      <c r="K56" s="51">
        <v>111015.94</v>
      </c>
      <c r="L56" s="51">
        <v>111015.94</v>
      </c>
      <c r="M56" s="51">
        <v>101668.02</v>
      </c>
      <c r="N56" s="137">
        <v>93344.54</v>
      </c>
      <c r="O56" s="52"/>
      <c r="P56" s="104">
        <v>87873.24</v>
      </c>
      <c r="W56" s="35"/>
      <c r="X56" s="35"/>
      <c r="Y56" s="35"/>
      <c r="Z56" s="35"/>
      <c r="AA56" s="35"/>
    </row>
    <row r="57" spans="1:27" ht="15" x14ac:dyDescent="0.45">
      <c r="B57" s="16" t="s">
        <v>123</v>
      </c>
      <c r="C57" s="52">
        <v>91368.320000000007</v>
      </c>
      <c r="D57" s="51">
        <v>13517.21</v>
      </c>
      <c r="E57" s="52"/>
      <c r="F57" s="52"/>
      <c r="G57" s="51">
        <v>0</v>
      </c>
      <c r="H57" s="52"/>
      <c r="I57" s="52"/>
      <c r="J57" s="52"/>
      <c r="K57" s="51">
        <v>0</v>
      </c>
      <c r="L57" s="51">
        <v>0</v>
      </c>
      <c r="M57" s="51">
        <v>0</v>
      </c>
      <c r="N57" s="138"/>
      <c r="O57" s="52"/>
      <c r="P57" s="52"/>
    </row>
    <row r="58" spans="1:27" ht="15" x14ac:dyDescent="0.45">
      <c r="B58" s="16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38"/>
      <c r="O58" s="52"/>
      <c r="P58" s="52"/>
    </row>
    <row r="59" spans="1:27" s="95" customFormat="1" x14ac:dyDescent="0.45">
      <c r="A59" s="94"/>
      <c r="B59" s="19" t="s">
        <v>300</v>
      </c>
      <c r="C59" s="54">
        <f>SUM(C60:C63)</f>
        <v>275541.35000000003</v>
      </c>
      <c r="D59" s="54">
        <f t="shared" ref="D59:N59" si="5">SUM(D60:D63)</f>
        <v>266041.35000000003</v>
      </c>
      <c r="E59" s="54">
        <f t="shared" si="5"/>
        <v>258541.34999999998</v>
      </c>
      <c r="F59" s="54">
        <f t="shared" si="5"/>
        <v>243541.34999999998</v>
      </c>
      <c r="G59" s="54">
        <f t="shared" si="5"/>
        <v>240541.34999999998</v>
      </c>
      <c r="H59" s="54">
        <f t="shared" si="5"/>
        <v>200511.34999999998</v>
      </c>
      <c r="I59" s="54">
        <f t="shared" si="5"/>
        <v>200511.34999999998</v>
      </c>
      <c r="J59" s="54">
        <f t="shared" si="5"/>
        <v>200511.34999999998</v>
      </c>
      <c r="K59" s="54">
        <f t="shared" si="5"/>
        <v>200511.34999999998</v>
      </c>
      <c r="L59" s="54">
        <f t="shared" si="5"/>
        <v>200511.34999999998</v>
      </c>
      <c r="M59" s="54">
        <f t="shared" si="5"/>
        <v>200511.34999999998</v>
      </c>
      <c r="N59" s="54">
        <f t="shared" si="5"/>
        <v>200511.34999999998</v>
      </c>
      <c r="O59" s="55"/>
      <c r="P59" s="54">
        <v>200320</v>
      </c>
    </row>
    <row r="60" spans="1:27" x14ac:dyDescent="0.45">
      <c r="B60" s="16" t="s">
        <v>296</v>
      </c>
      <c r="C60" s="51">
        <v>269850</v>
      </c>
      <c r="D60" s="51">
        <v>262350</v>
      </c>
      <c r="E60" s="51">
        <v>254850</v>
      </c>
      <c r="F60" s="51">
        <v>239850</v>
      </c>
      <c r="G60" s="51">
        <v>236850</v>
      </c>
      <c r="H60" s="51">
        <v>200320</v>
      </c>
      <c r="I60" s="51">
        <v>200320</v>
      </c>
      <c r="J60" s="51">
        <v>200320</v>
      </c>
      <c r="K60" s="51">
        <v>200320</v>
      </c>
      <c r="L60" s="51">
        <v>200320</v>
      </c>
      <c r="M60" s="51">
        <v>200320</v>
      </c>
      <c r="N60" s="137">
        <v>200320</v>
      </c>
      <c r="O60" s="51"/>
      <c r="P60" s="51">
        <v>200320</v>
      </c>
    </row>
    <row r="61" spans="1:27" x14ac:dyDescent="0.45">
      <c r="B61" s="16" t="s">
        <v>297</v>
      </c>
      <c r="C61" s="51">
        <v>41.33</v>
      </c>
      <c r="D61" s="56">
        <v>41.33</v>
      </c>
      <c r="E61" s="56">
        <v>41.33</v>
      </c>
      <c r="F61" s="56">
        <v>41.33</v>
      </c>
      <c r="G61" s="56">
        <v>41.33</v>
      </c>
      <c r="H61" s="56">
        <v>41.33</v>
      </c>
      <c r="I61" s="56">
        <v>41.33</v>
      </c>
      <c r="J61" s="56">
        <v>41.33</v>
      </c>
      <c r="K61" s="56">
        <v>41.33</v>
      </c>
      <c r="L61" s="56">
        <v>41.33</v>
      </c>
      <c r="M61" s="56">
        <v>41.33</v>
      </c>
      <c r="N61" s="140">
        <v>41.33</v>
      </c>
      <c r="O61" s="56"/>
      <c r="P61" s="51"/>
    </row>
    <row r="62" spans="1:27" x14ac:dyDescent="0.45">
      <c r="B62" s="16" t="s">
        <v>298</v>
      </c>
      <c r="C62" s="51">
        <v>0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140">
        <v>0</v>
      </c>
      <c r="O62" s="56"/>
      <c r="P62" s="51"/>
    </row>
    <row r="63" spans="1:27" ht="15" x14ac:dyDescent="0.45">
      <c r="B63" s="16" t="s">
        <v>299</v>
      </c>
      <c r="C63" s="51">
        <v>5650.02</v>
      </c>
      <c r="D63" s="52">
        <v>3650.02</v>
      </c>
      <c r="E63" s="52">
        <v>3650.02</v>
      </c>
      <c r="F63" s="52">
        <v>3650.02</v>
      </c>
      <c r="G63" s="52">
        <v>3650.02</v>
      </c>
      <c r="H63" s="52">
        <v>150.02000000000001</v>
      </c>
      <c r="I63" s="52">
        <v>150.02000000000001</v>
      </c>
      <c r="J63" s="52">
        <v>150.02000000000001</v>
      </c>
      <c r="K63" s="52">
        <v>150.02000000000001</v>
      </c>
      <c r="L63" s="52">
        <v>150.02000000000001</v>
      </c>
      <c r="M63" s="52">
        <v>150.02000000000001</v>
      </c>
      <c r="N63" s="138">
        <v>150.02000000000001</v>
      </c>
      <c r="O63" s="52"/>
      <c r="P63" s="52"/>
    </row>
    <row r="64" spans="1:27" ht="15" x14ac:dyDescent="0.45">
      <c r="B64" s="28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138"/>
      <c r="O64" s="52"/>
      <c r="P64" s="52"/>
    </row>
    <row r="65" spans="1:23" s="95" customFormat="1" x14ac:dyDescent="0.45">
      <c r="A65" s="94"/>
      <c r="B65" s="19" t="s">
        <v>304</v>
      </c>
      <c r="C65" s="54">
        <f>SUM(C66)</f>
        <v>0</v>
      </c>
      <c r="D65" s="54">
        <f>SUM(D66)</f>
        <v>0</v>
      </c>
      <c r="E65" s="54">
        <f t="shared" ref="E65:N65" si="6">SUM(E66)</f>
        <v>0</v>
      </c>
      <c r="F65" s="54">
        <f t="shared" si="6"/>
        <v>0</v>
      </c>
      <c r="G65" s="54">
        <f t="shared" si="6"/>
        <v>0</v>
      </c>
      <c r="H65" s="54">
        <f t="shared" si="6"/>
        <v>0</v>
      </c>
      <c r="I65" s="54">
        <f t="shared" si="6"/>
        <v>0</v>
      </c>
      <c r="J65" s="54">
        <f t="shared" si="6"/>
        <v>0</v>
      </c>
      <c r="K65" s="54">
        <f t="shared" si="6"/>
        <v>0</v>
      </c>
      <c r="L65" s="54">
        <f t="shared" si="6"/>
        <v>0</v>
      </c>
      <c r="M65" s="54">
        <f t="shared" si="6"/>
        <v>0</v>
      </c>
      <c r="N65" s="54">
        <f t="shared" si="6"/>
        <v>0</v>
      </c>
      <c r="O65" s="55"/>
    </row>
    <row r="66" spans="1:23" ht="15" x14ac:dyDescent="0.45">
      <c r="B66" s="16" t="s">
        <v>303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/>
    </row>
    <row r="67" spans="1:23" ht="15" x14ac:dyDescent="0.45">
      <c r="B67" s="16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/>
    </row>
    <row r="68" spans="1:23" ht="15" x14ac:dyDescent="0.45">
      <c r="B68" s="16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/>
    </row>
    <row r="69" spans="1:23" x14ac:dyDescent="0.45">
      <c r="B69" s="19" t="s">
        <v>125</v>
      </c>
      <c r="C69" s="54">
        <f>+C59+C49+C65</f>
        <v>483904.60000000003</v>
      </c>
      <c r="D69" s="54">
        <f t="shared" ref="D69:N69" si="7">+D59+D49+D65</f>
        <v>427642.9</v>
      </c>
      <c r="E69" s="54">
        <f t="shared" si="7"/>
        <v>403951.20999999996</v>
      </c>
      <c r="F69" s="54">
        <f t="shared" si="7"/>
        <v>396976.62</v>
      </c>
      <c r="G69" s="54">
        <f t="shared" si="7"/>
        <v>399650.76</v>
      </c>
      <c r="H69" s="54">
        <f t="shared" si="7"/>
        <v>309471.11</v>
      </c>
      <c r="I69" s="54">
        <f t="shared" si="7"/>
        <v>313608.65999999997</v>
      </c>
      <c r="J69" s="54">
        <f t="shared" si="7"/>
        <v>320345.30999999994</v>
      </c>
      <c r="K69" s="54">
        <f t="shared" si="7"/>
        <v>327081.95999999996</v>
      </c>
      <c r="L69" s="54">
        <f t="shared" si="7"/>
        <v>333818.61</v>
      </c>
      <c r="M69" s="54">
        <f t="shared" si="7"/>
        <v>331207.33999999997</v>
      </c>
      <c r="N69" s="54">
        <f t="shared" si="7"/>
        <v>329231.01999999996</v>
      </c>
      <c r="O69" s="55"/>
      <c r="P69" s="54">
        <v>329568.72000000003</v>
      </c>
      <c r="W69" s="61"/>
    </row>
    <row r="70" spans="1:23" ht="15" x14ac:dyDescent="0.45">
      <c r="B70" s="28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138"/>
      <c r="O70" s="52"/>
      <c r="P70" s="52"/>
    </row>
    <row r="71" spans="1:23" ht="15" x14ac:dyDescent="0.45">
      <c r="B71" s="28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138"/>
      <c r="O71" s="52"/>
      <c r="P71" s="52"/>
    </row>
    <row r="72" spans="1:23" x14ac:dyDescent="0.45">
      <c r="B72" s="19" t="s">
        <v>126</v>
      </c>
      <c r="C72" s="54">
        <f>+C69+C46</f>
        <v>51374713.130000003</v>
      </c>
      <c r="D72" s="54">
        <f>+D69+D46</f>
        <v>50826863.580000006</v>
      </c>
      <c r="E72" s="54">
        <f t="shared" ref="E72:N72" si="8">+E69+E46</f>
        <v>49362472.000000007</v>
      </c>
      <c r="F72" s="54">
        <f>+F69+F46</f>
        <v>39391503.410000004</v>
      </c>
      <c r="G72" s="54">
        <f t="shared" si="8"/>
        <v>39705727.259999998</v>
      </c>
      <c r="H72" s="54">
        <f t="shared" si="8"/>
        <v>39910327</v>
      </c>
      <c r="I72" s="54">
        <f t="shared" si="8"/>
        <v>40485398.969999999</v>
      </c>
      <c r="J72" s="54">
        <f t="shared" si="8"/>
        <v>34941458.609999999</v>
      </c>
      <c r="K72" s="54">
        <f t="shared" si="8"/>
        <v>34698366.43</v>
      </c>
      <c r="L72" s="54">
        <f t="shared" si="8"/>
        <v>33612174.979999997</v>
      </c>
      <c r="M72" s="54">
        <f t="shared" si="8"/>
        <v>33364863.539999999</v>
      </c>
      <c r="N72" s="139">
        <f t="shared" si="8"/>
        <v>30109962.920000002</v>
      </c>
      <c r="O72" s="55"/>
      <c r="P72" s="54">
        <v>30324625.859999996</v>
      </c>
      <c r="W72" s="61"/>
    </row>
    <row r="73" spans="1:23" ht="15" x14ac:dyDescent="0.45">
      <c r="B73" s="28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138"/>
      <c r="O73" s="52"/>
      <c r="P73" s="52"/>
      <c r="V73" s="35"/>
    </row>
    <row r="74" spans="1:23" ht="15" x14ac:dyDescent="0.45">
      <c r="B74" s="28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V74" s="35"/>
    </row>
    <row r="75" spans="1:23" ht="15.75" thickBot="1" x14ac:dyDescent="0.5">
      <c r="B75" s="31" t="s">
        <v>127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141"/>
      <c r="O75" s="52"/>
      <c r="P75" s="57"/>
    </row>
    <row r="76" spans="1:23" ht="15.4" x14ac:dyDescent="0.45">
      <c r="B76" s="3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138"/>
      <c r="O76" s="52"/>
      <c r="P76" s="52"/>
    </row>
    <row r="77" spans="1:23" s="95" customFormat="1" x14ac:dyDescent="0.45">
      <c r="A77" s="94"/>
      <c r="B77" s="19" t="s">
        <v>128</v>
      </c>
      <c r="C77" s="54">
        <f>SUM(C78:C94)</f>
        <v>1665946.2999999998</v>
      </c>
      <c r="D77" s="54">
        <f t="shared" ref="D77:N77" si="9">SUM(D78:D95)</f>
        <v>1367592.86</v>
      </c>
      <c r="E77" s="54">
        <f t="shared" si="9"/>
        <v>9379298</v>
      </c>
      <c r="F77" s="54">
        <f t="shared" si="9"/>
        <v>1521212.4100000001</v>
      </c>
      <c r="G77" s="54">
        <f t="shared" si="9"/>
        <v>1572247.69</v>
      </c>
      <c r="H77" s="54">
        <f t="shared" si="9"/>
        <v>1601870.5799999998</v>
      </c>
      <c r="I77" s="54">
        <f t="shared" si="9"/>
        <v>2480475.36</v>
      </c>
      <c r="J77" s="54">
        <f t="shared" si="9"/>
        <v>1204328.47</v>
      </c>
      <c r="K77" s="54">
        <f t="shared" si="9"/>
        <v>1057700.71</v>
      </c>
      <c r="L77" s="54">
        <f t="shared" si="9"/>
        <v>-126284.13999999996</v>
      </c>
      <c r="M77" s="54">
        <f t="shared" si="9"/>
        <v>1099413.28</v>
      </c>
      <c r="N77" s="54">
        <f t="shared" si="9"/>
        <v>959820.89000000013</v>
      </c>
      <c r="O77" s="55"/>
      <c r="P77" s="54">
        <v>1472393.06</v>
      </c>
      <c r="S77" s="97"/>
    </row>
    <row r="78" spans="1:23" outlineLevel="1" x14ac:dyDescent="0.45">
      <c r="B78" s="16" t="s">
        <v>129</v>
      </c>
      <c r="C78" s="51">
        <v>0</v>
      </c>
      <c r="D78" s="51"/>
      <c r="E78" s="51"/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39481</v>
      </c>
      <c r="L78" s="51">
        <v>39481</v>
      </c>
      <c r="M78" s="51">
        <v>39481</v>
      </c>
      <c r="N78" s="137">
        <v>39481</v>
      </c>
      <c r="O78" s="51"/>
      <c r="P78" s="51">
        <v>75000</v>
      </c>
      <c r="S78" s="2"/>
    </row>
    <row r="79" spans="1:23" outlineLevel="1" x14ac:dyDescent="0.45">
      <c r="B79" s="16" t="s">
        <v>130</v>
      </c>
      <c r="C79" s="51">
        <v>158987.5</v>
      </c>
      <c r="D79" s="51">
        <v>158987.5</v>
      </c>
      <c r="E79" s="51">
        <v>158987.5</v>
      </c>
      <c r="F79" s="51">
        <v>158987.5</v>
      </c>
      <c r="G79" s="51">
        <v>158987.5</v>
      </c>
      <c r="H79" s="51">
        <v>158987.5</v>
      </c>
      <c r="I79" s="51">
        <v>158987.5</v>
      </c>
      <c r="J79" s="51">
        <v>158987.5</v>
      </c>
      <c r="K79" s="51">
        <v>158987.5</v>
      </c>
      <c r="L79" s="51">
        <v>158987.5</v>
      </c>
      <c r="M79" s="51">
        <v>158987.5</v>
      </c>
      <c r="N79" s="137">
        <v>158987.5</v>
      </c>
      <c r="O79" s="51"/>
      <c r="P79" s="51">
        <v>158987.5</v>
      </c>
      <c r="S79" s="2"/>
    </row>
    <row r="80" spans="1:23" outlineLevel="1" x14ac:dyDescent="0.45">
      <c r="B80" s="16" t="s">
        <v>131</v>
      </c>
      <c r="C80" s="51">
        <v>139840</v>
      </c>
      <c r="D80" s="51">
        <v>-3255.65</v>
      </c>
      <c r="E80" s="51">
        <v>81853.05</v>
      </c>
      <c r="F80" s="51">
        <v>85108.7</v>
      </c>
      <c r="G80" s="51">
        <v>143804.35</v>
      </c>
      <c r="H80" s="51">
        <v>143804.35</v>
      </c>
      <c r="I80" s="51">
        <v>143804.35</v>
      </c>
      <c r="J80" s="51">
        <v>143804.35</v>
      </c>
      <c r="K80" s="51">
        <v>202500</v>
      </c>
      <c r="L80" s="51">
        <v>202500</v>
      </c>
      <c r="M80" s="51">
        <v>0</v>
      </c>
      <c r="N80" s="137">
        <v>0</v>
      </c>
      <c r="O80" s="51"/>
      <c r="P80" s="51"/>
      <c r="S80" s="2"/>
    </row>
    <row r="81" spans="1:19" outlineLevel="1" x14ac:dyDescent="0.45">
      <c r="B81" s="16" t="s">
        <v>132</v>
      </c>
      <c r="C81" s="51">
        <v>1373.79</v>
      </c>
      <c r="D81" s="51">
        <v>1372.92</v>
      </c>
      <c r="E81" s="51">
        <v>1371.15</v>
      </c>
      <c r="F81" s="51">
        <v>1370.24</v>
      </c>
      <c r="G81" s="51">
        <v>0</v>
      </c>
      <c r="H81" s="51">
        <v>104.1</v>
      </c>
      <c r="I81" s="51">
        <v>103.24</v>
      </c>
      <c r="J81" s="51">
        <v>103.24</v>
      </c>
      <c r="K81" s="51">
        <v>103.24</v>
      </c>
      <c r="L81" s="51">
        <v>45780.52</v>
      </c>
      <c r="M81" s="51">
        <v>102.82</v>
      </c>
      <c r="N81" s="137">
        <v>102.82</v>
      </c>
      <c r="O81" s="51"/>
      <c r="P81" s="51">
        <v>0.35</v>
      </c>
      <c r="S81" s="2"/>
    </row>
    <row r="82" spans="1:19" outlineLevel="1" x14ac:dyDescent="0.45">
      <c r="B82" s="16" t="s">
        <v>133</v>
      </c>
      <c r="C82" s="51">
        <v>0</v>
      </c>
      <c r="D82" s="51">
        <v>716.48</v>
      </c>
      <c r="E82" s="51">
        <v>716.48</v>
      </c>
      <c r="F82" s="51">
        <v>716.48</v>
      </c>
      <c r="G82" s="51">
        <v>716.48</v>
      </c>
      <c r="H82" s="51">
        <v>716.48</v>
      </c>
      <c r="I82" s="51">
        <v>716.48</v>
      </c>
      <c r="J82" s="51">
        <v>716.48</v>
      </c>
      <c r="K82" s="51">
        <v>716.48</v>
      </c>
      <c r="L82" s="51">
        <v>716.48</v>
      </c>
      <c r="M82" s="51">
        <v>716.48</v>
      </c>
      <c r="N82" s="137">
        <v>716.48</v>
      </c>
      <c r="O82" s="51"/>
      <c r="P82" s="51">
        <v>616.48</v>
      </c>
    </row>
    <row r="83" spans="1:19" outlineLevel="1" x14ac:dyDescent="0.45">
      <c r="B83" s="16" t="s">
        <v>134</v>
      </c>
      <c r="C83" s="51">
        <v>877017.06</v>
      </c>
      <c r="D83" s="51">
        <v>393994.53</v>
      </c>
      <c r="E83" s="51">
        <v>109792.73</v>
      </c>
      <c r="F83" s="51">
        <v>63875.59</v>
      </c>
      <c r="G83" s="51">
        <v>188753.42</v>
      </c>
      <c r="H83" s="51">
        <v>207570.12</v>
      </c>
      <c r="I83" s="51">
        <v>1074112.6399999999</v>
      </c>
      <c r="J83" s="51">
        <v>0.56999999999999995</v>
      </c>
      <c r="K83" s="51">
        <v>0.56999999999999995</v>
      </c>
      <c r="L83" s="51">
        <v>0.56999999999999995</v>
      </c>
      <c r="M83" s="51">
        <v>46713.57</v>
      </c>
      <c r="N83" s="137">
        <v>46713.57</v>
      </c>
      <c r="O83" s="51"/>
      <c r="P83" s="51">
        <v>0</v>
      </c>
    </row>
    <row r="84" spans="1:19" outlineLevel="1" x14ac:dyDescent="0.45">
      <c r="B84" s="16" t="s">
        <v>135</v>
      </c>
      <c r="C84" s="51">
        <v>25866.83</v>
      </c>
      <c r="D84" s="51">
        <v>-1030.1500000000001</v>
      </c>
      <c r="E84" s="51">
        <v>-27927.13</v>
      </c>
      <c r="F84" s="51">
        <v>-54824.11</v>
      </c>
      <c r="G84" s="51">
        <v>-81721.09</v>
      </c>
      <c r="H84" s="51">
        <v>-108618.09</v>
      </c>
      <c r="I84" s="51">
        <v>-135515.09</v>
      </c>
      <c r="J84" s="51">
        <v>-162412.07999999999</v>
      </c>
      <c r="K84" s="51">
        <v>-189309.06</v>
      </c>
      <c r="L84" s="51">
        <v>-216206.04</v>
      </c>
      <c r="M84" s="51">
        <v>26896.98</v>
      </c>
      <c r="N84" s="137">
        <v>0</v>
      </c>
      <c r="O84" s="51"/>
      <c r="P84" s="51"/>
    </row>
    <row r="85" spans="1:19" outlineLevel="1" x14ac:dyDescent="0.45">
      <c r="B85" s="16" t="s">
        <v>136</v>
      </c>
      <c r="C85" s="12">
        <v>129870.78</v>
      </c>
      <c r="D85" s="12">
        <v>87148.86</v>
      </c>
      <c r="E85" s="51">
        <v>137073.20000000001</v>
      </c>
      <c r="F85" s="51">
        <v>40260.019999999997</v>
      </c>
      <c r="G85" s="51">
        <v>36509.21</v>
      </c>
      <c r="H85" s="51">
        <v>223097.27</v>
      </c>
      <c r="I85" s="51">
        <v>108021.91</v>
      </c>
      <c r="J85" s="51">
        <v>88598.41</v>
      </c>
      <c r="K85" s="51">
        <v>33431.760000000002</v>
      </c>
      <c r="L85" s="51">
        <v>247341.03</v>
      </c>
      <c r="M85" s="51">
        <v>56633.7</v>
      </c>
      <c r="N85" s="137">
        <v>34553.58</v>
      </c>
      <c r="O85" s="51"/>
      <c r="P85" s="51">
        <v>317117.71000000002</v>
      </c>
    </row>
    <row r="86" spans="1:19" outlineLevel="1" x14ac:dyDescent="0.45">
      <c r="B86" s="16" t="s">
        <v>137</v>
      </c>
      <c r="C86" s="51">
        <v>119793.9</v>
      </c>
      <c r="D86" s="51">
        <v>595802.74</v>
      </c>
      <c r="E86" s="51">
        <v>576811.57999999996</v>
      </c>
      <c r="F86" s="51">
        <v>766015.92</v>
      </c>
      <c r="G86" s="51">
        <v>940141.87</v>
      </c>
      <c r="H86" s="51">
        <v>840108.03</v>
      </c>
      <c r="I86" s="51">
        <v>676772.07</v>
      </c>
      <c r="J86" s="51">
        <v>866837.73</v>
      </c>
      <c r="K86" s="51">
        <v>706338.11</v>
      </c>
      <c r="L86" s="51">
        <v>620400.88</v>
      </c>
      <c r="M86" s="51">
        <v>687558.97</v>
      </c>
      <c r="N86" s="137">
        <v>603768.9</v>
      </c>
      <c r="O86" s="51"/>
      <c r="P86" s="51">
        <v>310223.26</v>
      </c>
      <c r="Q86" s="2"/>
    </row>
    <row r="87" spans="1:19" outlineLevel="1" x14ac:dyDescent="0.45">
      <c r="B87" s="16" t="s">
        <v>138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137"/>
      <c r="O87" s="51"/>
      <c r="P87" s="51"/>
      <c r="Q87" s="2"/>
    </row>
    <row r="88" spans="1:19" outlineLevel="1" x14ac:dyDescent="0.45">
      <c r="B88" s="16" t="s">
        <v>139</v>
      </c>
      <c r="C88" s="51">
        <v>47874.96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137">
        <v>0</v>
      </c>
      <c r="O88" s="51"/>
      <c r="P88" s="51"/>
      <c r="Q88" s="2"/>
    </row>
    <row r="89" spans="1:19" outlineLevel="1" x14ac:dyDescent="0.45">
      <c r="B89" s="16" t="s">
        <v>140</v>
      </c>
      <c r="C89" s="51">
        <v>31871.18</v>
      </c>
      <c r="D89" s="51">
        <v>-0.02</v>
      </c>
      <c r="E89" s="51">
        <v>9600</v>
      </c>
      <c r="F89" s="51">
        <v>104500</v>
      </c>
      <c r="G89" s="51">
        <v>86500.01</v>
      </c>
      <c r="H89" s="51">
        <v>37500.01</v>
      </c>
      <c r="I89" s="51">
        <v>10500.01</v>
      </c>
      <c r="J89" s="51">
        <v>10500.01</v>
      </c>
      <c r="K89" s="51">
        <v>10500.01</v>
      </c>
      <c r="L89" s="51">
        <v>0.01</v>
      </c>
      <c r="M89" s="51">
        <v>0</v>
      </c>
      <c r="N89" s="137">
        <v>0</v>
      </c>
      <c r="O89" s="51"/>
      <c r="P89" s="51">
        <v>2237.5</v>
      </c>
    </row>
    <row r="90" spans="1:19" outlineLevel="1" x14ac:dyDescent="0.45">
      <c r="B90" s="16" t="s">
        <v>141</v>
      </c>
      <c r="C90" s="51">
        <v>0</v>
      </c>
      <c r="D90" s="51">
        <v>0</v>
      </c>
      <c r="E90" s="51"/>
      <c r="F90" s="51"/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137">
        <v>0</v>
      </c>
      <c r="O90" s="51"/>
      <c r="P90" s="51">
        <v>0</v>
      </c>
    </row>
    <row r="91" spans="1:19" outlineLevel="1" x14ac:dyDescent="0.45">
      <c r="B91" s="16" t="s">
        <v>142</v>
      </c>
      <c r="C91" s="51">
        <v>73342.41</v>
      </c>
      <c r="D91" s="51">
        <v>73342.34</v>
      </c>
      <c r="E91" s="51">
        <v>73342.289999999994</v>
      </c>
      <c r="F91" s="51">
        <v>72333.570000000007</v>
      </c>
      <c r="G91" s="51">
        <v>72245.31</v>
      </c>
      <c r="H91" s="51">
        <v>72159.679999999993</v>
      </c>
      <c r="I91" s="51">
        <v>71010.649999999994</v>
      </c>
      <c r="J91" s="51">
        <v>70237.7</v>
      </c>
      <c r="K91" s="51">
        <v>69367.48</v>
      </c>
      <c r="L91" s="51">
        <v>-1490723.65</v>
      </c>
      <c r="M91" s="51">
        <v>67062.87</v>
      </c>
      <c r="N91" s="137">
        <v>65857.67</v>
      </c>
      <c r="O91" s="51"/>
      <c r="P91" s="51">
        <v>65677.87</v>
      </c>
    </row>
    <row r="92" spans="1:19" outlineLevel="1" x14ac:dyDescent="0.45">
      <c r="B92" s="16" t="s">
        <v>143</v>
      </c>
      <c r="C92" s="51">
        <v>29169.43</v>
      </c>
      <c r="D92" s="51">
        <v>29574.85</v>
      </c>
      <c r="E92" s="51">
        <v>27004.01</v>
      </c>
      <c r="F92" s="51">
        <v>27047.43</v>
      </c>
      <c r="G92" s="51">
        <v>26310.63</v>
      </c>
      <c r="H92" s="51">
        <v>26441.13</v>
      </c>
      <c r="I92" s="51">
        <v>26086.92</v>
      </c>
      <c r="J92" s="51">
        <v>25232.09</v>
      </c>
      <c r="K92" s="51">
        <v>23861.15</v>
      </c>
      <c r="L92" s="51">
        <v>23622.19</v>
      </c>
      <c r="M92" s="51">
        <v>15259.39</v>
      </c>
      <c r="N92" s="137">
        <v>9639.3700000000008</v>
      </c>
      <c r="O92" s="51"/>
      <c r="P92" s="51">
        <v>6851.52</v>
      </c>
    </row>
    <row r="93" spans="1:19" outlineLevel="1" x14ac:dyDescent="0.45">
      <c r="B93" s="16" t="s">
        <v>144</v>
      </c>
      <c r="C93" s="51">
        <v>30938.46</v>
      </c>
      <c r="D93" s="51">
        <v>30938.46</v>
      </c>
      <c r="E93" s="51">
        <v>30938.46</v>
      </c>
      <c r="F93" s="51">
        <v>255821.06999999998</v>
      </c>
      <c r="G93" s="51">
        <v>0</v>
      </c>
      <c r="H93" s="51">
        <v>0</v>
      </c>
      <c r="I93" s="51">
        <v>345874.68000000005</v>
      </c>
      <c r="J93" s="51">
        <v>1722.4699999999998</v>
      </c>
      <c r="K93" s="51">
        <v>1722.4699999999998</v>
      </c>
      <c r="L93" s="51">
        <v>241815.37</v>
      </c>
      <c r="M93" s="51">
        <v>0</v>
      </c>
      <c r="N93" s="137">
        <v>0</v>
      </c>
      <c r="O93" s="51"/>
      <c r="P93" s="51"/>
    </row>
    <row r="94" spans="1:19" x14ac:dyDescent="0.45">
      <c r="B94" s="16" t="s">
        <v>146</v>
      </c>
      <c r="C94" s="51">
        <v>0</v>
      </c>
      <c r="D94" s="51">
        <v>0</v>
      </c>
      <c r="E94" s="51">
        <v>8199734.6799999997</v>
      </c>
      <c r="F94" s="51">
        <v>0</v>
      </c>
      <c r="G94" s="51"/>
      <c r="H94" s="51"/>
      <c r="I94" s="51"/>
      <c r="J94" s="51"/>
      <c r="K94" s="51"/>
      <c r="L94" s="51"/>
      <c r="M94" s="51"/>
      <c r="N94" s="137"/>
      <c r="O94" s="51"/>
      <c r="P94" s="51"/>
    </row>
    <row r="95" spans="1:19" x14ac:dyDescent="0.45">
      <c r="B95" s="14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137"/>
      <c r="O95" s="51"/>
      <c r="P95" s="51"/>
    </row>
    <row r="96" spans="1:19" s="95" customFormat="1" x14ac:dyDescent="0.45">
      <c r="A96" s="94"/>
      <c r="B96" s="19" t="s">
        <v>147</v>
      </c>
      <c r="C96" s="54">
        <f>SUM(C97:C99)</f>
        <v>22530283.309999999</v>
      </c>
      <c r="D96" s="54">
        <f>SUM(D97:D99)</f>
        <v>22530283.309999999</v>
      </c>
      <c r="E96" s="54">
        <f>SUM(E97:E99)</f>
        <v>12530283.310000001</v>
      </c>
      <c r="F96" s="54">
        <f>SUM(F97:F98)</f>
        <v>2030283.31</v>
      </c>
      <c r="G96" s="54">
        <f t="shared" ref="G96:M96" si="10">SUM(G97:G98)</f>
        <v>2030283.31</v>
      </c>
      <c r="H96" s="54">
        <f t="shared" si="10"/>
        <v>2030283.31</v>
      </c>
      <c r="I96" s="54">
        <f t="shared" si="10"/>
        <v>2030283.31</v>
      </c>
      <c r="J96" s="54">
        <f t="shared" si="10"/>
        <v>2030283.31</v>
      </c>
      <c r="K96" s="54">
        <f t="shared" si="10"/>
        <v>2030283.31</v>
      </c>
      <c r="L96" s="54">
        <f t="shared" si="10"/>
        <v>2030283.31</v>
      </c>
      <c r="M96" s="54">
        <f t="shared" si="10"/>
        <v>2030283.31</v>
      </c>
      <c r="N96" s="139">
        <f>+N98+N97</f>
        <v>2030283.31</v>
      </c>
      <c r="O96" s="55"/>
      <c r="P96" s="54">
        <v>2239362.44</v>
      </c>
    </row>
    <row r="97" spans="2:16" outlineLevel="1" x14ac:dyDescent="0.45">
      <c r="B97" s="16" t="s">
        <v>148</v>
      </c>
      <c r="C97" s="51">
        <v>30283.31</v>
      </c>
      <c r="D97" s="51">
        <v>30283.31</v>
      </c>
      <c r="E97" s="51">
        <v>30283.31</v>
      </c>
      <c r="F97" s="51">
        <v>30283.31</v>
      </c>
      <c r="G97" s="51">
        <v>30283.31</v>
      </c>
      <c r="H97" s="51">
        <v>30283.31</v>
      </c>
      <c r="I97" s="51">
        <v>30283.31</v>
      </c>
      <c r="J97" s="51">
        <v>30283.31</v>
      </c>
      <c r="K97" s="51">
        <v>30283.31</v>
      </c>
      <c r="L97" s="51">
        <v>30283.31</v>
      </c>
      <c r="M97" s="51">
        <v>30283.31</v>
      </c>
      <c r="N97" s="137">
        <v>30283.31</v>
      </c>
      <c r="O97" s="51"/>
      <c r="P97" s="51">
        <v>33956.18</v>
      </c>
    </row>
    <row r="98" spans="2:16" outlineLevel="1" x14ac:dyDescent="0.45">
      <c r="B98" s="16" t="s">
        <v>149</v>
      </c>
      <c r="C98" s="51">
        <v>2000000</v>
      </c>
      <c r="D98" s="51">
        <v>2000000</v>
      </c>
      <c r="E98" s="51">
        <v>2000000</v>
      </c>
      <c r="F98" s="51">
        <v>2000000</v>
      </c>
      <c r="G98" s="51">
        <v>2000000</v>
      </c>
      <c r="H98" s="51">
        <v>2000000</v>
      </c>
      <c r="I98" s="51">
        <v>2000000</v>
      </c>
      <c r="J98" s="51">
        <v>2000000</v>
      </c>
      <c r="K98" s="51">
        <v>2000000</v>
      </c>
      <c r="L98" s="51">
        <v>2000000</v>
      </c>
      <c r="M98" s="51">
        <v>2000000</v>
      </c>
      <c r="N98" s="137">
        <v>2000000</v>
      </c>
      <c r="O98" s="51"/>
      <c r="P98" s="51">
        <v>2205406.2599999998</v>
      </c>
    </row>
    <row r="99" spans="2:16" outlineLevel="1" x14ac:dyDescent="0.45">
      <c r="B99" s="16" t="s">
        <v>150</v>
      </c>
      <c r="C99" s="51">
        <v>20500000</v>
      </c>
      <c r="D99" s="51">
        <v>20500000</v>
      </c>
      <c r="E99" s="51">
        <v>10500000</v>
      </c>
      <c r="F99" s="51"/>
      <c r="G99" s="51"/>
      <c r="H99" s="51"/>
      <c r="I99" s="51"/>
      <c r="J99" s="51"/>
      <c r="K99" s="51"/>
      <c r="L99" s="51"/>
      <c r="M99" s="51"/>
      <c r="N99" s="137"/>
      <c r="O99" s="51"/>
      <c r="P99" s="51"/>
    </row>
    <row r="100" spans="2:16" x14ac:dyDescent="0.45">
      <c r="B100" s="14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137"/>
      <c r="O100" s="51"/>
      <c r="P100" s="51"/>
    </row>
    <row r="101" spans="2:16" x14ac:dyDescent="0.45">
      <c r="B101" s="14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137"/>
      <c r="O101" s="51"/>
      <c r="P101" s="51"/>
    </row>
    <row r="102" spans="2:16" x14ac:dyDescent="0.45">
      <c r="B102" s="19" t="s">
        <v>151</v>
      </c>
      <c r="C102" s="54">
        <f t="shared" ref="C102:N102" si="11">+C96+C77</f>
        <v>24196229.609999999</v>
      </c>
      <c r="D102" s="54">
        <f t="shared" si="11"/>
        <v>23897876.169999998</v>
      </c>
      <c r="E102" s="54">
        <f t="shared" si="11"/>
        <v>21909581.310000002</v>
      </c>
      <c r="F102" s="54">
        <f t="shared" si="11"/>
        <v>3551495.72</v>
      </c>
      <c r="G102" s="54">
        <f t="shared" si="11"/>
        <v>3602531</v>
      </c>
      <c r="H102" s="54">
        <f t="shared" si="11"/>
        <v>3632153.8899999997</v>
      </c>
      <c r="I102" s="54">
        <f t="shared" si="11"/>
        <v>4510758.67</v>
      </c>
      <c r="J102" s="54">
        <f t="shared" si="11"/>
        <v>3234611.7800000003</v>
      </c>
      <c r="K102" s="54">
        <f t="shared" si="11"/>
        <v>3087984.02</v>
      </c>
      <c r="L102" s="54">
        <f t="shared" si="11"/>
        <v>1903999.1700000002</v>
      </c>
      <c r="M102" s="54">
        <f t="shared" si="11"/>
        <v>3129696.59</v>
      </c>
      <c r="N102" s="139">
        <f t="shared" si="11"/>
        <v>2990104.2</v>
      </c>
      <c r="O102" s="55"/>
      <c r="P102" s="54">
        <v>3711755.5</v>
      </c>
    </row>
    <row r="103" spans="2:16" x14ac:dyDescent="0.45">
      <c r="B103" s="14" t="s">
        <v>152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137"/>
      <c r="O103" s="51"/>
      <c r="P103" s="51"/>
    </row>
    <row r="104" spans="2:16" x14ac:dyDescent="0.45">
      <c r="B104" s="14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137"/>
      <c r="O104" s="51"/>
      <c r="P104" s="51"/>
    </row>
    <row r="105" spans="2:16" x14ac:dyDescent="0.45">
      <c r="B105" s="13" t="s">
        <v>311</v>
      </c>
      <c r="C105" s="111">
        <v>24463392.489999998</v>
      </c>
      <c r="D105" s="111">
        <v>24413926.66</v>
      </c>
      <c r="E105" s="111">
        <v>24976426.66</v>
      </c>
      <c r="F105" s="111">
        <v>32976426.66</v>
      </c>
      <c r="G105" s="53">
        <v>32976426.66</v>
      </c>
      <c r="H105" s="53">
        <v>32976426.66</v>
      </c>
      <c r="I105" s="53">
        <v>32976426.66</v>
      </c>
      <c r="J105" s="53">
        <v>28855926.66</v>
      </c>
      <c r="K105" s="53">
        <v>28855926.66</v>
      </c>
      <c r="L105" s="53">
        <v>28855926.66</v>
      </c>
      <c r="M105" s="53">
        <v>28855926.66</v>
      </c>
      <c r="N105" s="136">
        <v>25860319.460000001</v>
      </c>
      <c r="O105" s="51"/>
      <c r="P105" s="53">
        <v>25111417.66</v>
      </c>
    </row>
    <row r="106" spans="2:16" x14ac:dyDescent="0.45">
      <c r="B106" s="11"/>
      <c r="C106" s="12"/>
      <c r="D106" s="12"/>
      <c r="E106" s="12"/>
      <c r="F106" s="12"/>
      <c r="G106" s="51"/>
      <c r="H106" s="51"/>
      <c r="I106" s="51"/>
      <c r="J106" s="51"/>
      <c r="K106" s="51"/>
      <c r="L106" s="51"/>
      <c r="M106" s="51"/>
      <c r="N106" s="137"/>
      <c r="O106" s="51"/>
      <c r="P106" s="51"/>
    </row>
    <row r="107" spans="2:16" x14ac:dyDescent="0.45">
      <c r="B107" s="13" t="s">
        <v>153</v>
      </c>
      <c r="C107" s="53">
        <v>1186567.2</v>
      </c>
      <c r="D107" s="53">
        <v>1186567.2</v>
      </c>
      <c r="E107" s="53">
        <v>1186567.2</v>
      </c>
      <c r="F107" s="53">
        <v>1186567.2</v>
      </c>
      <c r="G107" s="53">
        <v>1186567.2</v>
      </c>
      <c r="H107" s="53">
        <v>1186567.2</v>
      </c>
      <c r="I107" s="53">
        <v>1186567.2</v>
      </c>
      <c r="J107" s="53">
        <v>1186567.2</v>
      </c>
      <c r="K107" s="53">
        <v>1186567.2</v>
      </c>
      <c r="L107" s="53">
        <v>1186567.2</v>
      </c>
      <c r="M107" s="53">
        <v>0</v>
      </c>
      <c r="N107" s="136">
        <v>0</v>
      </c>
      <c r="O107" s="51"/>
      <c r="P107" s="53">
        <v>0</v>
      </c>
    </row>
    <row r="108" spans="2:16" ht="15" x14ac:dyDescent="0.45">
      <c r="B108" s="2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59"/>
      <c r="N108" s="59"/>
      <c r="O108" s="59"/>
      <c r="P108" s="58"/>
    </row>
    <row r="109" spans="2:16" x14ac:dyDescent="0.45">
      <c r="B109" s="13" t="s">
        <v>154</v>
      </c>
      <c r="C109" s="53">
        <v>139978.12</v>
      </c>
      <c r="D109" s="53">
        <v>33406.83</v>
      </c>
      <c r="E109" s="53">
        <v>33406.83</v>
      </c>
      <c r="F109" s="53">
        <v>33406.83</v>
      </c>
      <c r="G109" s="53">
        <v>33406.83</v>
      </c>
      <c r="H109" s="53">
        <v>33406.83</v>
      </c>
      <c r="I109" s="53">
        <v>33406.83</v>
      </c>
      <c r="J109" s="53">
        <v>33406.83</v>
      </c>
      <c r="K109" s="53">
        <v>33406.83</v>
      </c>
      <c r="L109" s="53">
        <v>33406.83</v>
      </c>
      <c r="M109" s="53">
        <v>33406.83</v>
      </c>
      <c r="N109" s="136">
        <v>33406.83</v>
      </c>
      <c r="O109" s="51"/>
      <c r="P109" s="53">
        <v>33406.83</v>
      </c>
    </row>
    <row r="110" spans="2:16" ht="15" x14ac:dyDescent="0.45">
      <c r="B110" s="2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59"/>
      <c r="N110" s="59"/>
      <c r="O110" s="59"/>
      <c r="P110" s="58"/>
    </row>
    <row r="111" spans="2:16" x14ac:dyDescent="0.45">
      <c r="B111" s="19" t="s">
        <v>155</v>
      </c>
      <c r="C111" s="54">
        <f t="shared" ref="C111:N111" si="12">+C109+C105+C107</f>
        <v>25789937.809999999</v>
      </c>
      <c r="D111" s="54">
        <f t="shared" si="12"/>
        <v>25633900.689999998</v>
      </c>
      <c r="E111" s="54">
        <f t="shared" si="12"/>
        <v>26196400.689999998</v>
      </c>
      <c r="F111" s="54">
        <f t="shared" si="12"/>
        <v>34196400.689999998</v>
      </c>
      <c r="G111" s="54">
        <f t="shared" si="12"/>
        <v>34196400.689999998</v>
      </c>
      <c r="H111" s="54">
        <f t="shared" si="12"/>
        <v>34196400.689999998</v>
      </c>
      <c r="I111" s="54">
        <f t="shared" si="12"/>
        <v>34196400.689999998</v>
      </c>
      <c r="J111" s="54">
        <f t="shared" si="12"/>
        <v>30075900.689999998</v>
      </c>
      <c r="K111" s="54">
        <f t="shared" si="12"/>
        <v>30075900.689999998</v>
      </c>
      <c r="L111" s="54">
        <f t="shared" si="12"/>
        <v>30075900.689999998</v>
      </c>
      <c r="M111" s="54">
        <f t="shared" si="12"/>
        <v>28889333.489999998</v>
      </c>
      <c r="N111" s="54">
        <f t="shared" si="12"/>
        <v>25893726.289999999</v>
      </c>
      <c r="O111" s="55"/>
      <c r="P111" s="54">
        <v>25144824.489999998</v>
      </c>
    </row>
    <row r="112" spans="2:16" x14ac:dyDescent="0.45">
      <c r="B112" s="14" t="s">
        <v>152</v>
      </c>
      <c r="C112" s="51"/>
      <c r="D112" s="51"/>
      <c r="E112" s="51"/>
      <c r="F112" s="51"/>
      <c r="G112" s="51"/>
      <c r="H112" s="51"/>
      <c r="I112" s="51"/>
      <c r="J112" s="51"/>
      <c r="K112" s="51">
        <f>+J112-J113</f>
        <v>0</v>
      </c>
      <c r="L112" s="51"/>
      <c r="M112" s="51"/>
      <c r="N112" s="137"/>
      <c r="O112" s="51"/>
      <c r="P112" s="51"/>
    </row>
    <row r="113" spans="2:22" x14ac:dyDescent="0.45">
      <c r="B113" s="14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137"/>
      <c r="O113" s="51"/>
      <c r="P113" s="51"/>
    </row>
    <row r="114" spans="2:22" x14ac:dyDescent="0.45">
      <c r="B114" s="13" t="s">
        <v>156</v>
      </c>
      <c r="C114" s="53">
        <v>0</v>
      </c>
      <c r="D114" s="53">
        <v>0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  <c r="N114" s="136">
        <v>0</v>
      </c>
      <c r="O114" s="51"/>
      <c r="P114" s="53"/>
    </row>
    <row r="116" spans="2:22" x14ac:dyDescent="0.45">
      <c r="B116" s="13" t="s">
        <v>157</v>
      </c>
      <c r="C116" s="53">
        <v>25000</v>
      </c>
      <c r="D116" s="53">
        <v>25000</v>
      </c>
      <c r="E116" s="53">
        <v>25000</v>
      </c>
      <c r="F116" s="53">
        <v>25000</v>
      </c>
      <c r="G116" s="53">
        <v>25000</v>
      </c>
      <c r="H116" s="53">
        <v>25000</v>
      </c>
      <c r="I116" s="53">
        <v>25000</v>
      </c>
      <c r="J116" s="53">
        <v>25000</v>
      </c>
      <c r="K116" s="53">
        <v>25000</v>
      </c>
      <c r="L116" s="53">
        <v>25000</v>
      </c>
      <c r="M116" s="53">
        <v>25000</v>
      </c>
      <c r="N116" s="136">
        <v>25000</v>
      </c>
      <c r="O116" s="51"/>
      <c r="P116" s="53">
        <v>25000</v>
      </c>
    </row>
    <row r="117" spans="2:22" ht="15" x14ac:dyDescent="0.45">
      <c r="B117" s="2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59"/>
      <c r="N117" s="59"/>
      <c r="O117" s="59"/>
      <c r="P117" s="58"/>
    </row>
    <row r="118" spans="2:22" x14ac:dyDescent="0.45">
      <c r="B118" s="13" t="s">
        <v>158</v>
      </c>
      <c r="C118" s="53">
        <v>7500</v>
      </c>
      <c r="D118" s="53">
        <v>7500</v>
      </c>
      <c r="E118" s="53">
        <v>7500</v>
      </c>
      <c r="F118" s="53">
        <v>7500</v>
      </c>
      <c r="G118" s="53">
        <v>7500</v>
      </c>
      <c r="H118" s="53">
        <v>7500</v>
      </c>
      <c r="I118" s="53">
        <v>7500</v>
      </c>
      <c r="J118" s="53">
        <v>7500</v>
      </c>
      <c r="K118" s="53">
        <v>7500</v>
      </c>
      <c r="L118" s="53">
        <v>7500</v>
      </c>
      <c r="M118" s="53">
        <v>7500</v>
      </c>
      <c r="N118" s="136">
        <v>7500</v>
      </c>
      <c r="O118" s="51"/>
      <c r="P118" s="53">
        <v>7500</v>
      </c>
    </row>
    <row r="119" spans="2:22" ht="15" x14ac:dyDescent="0.45">
      <c r="B119" s="2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59"/>
      <c r="N119" s="59"/>
      <c r="O119" s="59"/>
      <c r="P119" s="58"/>
    </row>
    <row r="120" spans="2:22" x14ac:dyDescent="0.45">
      <c r="B120" s="13" t="s">
        <v>159</v>
      </c>
      <c r="C120" s="53">
        <v>94209.46</v>
      </c>
      <c r="D120" s="53">
        <v>750.48</v>
      </c>
      <c r="E120" s="53">
        <v>-37846.239999999998</v>
      </c>
      <c r="F120" s="53">
        <v>349270.76</v>
      </c>
      <c r="G120" s="53">
        <v>612459.32999999996</v>
      </c>
      <c r="H120" s="53">
        <v>787436.18</v>
      </c>
      <c r="I120" s="53">
        <v>483903.37</v>
      </c>
      <c r="J120" s="53">
        <v>336609.9</v>
      </c>
      <c r="K120" s="53">
        <v>240145.48</v>
      </c>
      <c r="L120" s="53">
        <v>337938.88</v>
      </c>
      <c r="M120" s="53">
        <v>51497.22</v>
      </c>
      <c r="N120" s="136">
        <v>-68203.81</v>
      </c>
      <c r="O120" s="51"/>
      <c r="P120" s="53">
        <v>1192072.340603061</v>
      </c>
      <c r="V120" s="61"/>
    </row>
    <row r="121" spans="2:22" ht="15" x14ac:dyDescent="0.45">
      <c r="B121" s="2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59"/>
      <c r="N121" s="59"/>
      <c r="O121" s="59"/>
      <c r="P121" s="58"/>
    </row>
    <row r="122" spans="2:22" x14ac:dyDescent="0.45">
      <c r="B122" s="13" t="s">
        <v>160</v>
      </c>
      <c r="C122" s="53">
        <v>1261836.25</v>
      </c>
      <c r="D122" s="53">
        <v>1261836.25</v>
      </c>
      <c r="E122" s="53">
        <v>1261836.25</v>
      </c>
      <c r="F122" s="53">
        <v>1261836.25</v>
      </c>
      <c r="G122" s="53">
        <v>1261836.25</v>
      </c>
      <c r="H122" s="53">
        <v>1261836.25</v>
      </c>
      <c r="I122" s="53">
        <v>1261836.25</v>
      </c>
      <c r="J122" s="53">
        <v>1261836.25</v>
      </c>
      <c r="K122" s="53">
        <v>1261836.25</v>
      </c>
      <c r="L122" s="53">
        <v>1261836.25</v>
      </c>
      <c r="M122" s="53">
        <v>1261836.25</v>
      </c>
      <c r="N122" s="136">
        <v>1261836.25</v>
      </c>
      <c r="O122" s="51"/>
      <c r="P122" s="53">
        <v>243473.5</v>
      </c>
    </row>
    <row r="123" spans="2:22" ht="15" x14ac:dyDescent="0.45">
      <c r="B123" s="2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59"/>
      <c r="N123" s="59"/>
      <c r="O123" s="59"/>
      <c r="P123" s="58"/>
    </row>
    <row r="124" spans="2:22" x14ac:dyDescent="0.45">
      <c r="B124" s="19" t="s">
        <v>161</v>
      </c>
      <c r="C124" s="54">
        <f>+C116+C118+C120+C122</f>
        <v>1388545.71</v>
      </c>
      <c r="D124" s="54">
        <f>+D116+D118+D120+D122</f>
        <v>1295086.73</v>
      </c>
      <c r="E124" s="54">
        <f>+E116+E118+E120+E122</f>
        <v>1256490.01</v>
      </c>
      <c r="F124" s="54">
        <f>+F116+F118+F120+F122</f>
        <v>1643607.01</v>
      </c>
      <c r="G124" s="54">
        <f t="shared" ref="G124:N124" si="13">+G116+G118+G120+G122</f>
        <v>1906795.58</v>
      </c>
      <c r="H124" s="54">
        <f t="shared" si="13"/>
        <v>2081772.4300000002</v>
      </c>
      <c r="I124" s="54">
        <f t="shared" si="13"/>
        <v>1778239.62</v>
      </c>
      <c r="J124" s="54">
        <f t="shared" si="13"/>
        <v>1630946.15</v>
      </c>
      <c r="K124" s="54">
        <f t="shared" si="13"/>
        <v>1534481.73</v>
      </c>
      <c r="L124" s="54">
        <f t="shared" si="13"/>
        <v>1632275.13</v>
      </c>
      <c r="M124" s="54">
        <f t="shared" si="13"/>
        <v>1345833.47</v>
      </c>
      <c r="N124" s="139">
        <f t="shared" si="13"/>
        <v>1226132.44</v>
      </c>
      <c r="O124" s="55"/>
      <c r="P124" s="54">
        <v>1468045.840603061</v>
      </c>
    </row>
    <row r="125" spans="2:22" ht="15" x14ac:dyDescent="0.45">
      <c r="B125" s="2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59"/>
      <c r="N125" s="59"/>
      <c r="O125" s="59"/>
      <c r="P125" s="58"/>
    </row>
    <row r="126" spans="2:22" ht="15" x14ac:dyDescent="0.45">
      <c r="B126" s="2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59"/>
      <c r="N126" s="59"/>
      <c r="O126" s="59"/>
      <c r="P126" s="58"/>
      <c r="Q126" t="s">
        <v>152</v>
      </c>
    </row>
    <row r="127" spans="2:22" x14ac:dyDescent="0.45">
      <c r="B127" s="19" t="s">
        <v>162</v>
      </c>
      <c r="C127" s="54">
        <f t="shared" ref="C127:N127" si="14">+C124+C102+C111</f>
        <v>51374713.129999995</v>
      </c>
      <c r="D127" s="54">
        <f t="shared" si="14"/>
        <v>50826863.589999996</v>
      </c>
      <c r="E127" s="54">
        <f t="shared" si="14"/>
        <v>49362472.010000005</v>
      </c>
      <c r="F127" s="54">
        <f t="shared" si="14"/>
        <v>39391503.420000002</v>
      </c>
      <c r="G127" s="54">
        <f t="shared" si="14"/>
        <v>39705727.269999996</v>
      </c>
      <c r="H127" s="54">
        <f t="shared" si="14"/>
        <v>39910327.009999998</v>
      </c>
      <c r="I127" s="54">
        <f t="shared" si="14"/>
        <v>40485398.979999997</v>
      </c>
      <c r="J127" s="54">
        <f t="shared" si="14"/>
        <v>34941458.619999997</v>
      </c>
      <c r="K127" s="142">
        <f t="shared" si="14"/>
        <v>34698366.439999998</v>
      </c>
      <c r="L127" s="142">
        <f t="shared" si="14"/>
        <v>33612174.989999995</v>
      </c>
      <c r="M127" s="142">
        <f t="shared" si="14"/>
        <v>33364863.549999997</v>
      </c>
      <c r="N127" s="142">
        <f t="shared" si="14"/>
        <v>30109962.93</v>
      </c>
      <c r="O127" s="55"/>
      <c r="P127" s="112">
        <f>+P124+P102+P111+P116</f>
        <v>30349625.830603059</v>
      </c>
    </row>
    <row r="128" spans="2:22" ht="15" x14ac:dyDescent="0.45">
      <c r="B128" s="20"/>
      <c r="C128" s="65"/>
      <c r="D128" s="65">
        <f>+D127-D72</f>
        <v>9.9999904632568359E-3</v>
      </c>
      <c r="E128" s="65">
        <f>+E127-E72</f>
        <v>9.9999979138374329E-3</v>
      </c>
      <c r="F128" s="65">
        <f>+F127-F72</f>
        <v>9.9999979138374329E-3</v>
      </c>
      <c r="G128" s="65">
        <f>+G127-G72</f>
        <v>9.9999979138374329E-3</v>
      </c>
      <c r="H128" s="65"/>
      <c r="I128" s="65"/>
      <c r="J128" s="65"/>
      <c r="K128" s="65"/>
      <c r="L128" s="65"/>
      <c r="M128" s="65"/>
      <c r="N128" s="65"/>
      <c r="O128" s="37"/>
      <c r="P128" s="33"/>
    </row>
    <row r="129" spans="2:15" ht="15" x14ac:dyDescent="0.45">
      <c r="B129" s="22"/>
      <c r="C129" s="33"/>
      <c r="D129" s="33"/>
      <c r="E129" s="33"/>
      <c r="F129" s="33"/>
      <c r="G129" s="33"/>
      <c r="H129" s="65"/>
      <c r="I129" s="65"/>
      <c r="J129" s="65"/>
      <c r="K129" s="64"/>
      <c r="L129" s="65"/>
      <c r="M129" s="65"/>
      <c r="N129" s="65"/>
      <c r="O129" s="37"/>
    </row>
    <row r="130" spans="2:15" x14ac:dyDescent="0.45">
      <c r="C130" s="41"/>
      <c r="D130" s="41"/>
    </row>
    <row r="131" spans="2:15" x14ac:dyDescent="0.45">
      <c r="N131" s="144"/>
    </row>
  </sheetData>
  <conditionalFormatting sqref="P128">
    <cfRule type="cellIs" dxfId="2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I27:N27 H26:H27 H100:H103 H95:H96 H30:H31 I31:N31 H121:I121 I95:N95 B111 H110:N110 I46:N46 H70:N72 I100:N101 H123:N123 H125:N126 I96:M96 J9:N10 H112:I112 L112:N112 K121:N121 I45:K45 M45:N45 H45:H46 C125:F126 C30:F30 E57:F57 C110:F110 E90:F90 C26:F26 C45:F45 C113:F113 H117:N117 C117:F117 I103:N104 I102:M102 C64:F64 H75:N76 C75:F76 D74:E74 D78:E78 C95:F95 C100:F101 H119:N119 C119:F119 D118:E118 C121:F121 C123:F123 E72:E73 D127 F127 C103:F104 C112 E112:F112 E46 F27 C70:F71 H57:J57 N57 H64:N64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DE5-5FE0-41D8-9993-08C295801AF9}">
  <sheetPr codeName="Sheet3"/>
  <dimension ref="A4:Y161"/>
  <sheetViews>
    <sheetView showGridLines="0" zoomScale="80" zoomScaleNormal="8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99" sqref="D99:S102"/>
    </sheetView>
  </sheetViews>
  <sheetFormatPr defaultRowHeight="14.25" outlineLevelRow="1" outlineLevelCol="1" x14ac:dyDescent="0.45"/>
  <cols>
    <col min="1" max="1" width="3.46484375" style="1" customWidth="1"/>
    <col min="2" max="2" width="42.46484375" bestFit="1" customWidth="1"/>
    <col min="3" max="3" width="18.53125" customWidth="1"/>
    <col min="4" max="4" width="17" customWidth="1"/>
    <col min="5" max="5" width="18.265625" customWidth="1" outlineLevel="1"/>
    <col min="6" max="6" width="17" customWidth="1" outlineLevel="1"/>
    <col min="7" max="7" width="15.53125" customWidth="1" outlineLevel="1"/>
    <col min="8" max="8" width="17" customWidth="1"/>
    <col min="9" max="11" width="15.53125" customWidth="1" outlineLevel="1"/>
    <col min="12" max="12" width="17" hidden="1" customWidth="1"/>
    <col min="13" max="15" width="15.53125" customWidth="1" outlineLevel="1"/>
    <col min="16" max="16" width="17" hidden="1" customWidth="1"/>
    <col min="17" max="19" width="15.53125" customWidth="1" outlineLevel="1"/>
    <col min="20" max="20" width="4" customWidth="1" outlineLevel="1"/>
    <col min="21" max="21" width="11.53125" bestFit="1" customWidth="1"/>
    <col min="22" max="22" width="12.53125" bestFit="1" customWidth="1"/>
    <col min="23" max="23" width="11.53125" bestFit="1" customWidth="1"/>
    <col min="24" max="24" width="10.53125" bestFit="1" customWidth="1"/>
    <col min="25" max="25" width="11.53125" bestFit="1" customWidth="1"/>
  </cols>
  <sheetData>
    <row r="4" spans="1:22" x14ac:dyDescent="0.4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P4" s="2"/>
      <c r="Q4" s="2"/>
    </row>
    <row r="5" spans="1:22" s="6" customFormat="1" ht="15.4" x14ac:dyDescent="0.4">
      <c r="A5" s="3"/>
      <c r="B5" s="4"/>
      <c r="C5" s="5"/>
      <c r="D5" s="40"/>
      <c r="E5" s="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92"/>
    </row>
    <row r="6" spans="1:22" s="6" customFormat="1" ht="15.75" thickBot="1" x14ac:dyDescent="0.45">
      <c r="A6" s="3"/>
      <c r="B6" s="23"/>
      <c r="C6" s="5"/>
      <c r="D6" s="40"/>
      <c r="E6" s="5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92"/>
    </row>
    <row r="7" spans="1:22" ht="14.65" thickBot="1" x14ac:dyDescent="0.5">
      <c r="B7" s="45" t="s">
        <v>163</v>
      </c>
      <c r="C7" s="46" t="s">
        <v>1</v>
      </c>
      <c r="D7" s="47" t="s">
        <v>2</v>
      </c>
      <c r="E7" s="47" t="s">
        <v>3</v>
      </c>
      <c r="F7" s="47" t="s">
        <v>3</v>
      </c>
      <c r="G7" s="47" t="s">
        <v>3</v>
      </c>
      <c r="H7" s="47" t="s">
        <v>4</v>
      </c>
      <c r="I7" s="47" t="s">
        <v>3</v>
      </c>
      <c r="J7" s="47" t="s">
        <v>3</v>
      </c>
      <c r="K7" s="47" t="s">
        <v>3</v>
      </c>
      <c r="L7" s="47" t="s">
        <v>5</v>
      </c>
      <c r="M7" s="47" t="s">
        <v>3</v>
      </c>
      <c r="N7" s="47" t="s">
        <v>3</v>
      </c>
      <c r="O7" s="47" t="s">
        <v>3</v>
      </c>
      <c r="P7" s="47" t="s">
        <v>6</v>
      </c>
      <c r="Q7" s="47" t="s">
        <v>3</v>
      </c>
      <c r="R7" s="47" t="s">
        <v>3</v>
      </c>
      <c r="S7" s="47" t="s">
        <v>3</v>
      </c>
      <c r="T7" s="91"/>
    </row>
    <row r="8" spans="1:22" x14ac:dyDescent="0.45">
      <c r="B8" s="7" t="s">
        <v>7</v>
      </c>
      <c r="C8" s="8">
        <v>45657</v>
      </c>
      <c r="D8" s="38" t="s">
        <v>8</v>
      </c>
      <c r="E8" s="8">
        <v>45657</v>
      </c>
      <c r="F8" s="8">
        <v>45626</v>
      </c>
      <c r="G8" s="8">
        <v>45596</v>
      </c>
      <c r="H8" s="38" t="s">
        <v>8</v>
      </c>
      <c r="I8" s="8">
        <v>45565</v>
      </c>
      <c r="J8" s="8">
        <v>45535</v>
      </c>
      <c r="K8" s="8">
        <v>45504</v>
      </c>
      <c r="L8" s="38" t="s">
        <v>8</v>
      </c>
      <c r="M8" s="8">
        <v>45473</v>
      </c>
      <c r="N8" s="8">
        <v>45443</v>
      </c>
      <c r="O8" s="8">
        <v>45412</v>
      </c>
      <c r="P8" s="38" t="s">
        <v>8</v>
      </c>
      <c r="Q8" s="8">
        <v>45382</v>
      </c>
      <c r="R8" s="8">
        <v>45350</v>
      </c>
      <c r="S8" s="8">
        <v>45322</v>
      </c>
      <c r="T8" s="8"/>
    </row>
    <row r="9" spans="1:22" ht="15.4" x14ac:dyDescent="0.45">
      <c r="B9" s="9"/>
      <c r="C9" s="10"/>
      <c r="D9" s="10"/>
      <c r="E9" s="10"/>
      <c r="F9" s="40"/>
      <c r="G9" s="4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2" x14ac:dyDescent="0.45">
      <c r="B10" s="11" t="s">
        <v>9</v>
      </c>
      <c r="C10" s="51">
        <f>SUM(D10:S10)-P10-L10-H10-D10</f>
        <v>0</v>
      </c>
      <c r="D10" s="51">
        <f>SUM(E10:G10)</f>
        <v>0</v>
      </c>
      <c r="E10" s="51"/>
      <c r="F10" s="51"/>
      <c r="G10" s="51"/>
      <c r="H10" s="51">
        <f>SUM(I10:K10)</f>
        <v>0</v>
      </c>
      <c r="I10" s="51">
        <v>0</v>
      </c>
      <c r="J10" s="51">
        <v>0</v>
      </c>
      <c r="K10" s="51">
        <v>0</v>
      </c>
      <c r="L10" s="51">
        <f>SUM(M10:O10)</f>
        <v>0</v>
      </c>
      <c r="M10" s="51"/>
      <c r="N10" s="51">
        <v>0</v>
      </c>
      <c r="O10" s="51">
        <v>0</v>
      </c>
      <c r="P10" s="51">
        <f>SUM(Q10:S10)</f>
        <v>0</v>
      </c>
      <c r="Q10" s="51"/>
      <c r="R10" s="51"/>
      <c r="S10" s="51"/>
      <c r="T10" s="51"/>
    </row>
    <row r="11" spans="1:22" x14ac:dyDescent="0.45">
      <c r="B11" s="11" t="s">
        <v>10</v>
      </c>
      <c r="C11" s="51">
        <f>SUM(D11:S11)-P11-L11-H11-D11</f>
        <v>0</v>
      </c>
      <c r="D11" s="51">
        <f>SUM(E11:G11)</f>
        <v>0</v>
      </c>
      <c r="E11" s="51"/>
      <c r="F11" s="51"/>
      <c r="G11" s="51"/>
      <c r="H11" s="51">
        <f>SUM(I11:K11)</f>
        <v>0</v>
      </c>
      <c r="I11" s="51">
        <v>0</v>
      </c>
      <c r="J11" s="51">
        <v>0</v>
      </c>
      <c r="K11" s="51">
        <v>0</v>
      </c>
      <c r="L11" s="51">
        <f>SUM(M11:O11)</f>
        <v>0</v>
      </c>
      <c r="M11" s="51"/>
      <c r="N11" s="51">
        <v>0</v>
      </c>
      <c r="O11" s="51">
        <v>0</v>
      </c>
      <c r="P11" s="51">
        <f>SUM(Q11:S11)</f>
        <v>0</v>
      </c>
      <c r="Q11" s="51"/>
      <c r="R11" s="51"/>
      <c r="S11" s="51"/>
      <c r="T11" s="51"/>
    </row>
    <row r="12" spans="1:22" outlineLevel="1" x14ac:dyDescent="0.45">
      <c r="B12" s="11" t="s">
        <v>11</v>
      </c>
      <c r="C12" s="51">
        <f>SUM(D12:S12)-P12-L12-H12-D12</f>
        <v>0</v>
      </c>
      <c r="D12" s="51">
        <f>SUM(E12:G12)</f>
        <v>0</v>
      </c>
      <c r="E12" s="51"/>
      <c r="F12" s="51"/>
      <c r="G12" s="51"/>
      <c r="H12" s="51">
        <f>SUM(I12:K12)</f>
        <v>0</v>
      </c>
      <c r="I12" s="51">
        <v>0</v>
      </c>
      <c r="J12" s="51">
        <v>0</v>
      </c>
      <c r="K12" s="51">
        <v>0</v>
      </c>
      <c r="L12" s="51">
        <f>SUM(M12:O12)</f>
        <v>0</v>
      </c>
      <c r="M12" s="62"/>
      <c r="N12" s="62">
        <v>0</v>
      </c>
      <c r="O12" s="62">
        <v>0</v>
      </c>
      <c r="P12" s="51">
        <f>SUM(Q12:S12)</f>
        <v>0</v>
      </c>
      <c r="Q12" s="62"/>
      <c r="R12" s="51">
        <v>0</v>
      </c>
      <c r="S12" s="51">
        <v>0</v>
      </c>
      <c r="T12" s="62"/>
    </row>
    <row r="13" spans="1:22" x14ac:dyDescent="0.45">
      <c r="B13" s="102" t="s">
        <v>12</v>
      </c>
      <c r="C13" s="103">
        <f t="shared" ref="C13:S13" si="0">+C10-C11</f>
        <v>0</v>
      </c>
      <c r="D13" s="103">
        <f t="shared" si="0"/>
        <v>0</v>
      </c>
      <c r="E13" s="103">
        <f t="shared" si="0"/>
        <v>0</v>
      </c>
      <c r="F13" s="103">
        <f t="shared" si="0"/>
        <v>0</v>
      </c>
      <c r="G13" s="103">
        <f t="shared" si="0"/>
        <v>0</v>
      </c>
      <c r="H13" s="103">
        <f t="shared" si="0"/>
        <v>0</v>
      </c>
      <c r="I13" s="103">
        <f t="shared" si="0"/>
        <v>0</v>
      </c>
      <c r="J13" s="103">
        <f t="shared" si="0"/>
        <v>0</v>
      </c>
      <c r="K13" s="103">
        <f t="shared" si="0"/>
        <v>0</v>
      </c>
      <c r="L13" s="103">
        <f t="shared" si="0"/>
        <v>0</v>
      </c>
      <c r="M13" s="103">
        <f t="shared" si="0"/>
        <v>0</v>
      </c>
      <c r="N13" s="103">
        <f t="shared" si="0"/>
        <v>0</v>
      </c>
      <c r="O13" s="103">
        <f t="shared" si="0"/>
        <v>0</v>
      </c>
      <c r="P13" s="103">
        <f t="shared" si="0"/>
        <v>0</v>
      </c>
      <c r="Q13" s="103">
        <f t="shared" si="0"/>
        <v>0</v>
      </c>
      <c r="R13" s="103">
        <f t="shared" si="0"/>
        <v>0</v>
      </c>
      <c r="S13" s="103">
        <f t="shared" si="0"/>
        <v>0</v>
      </c>
      <c r="T13" s="51"/>
      <c r="U13" s="18"/>
    </row>
    <row r="14" spans="1:22" x14ac:dyDescent="0.45">
      <c r="B14" s="15" t="s">
        <v>13</v>
      </c>
      <c r="C14" s="63">
        <f>+D14+H14+L14+P14</f>
        <v>0</v>
      </c>
      <c r="D14" s="63">
        <f>SUM(E14:G14)</f>
        <v>0</v>
      </c>
      <c r="E14" s="63"/>
      <c r="F14" s="63"/>
      <c r="G14" s="63"/>
      <c r="H14" s="63">
        <f>SUM(I14:K14)</f>
        <v>0</v>
      </c>
      <c r="I14" s="51">
        <v>0</v>
      </c>
      <c r="J14" s="51">
        <v>0</v>
      </c>
      <c r="K14" s="51">
        <v>0</v>
      </c>
      <c r="L14" s="63">
        <f>SUM(M14:O14)</f>
        <v>0</v>
      </c>
      <c r="M14" s="63"/>
      <c r="N14" s="51">
        <v>0</v>
      </c>
      <c r="O14" s="51">
        <v>0</v>
      </c>
      <c r="P14" s="63">
        <f>SUM(Q14:S14)</f>
        <v>0</v>
      </c>
      <c r="Q14" s="63"/>
      <c r="R14" s="63">
        <v>0</v>
      </c>
      <c r="S14" s="63">
        <v>0</v>
      </c>
      <c r="T14" s="51"/>
      <c r="U14" s="18"/>
    </row>
    <row r="15" spans="1:22" s="95" customFormat="1" x14ac:dyDescent="0.45">
      <c r="A15" s="94"/>
      <c r="B15" s="19" t="s">
        <v>14</v>
      </c>
      <c r="C15" s="54">
        <f>+D15+H15+L15+P15</f>
        <v>0</v>
      </c>
      <c r="D15" s="54">
        <f>SUM(E15:G15)</f>
        <v>0</v>
      </c>
      <c r="E15" s="54">
        <f>+E14+E13</f>
        <v>0</v>
      </c>
      <c r="F15" s="54">
        <f>+F14+F13</f>
        <v>0</v>
      </c>
      <c r="G15" s="54">
        <f>+G14+G13</f>
        <v>0</v>
      </c>
      <c r="H15" s="54">
        <f>SUM(I15:K15)</f>
        <v>0</v>
      </c>
      <c r="I15" s="54">
        <f>+I14+I13</f>
        <v>0</v>
      </c>
      <c r="J15" s="54">
        <f>+J14+J13</f>
        <v>0</v>
      </c>
      <c r="K15" s="54">
        <f>+K14+K13</f>
        <v>0</v>
      </c>
      <c r="L15" s="54">
        <f>SUM(M15:O15)</f>
        <v>0</v>
      </c>
      <c r="M15" s="54">
        <f>+M14+M13</f>
        <v>0</v>
      </c>
      <c r="N15" s="54">
        <f>+N14+N13</f>
        <v>0</v>
      </c>
      <c r="O15" s="54">
        <f>+O14+O13</f>
        <v>0</v>
      </c>
      <c r="P15" s="54">
        <f>SUM(Q15:S15)</f>
        <v>0</v>
      </c>
      <c r="Q15" s="54">
        <f>+Q14+Q13</f>
        <v>0</v>
      </c>
      <c r="R15" s="54">
        <f>+R14+R13</f>
        <v>0</v>
      </c>
      <c r="S15" s="54">
        <f>+S14+S13</f>
        <v>0</v>
      </c>
      <c r="T15" s="55"/>
      <c r="U15" s="42"/>
    </row>
    <row r="16" spans="1:22" x14ac:dyDescent="0.45">
      <c r="B16" s="34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V16" s="35"/>
    </row>
    <row r="17" spans="1:24" s="95" customFormat="1" x14ac:dyDescent="0.45">
      <c r="A17" s="94"/>
      <c r="B17" s="93" t="s">
        <v>15</v>
      </c>
      <c r="C17" s="98">
        <f>SUM(C18:C31)</f>
        <v>317021.5400000001</v>
      </c>
      <c r="D17" s="98">
        <f>SUM(D18:D31)</f>
        <v>115113.19</v>
      </c>
      <c r="E17" s="98">
        <f t="shared" ref="E17:S17" si="1">SUM(E18:E31)</f>
        <v>33034.480000000003</v>
      </c>
      <c r="F17" s="98">
        <f t="shared" si="1"/>
        <v>44311.490000000005</v>
      </c>
      <c r="G17" s="98">
        <f t="shared" si="1"/>
        <v>37767.22</v>
      </c>
      <c r="H17" s="98">
        <f t="shared" si="1"/>
        <v>77767.639999999985</v>
      </c>
      <c r="I17" s="98">
        <f t="shared" si="1"/>
        <v>34142.11</v>
      </c>
      <c r="J17" s="98">
        <f t="shared" si="1"/>
        <v>21961.480000000003</v>
      </c>
      <c r="K17" s="98">
        <f t="shared" si="1"/>
        <v>21664.05</v>
      </c>
      <c r="L17" s="98">
        <f t="shared" si="1"/>
        <v>66326.42</v>
      </c>
      <c r="M17" s="98">
        <f t="shared" si="1"/>
        <v>20604.050000000003</v>
      </c>
      <c r="N17" s="98">
        <f t="shared" si="1"/>
        <v>13992.01</v>
      </c>
      <c r="O17" s="98">
        <f t="shared" si="1"/>
        <v>31730.36</v>
      </c>
      <c r="P17" s="98">
        <f t="shared" si="1"/>
        <v>57814.29</v>
      </c>
      <c r="Q17" s="98">
        <f t="shared" si="1"/>
        <v>14838.27</v>
      </c>
      <c r="R17" s="98">
        <f t="shared" si="1"/>
        <v>25518.79</v>
      </c>
      <c r="S17" s="98">
        <f t="shared" si="1"/>
        <v>17457.230000000003</v>
      </c>
      <c r="T17" s="55"/>
      <c r="V17" s="99"/>
      <c r="W17" s="100"/>
      <c r="X17" s="97"/>
    </row>
    <row r="18" spans="1:24" outlineLevel="1" x14ac:dyDescent="0.45">
      <c r="B18" s="16" t="s">
        <v>16</v>
      </c>
      <c r="C18" s="51">
        <f>SUM(D18:S18)-P18-L18-H18-D18</f>
        <v>0</v>
      </c>
      <c r="D18" s="51">
        <f>SUM(E18:G18)</f>
        <v>0</v>
      </c>
      <c r="E18" s="51">
        <v>0</v>
      </c>
      <c r="F18" s="51">
        <v>0</v>
      </c>
      <c r="G18" s="51"/>
      <c r="H18" s="51">
        <f>SUM(I18:K18)</f>
        <v>0</v>
      </c>
      <c r="I18" s="51">
        <v>0</v>
      </c>
      <c r="J18" s="51">
        <v>0</v>
      </c>
      <c r="K18" s="51">
        <v>0</v>
      </c>
      <c r="L18" s="51">
        <f>SUM(M18:O18)</f>
        <v>0</v>
      </c>
      <c r="M18" s="62"/>
      <c r="N18" s="62">
        <v>0</v>
      </c>
      <c r="O18" s="62">
        <v>0</v>
      </c>
      <c r="P18" s="51">
        <f>SUM(Q18:S18)</f>
        <v>0</v>
      </c>
      <c r="Q18" s="62"/>
      <c r="R18" s="51">
        <v>0</v>
      </c>
      <c r="S18" s="51">
        <v>0</v>
      </c>
      <c r="T18" s="62"/>
      <c r="V18" s="35"/>
    </row>
    <row r="19" spans="1:24" outlineLevel="1" x14ac:dyDescent="0.45">
      <c r="B19" s="16" t="s">
        <v>17</v>
      </c>
      <c r="C19" s="51">
        <f t="shared" ref="C19:C69" si="2">SUM(D19:S19)-P19-L19-H19-D19</f>
        <v>17230.240000000002</v>
      </c>
      <c r="D19" s="51">
        <f>SUM(E19:G19)</f>
        <v>4537.66</v>
      </c>
      <c r="E19" s="51">
        <v>2027.25</v>
      </c>
      <c r="F19" s="51">
        <v>434.05</v>
      </c>
      <c r="G19" s="51">
        <v>2076.36</v>
      </c>
      <c r="H19" s="51">
        <f t="shared" ref="H19:H53" si="3">SUM(I19:K19)</f>
        <v>4386.01</v>
      </c>
      <c r="I19" s="51">
        <v>647.84</v>
      </c>
      <c r="J19" s="51">
        <v>1416.04</v>
      </c>
      <c r="K19" s="51">
        <v>2322.13</v>
      </c>
      <c r="L19" s="51">
        <f t="shared" ref="L19:L69" si="4">SUM(M19:O19)</f>
        <v>5055.6000000000004</v>
      </c>
      <c r="M19" s="62">
        <v>874.61</v>
      </c>
      <c r="N19" s="62">
        <v>2342.25</v>
      </c>
      <c r="O19" s="62">
        <v>1838.74</v>
      </c>
      <c r="P19" s="51">
        <f t="shared" ref="P19:P53" si="5">SUM(Q19:S19)</f>
        <v>3250.9700000000003</v>
      </c>
      <c r="Q19" s="62">
        <v>770.09</v>
      </c>
      <c r="R19" s="51">
        <v>1035.8900000000001</v>
      </c>
      <c r="S19" s="51">
        <v>1444.99</v>
      </c>
      <c r="T19" s="62"/>
      <c r="V19" s="35"/>
    </row>
    <row r="20" spans="1:24" outlineLevel="1" x14ac:dyDescent="0.45">
      <c r="B20" s="16" t="s">
        <v>18</v>
      </c>
      <c r="C20" s="51">
        <f t="shared" si="2"/>
        <v>28437.690000000006</v>
      </c>
      <c r="D20" s="51">
        <f t="shared" ref="D20:D51" si="6">SUM(E20:G20)</f>
        <v>0</v>
      </c>
      <c r="E20" s="51">
        <v>0</v>
      </c>
      <c r="F20" s="51">
        <v>0</v>
      </c>
      <c r="G20" s="51"/>
      <c r="H20" s="51">
        <f t="shared" si="3"/>
        <v>3082.46</v>
      </c>
      <c r="I20" s="51">
        <v>0</v>
      </c>
      <c r="J20" s="51">
        <v>3082.46</v>
      </c>
      <c r="K20" s="51">
        <v>0</v>
      </c>
      <c r="L20" s="51">
        <f t="shared" si="4"/>
        <v>15407.8</v>
      </c>
      <c r="M20" s="62"/>
      <c r="N20" s="62">
        <v>0</v>
      </c>
      <c r="O20" s="62">
        <v>15407.8</v>
      </c>
      <c r="P20" s="51">
        <f t="shared" si="5"/>
        <v>9947.43</v>
      </c>
      <c r="Q20" s="62">
        <v>2311.17</v>
      </c>
      <c r="R20" s="51">
        <v>3758</v>
      </c>
      <c r="S20" s="51">
        <v>3878.26</v>
      </c>
      <c r="T20" s="62"/>
      <c r="V20" s="35"/>
    </row>
    <row r="21" spans="1:24" outlineLevel="1" x14ac:dyDescent="0.45">
      <c r="B21" s="16" t="s">
        <v>19</v>
      </c>
      <c r="C21" s="51">
        <f t="shared" si="2"/>
        <v>0</v>
      </c>
      <c r="D21" s="51">
        <f t="shared" si="6"/>
        <v>0</v>
      </c>
      <c r="E21" s="51">
        <v>0</v>
      </c>
      <c r="F21" s="51"/>
      <c r="G21" s="51"/>
      <c r="H21" s="51">
        <f t="shared" si="3"/>
        <v>0</v>
      </c>
      <c r="I21" s="51">
        <v>0</v>
      </c>
      <c r="J21" s="51">
        <v>0</v>
      </c>
      <c r="K21" s="51">
        <v>0</v>
      </c>
      <c r="L21" s="51">
        <f t="shared" si="4"/>
        <v>0</v>
      </c>
      <c r="M21" s="51">
        <v>0</v>
      </c>
      <c r="N21" s="62">
        <v>0</v>
      </c>
      <c r="O21" s="62">
        <v>0</v>
      </c>
      <c r="P21" s="51">
        <f t="shared" si="5"/>
        <v>0</v>
      </c>
      <c r="Q21" s="62"/>
      <c r="R21" s="51">
        <v>0</v>
      </c>
      <c r="S21" s="51">
        <v>0</v>
      </c>
      <c r="T21" s="62"/>
    </row>
    <row r="22" spans="1:24" outlineLevel="1" x14ac:dyDescent="0.45">
      <c r="B22" s="16" t="s">
        <v>164</v>
      </c>
      <c r="C22" s="51">
        <f t="shared" ref="C22" si="7">SUM(D22:S22)-P22-L22-H22-D22</f>
        <v>2963.41</v>
      </c>
      <c r="D22" s="51">
        <f t="shared" ref="D22" si="8">SUM(E22:G22)</f>
        <v>0</v>
      </c>
      <c r="E22" s="51">
        <v>0</v>
      </c>
      <c r="F22" s="51"/>
      <c r="G22" s="51"/>
      <c r="H22" s="51">
        <f t="shared" ref="H22" si="9">SUM(I22:K22)</f>
        <v>0</v>
      </c>
      <c r="I22" s="51">
        <v>0</v>
      </c>
      <c r="J22" s="51">
        <v>0</v>
      </c>
      <c r="K22" s="51">
        <v>0</v>
      </c>
      <c r="L22" s="51">
        <f t="shared" ref="L22" si="10">SUM(M22:O22)</f>
        <v>0</v>
      </c>
      <c r="M22" s="51">
        <v>0</v>
      </c>
      <c r="N22" s="62">
        <v>0</v>
      </c>
      <c r="O22" s="62">
        <v>0</v>
      </c>
      <c r="P22" s="51">
        <f t="shared" ref="P22" si="11">SUM(Q22:S22)</f>
        <v>2963.41</v>
      </c>
      <c r="Q22" s="62"/>
      <c r="R22" s="51">
        <v>2963.41</v>
      </c>
      <c r="S22" s="51">
        <v>0</v>
      </c>
      <c r="T22" s="62"/>
    </row>
    <row r="23" spans="1:24" outlineLevel="1" x14ac:dyDescent="0.45">
      <c r="B23" s="16" t="s">
        <v>21</v>
      </c>
      <c r="C23" s="51">
        <f t="shared" ref="C23" si="12">SUM(D23:S23)-P23-L23-H23-D23</f>
        <v>8231.2499999999982</v>
      </c>
      <c r="D23" s="51">
        <f t="shared" ref="D23" si="13">SUM(E23:G23)</f>
        <v>0</v>
      </c>
      <c r="E23" s="51">
        <v>0</v>
      </c>
      <c r="F23" s="51"/>
      <c r="G23" s="51"/>
      <c r="H23" s="51">
        <f t="shared" ref="H23" si="14">SUM(I23:K23)</f>
        <v>0</v>
      </c>
      <c r="I23" s="51">
        <v>0</v>
      </c>
      <c r="J23" s="51">
        <v>0</v>
      </c>
      <c r="K23" s="51">
        <v>0</v>
      </c>
      <c r="L23" s="51">
        <f t="shared" ref="L23" si="15">SUM(M23:O23)</f>
        <v>581.28</v>
      </c>
      <c r="M23" s="62">
        <v>308.16000000000003</v>
      </c>
      <c r="N23" s="62">
        <v>0</v>
      </c>
      <c r="O23" s="62">
        <v>273.12</v>
      </c>
      <c r="P23" s="51">
        <f t="shared" ref="P23" si="16">SUM(Q23:S23)</f>
        <v>7649.97</v>
      </c>
      <c r="Q23" s="62">
        <v>814.47</v>
      </c>
      <c r="R23" s="51">
        <v>6835.5</v>
      </c>
      <c r="S23" s="51">
        <v>0</v>
      </c>
      <c r="T23" s="62"/>
    </row>
    <row r="24" spans="1:24" outlineLevel="1" x14ac:dyDescent="0.45">
      <c r="B24" s="16" t="s">
        <v>22</v>
      </c>
      <c r="C24" s="51">
        <f t="shared" si="2"/>
        <v>0</v>
      </c>
      <c r="D24" s="51">
        <f t="shared" si="6"/>
        <v>0</v>
      </c>
      <c r="E24" s="51">
        <v>0</v>
      </c>
      <c r="F24" s="51"/>
      <c r="G24" s="51"/>
      <c r="H24" s="51">
        <f t="shared" si="3"/>
        <v>0</v>
      </c>
      <c r="I24" s="51">
        <v>0</v>
      </c>
      <c r="J24" s="51">
        <v>0</v>
      </c>
      <c r="K24" s="51">
        <v>0</v>
      </c>
      <c r="L24" s="51">
        <f t="shared" si="4"/>
        <v>0</v>
      </c>
      <c r="M24" s="62"/>
      <c r="N24" s="62">
        <v>0</v>
      </c>
      <c r="O24" s="62">
        <v>0</v>
      </c>
      <c r="P24" s="51">
        <f t="shared" si="5"/>
        <v>0</v>
      </c>
      <c r="Q24" s="62"/>
      <c r="R24" s="51">
        <v>0</v>
      </c>
      <c r="S24" s="51">
        <v>0</v>
      </c>
      <c r="T24" s="62"/>
    </row>
    <row r="25" spans="1:24" outlineLevel="1" x14ac:dyDescent="0.45">
      <c r="B25" s="16" t="s">
        <v>23</v>
      </c>
      <c r="C25" s="51">
        <f t="shared" si="2"/>
        <v>0</v>
      </c>
      <c r="D25" s="51">
        <f t="shared" si="6"/>
        <v>0</v>
      </c>
      <c r="E25" s="51">
        <v>0</v>
      </c>
      <c r="F25" s="51"/>
      <c r="G25" s="51"/>
      <c r="H25" s="51">
        <f t="shared" si="3"/>
        <v>0</v>
      </c>
      <c r="I25" s="51">
        <v>0</v>
      </c>
      <c r="J25" s="51">
        <v>0</v>
      </c>
      <c r="K25" s="51">
        <v>0</v>
      </c>
      <c r="L25" s="51">
        <f t="shared" si="4"/>
        <v>0</v>
      </c>
      <c r="M25" s="62"/>
      <c r="N25" s="62">
        <v>0</v>
      </c>
      <c r="O25" s="62">
        <v>0</v>
      </c>
      <c r="P25" s="51">
        <f t="shared" si="5"/>
        <v>0</v>
      </c>
      <c r="Q25" s="62"/>
      <c r="R25" s="51">
        <v>0</v>
      </c>
      <c r="S25" s="51">
        <v>0</v>
      </c>
      <c r="T25" s="62"/>
    </row>
    <row r="26" spans="1:24" outlineLevel="1" x14ac:dyDescent="0.45">
      <c r="B26" s="16" t="s">
        <v>24</v>
      </c>
      <c r="C26" s="51">
        <f t="shared" si="2"/>
        <v>7229.1199999999972</v>
      </c>
      <c r="D26" s="51">
        <f t="shared" si="6"/>
        <v>0</v>
      </c>
      <c r="E26" s="51">
        <v>0</v>
      </c>
      <c r="F26" s="51"/>
      <c r="G26" s="51"/>
      <c r="H26" s="51">
        <f t="shared" si="3"/>
        <v>3196.93</v>
      </c>
      <c r="I26" s="51">
        <v>202.7</v>
      </c>
      <c r="J26" s="51">
        <v>245.74</v>
      </c>
      <c r="K26" s="51">
        <v>2748.49</v>
      </c>
      <c r="L26" s="51">
        <f t="shared" si="4"/>
        <v>0</v>
      </c>
      <c r="M26" s="62"/>
      <c r="N26" s="62">
        <v>0</v>
      </c>
      <c r="O26" s="62">
        <v>0</v>
      </c>
      <c r="P26" s="51">
        <f t="shared" si="5"/>
        <v>4032.19</v>
      </c>
      <c r="Q26" s="62"/>
      <c r="R26" s="51">
        <v>198.65</v>
      </c>
      <c r="S26" s="51">
        <v>3833.54</v>
      </c>
      <c r="T26" s="62"/>
    </row>
    <row r="27" spans="1:24" outlineLevel="1" x14ac:dyDescent="0.45">
      <c r="B27" s="16" t="s">
        <v>25</v>
      </c>
      <c r="C27" s="51">
        <f t="shared" si="2"/>
        <v>0</v>
      </c>
      <c r="D27" s="51">
        <f t="shared" si="6"/>
        <v>0</v>
      </c>
      <c r="E27" s="51">
        <v>0</v>
      </c>
      <c r="F27" s="51"/>
      <c r="G27" s="51"/>
      <c r="H27" s="51">
        <f t="shared" si="3"/>
        <v>0</v>
      </c>
      <c r="I27" s="51">
        <v>0</v>
      </c>
      <c r="J27" s="51">
        <v>0</v>
      </c>
      <c r="K27" s="51">
        <v>0</v>
      </c>
      <c r="L27" s="51">
        <f t="shared" si="4"/>
        <v>0</v>
      </c>
      <c r="M27" s="62"/>
      <c r="N27" s="62">
        <v>0</v>
      </c>
      <c r="O27" s="62">
        <v>0</v>
      </c>
      <c r="P27" s="51">
        <f t="shared" si="5"/>
        <v>0</v>
      </c>
      <c r="Q27" s="62"/>
      <c r="R27" s="51">
        <v>0</v>
      </c>
      <c r="S27" s="51">
        <v>0</v>
      </c>
      <c r="T27" s="62"/>
    </row>
    <row r="28" spans="1:24" outlineLevel="1" x14ac:dyDescent="0.45">
      <c r="B28" s="16" t="s">
        <v>26</v>
      </c>
      <c r="C28" s="51">
        <f t="shared" si="2"/>
        <v>852.61999999999989</v>
      </c>
      <c r="D28" s="51">
        <f t="shared" si="6"/>
        <v>0</v>
      </c>
      <c r="E28" s="51">
        <v>0</v>
      </c>
      <c r="F28" s="51"/>
      <c r="G28" s="51"/>
      <c r="H28" s="51">
        <f t="shared" si="3"/>
        <v>346.26</v>
      </c>
      <c r="I28" s="51">
        <v>288.54000000000002</v>
      </c>
      <c r="J28" s="51">
        <v>0</v>
      </c>
      <c r="K28" s="51">
        <v>57.72</v>
      </c>
      <c r="L28" s="51">
        <f t="shared" si="4"/>
        <v>412.78</v>
      </c>
      <c r="M28" s="62">
        <v>115.45</v>
      </c>
      <c r="N28" s="62">
        <v>115.48</v>
      </c>
      <c r="O28" s="62">
        <v>181.85</v>
      </c>
      <c r="P28" s="51">
        <f t="shared" si="5"/>
        <v>93.58</v>
      </c>
      <c r="Q28" s="62">
        <v>93.58</v>
      </c>
      <c r="R28" s="51">
        <v>0</v>
      </c>
      <c r="S28" s="51">
        <v>0</v>
      </c>
      <c r="T28" s="62"/>
    </row>
    <row r="29" spans="1:24" outlineLevel="1" x14ac:dyDescent="0.45">
      <c r="B29" s="16" t="s">
        <v>27</v>
      </c>
      <c r="C29" s="51">
        <f t="shared" si="2"/>
        <v>244247.2300000001</v>
      </c>
      <c r="D29" s="51">
        <f t="shared" si="6"/>
        <v>108883.98</v>
      </c>
      <c r="E29" s="51">
        <v>29315.68</v>
      </c>
      <c r="F29" s="51">
        <v>43877.440000000002</v>
      </c>
      <c r="G29" s="51">
        <v>35690.86</v>
      </c>
      <c r="H29" s="51">
        <f t="shared" si="3"/>
        <v>60617.549999999996</v>
      </c>
      <c r="I29" s="51">
        <v>26864.6</v>
      </c>
      <c r="J29" s="51">
        <v>17217.240000000002</v>
      </c>
      <c r="K29" s="51">
        <v>16535.71</v>
      </c>
      <c r="L29" s="51">
        <f t="shared" si="4"/>
        <v>44868.959999999999</v>
      </c>
      <c r="M29" s="62">
        <v>19305.830000000002</v>
      </c>
      <c r="N29" s="62">
        <v>11534.28</v>
      </c>
      <c r="O29" s="62">
        <v>14028.85</v>
      </c>
      <c r="P29" s="51">
        <f t="shared" si="5"/>
        <v>29876.739999999998</v>
      </c>
      <c r="Q29" s="62">
        <v>10848.96</v>
      </c>
      <c r="R29" s="51">
        <v>10727.34</v>
      </c>
      <c r="S29" s="51">
        <v>8300.44</v>
      </c>
      <c r="T29" s="62"/>
    </row>
    <row r="30" spans="1:24" outlineLevel="1" x14ac:dyDescent="0.45">
      <c r="B30" s="16" t="s">
        <v>28</v>
      </c>
      <c r="C30" s="51">
        <f t="shared" si="2"/>
        <v>0</v>
      </c>
      <c r="D30" s="51"/>
      <c r="E30" s="51">
        <v>0</v>
      </c>
      <c r="F30" s="51"/>
      <c r="G30" s="51"/>
      <c r="H30" s="51"/>
      <c r="I30" s="51">
        <v>0</v>
      </c>
      <c r="J30" s="51">
        <v>0</v>
      </c>
      <c r="K30" s="51">
        <v>0</v>
      </c>
      <c r="L30" s="51"/>
      <c r="M30" s="62"/>
      <c r="N30" s="62">
        <v>0</v>
      </c>
      <c r="O30" s="62">
        <v>0</v>
      </c>
      <c r="P30" s="51">
        <f t="shared" si="5"/>
        <v>0</v>
      </c>
      <c r="Q30" s="62">
        <v>0</v>
      </c>
      <c r="R30" s="51">
        <v>0</v>
      </c>
      <c r="S30" s="51">
        <v>0</v>
      </c>
      <c r="T30" s="62"/>
    </row>
    <row r="31" spans="1:24" outlineLevel="1" x14ac:dyDescent="0.45">
      <c r="B31" s="16" t="s">
        <v>29</v>
      </c>
      <c r="C31" s="51">
        <f t="shared" ref="C31" si="17">SUM(D31:S31)-P31-L31-H31-D31</f>
        <v>7829.9800000000005</v>
      </c>
      <c r="D31" s="51">
        <f t="shared" ref="D31" si="18">SUM(E31:G31)</f>
        <v>1691.55</v>
      </c>
      <c r="E31" s="51">
        <v>1691.55</v>
      </c>
      <c r="F31" s="51"/>
      <c r="G31" s="51"/>
      <c r="H31" s="51">
        <f t="shared" ref="H31" si="19">SUM(I31:K31)</f>
        <v>6138.43</v>
      </c>
      <c r="I31" s="51">
        <v>6138.43</v>
      </c>
      <c r="J31" s="51">
        <v>0</v>
      </c>
      <c r="K31" s="51">
        <v>0</v>
      </c>
      <c r="L31" s="51">
        <f t="shared" ref="L31" si="20">SUM(M31:O31)</f>
        <v>0</v>
      </c>
      <c r="M31" s="62">
        <v>0</v>
      </c>
      <c r="N31" s="62">
        <v>0</v>
      </c>
      <c r="O31" s="62">
        <v>0</v>
      </c>
      <c r="P31" s="51">
        <f t="shared" ref="P31" si="21">SUM(Q31:S31)</f>
        <v>0</v>
      </c>
      <c r="Q31" s="62">
        <v>0</v>
      </c>
      <c r="R31" s="51">
        <v>0</v>
      </c>
      <c r="S31" s="51">
        <v>0</v>
      </c>
      <c r="T31" s="62"/>
    </row>
    <row r="32" spans="1:24" outlineLevel="1" x14ac:dyDescent="0.45">
      <c r="B32" s="16" t="s">
        <v>68</v>
      </c>
      <c r="C32" s="51">
        <f>SUM(D32:S32)-P32-L32-H32-D32</f>
        <v>0</v>
      </c>
      <c r="D32" s="51">
        <f>SUM(E32:G32)</f>
        <v>0</v>
      </c>
      <c r="E32" s="51"/>
      <c r="F32" s="51"/>
      <c r="G32" s="51"/>
      <c r="H32" s="51"/>
      <c r="I32" s="51"/>
      <c r="J32" s="51"/>
      <c r="K32" s="51"/>
      <c r="L32" s="51"/>
      <c r="M32" s="62"/>
      <c r="N32" s="62"/>
      <c r="O32" s="62"/>
      <c r="P32" s="51"/>
      <c r="Q32" s="62"/>
      <c r="R32" s="51"/>
      <c r="S32" s="51"/>
      <c r="T32" s="62"/>
    </row>
    <row r="33" spans="1:20" outlineLevel="1" x14ac:dyDescent="0.45">
      <c r="B33" s="16" t="s">
        <v>70</v>
      </c>
      <c r="C33" s="51">
        <f>SUM(D33:S33)-P33-L33-H33-D33</f>
        <v>0</v>
      </c>
      <c r="D33" s="51">
        <f>SUM(E33:G33)</f>
        <v>0</v>
      </c>
      <c r="E33" s="51"/>
      <c r="F33" s="51"/>
      <c r="G33" s="51"/>
      <c r="H33" s="51"/>
      <c r="I33" s="51"/>
      <c r="J33" s="51"/>
      <c r="K33" s="51"/>
      <c r="L33" s="51"/>
      <c r="M33" s="62"/>
      <c r="N33" s="62"/>
      <c r="O33" s="62"/>
      <c r="P33" s="51"/>
      <c r="Q33" s="62"/>
      <c r="R33" s="51"/>
      <c r="S33" s="51"/>
      <c r="T33" s="62"/>
    </row>
    <row r="34" spans="1:20" s="95" customFormat="1" x14ac:dyDescent="0.45">
      <c r="A34" s="94"/>
      <c r="B34" s="93" t="s">
        <v>30</v>
      </c>
      <c r="C34" s="98">
        <f>SUM(C35:C43)</f>
        <v>179659.18</v>
      </c>
      <c r="D34" s="98">
        <f>SUM(E34:G34)</f>
        <v>73090.28</v>
      </c>
      <c r="E34" s="98">
        <f>SUM(E35:E43)</f>
        <v>29936.940000000002</v>
      </c>
      <c r="F34" s="98">
        <f>SUM(F35:F43)</f>
        <v>32160.560000000001</v>
      </c>
      <c r="G34" s="98">
        <f>SUM(G35:G43)</f>
        <v>10992.78</v>
      </c>
      <c r="H34" s="98">
        <f>SUM(I34:K34)</f>
        <v>62020.56</v>
      </c>
      <c r="I34" s="98">
        <f>SUM(I35:I43)</f>
        <v>40990.65</v>
      </c>
      <c r="J34" s="98">
        <f>SUM(J35:J43)</f>
        <v>9457.6</v>
      </c>
      <c r="K34" s="98">
        <f>SUM(K35:K43)</f>
        <v>11572.31</v>
      </c>
      <c r="L34" s="98">
        <f>SUM(M34:O34)</f>
        <v>24919.870000000003</v>
      </c>
      <c r="M34" s="98">
        <f>SUM(M35:M43)</f>
        <v>4320.01</v>
      </c>
      <c r="N34" s="98">
        <f>SUM(N35:N43)</f>
        <v>13096.29</v>
      </c>
      <c r="O34" s="98">
        <f>SUM(O35:O43)</f>
        <v>7503.57</v>
      </c>
      <c r="P34" s="98">
        <f>SUM(Q34:S34)</f>
        <v>19628.47</v>
      </c>
      <c r="Q34" s="98">
        <f>SUM(Q35:Q43)</f>
        <v>11296.27</v>
      </c>
      <c r="R34" s="98">
        <f>SUM(R35:R43)</f>
        <v>3875.59</v>
      </c>
      <c r="S34" s="98">
        <f>SUM(S35:S43)</f>
        <v>4456.6099999999997</v>
      </c>
      <c r="T34" s="101"/>
    </row>
    <row r="35" spans="1:20" outlineLevel="1" x14ac:dyDescent="0.45">
      <c r="B35" s="16" t="s">
        <v>31</v>
      </c>
      <c r="C35" s="51">
        <f t="shared" si="2"/>
        <v>14193.81</v>
      </c>
      <c r="D35" s="51">
        <f>SUM(E35:G35)</f>
        <v>37.58</v>
      </c>
      <c r="E35" s="51">
        <v>37.58</v>
      </c>
      <c r="F35" s="51"/>
      <c r="G35" s="51"/>
      <c r="H35" s="51">
        <f t="shared" si="3"/>
        <v>2342.4299999999998</v>
      </c>
      <c r="I35" s="51">
        <v>0</v>
      </c>
      <c r="J35" s="51">
        <v>0</v>
      </c>
      <c r="K35" s="51">
        <v>2342.4299999999998</v>
      </c>
      <c r="L35" s="51">
        <f t="shared" si="4"/>
        <v>5343.8799999999992</v>
      </c>
      <c r="M35" s="62">
        <v>0</v>
      </c>
      <c r="N35" s="62">
        <v>2912.45</v>
      </c>
      <c r="O35" s="62">
        <v>2431.4299999999998</v>
      </c>
      <c r="P35" s="51">
        <f t="shared" si="5"/>
        <v>6469.92</v>
      </c>
      <c r="Q35" s="62">
        <v>6469.92</v>
      </c>
      <c r="R35" s="51">
        <v>0</v>
      </c>
      <c r="S35" s="51">
        <v>0</v>
      </c>
      <c r="T35" s="62"/>
    </row>
    <row r="36" spans="1:20" outlineLevel="1" x14ac:dyDescent="0.45">
      <c r="B36" s="16" t="s">
        <v>32</v>
      </c>
      <c r="C36" s="51">
        <f t="shared" si="2"/>
        <v>0</v>
      </c>
      <c r="D36" s="51">
        <f t="shared" si="6"/>
        <v>0</v>
      </c>
      <c r="E36" s="51">
        <v>0</v>
      </c>
      <c r="F36" s="62"/>
      <c r="G36" s="62"/>
      <c r="H36" s="51">
        <f t="shared" si="3"/>
        <v>0</v>
      </c>
      <c r="I36" s="51">
        <v>0</v>
      </c>
      <c r="J36" s="51">
        <v>0</v>
      </c>
      <c r="K36" s="51">
        <v>0</v>
      </c>
      <c r="L36" s="51">
        <f t="shared" si="4"/>
        <v>0</v>
      </c>
      <c r="M36" s="62"/>
      <c r="N36" s="62">
        <v>0</v>
      </c>
      <c r="O36" s="62">
        <v>0</v>
      </c>
      <c r="P36" s="51">
        <f t="shared" si="5"/>
        <v>0</v>
      </c>
      <c r="Q36" s="62"/>
      <c r="R36" s="51">
        <v>0</v>
      </c>
      <c r="S36" s="51">
        <v>0</v>
      </c>
      <c r="T36" s="62"/>
    </row>
    <row r="37" spans="1:20" outlineLevel="1" x14ac:dyDescent="0.45">
      <c r="B37" s="16" t="s">
        <v>33</v>
      </c>
      <c r="C37" s="51">
        <f t="shared" si="2"/>
        <v>0</v>
      </c>
      <c r="D37" s="51">
        <f t="shared" si="6"/>
        <v>0</v>
      </c>
      <c r="E37" s="51">
        <v>0</v>
      </c>
      <c r="F37" s="51"/>
      <c r="G37" s="51"/>
      <c r="H37" s="51">
        <f t="shared" si="3"/>
        <v>0</v>
      </c>
      <c r="I37" s="51">
        <v>0</v>
      </c>
      <c r="J37" s="51">
        <v>0</v>
      </c>
      <c r="K37" s="51">
        <v>0</v>
      </c>
      <c r="L37" s="51">
        <f t="shared" si="4"/>
        <v>0</v>
      </c>
      <c r="M37" s="62"/>
      <c r="N37" s="62">
        <v>0</v>
      </c>
      <c r="O37" s="62">
        <v>0</v>
      </c>
      <c r="P37" s="51">
        <f t="shared" si="5"/>
        <v>0</v>
      </c>
      <c r="Q37" s="62"/>
      <c r="R37" s="51">
        <v>0</v>
      </c>
      <c r="S37" s="51">
        <v>0</v>
      </c>
      <c r="T37" s="62"/>
    </row>
    <row r="38" spans="1:20" outlineLevel="1" x14ac:dyDescent="0.45">
      <c r="B38" s="16" t="s">
        <v>34</v>
      </c>
      <c r="C38" s="51">
        <f t="shared" si="2"/>
        <v>0</v>
      </c>
      <c r="D38" s="51">
        <f t="shared" si="6"/>
        <v>0</v>
      </c>
      <c r="E38" s="51">
        <v>0</v>
      </c>
      <c r="F38" s="62"/>
      <c r="G38" s="62"/>
      <c r="H38" s="51">
        <f t="shared" si="3"/>
        <v>0</v>
      </c>
      <c r="I38" s="51">
        <v>0</v>
      </c>
      <c r="J38" s="51">
        <v>0</v>
      </c>
      <c r="K38" s="51">
        <v>0</v>
      </c>
      <c r="L38" s="51">
        <f t="shared" si="4"/>
        <v>0</v>
      </c>
      <c r="M38" s="62"/>
      <c r="N38" s="62">
        <v>0</v>
      </c>
      <c r="O38" s="62">
        <v>0</v>
      </c>
      <c r="P38" s="51">
        <f t="shared" si="5"/>
        <v>0</v>
      </c>
      <c r="Q38" s="62"/>
      <c r="R38" s="51">
        <v>0</v>
      </c>
      <c r="S38" s="51">
        <v>0</v>
      </c>
      <c r="T38" s="62"/>
    </row>
    <row r="39" spans="1:20" outlineLevel="1" x14ac:dyDescent="0.45">
      <c r="B39" s="16" t="s">
        <v>35</v>
      </c>
      <c r="C39" s="51"/>
      <c r="D39" s="51"/>
      <c r="E39" s="51">
        <v>0</v>
      </c>
      <c r="F39" s="62"/>
      <c r="G39" s="62"/>
      <c r="H39" s="51"/>
      <c r="I39" s="51">
        <v>0</v>
      </c>
      <c r="J39" s="51">
        <v>0</v>
      </c>
      <c r="K39" s="51">
        <v>0</v>
      </c>
      <c r="L39" s="51">
        <f t="shared" si="4"/>
        <v>0</v>
      </c>
      <c r="M39" s="62"/>
      <c r="N39" s="62"/>
      <c r="O39" s="62"/>
      <c r="P39" s="51"/>
      <c r="Q39" s="62"/>
      <c r="R39" s="51"/>
      <c r="S39" s="51"/>
      <c r="T39" s="62"/>
    </row>
    <row r="40" spans="1:20" outlineLevel="1" x14ac:dyDescent="0.45">
      <c r="B40" s="16" t="s">
        <v>36</v>
      </c>
      <c r="C40" s="51"/>
      <c r="D40" s="51"/>
      <c r="E40" s="51">
        <v>0</v>
      </c>
      <c r="F40" s="62"/>
      <c r="G40" s="62"/>
      <c r="H40" s="51"/>
      <c r="I40" s="51">
        <v>0</v>
      </c>
      <c r="J40" s="51">
        <v>0</v>
      </c>
      <c r="K40" s="51">
        <v>0</v>
      </c>
      <c r="L40" s="51">
        <f t="shared" si="4"/>
        <v>0</v>
      </c>
      <c r="M40" s="62"/>
      <c r="N40" s="62"/>
      <c r="O40" s="62"/>
      <c r="P40" s="51"/>
      <c r="Q40" s="62"/>
      <c r="R40" s="51"/>
      <c r="S40" s="51"/>
      <c r="T40" s="62"/>
    </row>
    <row r="41" spans="1:20" outlineLevel="1" x14ac:dyDescent="0.45">
      <c r="B41" s="16" t="s">
        <v>37</v>
      </c>
      <c r="C41" s="51">
        <f t="shared" si="2"/>
        <v>0</v>
      </c>
      <c r="D41" s="51">
        <f t="shared" si="6"/>
        <v>0</v>
      </c>
      <c r="E41" s="51">
        <v>0</v>
      </c>
      <c r="F41" s="62"/>
      <c r="G41" s="62"/>
      <c r="H41" s="51">
        <f t="shared" si="3"/>
        <v>0</v>
      </c>
      <c r="I41" s="51">
        <v>0</v>
      </c>
      <c r="J41" s="51">
        <v>0</v>
      </c>
      <c r="K41" s="51">
        <v>0</v>
      </c>
      <c r="L41" s="51">
        <f t="shared" si="4"/>
        <v>0</v>
      </c>
      <c r="M41" s="62"/>
      <c r="N41" s="62">
        <v>0</v>
      </c>
      <c r="O41" s="62">
        <v>0</v>
      </c>
      <c r="P41" s="51">
        <f t="shared" si="5"/>
        <v>0</v>
      </c>
      <c r="Q41" s="62"/>
      <c r="R41" s="51">
        <v>0</v>
      </c>
      <c r="S41" s="51">
        <v>0</v>
      </c>
      <c r="T41" s="62"/>
    </row>
    <row r="42" spans="1:20" outlineLevel="1" x14ac:dyDescent="0.45">
      <c r="B42" s="16" t="s">
        <v>38</v>
      </c>
      <c r="C42" s="51">
        <f t="shared" si="2"/>
        <v>165465.37</v>
      </c>
      <c r="D42" s="51">
        <f t="shared" si="6"/>
        <v>73052.7</v>
      </c>
      <c r="E42" s="51">
        <v>29899.360000000001</v>
      </c>
      <c r="F42" s="62">
        <v>32160.560000000001</v>
      </c>
      <c r="G42" s="62">
        <v>10992.78</v>
      </c>
      <c r="H42" s="51">
        <f t="shared" si="3"/>
        <v>59678.13</v>
      </c>
      <c r="I42" s="62">
        <v>40990.65</v>
      </c>
      <c r="J42" s="62">
        <v>9457.6</v>
      </c>
      <c r="K42" s="51">
        <v>9229.8799999999992</v>
      </c>
      <c r="L42" s="51">
        <f t="shared" si="4"/>
        <v>19575.990000000002</v>
      </c>
      <c r="M42" s="62">
        <v>4320.01</v>
      </c>
      <c r="N42" s="62">
        <v>10183.84</v>
      </c>
      <c r="O42" s="62">
        <v>5072.1400000000003</v>
      </c>
      <c r="P42" s="51">
        <f t="shared" si="5"/>
        <v>13158.55</v>
      </c>
      <c r="Q42" s="62">
        <v>4826.3500000000004</v>
      </c>
      <c r="R42" s="51">
        <v>3875.59</v>
      </c>
      <c r="S42" s="51">
        <v>4456.6099999999997</v>
      </c>
      <c r="T42" s="62"/>
    </row>
    <row r="43" spans="1:20" outlineLevel="1" x14ac:dyDescent="0.45">
      <c r="B43" s="16" t="s">
        <v>39</v>
      </c>
      <c r="C43" s="51">
        <f t="shared" si="2"/>
        <v>0</v>
      </c>
      <c r="D43" s="51">
        <f t="shared" si="6"/>
        <v>0</v>
      </c>
      <c r="E43" s="51">
        <v>0</v>
      </c>
      <c r="F43" s="62"/>
      <c r="G43" s="62"/>
      <c r="H43" s="51">
        <f t="shared" si="3"/>
        <v>0</v>
      </c>
      <c r="I43" s="51">
        <v>0</v>
      </c>
      <c r="J43" s="51">
        <v>0</v>
      </c>
      <c r="K43" s="51">
        <v>0</v>
      </c>
      <c r="L43" s="51">
        <f t="shared" si="4"/>
        <v>0</v>
      </c>
      <c r="M43" s="62"/>
      <c r="N43" s="62">
        <v>0</v>
      </c>
      <c r="O43" s="62">
        <v>0</v>
      </c>
      <c r="P43" s="51">
        <f t="shared" si="5"/>
        <v>0</v>
      </c>
      <c r="Q43" s="62"/>
      <c r="R43" s="51">
        <v>0</v>
      </c>
      <c r="S43" s="51">
        <v>0</v>
      </c>
      <c r="T43" s="62"/>
    </row>
    <row r="44" spans="1:20" s="95" customFormat="1" x14ac:dyDescent="0.45">
      <c r="A44" s="94"/>
      <c r="B44" s="93" t="s">
        <v>40</v>
      </c>
      <c r="C44" s="98">
        <f>SUM(C45:C47)</f>
        <v>504511.87999999995</v>
      </c>
      <c r="D44" s="98">
        <f>SUM(E44:G44)</f>
        <v>214570.64</v>
      </c>
      <c r="E44" s="98">
        <f>SUM(E45:E47)</f>
        <v>79135.86</v>
      </c>
      <c r="F44" s="98">
        <f>SUM(F45:F47)</f>
        <v>26923.49</v>
      </c>
      <c r="G44" s="98">
        <f>SUM(G45:G47)</f>
        <v>108511.29</v>
      </c>
      <c r="H44" s="98">
        <f>SUM(I44:K44)</f>
        <v>118231.98</v>
      </c>
      <c r="I44" s="98">
        <f>SUM(I45:I47)</f>
        <v>27099.119999999999</v>
      </c>
      <c r="J44" s="98">
        <f>SUM(J45:J47)</f>
        <v>49594.14</v>
      </c>
      <c r="K44" s="98">
        <f>SUM(K45:K47)</f>
        <v>41538.720000000001</v>
      </c>
      <c r="L44" s="98">
        <f>SUM(M44:O44)</f>
        <v>61290.31</v>
      </c>
      <c r="M44" s="98">
        <f>SUM(M45:M47)</f>
        <v>17127.84</v>
      </c>
      <c r="N44" s="98">
        <f>SUM(N45:N47)</f>
        <v>20851.489999999998</v>
      </c>
      <c r="O44" s="98">
        <f>SUM(O45:O47)</f>
        <v>23310.98</v>
      </c>
      <c r="P44" s="98">
        <f>SUM(Q44:S44)</f>
        <v>110418.95000000001</v>
      </c>
      <c r="Q44" s="98">
        <f>SUM(Q45:Q47)</f>
        <v>13644.14</v>
      </c>
      <c r="R44" s="98">
        <f>SUM(R45:R47)</f>
        <v>57587.66</v>
      </c>
      <c r="S44" s="98">
        <f>SUM(S45:S47)</f>
        <v>39187.15</v>
      </c>
      <c r="T44" s="101"/>
    </row>
    <row r="45" spans="1:20" outlineLevel="1" x14ac:dyDescent="0.45">
      <c r="B45" s="16" t="s">
        <v>41</v>
      </c>
      <c r="C45" s="51">
        <f t="shared" si="2"/>
        <v>441363.29999999993</v>
      </c>
      <c r="D45" s="51">
        <f t="shared" si="6"/>
        <v>201530.87</v>
      </c>
      <c r="E45" s="51">
        <v>74891.990000000005</v>
      </c>
      <c r="F45" s="62">
        <v>22525.54</v>
      </c>
      <c r="G45" s="62">
        <v>104113.34</v>
      </c>
      <c r="H45" s="51">
        <f t="shared" si="3"/>
        <v>105445.39</v>
      </c>
      <c r="I45" s="51">
        <v>22970.959999999999</v>
      </c>
      <c r="J45" s="51">
        <v>45311.9</v>
      </c>
      <c r="K45" s="51">
        <v>37162.53</v>
      </c>
      <c r="L45" s="51">
        <f t="shared" si="4"/>
        <v>46365.61</v>
      </c>
      <c r="M45" s="62">
        <v>12845.6</v>
      </c>
      <c r="N45" s="62">
        <v>16569.25</v>
      </c>
      <c r="O45" s="62">
        <v>16950.759999999998</v>
      </c>
      <c r="P45" s="51">
        <f t="shared" si="5"/>
        <v>88021.43</v>
      </c>
      <c r="Q45" s="62">
        <v>11297.91</v>
      </c>
      <c r="R45" s="51">
        <v>39882.6</v>
      </c>
      <c r="S45" s="51">
        <v>36840.92</v>
      </c>
      <c r="T45" s="62"/>
    </row>
    <row r="46" spans="1:20" outlineLevel="1" x14ac:dyDescent="0.45">
      <c r="B46" s="16" t="s">
        <v>42</v>
      </c>
      <c r="C46" s="51">
        <f t="shared" si="2"/>
        <v>0</v>
      </c>
      <c r="D46" s="51">
        <f t="shared" si="6"/>
        <v>0</v>
      </c>
      <c r="E46" s="51">
        <v>0</v>
      </c>
      <c r="F46" s="51"/>
      <c r="G46" s="51"/>
      <c r="H46" s="51">
        <f t="shared" si="3"/>
        <v>0</v>
      </c>
      <c r="I46" s="51">
        <v>0</v>
      </c>
      <c r="J46" s="51">
        <v>0</v>
      </c>
      <c r="K46" s="51">
        <v>0</v>
      </c>
      <c r="L46" s="51">
        <f t="shared" si="4"/>
        <v>0</v>
      </c>
      <c r="M46" s="62">
        <v>0</v>
      </c>
      <c r="N46" s="62">
        <v>0</v>
      </c>
      <c r="O46" s="62">
        <v>0</v>
      </c>
      <c r="P46" s="51">
        <f t="shared" si="5"/>
        <v>0</v>
      </c>
      <c r="Q46" s="62"/>
      <c r="R46" s="51">
        <v>0</v>
      </c>
      <c r="S46" s="51">
        <v>0</v>
      </c>
      <c r="T46" s="62"/>
    </row>
    <row r="47" spans="1:20" outlineLevel="1" x14ac:dyDescent="0.45">
      <c r="B47" s="16" t="s">
        <v>43</v>
      </c>
      <c r="C47" s="51">
        <f t="shared" si="2"/>
        <v>63148.580000000016</v>
      </c>
      <c r="D47" s="51">
        <f t="shared" si="6"/>
        <v>13039.77</v>
      </c>
      <c r="E47" s="51">
        <v>4243.87</v>
      </c>
      <c r="F47" s="51">
        <v>4397.95</v>
      </c>
      <c r="G47" s="51">
        <v>4397.95</v>
      </c>
      <c r="H47" s="51">
        <f t="shared" si="3"/>
        <v>12786.59</v>
      </c>
      <c r="I47" s="62">
        <v>4128.16</v>
      </c>
      <c r="J47" s="62">
        <v>4282.24</v>
      </c>
      <c r="K47" s="62">
        <v>4376.1899999999996</v>
      </c>
      <c r="L47" s="51">
        <f t="shared" si="4"/>
        <v>14924.7</v>
      </c>
      <c r="M47" s="62">
        <v>4282.24</v>
      </c>
      <c r="N47" s="62">
        <v>4282.24</v>
      </c>
      <c r="O47" s="62">
        <v>6360.22</v>
      </c>
      <c r="P47" s="51">
        <f t="shared" si="5"/>
        <v>22397.52</v>
      </c>
      <c r="Q47" s="62">
        <v>2346.23</v>
      </c>
      <c r="R47" s="51">
        <v>17705.060000000001</v>
      </c>
      <c r="S47" s="51">
        <v>2346.23</v>
      </c>
      <c r="T47" s="62"/>
    </row>
    <row r="48" spans="1:20" s="95" customFormat="1" x14ac:dyDescent="0.45">
      <c r="A48" s="94"/>
      <c r="B48" s="93" t="s">
        <v>44</v>
      </c>
      <c r="C48" s="98">
        <f>SUM(C49:C51)</f>
        <v>3589.1999999999989</v>
      </c>
      <c r="D48" s="98">
        <f>SUM(E48:G48)</f>
        <v>1794.6000000000001</v>
      </c>
      <c r="E48" s="98">
        <f>SUM(E49:E51)</f>
        <v>598.20000000000005</v>
      </c>
      <c r="F48" s="98">
        <f>SUM(F49:F51)</f>
        <v>598.20000000000005</v>
      </c>
      <c r="G48" s="98">
        <f>SUM(G49:G51)</f>
        <v>598.20000000000005</v>
      </c>
      <c r="H48" s="98">
        <f>SUM(I48:K48)</f>
        <v>1794.6000000000001</v>
      </c>
      <c r="I48" s="98">
        <f>SUM(I49:I51)</f>
        <v>598.20000000000005</v>
      </c>
      <c r="J48" s="98">
        <f>SUM(J49:J51)</f>
        <v>598.20000000000005</v>
      </c>
      <c r="K48" s="98">
        <f>SUM(K49:K51)</f>
        <v>598.20000000000005</v>
      </c>
      <c r="L48" s="98">
        <f>SUM(M48:O48)</f>
        <v>0</v>
      </c>
      <c r="M48" s="98">
        <f>SUM(M49:M51)</f>
        <v>0</v>
      </c>
      <c r="N48" s="98">
        <f>SUM(N49:N51)</f>
        <v>0</v>
      </c>
      <c r="O48" s="98">
        <f>SUM(O49:O51)</f>
        <v>0</v>
      </c>
      <c r="P48" s="98">
        <f>SUM(Q48:S48)</f>
        <v>0</v>
      </c>
      <c r="Q48" s="98">
        <f>SUM(Q49:Q51)</f>
        <v>0</v>
      </c>
      <c r="R48" s="98">
        <f>SUM(R49:R51)</f>
        <v>0</v>
      </c>
      <c r="S48" s="98">
        <f>SUM(S49:S51)</f>
        <v>0</v>
      </c>
      <c r="T48" s="101"/>
    </row>
    <row r="49" spans="1:24" outlineLevel="1" x14ac:dyDescent="0.45">
      <c r="B49" s="16" t="s">
        <v>45</v>
      </c>
      <c r="C49" s="51">
        <f t="shared" si="2"/>
        <v>0</v>
      </c>
      <c r="D49" s="51">
        <f t="shared" si="6"/>
        <v>0</v>
      </c>
      <c r="E49" s="51">
        <v>0</v>
      </c>
      <c r="F49" s="51"/>
      <c r="G49" s="51"/>
      <c r="H49" s="51">
        <f t="shared" si="3"/>
        <v>0</v>
      </c>
      <c r="I49" s="51">
        <v>0</v>
      </c>
      <c r="J49" s="51">
        <v>0</v>
      </c>
      <c r="K49" s="51">
        <v>0</v>
      </c>
      <c r="L49" s="51">
        <f t="shared" si="4"/>
        <v>0</v>
      </c>
      <c r="M49" s="62"/>
      <c r="N49" s="62">
        <v>0</v>
      </c>
      <c r="O49" s="62">
        <v>0</v>
      </c>
      <c r="P49" s="51">
        <f t="shared" si="5"/>
        <v>0</v>
      </c>
      <c r="Q49" s="62"/>
      <c r="R49" s="51">
        <v>0</v>
      </c>
      <c r="S49" s="51">
        <v>0</v>
      </c>
      <c r="T49" s="62"/>
    </row>
    <row r="50" spans="1:24" outlineLevel="1" x14ac:dyDescent="0.45">
      <c r="B50" s="16" t="s">
        <v>46</v>
      </c>
      <c r="C50" s="51">
        <f t="shared" si="2"/>
        <v>0</v>
      </c>
      <c r="D50" s="51">
        <f t="shared" si="6"/>
        <v>0</v>
      </c>
      <c r="E50" s="51">
        <v>0</v>
      </c>
      <c r="F50" s="51"/>
      <c r="G50" s="51"/>
      <c r="H50" s="51">
        <f t="shared" si="3"/>
        <v>0</v>
      </c>
      <c r="I50" s="51">
        <v>0</v>
      </c>
      <c r="J50" s="51">
        <v>0</v>
      </c>
      <c r="K50" s="51">
        <v>0</v>
      </c>
      <c r="L50" s="51">
        <f t="shared" si="4"/>
        <v>0</v>
      </c>
      <c r="M50" s="62"/>
      <c r="N50" s="62">
        <v>0</v>
      </c>
      <c r="O50" s="62">
        <v>0</v>
      </c>
      <c r="P50" s="51">
        <f t="shared" si="5"/>
        <v>0</v>
      </c>
      <c r="Q50" s="62"/>
      <c r="R50" s="51">
        <v>0</v>
      </c>
      <c r="S50" s="51">
        <v>0</v>
      </c>
      <c r="T50" s="62"/>
    </row>
    <row r="51" spans="1:24" outlineLevel="1" x14ac:dyDescent="0.45">
      <c r="B51" s="16" t="s">
        <v>47</v>
      </c>
      <c r="C51" s="51">
        <f t="shared" si="2"/>
        <v>3589.1999999999989</v>
      </c>
      <c r="D51" s="51">
        <f t="shared" si="6"/>
        <v>1794.6000000000001</v>
      </c>
      <c r="E51" s="51">
        <v>598.20000000000005</v>
      </c>
      <c r="F51" s="51">
        <v>598.20000000000005</v>
      </c>
      <c r="G51" s="51">
        <v>598.20000000000005</v>
      </c>
      <c r="H51" s="51">
        <f t="shared" si="3"/>
        <v>1794.6000000000001</v>
      </c>
      <c r="I51" s="51">
        <v>598.20000000000005</v>
      </c>
      <c r="J51" s="51">
        <v>598.20000000000005</v>
      </c>
      <c r="K51" s="51">
        <v>598.20000000000005</v>
      </c>
      <c r="L51" s="51">
        <f t="shared" si="4"/>
        <v>0</v>
      </c>
      <c r="M51" s="62"/>
      <c r="N51" s="62">
        <v>0</v>
      </c>
      <c r="O51" s="62">
        <v>0</v>
      </c>
      <c r="P51" s="51">
        <f t="shared" si="5"/>
        <v>0</v>
      </c>
      <c r="Q51" s="62"/>
      <c r="R51" s="51">
        <v>0</v>
      </c>
      <c r="S51" s="51">
        <v>0</v>
      </c>
      <c r="T51" s="62"/>
    </row>
    <row r="52" spans="1:24" s="95" customFormat="1" x14ac:dyDescent="0.45">
      <c r="A52" s="94"/>
      <c r="B52" s="93" t="s">
        <v>48</v>
      </c>
      <c r="C52" s="98">
        <f>SUM(C53:C69)</f>
        <v>1863026.3499999996</v>
      </c>
      <c r="D52" s="98">
        <f t="shared" ref="D52:S52" si="22">SUM(D53:D69)</f>
        <v>443337.68000000005</v>
      </c>
      <c r="E52" s="98">
        <f t="shared" si="22"/>
        <v>145009.16</v>
      </c>
      <c r="F52" s="98">
        <f t="shared" si="22"/>
        <v>144210.47</v>
      </c>
      <c r="G52" s="98">
        <f t="shared" si="22"/>
        <v>154118.04999999999</v>
      </c>
      <c r="H52" s="98">
        <f t="shared" si="22"/>
        <v>0</v>
      </c>
      <c r="I52" s="98">
        <f t="shared" si="22"/>
        <v>162868.81</v>
      </c>
      <c r="J52" s="98">
        <f t="shared" si="22"/>
        <v>178422.87000000002</v>
      </c>
      <c r="K52" s="98">
        <f t="shared" si="22"/>
        <v>182921.54000000004</v>
      </c>
      <c r="L52" s="98">
        <f t="shared" si="22"/>
        <v>525961.82000000007</v>
      </c>
      <c r="M52" s="98">
        <f t="shared" si="22"/>
        <v>174558.50999999998</v>
      </c>
      <c r="N52" s="98">
        <f t="shared" si="22"/>
        <v>206712.82</v>
      </c>
      <c r="O52" s="98">
        <f t="shared" si="22"/>
        <v>144690.49000000002</v>
      </c>
      <c r="P52" s="98">
        <f t="shared" si="22"/>
        <v>369513.62999999995</v>
      </c>
      <c r="Q52" s="98">
        <f t="shared" si="22"/>
        <v>155003.66999999998</v>
      </c>
      <c r="R52" s="98">
        <f t="shared" si="22"/>
        <v>109126.84</v>
      </c>
      <c r="S52" s="98">
        <f t="shared" si="22"/>
        <v>105383.12</v>
      </c>
      <c r="T52" s="55"/>
      <c r="V52" s="99"/>
      <c r="W52" s="100"/>
      <c r="X52" s="97"/>
    </row>
    <row r="53" spans="1:24" outlineLevel="1" x14ac:dyDescent="0.45">
      <c r="B53" s="16" t="s">
        <v>49</v>
      </c>
      <c r="C53" s="51">
        <f t="shared" si="2"/>
        <v>0</v>
      </c>
      <c r="D53" s="51">
        <f>SUM(E53:G53)</f>
        <v>0</v>
      </c>
      <c r="E53" s="51">
        <v>0</v>
      </c>
      <c r="F53" s="51"/>
      <c r="G53" s="51"/>
      <c r="H53" s="51">
        <f t="shared" si="3"/>
        <v>0</v>
      </c>
      <c r="I53" s="51">
        <v>0</v>
      </c>
      <c r="J53" s="51">
        <v>0</v>
      </c>
      <c r="K53" s="51">
        <v>0</v>
      </c>
      <c r="L53" s="51">
        <f t="shared" si="4"/>
        <v>0</v>
      </c>
      <c r="M53" s="62"/>
      <c r="N53" s="62">
        <v>0</v>
      </c>
      <c r="O53" s="62">
        <v>0</v>
      </c>
      <c r="P53" s="51">
        <f t="shared" si="5"/>
        <v>0</v>
      </c>
      <c r="Q53" s="62"/>
      <c r="R53" s="51">
        <v>0</v>
      </c>
      <c r="S53" s="51">
        <v>0</v>
      </c>
      <c r="T53" s="62"/>
    </row>
    <row r="54" spans="1:24" outlineLevel="1" x14ac:dyDescent="0.45">
      <c r="B54" s="16" t="s">
        <v>50</v>
      </c>
      <c r="C54" s="51"/>
      <c r="D54" s="51">
        <f t="shared" ref="D54:D69" si="23">SUM(E54:G54)</f>
        <v>0</v>
      </c>
      <c r="E54" s="51">
        <v>0</v>
      </c>
      <c r="F54" s="51"/>
      <c r="G54" s="51"/>
      <c r="H54" s="51"/>
      <c r="I54" s="51">
        <v>0</v>
      </c>
      <c r="J54" s="51">
        <v>0</v>
      </c>
      <c r="K54" s="51">
        <v>0</v>
      </c>
      <c r="L54" s="51"/>
      <c r="M54" s="62"/>
      <c r="N54" s="62"/>
      <c r="O54" s="62"/>
      <c r="P54" s="51"/>
      <c r="Q54" s="62"/>
      <c r="R54" s="51"/>
      <c r="S54" s="51"/>
      <c r="T54" s="62"/>
    </row>
    <row r="55" spans="1:24" outlineLevel="1" x14ac:dyDescent="0.45">
      <c r="B55" s="16" t="s">
        <v>51</v>
      </c>
      <c r="C55" s="51">
        <f t="shared" si="2"/>
        <v>682.08</v>
      </c>
      <c r="D55" s="51">
        <f t="shared" si="23"/>
        <v>0</v>
      </c>
      <c r="E55" s="51">
        <v>0</v>
      </c>
      <c r="F55" s="51"/>
      <c r="G55" s="51"/>
      <c r="H55" s="51">
        <f>SUM(I55:K55)</f>
        <v>0</v>
      </c>
      <c r="I55" s="51">
        <v>0</v>
      </c>
      <c r="J55" s="51">
        <v>0</v>
      </c>
      <c r="K55" s="51">
        <v>0</v>
      </c>
      <c r="L55" s="51">
        <f t="shared" si="4"/>
        <v>682.08</v>
      </c>
      <c r="M55" s="62"/>
      <c r="N55" s="62">
        <v>682.08</v>
      </c>
      <c r="O55" s="62">
        <v>0</v>
      </c>
      <c r="P55" s="51">
        <f>SUM(Q55:S55)</f>
        <v>0</v>
      </c>
      <c r="Q55" s="62"/>
      <c r="R55" s="51">
        <v>0</v>
      </c>
      <c r="S55" s="51">
        <v>0</v>
      </c>
      <c r="T55" s="62"/>
    </row>
    <row r="56" spans="1:24" outlineLevel="1" x14ac:dyDescent="0.45">
      <c r="B56" s="16" t="s">
        <v>52</v>
      </c>
      <c r="C56" s="51">
        <f t="shared" si="2"/>
        <v>0</v>
      </c>
      <c r="D56" s="51">
        <f t="shared" si="23"/>
        <v>0</v>
      </c>
      <c r="E56" s="51">
        <v>0</v>
      </c>
      <c r="F56" s="51"/>
      <c r="G56" s="51"/>
      <c r="H56" s="51"/>
      <c r="I56" s="51">
        <v>0</v>
      </c>
      <c r="J56" s="51">
        <v>0</v>
      </c>
      <c r="K56" s="51">
        <v>0</v>
      </c>
      <c r="L56" s="51">
        <f t="shared" si="4"/>
        <v>0</v>
      </c>
      <c r="M56" s="62"/>
      <c r="N56" s="62">
        <v>0</v>
      </c>
      <c r="O56" s="62">
        <v>0</v>
      </c>
      <c r="P56" s="51">
        <f t="shared" ref="P56:P67" si="24">SUM(Q56:S56)</f>
        <v>0</v>
      </c>
      <c r="Q56" s="62"/>
      <c r="R56" s="51">
        <v>0</v>
      </c>
      <c r="S56" s="51">
        <v>0</v>
      </c>
      <c r="T56" s="62"/>
    </row>
    <row r="57" spans="1:24" outlineLevel="1" x14ac:dyDescent="0.45">
      <c r="B57" s="16" t="s">
        <v>53</v>
      </c>
      <c r="C57" s="51">
        <f t="shared" si="2"/>
        <v>7500.1</v>
      </c>
      <c r="D57" s="51">
        <f t="shared" si="23"/>
        <v>7500.1</v>
      </c>
      <c r="E57" s="51">
        <v>0</v>
      </c>
      <c r="F57" s="51">
        <v>7500.1</v>
      </c>
      <c r="G57" s="51"/>
      <c r="H57" s="51"/>
      <c r="I57" s="51">
        <v>0</v>
      </c>
      <c r="J57" s="51">
        <v>0</v>
      </c>
      <c r="K57" s="51">
        <v>0</v>
      </c>
      <c r="L57" s="51">
        <f t="shared" si="4"/>
        <v>0</v>
      </c>
      <c r="M57" s="62"/>
      <c r="N57" s="62">
        <v>0</v>
      </c>
      <c r="O57" s="62">
        <v>0</v>
      </c>
      <c r="P57" s="51"/>
      <c r="Q57" s="62">
        <v>0</v>
      </c>
      <c r="R57" s="51">
        <v>0</v>
      </c>
      <c r="S57" s="51">
        <v>0</v>
      </c>
      <c r="T57" s="62"/>
    </row>
    <row r="58" spans="1:24" outlineLevel="1" x14ac:dyDescent="0.45">
      <c r="B58" s="16" t="s">
        <v>54</v>
      </c>
      <c r="C58" s="51">
        <f t="shared" si="2"/>
        <v>647.88000000000011</v>
      </c>
      <c r="D58" s="51">
        <f t="shared" si="23"/>
        <v>187.9</v>
      </c>
      <c r="E58" s="51">
        <v>0</v>
      </c>
      <c r="F58" s="51">
        <v>93.95</v>
      </c>
      <c r="G58" s="51">
        <v>93.95</v>
      </c>
      <c r="H58" s="51"/>
      <c r="I58" s="51">
        <v>93.95</v>
      </c>
      <c r="J58" s="51">
        <v>93.95</v>
      </c>
      <c r="K58" s="51">
        <v>93.95</v>
      </c>
      <c r="L58" s="51">
        <f t="shared" si="4"/>
        <v>178.13</v>
      </c>
      <c r="M58" s="62">
        <v>93.95</v>
      </c>
      <c r="N58" s="62">
        <v>84.18</v>
      </c>
      <c r="O58" s="62">
        <v>0</v>
      </c>
      <c r="P58" s="51">
        <f t="shared" si="24"/>
        <v>0</v>
      </c>
      <c r="Q58" s="62"/>
      <c r="R58" s="51">
        <v>0</v>
      </c>
      <c r="S58" s="51">
        <v>0</v>
      </c>
      <c r="T58" s="62"/>
    </row>
    <row r="59" spans="1:24" outlineLevel="1" x14ac:dyDescent="0.45">
      <c r="B59" s="16" t="s">
        <v>55</v>
      </c>
      <c r="C59" s="51">
        <f t="shared" si="2"/>
        <v>35255.31</v>
      </c>
      <c r="D59" s="51">
        <f t="shared" si="23"/>
        <v>12383.439999999999</v>
      </c>
      <c r="E59" s="51">
        <v>3054.31</v>
      </c>
      <c r="F59" s="51">
        <v>3445.67</v>
      </c>
      <c r="G59" s="51">
        <v>5883.46</v>
      </c>
      <c r="H59" s="51"/>
      <c r="I59" s="51">
        <v>4584.32</v>
      </c>
      <c r="J59" s="51">
        <v>4830.8100000000004</v>
      </c>
      <c r="K59" s="51">
        <v>4713.37</v>
      </c>
      <c r="L59" s="51">
        <f t="shared" si="4"/>
        <v>8743.369999999999</v>
      </c>
      <c r="M59" s="62">
        <v>4247.67</v>
      </c>
      <c r="N59" s="62">
        <v>4495.7</v>
      </c>
      <c r="O59" s="62">
        <v>0</v>
      </c>
      <c r="P59" s="51">
        <f t="shared" ref="P59" si="25">SUM(Q59:S59)</f>
        <v>0</v>
      </c>
      <c r="Q59" s="62"/>
      <c r="R59" s="51">
        <v>0</v>
      </c>
      <c r="S59" s="51">
        <v>0</v>
      </c>
      <c r="T59" s="62"/>
    </row>
    <row r="60" spans="1:24" outlineLevel="1" x14ac:dyDescent="0.45">
      <c r="B60" s="16" t="s">
        <v>56</v>
      </c>
      <c r="C60" s="51">
        <f t="shared" si="2"/>
        <v>0</v>
      </c>
      <c r="D60" s="51">
        <f t="shared" si="23"/>
        <v>0</v>
      </c>
      <c r="E60" s="51">
        <v>0</v>
      </c>
      <c r="F60" s="51"/>
      <c r="G60" s="51"/>
      <c r="H60" s="51"/>
      <c r="I60" s="51">
        <v>0</v>
      </c>
      <c r="J60" s="51">
        <v>0</v>
      </c>
      <c r="K60" s="51">
        <v>0</v>
      </c>
      <c r="L60" s="51">
        <f t="shared" si="4"/>
        <v>0</v>
      </c>
      <c r="M60" s="62"/>
      <c r="N60" s="62">
        <v>0</v>
      </c>
      <c r="O60" s="62">
        <v>0</v>
      </c>
      <c r="P60" s="51">
        <f t="shared" si="24"/>
        <v>0</v>
      </c>
      <c r="Q60" s="62"/>
      <c r="R60" s="51">
        <v>0</v>
      </c>
      <c r="S60" s="51">
        <v>0</v>
      </c>
      <c r="T60" s="62"/>
    </row>
    <row r="61" spans="1:24" outlineLevel="1" x14ac:dyDescent="0.45">
      <c r="B61" s="16" t="s">
        <v>57</v>
      </c>
      <c r="C61" s="51">
        <f t="shared" si="2"/>
        <v>0</v>
      </c>
      <c r="D61" s="51">
        <f t="shared" si="23"/>
        <v>0</v>
      </c>
      <c r="E61" s="51">
        <v>0</v>
      </c>
      <c r="F61" s="51"/>
      <c r="G61" s="51"/>
      <c r="H61" s="51"/>
      <c r="I61" s="51">
        <v>0</v>
      </c>
      <c r="J61" s="51">
        <v>0</v>
      </c>
      <c r="K61" s="51">
        <v>0</v>
      </c>
      <c r="L61" s="51">
        <f t="shared" si="4"/>
        <v>0</v>
      </c>
      <c r="M61" s="62"/>
      <c r="N61" s="62">
        <v>0</v>
      </c>
      <c r="O61" s="62">
        <v>0</v>
      </c>
      <c r="P61" s="51">
        <f t="shared" si="24"/>
        <v>0</v>
      </c>
      <c r="Q61" s="62"/>
      <c r="R61" s="51">
        <v>0</v>
      </c>
      <c r="S61" s="51">
        <v>0</v>
      </c>
      <c r="T61" s="62"/>
    </row>
    <row r="62" spans="1:24" outlineLevel="1" x14ac:dyDescent="0.45">
      <c r="B62" s="16" t="s">
        <v>58</v>
      </c>
      <c r="C62" s="51">
        <f t="shared" si="2"/>
        <v>1681.29</v>
      </c>
      <c r="D62" s="51">
        <f t="shared" si="23"/>
        <v>1681.29</v>
      </c>
      <c r="E62" s="51">
        <v>0</v>
      </c>
      <c r="F62" s="51"/>
      <c r="G62" s="51">
        <v>1681.29</v>
      </c>
      <c r="H62" s="51"/>
      <c r="I62" s="51">
        <v>0</v>
      </c>
      <c r="J62" s="51">
        <v>0</v>
      </c>
      <c r="K62" s="51">
        <v>0</v>
      </c>
      <c r="L62" s="51">
        <f t="shared" si="4"/>
        <v>0</v>
      </c>
      <c r="M62" s="62"/>
      <c r="N62" s="62">
        <v>0</v>
      </c>
      <c r="O62" s="62">
        <v>0</v>
      </c>
      <c r="P62" s="51">
        <f t="shared" si="24"/>
        <v>0</v>
      </c>
      <c r="Q62" s="62"/>
      <c r="R62" s="51">
        <v>0</v>
      </c>
      <c r="S62" s="51">
        <v>0</v>
      </c>
      <c r="T62" s="62"/>
    </row>
    <row r="63" spans="1:24" outlineLevel="1" x14ac:dyDescent="0.45">
      <c r="B63" s="16" t="s">
        <v>59</v>
      </c>
      <c r="C63" s="51">
        <f t="shared" si="2"/>
        <v>55786.27</v>
      </c>
      <c r="D63" s="51">
        <f t="shared" si="23"/>
        <v>100.23</v>
      </c>
      <c r="E63" s="51">
        <v>0</v>
      </c>
      <c r="F63" s="51"/>
      <c r="G63" s="51">
        <v>100.23</v>
      </c>
      <c r="H63" s="51"/>
      <c r="I63" s="51">
        <v>0</v>
      </c>
      <c r="J63" s="51">
        <v>3758</v>
      </c>
      <c r="K63" s="51">
        <v>2630.6</v>
      </c>
      <c r="L63" s="51">
        <f t="shared" si="4"/>
        <v>26020.39</v>
      </c>
      <c r="M63" s="62">
        <v>82.68</v>
      </c>
      <c r="N63" s="62">
        <v>25937.71</v>
      </c>
      <c r="O63" s="62">
        <v>0</v>
      </c>
      <c r="P63" s="51">
        <f t="shared" si="24"/>
        <v>23277.05</v>
      </c>
      <c r="Q63" s="62">
        <v>23277.05</v>
      </c>
      <c r="R63" s="51">
        <v>0</v>
      </c>
      <c r="S63" s="51">
        <v>0</v>
      </c>
      <c r="T63" s="62"/>
    </row>
    <row r="64" spans="1:24" outlineLevel="1" x14ac:dyDescent="0.45">
      <c r="B64" s="16" t="s">
        <v>60</v>
      </c>
      <c r="C64" s="51">
        <f t="shared" si="2"/>
        <v>1748662.9999999998</v>
      </c>
      <c r="D64" s="51">
        <f t="shared" si="23"/>
        <v>417268.28</v>
      </c>
      <c r="E64" s="51">
        <v>140124.70000000001</v>
      </c>
      <c r="F64" s="51">
        <v>133133.21</v>
      </c>
      <c r="G64" s="51">
        <v>144010.37</v>
      </c>
      <c r="H64" s="51"/>
      <c r="I64" s="51">
        <v>153023.29</v>
      </c>
      <c r="J64" s="51">
        <v>169176.41</v>
      </c>
      <c r="K64" s="51">
        <v>175652.73</v>
      </c>
      <c r="L64" s="51">
        <f t="shared" si="4"/>
        <v>488331.08</v>
      </c>
      <c r="M64" s="62">
        <v>169968.86</v>
      </c>
      <c r="N64" s="62">
        <v>175513.15</v>
      </c>
      <c r="O64" s="62">
        <v>142849.07</v>
      </c>
      <c r="P64" s="51">
        <f t="shared" si="24"/>
        <v>345211.20999999996</v>
      </c>
      <c r="Q64" s="62">
        <v>131104.10999999999</v>
      </c>
      <c r="R64" s="51">
        <v>108723.98</v>
      </c>
      <c r="S64" s="51">
        <v>105383.12</v>
      </c>
      <c r="T64" s="62"/>
    </row>
    <row r="65" spans="1:25" outlineLevel="1" x14ac:dyDescent="0.45">
      <c r="B65" s="16" t="s">
        <v>61</v>
      </c>
      <c r="C65" s="51">
        <f t="shared" si="2"/>
        <v>0</v>
      </c>
      <c r="D65" s="51">
        <f t="shared" si="23"/>
        <v>0</v>
      </c>
      <c r="E65" s="51">
        <v>0</v>
      </c>
      <c r="F65" s="51"/>
      <c r="G65" s="51"/>
      <c r="H65" s="51"/>
      <c r="I65" s="51">
        <v>0</v>
      </c>
      <c r="J65" s="51">
        <v>0</v>
      </c>
      <c r="K65" s="51">
        <v>0</v>
      </c>
      <c r="L65" s="51">
        <f t="shared" si="4"/>
        <v>0</v>
      </c>
      <c r="M65" s="62"/>
      <c r="N65" s="62">
        <v>0</v>
      </c>
      <c r="O65" s="62">
        <v>0</v>
      </c>
      <c r="P65" s="51">
        <f t="shared" si="24"/>
        <v>0</v>
      </c>
      <c r="Q65" s="62">
        <v>0</v>
      </c>
      <c r="R65" s="51">
        <v>0</v>
      </c>
      <c r="S65" s="51">
        <v>0</v>
      </c>
      <c r="T65" s="62"/>
    </row>
    <row r="66" spans="1:25" outlineLevel="1" x14ac:dyDescent="0.45">
      <c r="B66" s="16" t="s">
        <v>62</v>
      </c>
      <c r="C66" s="51">
        <f t="shared" si="2"/>
        <v>1589.0700000000002</v>
      </c>
      <c r="D66" s="51">
        <f t="shared" si="23"/>
        <v>0</v>
      </c>
      <c r="E66" s="51">
        <v>0</v>
      </c>
      <c r="F66" s="51"/>
      <c r="G66" s="51"/>
      <c r="H66" s="51"/>
      <c r="I66" s="51">
        <v>0</v>
      </c>
      <c r="J66" s="51">
        <v>563.70000000000005</v>
      </c>
      <c r="K66" s="51">
        <v>0</v>
      </c>
      <c r="L66" s="51">
        <f t="shared" si="4"/>
        <v>0</v>
      </c>
      <c r="M66" s="62"/>
      <c r="N66" s="62">
        <v>0</v>
      </c>
      <c r="O66" s="62">
        <v>0</v>
      </c>
      <c r="P66" s="51">
        <f t="shared" si="24"/>
        <v>1025.3699999999999</v>
      </c>
      <c r="Q66" s="62">
        <v>622.51</v>
      </c>
      <c r="R66" s="51">
        <v>402.86</v>
      </c>
      <c r="S66" s="51">
        <v>0</v>
      </c>
      <c r="T66" s="62"/>
    </row>
    <row r="67" spans="1:25" outlineLevel="1" x14ac:dyDescent="0.45">
      <c r="B67" s="16" t="s">
        <v>63</v>
      </c>
      <c r="C67" s="51">
        <f t="shared" si="2"/>
        <v>0</v>
      </c>
      <c r="D67" s="51">
        <f t="shared" si="23"/>
        <v>0</v>
      </c>
      <c r="E67" s="51">
        <v>0</v>
      </c>
      <c r="F67" s="51"/>
      <c r="G67" s="51"/>
      <c r="H67" s="51"/>
      <c r="I67" s="51">
        <v>0</v>
      </c>
      <c r="J67" s="51">
        <v>0</v>
      </c>
      <c r="K67" s="51">
        <v>0</v>
      </c>
      <c r="L67" s="51">
        <f t="shared" si="4"/>
        <v>0</v>
      </c>
      <c r="M67" s="62"/>
      <c r="N67" s="62">
        <v>0</v>
      </c>
      <c r="O67" s="62">
        <v>0</v>
      </c>
      <c r="P67" s="51">
        <f t="shared" si="24"/>
        <v>0</v>
      </c>
      <c r="Q67" s="62">
        <v>0</v>
      </c>
      <c r="R67" s="51">
        <v>0</v>
      </c>
      <c r="S67" s="51">
        <v>0</v>
      </c>
      <c r="T67" s="62"/>
    </row>
    <row r="68" spans="1:25" outlineLevel="1" x14ac:dyDescent="0.45">
      <c r="B68" s="16" t="s">
        <v>64</v>
      </c>
      <c r="C68" s="51">
        <f t="shared" si="2"/>
        <v>9346.15</v>
      </c>
      <c r="D68" s="51">
        <f t="shared" si="23"/>
        <v>4178.8999999999996</v>
      </c>
      <c r="E68" s="51">
        <v>1830.15</v>
      </c>
      <c r="F68" s="51"/>
      <c r="G68" s="51">
        <v>2348.75</v>
      </c>
      <c r="H68" s="51"/>
      <c r="I68" s="51">
        <v>5167.25</v>
      </c>
      <c r="J68" s="51">
        <v>0</v>
      </c>
      <c r="K68" s="51">
        <v>0</v>
      </c>
      <c r="L68" s="51">
        <f t="shared" ref="L68" si="26">SUM(M68:O68)</f>
        <v>0</v>
      </c>
      <c r="M68" s="62"/>
      <c r="N68" s="62">
        <v>0</v>
      </c>
      <c r="O68" s="62">
        <v>0</v>
      </c>
      <c r="P68" s="51">
        <f t="shared" ref="P68" si="27">SUM(Q68:S68)</f>
        <v>0</v>
      </c>
      <c r="Q68" s="62">
        <v>0</v>
      </c>
      <c r="R68" s="51">
        <v>0</v>
      </c>
      <c r="S68" s="51">
        <v>0</v>
      </c>
      <c r="T68" s="62"/>
    </row>
    <row r="69" spans="1:25" outlineLevel="1" x14ac:dyDescent="0.45">
      <c r="B69" s="16" t="s">
        <v>65</v>
      </c>
      <c r="C69" s="51">
        <f t="shared" si="2"/>
        <v>1875.2000000000003</v>
      </c>
      <c r="D69" s="51">
        <f t="shared" si="23"/>
        <v>37.54</v>
      </c>
      <c r="E69" s="51">
        <v>0</v>
      </c>
      <c r="F69" s="51">
        <v>37.54</v>
      </c>
      <c r="G69" s="51"/>
      <c r="H69" s="51"/>
      <c r="I69" s="51">
        <v>0</v>
      </c>
      <c r="J69" s="51">
        <v>0</v>
      </c>
      <c r="K69" s="51">
        <v>-169.11</v>
      </c>
      <c r="L69" s="51">
        <f t="shared" si="4"/>
        <v>2006.77</v>
      </c>
      <c r="M69" s="62">
        <v>165.35</v>
      </c>
      <c r="N69" s="62">
        <v>0</v>
      </c>
      <c r="O69" s="62">
        <v>1841.42</v>
      </c>
      <c r="P69" s="51"/>
      <c r="Q69" s="62"/>
      <c r="R69" s="51"/>
      <c r="S69" s="51"/>
      <c r="T69" s="62"/>
    </row>
    <row r="70" spans="1:25" s="95" customFormat="1" x14ac:dyDescent="0.45">
      <c r="A70" s="94"/>
      <c r="B70" s="19" t="s">
        <v>66</v>
      </c>
      <c r="C70" s="54">
        <f>+C52+C48+C44+C34+C17</f>
        <v>2867808.15</v>
      </c>
      <c r="D70" s="54">
        <f>SUM(E70:G70)</f>
        <v>847906.39000000013</v>
      </c>
      <c r="E70" s="54">
        <f>+E52+E48+E44+E34+E17</f>
        <v>287714.64</v>
      </c>
      <c r="F70" s="54">
        <f>+F52+F48+F44+F34+F17</f>
        <v>248204.21000000002</v>
      </c>
      <c r="G70" s="54">
        <f>+G52+G48+G44+G34+G17</f>
        <v>311987.54000000004</v>
      </c>
      <c r="H70" s="54">
        <f>SUM(I70:K70)</f>
        <v>784028.00000000012</v>
      </c>
      <c r="I70" s="54">
        <f>+I52+I48+I44+I34+I17</f>
        <v>265698.89</v>
      </c>
      <c r="J70" s="54">
        <f>+J52+J48+J44+J34+J17</f>
        <v>260034.29000000004</v>
      </c>
      <c r="K70" s="54">
        <f>+K52+K48+K44+K34+K17</f>
        <v>258294.82000000004</v>
      </c>
      <c r="L70" s="54">
        <f>SUM(M70:O70)</f>
        <v>678498.42</v>
      </c>
      <c r="M70" s="54">
        <f>+M52+M48+M44+M34+M17</f>
        <v>216610.40999999997</v>
      </c>
      <c r="N70" s="54">
        <f>+N52+N48+N44+N34+N17</f>
        <v>254652.61000000002</v>
      </c>
      <c r="O70" s="54">
        <f>+O52+O48+O44+O34+O17</f>
        <v>207235.40000000002</v>
      </c>
      <c r="P70" s="54">
        <f>SUM(Q70:S70)</f>
        <v>557375.34</v>
      </c>
      <c r="Q70" s="54">
        <f>+Q52+Q48+Q44+Q34+Q17</f>
        <v>194782.34999999998</v>
      </c>
      <c r="R70" s="54">
        <f>+R52+R48+R44+R34+R17</f>
        <v>196108.88</v>
      </c>
      <c r="S70" s="54">
        <f>+S52+S48+S44+S34+S17</f>
        <v>166484.10999999999</v>
      </c>
      <c r="T70" s="55"/>
      <c r="W70" s="96"/>
      <c r="X70" s="96"/>
      <c r="Y70" s="97"/>
    </row>
    <row r="71" spans="1:25" x14ac:dyDescent="0.45">
      <c r="B71" s="14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5" x14ac:dyDescent="0.45">
      <c r="B72" s="14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W72" s="17"/>
    </row>
    <row r="73" spans="1:25" x14ac:dyDescent="0.45">
      <c r="B73" s="13" t="s">
        <v>67</v>
      </c>
      <c r="C73" s="53">
        <f>SUM(C13+C14)-C70</f>
        <v>-2867808.15</v>
      </c>
      <c r="D73" s="54">
        <f>SUM(E73:G73)</f>
        <v>-847906.39000000013</v>
      </c>
      <c r="E73" s="53">
        <f>SUM(E13+E14)-E70</f>
        <v>-287714.64</v>
      </c>
      <c r="F73" s="53">
        <f>SUM(F13+F14)-F70</f>
        <v>-248204.21000000002</v>
      </c>
      <c r="G73" s="53">
        <f>SUM(G13+G14)-G70</f>
        <v>-311987.54000000004</v>
      </c>
      <c r="H73" s="54">
        <f>SUM(I73:K73)</f>
        <v>-784028.00000000012</v>
      </c>
      <c r="I73" s="53">
        <f>SUM(I13+I14)-I70</f>
        <v>-265698.89</v>
      </c>
      <c r="J73" s="53">
        <f>SUM(J13+J14)-J70</f>
        <v>-260034.29000000004</v>
      </c>
      <c r="K73" s="53">
        <f>SUM(K13+K14)-K70</f>
        <v>-258294.82000000004</v>
      </c>
      <c r="L73" s="54">
        <f>SUM(M73:O73)</f>
        <v>-678498.42</v>
      </c>
      <c r="M73" s="53">
        <f>SUM(M13+M14)-M70</f>
        <v>-216610.40999999997</v>
      </c>
      <c r="N73" s="53">
        <f>SUM(N13+N14)-N70</f>
        <v>-254652.61000000002</v>
      </c>
      <c r="O73" s="53">
        <f>SUM(O13+O14)-O70</f>
        <v>-207235.40000000002</v>
      </c>
      <c r="P73" s="54">
        <f>SUM(Q73:S73)</f>
        <v>-557375.34</v>
      </c>
      <c r="Q73" s="53">
        <f>SUM(Q13+Q14)-Q70</f>
        <v>-194782.34999999998</v>
      </c>
      <c r="R73" s="53">
        <f>SUM(R13+R14)-R70</f>
        <v>-196108.88</v>
      </c>
      <c r="S73" s="53">
        <f>SUM(S13+S14)-S70</f>
        <v>-166484.10999999999</v>
      </c>
      <c r="T73" s="51"/>
      <c r="U73" s="18"/>
      <c r="V73" s="12"/>
    </row>
    <row r="74" spans="1:25" x14ac:dyDescent="0.45">
      <c r="B74" s="14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V74" s="18"/>
      <c r="W74" s="17"/>
    </row>
    <row r="75" spans="1:25" x14ac:dyDescent="0.45">
      <c r="B75" s="14"/>
      <c r="C75" s="53">
        <f t="shared" ref="C75" si="28">SUM(D75:S75)-P75-L75-H75-D75</f>
        <v>0</v>
      </c>
      <c r="D75" s="62"/>
      <c r="E75" s="53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V75" s="18"/>
      <c r="W75" s="17"/>
    </row>
    <row r="76" spans="1:25" x14ac:dyDescent="0.45">
      <c r="B76" s="13" t="s">
        <v>69</v>
      </c>
      <c r="C76" s="53">
        <f>SUM(D76:S76)-P76-L76-H76-D76</f>
        <v>-1090.2099999999996</v>
      </c>
      <c r="D76" s="53">
        <f>SUM(E76:G76)</f>
        <v>-1090.21</v>
      </c>
      <c r="E76" s="111">
        <v>147.97</v>
      </c>
      <c r="F76" s="53">
        <v>-1238.18</v>
      </c>
      <c r="G76" s="53">
        <v>0</v>
      </c>
      <c r="H76" s="53">
        <f>SUM(I76:K76)</f>
        <v>-0.05</v>
      </c>
      <c r="I76" s="53">
        <v>0.02</v>
      </c>
      <c r="J76" s="53">
        <v>-0.02</v>
      </c>
      <c r="K76" s="53">
        <v>-0.05</v>
      </c>
      <c r="L76" s="53">
        <f>SUM(M76:O76)</f>
        <v>0.04</v>
      </c>
      <c r="M76" s="53">
        <v>0.03</v>
      </c>
      <c r="N76" s="53">
        <v>0</v>
      </c>
      <c r="O76" s="13">
        <v>0.01</v>
      </c>
      <c r="P76" s="53">
        <f>SUM(Q76:S76)</f>
        <v>0.01</v>
      </c>
      <c r="Q76" s="13"/>
      <c r="R76" s="13">
        <v>0.01</v>
      </c>
      <c r="S76" s="13"/>
      <c r="T76" s="62"/>
      <c r="V76" s="18"/>
      <c r="W76" s="17"/>
    </row>
    <row r="77" spans="1:25" x14ac:dyDescent="0.45">
      <c r="B77" s="14"/>
      <c r="C77" s="53">
        <f t="shared" ref="C77:C95" si="29">SUM(D77:S77)-P77-L77-H77-D77</f>
        <v>0</v>
      </c>
      <c r="D77" s="62"/>
      <c r="E77" s="53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V77" s="2"/>
      <c r="W77" s="2"/>
    </row>
    <row r="78" spans="1:25" x14ac:dyDescent="0.45">
      <c r="B78" s="13" t="s">
        <v>295</v>
      </c>
      <c r="C78" s="53">
        <f t="shared" si="29"/>
        <v>0</v>
      </c>
      <c r="D78" s="53">
        <f>SUM(E78:G78)</f>
        <v>0</v>
      </c>
      <c r="E78" s="53"/>
      <c r="F78" s="13"/>
      <c r="G78" s="113"/>
      <c r="H78" s="53"/>
      <c r="I78" s="13"/>
      <c r="J78" s="13"/>
      <c r="K78" s="13"/>
      <c r="L78" s="122"/>
      <c r="M78" s="113"/>
      <c r="N78" s="113"/>
      <c r="O78" s="113"/>
      <c r="P78" s="53"/>
      <c r="Q78" s="113"/>
      <c r="R78" s="113"/>
      <c r="S78" s="113"/>
      <c r="T78" s="62"/>
      <c r="V78" s="2"/>
      <c r="W78" s="2"/>
    </row>
    <row r="79" spans="1:25" x14ac:dyDescent="0.45">
      <c r="B79" s="13"/>
      <c r="C79" s="53"/>
      <c r="D79" s="53"/>
      <c r="E79" s="53"/>
      <c r="F79" s="13"/>
      <c r="G79" s="113"/>
      <c r="H79" s="53"/>
      <c r="I79" s="13"/>
      <c r="J79" s="13"/>
      <c r="K79" s="13"/>
      <c r="L79" s="122"/>
      <c r="M79" s="113"/>
      <c r="N79" s="113"/>
      <c r="O79" s="113"/>
      <c r="P79" s="53"/>
      <c r="Q79" s="113"/>
      <c r="R79" s="113"/>
      <c r="S79" s="113"/>
      <c r="T79" s="62"/>
      <c r="V79" s="2"/>
      <c r="W79" s="2"/>
    </row>
    <row r="80" spans="1:25" x14ac:dyDescent="0.45">
      <c r="B80" s="14"/>
      <c r="C80" s="53">
        <f t="shared" si="29"/>
        <v>0</v>
      </c>
      <c r="D80" s="62"/>
      <c r="E80" s="53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V80" s="2"/>
      <c r="W80" s="2"/>
    </row>
    <row r="81" spans="1:23" x14ac:dyDescent="0.45">
      <c r="B81" s="13" t="s">
        <v>71</v>
      </c>
      <c r="C81" s="53">
        <f t="shared" si="29"/>
        <v>0</v>
      </c>
      <c r="D81" s="53">
        <f>SUM(E81:G81)</f>
        <v>0</v>
      </c>
      <c r="E81" s="53"/>
      <c r="F81" s="53">
        <v>0</v>
      </c>
      <c r="G81" s="53">
        <v>0</v>
      </c>
      <c r="H81" s="53">
        <f>SUM(I81:K81)</f>
        <v>0</v>
      </c>
      <c r="I81" s="53"/>
      <c r="J81" s="53">
        <v>0</v>
      </c>
      <c r="K81" s="53">
        <v>0</v>
      </c>
      <c r="L81" s="53">
        <f>SUM(M81:O81)</f>
        <v>0</v>
      </c>
      <c r="M81" s="53">
        <v>0</v>
      </c>
      <c r="N81" s="53">
        <v>0</v>
      </c>
      <c r="O81" s="53">
        <v>0</v>
      </c>
      <c r="P81" s="53">
        <f>SUM(Q81:S81)</f>
        <v>0</v>
      </c>
      <c r="Q81" s="53"/>
      <c r="R81" s="53">
        <v>0</v>
      </c>
      <c r="S81" s="53">
        <v>0</v>
      </c>
      <c r="T81" s="51"/>
      <c r="W81" s="2"/>
    </row>
    <row r="82" spans="1:23" x14ac:dyDescent="0.45">
      <c r="B82" s="14"/>
      <c r="C82" s="53">
        <f t="shared" si="29"/>
        <v>0</v>
      </c>
      <c r="D82" s="62"/>
      <c r="E82" s="53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W82" s="2"/>
    </row>
    <row r="83" spans="1:23" x14ac:dyDescent="0.45">
      <c r="B83" s="13" t="s">
        <v>72</v>
      </c>
      <c r="C83" s="53">
        <f t="shared" si="29"/>
        <v>0</v>
      </c>
      <c r="D83" s="53">
        <f>SUM(E83:G83)</f>
        <v>0</v>
      </c>
      <c r="E83" s="53"/>
      <c r="F83" s="53"/>
      <c r="G83" s="53"/>
      <c r="H83" s="53">
        <f>SUM(I83:K83)</f>
        <v>0</v>
      </c>
      <c r="I83" s="53"/>
      <c r="J83" s="53"/>
      <c r="K83" s="53"/>
      <c r="L83" s="53">
        <f>SUM(M83:O83)</f>
        <v>0</v>
      </c>
      <c r="M83" s="53">
        <v>0</v>
      </c>
      <c r="N83" s="53">
        <v>0</v>
      </c>
      <c r="O83" s="53">
        <v>0</v>
      </c>
      <c r="P83" s="53">
        <f>SUM(Q83:S83)</f>
        <v>0</v>
      </c>
      <c r="Q83" s="53">
        <v>0</v>
      </c>
      <c r="R83" s="53">
        <v>0</v>
      </c>
      <c r="S83" s="53">
        <v>0</v>
      </c>
      <c r="T83" s="51"/>
      <c r="W83" s="2"/>
    </row>
    <row r="84" spans="1:23" x14ac:dyDescent="0.45">
      <c r="B84" s="14"/>
      <c r="C84" s="53">
        <f t="shared" si="29"/>
        <v>0</v>
      </c>
      <c r="D84" s="62"/>
      <c r="E84" s="53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2"/>
      <c r="U84" s="2"/>
    </row>
    <row r="85" spans="1:23" x14ac:dyDescent="0.45">
      <c r="B85" s="13" t="s">
        <v>73</v>
      </c>
      <c r="C85" s="53">
        <f t="shared" si="29"/>
        <v>0</v>
      </c>
      <c r="D85" s="53">
        <f>SUM(E85:G85)</f>
        <v>0</v>
      </c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2"/>
      <c r="U85" s="2"/>
    </row>
    <row r="86" spans="1:23" x14ac:dyDescent="0.45">
      <c r="A86" s="11"/>
      <c r="B86" s="13"/>
      <c r="C86" s="53">
        <f t="shared" si="29"/>
        <v>0</v>
      </c>
      <c r="D86" s="13"/>
      <c r="E86" s="5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2"/>
      <c r="U86" s="2"/>
    </row>
    <row r="87" spans="1:23" x14ac:dyDescent="0.45">
      <c r="A87" s="11"/>
      <c r="B87" s="13" t="s">
        <v>74</v>
      </c>
      <c r="C87" s="53">
        <f>SUM(D87:S87)-P87-L87-H87-D87</f>
        <v>-69147.199999999997</v>
      </c>
      <c r="D87" s="53">
        <f>SUM(E87:G87)</f>
        <v>-69147.199999999997</v>
      </c>
      <c r="E87" s="53">
        <v>-17850.5</v>
      </c>
      <c r="F87" s="53">
        <v>-51296.7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2"/>
      <c r="U87" s="2"/>
    </row>
    <row r="88" spans="1:23" x14ac:dyDescent="0.45">
      <c r="A88" s="11"/>
      <c r="B88" s="13"/>
      <c r="C88" s="53">
        <f t="shared" si="29"/>
        <v>0</v>
      </c>
      <c r="D88" s="13"/>
      <c r="E88" s="5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2"/>
      <c r="U88" s="2"/>
    </row>
    <row r="89" spans="1:23" x14ac:dyDescent="0.45">
      <c r="B89" s="13" t="s">
        <v>75</v>
      </c>
      <c r="C89" s="53">
        <f t="shared" si="29"/>
        <v>0</v>
      </c>
      <c r="D89" s="53">
        <f>SUM(E89:G89)</f>
        <v>0</v>
      </c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2"/>
      <c r="U89" s="2"/>
    </row>
    <row r="90" spans="1:23" x14ac:dyDescent="0.45">
      <c r="B90" s="14"/>
      <c r="C90" s="53">
        <f t="shared" si="29"/>
        <v>0</v>
      </c>
      <c r="D90" s="62"/>
      <c r="E90" s="53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1:23" x14ac:dyDescent="0.45">
      <c r="B91" s="13" t="s">
        <v>76</v>
      </c>
      <c r="C91" s="53">
        <f t="shared" si="29"/>
        <v>-3757.9499999999994</v>
      </c>
      <c r="D91" s="53">
        <f>SUM(E91:G91)</f>
        <v>-3757.9500000000003</v>
      </c>
      <c r="E91" s="53">
        <v>-1252.6500000000001</v>
      </c>
      <c r="F91" s="53">
        <v>-1252.6500000000001</v>
      </c>
      <c r="G91" s="53">
        <v>-1252.6500000000001</v>
      </c>
      <c r="H91" s="53">
        <f>SUM(I91:K91)</f>
        <v>0</v>
      </c>
      <c r="I91" s="53"/>
      <c r="J91" s="53"/>
      <c r="K91" s="53"/>
      <c r="L91" s="53">
        <f>SUM(M91:O91)</f>
        <v>0</v>
      </c>
      <c r="M91" s="53">
        <v>0</v>
      </c>
      <c r="N91" s="53">
        <v>0</v>
      </c>
      <c r="O91" s="53">
        <v>0</v>
      </c>
      <c r="P91" s="53">
        <f>SUM(Q91:S91)</f>
        <v>0</v>
      </c>
      <c r="Q91" s="53">
        <v>0</v>
      </c>
      <c r="R91" s="53">
        <v>0</v>
      </c>
      <c r="S91" s="53">
        <v>0</v>
      </c>
      <c r="T91" s="51"/>
    </row>
    <row r="92" spans="1:23" x14ac:dyDescent="0.45">
      <c r="B92" s="14"/>
      <c r="C92" s="53">
        <f t="shared" si="29"/>
        <v>0</v>
      </c>
      <c r="D92" s="62"/>
      <c r="E92" s="53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W92" s="2"/>
    </row>
    <row r="93" spans="1:23" x14ac:dyDescent="0.45">
      <c r="B93" s="13" t="s">
        <v>77</v>
      </c>
      <c r="C93" s="53">
        <f t="shared" si="29"/>
        <v>0</v>
      </c>
      <c r="D93" s="53">
        <f>SUM(E93:G93)</f>
        <v>0</v>
      </c>
      <c r="E93" s="53">
        <v>0</v>
      </c>
      <c r="F93" s="53">
        <v>0</v>
      </c>
      <c r="G93" s="53">
        <v>0</v>
      </c>
      <c r="H93" s="53">
        <f>SUM(I93:K93)</f>
        <v>0</v>
      </c>
      <c r="I93" s="53">
        <v>0</v>
      </c>
      <c r="J93" s="53">
        <v>0</v>
      </c>
      <c r="K93" s="53">
        <v>0</v>
      </c>
      <c r="L93" s="53">
        <f>SUM(M93:O93)</f>
        <v>0</v>
      </c>
      <c r="M93" s="53">
        <v>0</v>
      </c>
      <c r="N93" s="53">
        <v>0</v>
      </c>
      <c r="O93" s="53">
        <v>0</v>
      </c>
      <c r="P93" s="53">
        <f>SUM(Q93:S93)</f>
        <v>0</v>
      </c>
      <c r="Q93" s="53">
        <v>0</v>
      </c>
      <c r="R93" s="53">
        <v>0</v>
      </c>
      <c r="S93" s="53">
        <v>0</v>
      </c>
      <c r="T93" s="51"/>
    </row>
    <row r="94" spans="1:23" x14ac:dyDescent="0.45">
      <c r="B94" s="14"/>
      <c r="C94" s="53">
        <f t="shared" si="29"/>
        <v>0</v>
      </c>
      <c r="D94" s="62"/>
      <c r="E94" s="53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1:23" x14ac:dyDescent="0.45">
      <c r="B95" s="13" t="s">
        <v>78</v>
      </c>
      <c r="C95" s="53">
        <f t="shared" si="29"/>
        <v>0</v>
      </c>
      <c r="D95" s="53">
        <f>SUM(E95:G95)</f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3">
        <v>0</v>
      </c>
      <c r="O95" s="53">
        <v>0</v>
      </c>
      <c r="P95" s="53">
        <v>0</v>
      </c>
      <c r="Q95" s="53">
        <v>0</v>
      </c>
      <c r="R95" s="53">
        <v>0</v>
      </c>
      <c r="S95" s="53">
        <v>0</v>
      </c>
      <c r="T95" s="51"/>
    </row>
    <row r="96" spans="1:23" x14ac:dyDescent="0.45">
      <c r="B96" s="14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2:21" x14ac:dyDescent="0.45">
      <c r="B97" s="19" t="s">
        <v>79</v>
      </c>
      <c r="C97" s="54">
        <f>+C73+C83+C93+C95+C81+C76+C91+C87</f>
        <v>-2941803.5100000002</v>
      </c>
      <c r="D97" s="112">
        <f>+D73+D83+D93+D95+D81+D76+D91+D89+D87+D85</f>
        <v>-921901.75</v>
      </c>
      <c r="E97" s="112">
        <f>+E73+E83+E93+E95+E81+E76+E91+E89+E87+E85</f>
        <v>-306669.82000000007</v>
      </c>
      <c r="F97" s="54">
        <f>+F73+F83+F93+F95+F81+F76+F91+F89+F87+F85</f>
        <v>-301991.74</v>
      </c>
      <c r="G97" s="54">
        <f>+G73+G83+G93+G95+G81+G76+G91</f>
        <v>-313240.19000000006</v>
      </c>
      <c r="H97" s="54" t="e">
        <f>+H73+#REF!+H83+H93+H95</f>
        <v>#REF!</v>
      </c>
      <c r="I97" s="54">
        <f t="shared" ref="I97:S97" si="30">+I73+I83+I93+I95+I81+I76</f>
        <v>-265698.87</v>
      </c>
      <c r="J97" s="54">
        <f t="shared" si="30"/>
        <v>-260034.31000000003</v>
      </c>
      <c r="K97" s="54">
        <f t="shared" si="30"/>
        <v>-258294.87000000002</v>
      </c>
      <c r="L97" s="54">
        <f t="shared" si="30"/>
        <v>-678498.38</v>
      </c>
      <c r="M97" s="54">
        <f t="shared" si="30"/>
        <v>-216610.37999999998</v>
      </c>
      <c r="N97" s="54">
        <f t="shared" si="30"/>
        <v>-254652.61000000002</v>
      </c>
      <c r="O97" s="54">
        <f t="shared" si="30"/>
        <v>-207235.39</v>
      </c>
      <c r="P97" s="54">
        <f t="shared" si="30"/>
        <v>-557375.32999999996</v>
      </c>
      <c r="Q97" s="54">
        <f t="shared" si="30"/>
        <v>-194782.34999999998</v>
      </c>
      <c r="R97" s="54">
        <f t="shared" si="30"/>
        <v>-196108.87</v>
      </c>
      <c r="S97" s="54">
        <f t="shared" si="30"/>
        <v>-166484.10999999999</v>
      </c>
      <c r="T97" s="55"/>
      <c r="U97" s="2"/>
    </row>
    <row r="98" spans="2:21" ht="15" x14ac:dyDescent="0.45">
      <c r="B98" s="20"/>
      <c r="C98" s="35"/>
      <c r="D98" s="43"/>
      <c r="E98" s="43"/>
      <c r="F98" s="21"/>
      <c r="G98" s="21"/>
      <c r="H98" s="43"/>
      <c r="I98" s="43"/>
      <c r="J98" s="43"/>
      <c r="K98" s="43"/>
      <c r="L98" s="43"/>
      <c r="M98" s="43"/>
      <c r="N98" s="43"/>
      <c r="O98" s="43"/>
      <c r="P98" s="43"/>
      <c r="Q98" s="21"/>
      <c r="R98" s="21"/>
      <c r="S98" s="21"/>
      <c r="T98" s="21"/>
    </row>
    <row r="99" spans="2:21" ht="15" x14ac:dyDescent="0.45">
      <c r="B99" s="22"/>
      <c r="C99" s="51"/>
      <c r="E99" s="18"/>
      <c r="F99" s="18"/>
      <c r="G99" s="18"/>
      <c r="I99" s="18"/>
      <c r="J99" s="18"/>
      <c r="K99" s="18"/>
      <c r="M99" s="18"/>
      <c r="N99" s="18"/>
      <c r="O99" s="18"/>
      <c r="Q99" s="18"/>
      <c r="R99" s="18"/>
      <c r="S99" s="18"/>
      <c r="T99" s="18"/>
    </row>
    <row r="100" spans="2:21" x14ac:dyDescent="0.45">
      <c r="C100" s="3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2:21" x14ac:dyDescent="0.45">
      <c r="C101" s="35"/>
      <c r="D101" s="2"/>
      <c r="F101" s="2"/>
      <c r="G101" s="35"/>
      <c r="H101" s="35"/>
      <c r="I101" s="2"/>
      <c r="J101" s="35"/>
    </row>
    <row r="102" spans="2:21" x14ac:dyDescent="0.45">
      <c r="D102" s="35"/>
      <c r="F102" s="18"/>
      <c r="G102" s="18"/>
      <c r="H102" s="35"/>
      <c r="I102" s="35"/>
      <c r="J102" s="35"/>
    </row>
    <row r="103" spans="2:21" x14ac:dyDescent="0.45">
      <c r="D103" s="35"/>
      <c r="E103" s="35"/>
      <c r="F103" s="18"/>
      <c r="G103" s="18"/>
      <c r="H103" s="35"/>
      <c r="I103" s="2"/>
      <c r="J103" s="35"/>
      <c r="K103" s="42"/>
    </row>
    <row r="104" spans="2:21" x14ac:dyDescent="0.45">
      <c r="D104" s="35"/>
      <c r="E104" s="35"/>
      <c r="F104" s="2"/>
      <c r="G104" s="18"/>
      <c r="H104" s="35"/>
    </row>
    <row r="105" spans="2:21" x14ac:dyDescent="0.45">
      <c r="C105" s="35"/>
      <c r="D105" s="35"/>
      <c r="F105" s="18"/>
      <c r="G105" s="18"/>
      <c r="H105" s="35"/>
    </row>
    <row r="106" spans="2:21" x14ac:dyDescent="0.45">
      <c r="C106" s="35"/>
      <c r="D106" s="35"/>
      <c r="F106" s="18"/>
      <c r="G106" s="18"/>
      <c r="H106" s="35"/>
      <c r="O106" s="35"/>
      <c r="P106" s="35"/>
      <c r="Q106" s="35"/>
      <c r="R106" s="35"/>
    </row>
    <row r="107" spans="2:21" x14ac:dyDescent="0.45">
      <c r="C107" s="35"/>
      <c r="D107" s="35"/>
      <c r="O107" s="35"/>
      <c r="P107" s="35"/>
      <c r="Q107" s="35"/>
      <c r="R107" s="35"/>
    </row>
    <row r="108" spans="2:21" x14ac:dyDescent="0.45">
      <c r="C108" s="35"/>
      <c r="D108" s="35"/>
      <c r="O108" s="18"/>
      <c r="P108" s="18"/>
      <c r="Q108" s="18"/>
      <c r="R108" s="18"/>
    </row>
    <row r="109" spans="2:21" x14ac:dyDescent="0.45">
      <c r="C109" s="35"/>
      <c r="D109" s="35"/>
    </row>
    <row r="110" spans="2:21" x14ac:dyDescent="0.45">
      <c r="C110" s="35"/>
      <c r="D110" s="35"/>
    </row>
    <row r="111" spans="2:21" x14ac:dyDescent="0.45">
      <c r="C111" s="35"/>
      <c r="D111" s="35"/>
    </row>
    <row r="112" spans="2:21" x14ac:dyDescent="0.45">
      <c r="C112" s="35"/>
      <c r="D112" s="35"/>
    </row>
    <row r="113" spans="3:4" x14ac:dyDescent="0.45">
      <c r="C113" s="35"/>
      <c r="D113" s="35"/>
    </row>
    <row r="114" spans="3:4" x14ac:dyDescent="0.45">
      <c r="C114" s="35"/>
      <c r="D114" s="35"/>
    </row>
    <row r="115" spans="3:4" x14ac:dyDescent="0.45">
      <c r="C115" s="35"/>
      <c r="D115" s="35"/>
    </row>
    <row r="116" spans="3:4" x14ac:dyDescent="0.45">
      <c r="C116" s="35"/>
      <c r="D116" s="35"/>
    </row>
    <row r="117" spans="3:4" x14ac:dyDescent="0.45">
      <c r="C117" s="35"/>
      <c r="D117" s="35"/>
    </row>
    <row r="118" spans="3:4" x14ac:dyDescent="0.45">
      <c r="C118" s="35"/>
      <c r="D118" s="35"/>
    </row>
    <row r="119" spans="3:4" x14ac:dyDescent="0.45">
      <c r="C119" s="35"/>
      <c r="D119" s="35"/>
    </row>
    <row r="120" spans="3:4" x14ac:dyDescent="0.45">
      <c r="C120" s="35"/>
      <c r="D120" s="35"/>
    </row>
    <row r="121" spans="3:4" x14ac:dyDescent="0.45">
      <c r="C121" s="35"/>
      <c r="D121" s="35"/>
    </row>
    <row r="122" spans="3:4" x14ac:dyDescent="0.45">
      <c r="C122" s="35"/>
      <c r="D122" s="35"/>
    </row>
    <row r="123" spans="3:4" x14ac:dyDescent="0.45">
      <c r="C123" s="35"/>
      <c r="D123" s="35"/>
    </row>
    <row r="124" spans="3:4" x14ac:dyDescent="0.45">
      <c r="C124" s="35"/>
      <c r="D124" s="35"/>
    </row>
    <row r="125" spans="3:4" x14ac:dyDescent="0.45">
      <c r="C125" s="35"/>
      <c r="D125" s="35"/>
    </row>
    <row r="126" spans="3:4" x14ac:dyDescent="0.45">
      <c r="C126" s="35"/>
      <c r="D126" s="35"/>
    </row>
    <row r="127" spans="3:4" x14ac:dyDescent="0.45">
      <c r="C127" s="35"/>
      <c r="D127" s="35"/>
    </row>
    <row r="128" spans="3:4" x14ac:dyDescent="0.45">
      <c r="C128" s="35"/>
      <c r="D128" s="35"/>
    </row>
    <row r="129" spans="3:4" x14ac:dyDescent="0.45">
      <c r="C129" s="35"/>
      <c r="D129" s="35"/>
    </row>
    <row r="130" spans="3:4" x14ac:dyDescent="0.45">
      <c r="C130" s="35"/>
      <c r="D130" s="35"/>
    </row>
    <row r="131" spans="3:4" x14ac:dyDescent="0.45">
      <c r="C131" s="35"/>
      <c r="D131" s="35"/>
    </row>
    <row r="132" spans="3:4" x14ac:dyDescent="0.45">
      <c r="C132" s="35"/>
      <c r="D132" s="35"/>
    </row>
    <row r="133" spans="3:4" x14ac:dyDescent="0.45">
      <c r="C133" s="35"/>
      <c r="D133" s="35"/>
    </row>
    <row r="134" spans="3:4" x14ac:dyDescent="0.45">
      <c r="C134" s="35"/>
      <c r="D134" s="35"/>
    </row>
    <row r="135" spans="3:4" x14ac:dyDescent="0.45">
      <c r="C135" s="35"/>
      <c r="D135" s="35"/>
    </row>
    <row r="136" spans="3:4" x14ac:dyDescent="0.45">
      <c r="C136" s="35"/>
      <c r="D136" s="35"/>
    </row>
    <row r="137" spans="3:4" x14ac:dyDescent="0.45">
      <c r="C137" s="35"/>
      <c r="D137" s="35"/>
    </row>
    <row r="138" spans="3:4" x14ac:dyDescent="0.45">
      <c r="C138" s="35"/>
      <c r="D138" s="35"/>
    </row>
    <row r="139" spans="3:4" x14ac:dyDescent="0.45">
      <c r="C139" s="35"/>
      <c r="D139" s="35"/>
    </row>
    <row r="140" spans="3:4" x14ac:dyDescent="0.45">
      <c r="C140" s="35"/>
      <c r="D140" s="35"/>
    </row>
    <row r="141" spans="3:4" x14ac:dyDescent="0.45">
      <c r="C141" s="35"/>
      <c r="D141" s="35"/>
    </row>
    <row r="142" spans="3:4" x14ac:dyDescent="0.45">
      <c r="C142" s="35"/>
      <c r="D142" s="35"/>
    </row>
    <row r="143" spans="3:4" x14ac:dyDescent="0.45">
      <c r="C143" s="35"/>
      <c r="D143" s="35"/>
    </row>
    <row r="144" spans="3:4" x14ac:dyDescent="0.45">
      <c r="C144" s="35"/>
      <c r="D144" s="35"/>
    </row>
    <row r="145" spans="3:4" x14ac:dyDescent="0.45">
      <c r="C145" s="35"/>
      <c r="D145" s="35"/>
    </row>
    <row r="146" spans="3:4" x14ac:dyDescent="0.45">
      <c r="C146" s="35"/>
      <c r="D146" s="35"/>
    </row>
    <row r="147" spans="3:4" x14ac:dyDescent="0.45">
      <c r="C147" s="35"/>
      <c r="D147" s="35"/>
    </row>
    <row r="148" spans="3:4" x14ac:dyDescent="0.45">
      <c r="C148" s="35"/>
      <c r="D148" s="35"/>
    </row>
    <row r="149" spans="3:4" x14ac:dyDescent="0.45">
      <c r="C149" s="35"/>
      <c r="D149" s="35"/>
    </row>
    <row r="150" spans="3:4" x14ac:dyDescent="0.45">
      <c r="C150" s="35"/>
      <c r="D150" s="35"/>
    </row>
    <row r="151" spans="3:4" x14ac:dyDescent="0.45">
      <c r="C151" s="35"/>
      <c r="D151" s="35"/>
    </row>
    <row r="152" spans="3:4" x14ac:dyDescent="0.45">
      <c r="C152" s="35"/>
      <c r="D152" s="35"/>
    </row>
    <row r="153" spans="3:4" x14ac:dyDescent="0.45">
      <c r="C153" s="35"/>
      <c r="D153" s="35"/>
    </row>
    <row r="154" spans="3:4" x14ac:dyDescent="0.45">
      <c r="C154" s="35"/>
      <c r="D154" s="35"/>
    </row>
    <row r="155" spans="3:4" x14ac:dyDescent="0.45">
      <c r="C155" s="35"/>
      <c r="D155" s="35"/>
    </row>
    <row r="156" spans="3:4" x14ac:dyDescent="0.45">
      <c r="C156" s="35"/>
      <c r="D156" s="35"/>
    </row>
    <row r="157" spans="3:4" x14ac:dyDescent="0.45">
      <c r="C157" s="35"/>
      <c r="D157" s="35"/>
    </row>
    <row r="158" spans="3:4" x14ac:dyDescent="0.45">
      <c r="C158" s="35"/>
      <c r="D158" s="35"/>
    </row>
    <row r="159" spans="3:4" x14ac:dyDescent="0.45">
      <c r="C159" s="35"/>
      <c r="D159" s="35"/>
    </row>
    <row r="160" spans="3:4" x14ac:dyDescent="0.45">
      <c r="C160" s="35"/>
      <c r="D160" s="35"/>
    </row>
    <row r="161" spans="3:4" x14ac:dyDescent="0.45">
      <c r="C161" s="35"/>
      <c r="D161" s="35"/>
    </row>
  </sheetData>
  <conditionalFormatting sqref="C98:T98">
    <cfRule type="cellIs" dxfId="1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D77:H77 C13:O13 D72:O74 E34:M34 D44:M44 D46 D94:O94 E83:L83 P10:Q11 C15:O16 C14:H14 C69 D41 D48:L48 P76 D71:M71 M60:M62 M65:M67 M55:M56 D82:O82 E81:L81 N81:O81 L19 L35 L42 L28:L29 L20:M20 D36:D38 C10:H11 L10:M11 L14:M14 L18:M18 C18:D18 L21 C24:D28 L24:M27 M41 L36:M37 M38 L43:M43 L45:L47 D49:D50 L49:M51 L53:M53 C55:C67 D70:H70 J70:M70 D84:O84 C21:D21 C19 H19 H58 H62 H64 D43 D42 H42 C29:D29 H29 D45 H45 D47 H47 D51 H51 H97 G18:H18 C20:D20 G20:H20 F24:H28 F21:H21 F41:H41 F35:H38 F43:H43 F46:H46 F49:H50 F60:H61 F53:H53 F65:H67 F55:H56 F62 J77:O77 E93:O93 D96:O96 E95:O95" unlockedFormula="1"/>
    <ignoredError sqref="Q18 P83 P93:S96 P81:Q81 P82:S82 P77:S77 Q49:Q51 Q46 Q48:S48 Q41 Q44:S44 Q24:Q26 Q34:S34 P14:Q14 P15:S16 P13:S13 Q21 Q60:Q62 Q43 C71:C74 P72:S74 Q55:Q56 Q58 C47 Q70:S71 C41:C45 C35:C38 Q36:Q38 Q53 C96 Q27 C53 P84:S84 C49:C51" formula="1" unlockedFormula="1"/>
    <ignoredError sqref="R14 S41 S46 S49:S51 S64:S67 R81:S81 R83:S83 P98:S98 S60:S62 S18 S55:S56 S58 S36:S38 S53 S23:S28 S43 S21" formula="1"/>
    <ignoredError sqref="P56:P67 N48 N44 N71:O71 N70 O41 O55:O63 O18 O69:O70 O53 O24:O27 N34:O34 O36:O38 O43:O44 O46 O48:O51 O65:O67 O21 O30" formulaRange="1" unlockedFormula="1"/>
    <ignoredError sqref="P70:P71 P55 P24:P26 P41:P51 P18:P21 P34:P38 P53 P27:P29" formula="1" formulaRange="1" unlockedFormula="1"/>
    <ignoredError sqref="P23" formula="1" formulaRange="1"/>
    <ignoredError sqref="N49:N51 N69 N18 N46 N30 N41 P69 P30 N36:N38 N53 N23:N27 N43 N56:N57 N20:N21 N60:N62 N65:N67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C86-21D2-4D18-83F3-5D7E98E0A486}">
  <sheetPr codeName="Sheet4"/>
  <dimension ref="A5:Z131"/>
  <sheetViews>
    <sheetView showGridLines="0" zoomScale="85" zoomScaleNormal="85" workbookViewId="0">
      <pane xSplit="2" ySplit="10" topLeftCell="J11" activePane="bottomRight" state="frozen"/>
      <selection pane="topRight" activeCell="B28" sqref="B28"/>
      <selection pane="bottomLeft" activeCell="B28" sqref="B28"/>
      <selection pane="bottomRight" activeCell="N25" sqref="N25"/>
    </sheetView>
  </sheetViews>
  <sheetFormatPr defaultRowHeight="14.25" outlineLevelRow="1" x14ac:dyDescent="0.45"/>
  <cols>
    <col min="1" max="1" width="5.53125" style="1" customWidth="1"/>
    <col min="2" max="2" width="60" bestFit="1" customWidth="1"/>
    <col min="3" max="3" width="19.265625" style="30" customWidth="1"/>
    <col min="4" max="5" width="17.53125" style="30" customWidth="1"/>
    <col min="6" max="6" width="18.53125" style="30" customWidth="1"/>
    <col min="7" max="13" width="17.53125" style="30" customWidth="1"/>
    <col min="14" max="14" width="18.46484375" style="30" bestFit="1" customWidth="1"/>
    <col min="15" max="15" width="3" style="30" customWidth="1"/>
    <col min="16" max="16" width="1.46484375" bestFit="1" customWidth="1"/>
    <col min="17" max="17" width="9.46484375" hidden="1" customWidth="1"/>
    <col min="18" max="18" width="14.53125" hidden="1" customWidth="1"/>
    <col min="19" max="19" width="15.46484375" hidden="1" customWidth="1"/>
    <col min="20" max="20" width="9.46484375" customWidth="1"/>
    <col min="21" max="21" width="13.46484375" bestFit="1" customWidth="1"/>
    <col min="22" max="22" width="11.53125" bestFit="1" customWidth="1"/>
    <col min="24" max="24" width="11.46484375" bestFit="1" customWidth="1"/>
    <col min="25" max="25" width="11.46484375" customWidth="1"/>
    <col min="26" max="26" width="11.46484375" bestFit="1" customWidth="1"/>
  </cols>
  <sheetData>
    <row r="5" spans="1:15" s="6" customFormat="1" ht="15.75" thickBot="1" x14ac:dyDescent="0.45">
      <c r="A5" s="3"/>
      <c r="B5" s="2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.4" thickBot="1" x14ac:dyDescent="0.5">
      <c r="B6" s="48" t="s">
        <v>165</v>
      </c>
      <c r="C6" s="49">
        <v>45657</v>
      </c>
      <c r="D6" s="49">
        <v>45626</v>
      </c>
      <c r="E6" s="49">
        <v>45596</v>
      </c>
      <c r="F6" s="49">
        <v>45565</v>
      </c>
      <c r="G6" s="49">
        <v>45535</v>
      </c>
      <c r="H6" s="49">
        <v>45504</v>
      </c>
      <c r="I6" s="49">
        <v>45473</v>
      </c>
      <c r="J6" s="49">
        <v>45443</v>
      </c>
      <c r="K6" s="49">
        <v>45412</v>
      </c>
      <c r="L6" s="49">
        <v>45382</v>
      </c>
      <c r="M6" s="49">
        <v>45350</v>
      </c>
      <c r="N6" s="49">
        <v>45322</v>
      </c>
      <c r="O6" s="36"/>
    </row>
    <row r="7" spans="1:15" ht="15" x14ac:dyDescent="0.45">
      <c r="B7" s="7" t="s">
        <v>166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thickBot="1" x14ac:dyDescent="0.5">
      <c r="B8" s="24" t="s">
        <v>82</v>
      </c>
      <c r="C8" s="25"/>
      <c r="D8" s="25"/>
      <c r="E8" s="44"/>
      <c r="F8" s="25"/>
      <c r="G8" s="25"/>
      <c r="H8" s="25"/>
      <c r="I8" s="25"/>
      <c r="J8" s="25"/>
      <c r="K8" s="25"/>
      <c r="L8" s="25"/>
      <c r="M8" s="25"/>
      <c r="N8" s="25"/>
      <c r="O8" s="10"/>
    </row>
    <row r="9" spans="1:15" ht="15.4" x14ac:dyDescent="0.45">
      <c r="B9" s="9"/>
      <c r="C9" s="257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5" s="95" customFormat="1" x14ac:dyDescent="0.45">
      <c r="A10" s="94"/>
      <c r="B10" s="19" t="s">
        <v>83</v>
      </c>
      <c r="C10" s="54">
        <f t="shared" ref="C10:N10" si="0">SUM(C11:C25)</f>
        <v>2008252.44</v>
      </c>
      <c r="D10" s="54">
        <f t="shared" si="0"/>
        <v>2359619.79</v>
      </c>
      <c r="E10" s="54">
        <f t="shared" si="0"/>
        <v>2572070.2400000002</v>
      </c>
      <c r="F10" s="54">
        <f t="shared" si="0"/>
        <v>2993836.83</v>
      </c>
      <c r="G10" s="54">
        <f t="shared" si="0"/>
        <v>3243627.63</v>
      </c>
      <c r="H10" s="54">
        <f t="shared" si="0"/>
        <v>3565406.14</v>
      </c>
      <c r="I10" s="54">
        <f t="shared" si="0"/>
        <v>2938541.67</v>
      </c>
      <c r="J10" s="54">
        <f t="shared" si="0"/>
        <v>1566648.01</v>
      </c>
      <c r="K10" s="54">
        <f t="shared" si="0"/>
        <v>1911675.48</v>
      </c>
      <c r="L10" s="54">
        <f t="shared" si="0"/>
        <v>2135188.88</v>
      </c>
      <c r="M10" s="54">
        <f t="shared" si="0"/>
        <v>2290858.81</v>
      </c>
      <c r="N10" s="54">
        <f t="shared" si="0"/>
        <v>4667299.99</v>
      </c>
      <c r="O10" s="55"/>
    </row>
    <row r="11" spans="1:15" outlineLevel="1" x14ac:dyDescent="0.45">
      <c r="B11" s="16" t="s">
        <v>167</v>
      </c>
      <c r="C11" s="51"/>
      <c r="D11" s="51"/>
      <c r="E11" s="51"/>
      <c r="F11" s="51"/>
      <c r="G11" s="51"/>
      <c r="H11" s="51"/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/>
    </row>
    <row r="12" spans="1:15" outlineLevel="1" x14ac:dyDescent="0.45">
      <c r="B12" s="16" t="s">
        <v>168</v>
      </c>
      <c r="C12" s="51"/>
      <c r="D12" s="51"/>
      <c r="E12" s="51"/>
      <c r="F12" s="51"/>
      <c r="G12" s="51"/>
      <c r="H12" s="51"/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/>
    </row>
    <row r="13" spans="1:15" outlineLevel="1" x14ac:dyDescent="0.45">
      <c r="B13" s="16" t="s">
        <v>169</v>
      </c>
      <c r="C13" s="51"/>
      <c r="D13" s="51"/>
      <c r="E13" s="51"/>
      <c r="F13" s="51"/>
      <c r="G13" s="51"/>
      <c r="H13" s="51"/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/>
    </row>
    <row r="14" spans="1:15" outlineLevel="1" x14ac:dyDescent="0.45">
      <c r="B14" s="16" t="s">
        <v>87</v>
      </c>
      <c r="C14" s="51"/>
      <c r="D14" s="51"/>
      <c r="E14" s="51"/>
      <c r="F14" s="51"/>
      <c r="G14" s="51"/>
      <c r="H14" s="51"/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/>
    </row>
    <row r="15" spans="1:15" outlineLevel="1" x14ac:dyDescent="0.45">
      <c r="B15" s="16" t="s">
        <v>88</v>
      </c>
      <c r="C15" s="51"/>
      <c r="D15" s="51"/>
      <c r="E15" s="51"/>
      <c r="F15" s="51"/>
      <c r="G15" s="51"/>
      <c r="H15" s="51"/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/>
    </row>
    <row r="16" spans="1:15" outlineLevel="1" x14ac:dyDescent="0.45">
      <c r="B16" s="16" t="s">
        <v>89</v>
      </c>
      <c r="C16" s="51"/>
      <c r="D16" s="51"/>
      <c r="E16" s="51"/>
      <c r="F16" s="51"/>
      <c r="G16" s="51"/>
      <c r="H16" s="51"/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/>
    </row>
    <row r="17" spans="1:19" outlineLevel="1" x14ac:dyDescent="0.45">
      <c r="B17" s="16" t="s">
        <v>90</v>
      </c>
      <c r="C17" s="51"/>
      <c r="D17" s="51"/>
      <c r="E17" s="51"/>
      <c r="F17" s="51"/>
      <c r="G17" s="51"/>
      <c r="H17" s="51"/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/>
    </row>
    <row r="18" spans="1:19" outlineLevel="1" x14ac:dyDescent="0.45">
      <c r="B18" s="16" t="s">
        <v>91</v>
      </c>
      <c r="C18" s="51"/>
      <c r="D18" s="51"/>
      <c r="E18" s="51"/>
      <c r="F18" s="51"/>
      <c r="G18" s="51"/>
      <c r="H18" s="51"/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/>
    </row>
    <row r="19" spans="1:19" outlineLevel="1" x14ac:dyDescent="0.45">
      <c r="B19" s="16" t="s">
        <v>92</v>
      </c>
      <c r="C19" s="51"/>
      <c r="D19" s="51"/>
      <c r="E19" s="51"/>
      <c r="F19" s="51"/>
      <c r="G19" s="51"/>
      <c r="H19" s="51"/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/>
      <c r="S19" s="2"/>
    </row>
    <row r="20" spans="1:19" outlineLevel="1" x14ac:dyDescent="0.45">
      <c r="B20" s="16" t="s">
        <v>93</v>
      </c>
      <c r="C20" s="51"/>
      <c r="D20" s="51"/>
      <c r="E20" s="51"/>
      <c r="F20" s="51"/>
      <c r="G20" s="51"/>
      <c r="H20" s="51"/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/>
      <c r="S20" s="2"/>
    </row>
    <row r="21" spans="1:19" outlineLevel="1" x14ac:dyDescent="0.45">
      <c r="B21" s="16" t="s">
        <v>170</v>
      </c>
      <c r="C21" s="51"/>
      <c r="D21" s="51"/>
      <c r="E21" s="51"/>
      <c r="F21" s="51"/>
      <c r="G21" s="51"/>
      <c r="H21" s="51"/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/>
      <c r="S21" s="2"/>
    </row>
    <row r="22" spans="1:19" outlineLevel="1" x14ac:dyDescent="0.45">
      <c r="B22" s="16" t="s">
        <v>95</v>
      </c>
      <c r="C22" s="51">
        <v>2008252.44</v>
      </c>
      <c r="D22" s="51">
        <v>2359619.79</v>
      </c>
      <c r="E22" s="51">
        <v>2572070.2400000002</v>
      </c>
      <c r="F22" s="51">
        <v>2993836.83</v>
      </c>
      <c r="G22" s="51">
        <v>3243627.63</v>
      </c>
      <c r="H22" s="51">
        <v>3565406.14</v>
      </c>
      <c r="I22" s="51">
        <v>2938541.67</v>
      </c>
      <c r="J22" s="51">
        <v>1566648.01</v>
      </c>
      <c r="K22" s="51">
        <v>1911675.48</v>
      </c>
      <c r="L22" s="51">
        <v>2135188.88</v>
      </c>
      <c r="M22" s="51">
        <v>2290858.81</v>
      </c>
      <c r="N22" s="51">
        <v>4663541.99</v>
      </c>
      <c r="O22" s="51"/>
      <c r="S22" s="2"/>
    </row>
    <row r="23" spans="1:19" outlineLevel="1" x14ac:dyDescent="0.45">
      <c r="B23" s="16" t="s">
        <v>171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S23" s="2"/>
    </row>
    <row r="24" spans="1:19" outlineLevel="1" x14ac:dyDescent="0.45">
      <c r="B24" s="16" t="s">
        <v>97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S24" s="2"/>
    </row>
    <row r="25" spans="1:19" outlineLevel="1" x14ac:dyDescent="0.45">
      <c r="B25" s="16" t="s">
        <v>98</v>
      </c>
      <c r="C25" s="51">
        <v>0</v>
      </c>
      <c r="D25" s="51"/>
      <c r="E25" s="51"/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3758</v>
      </c>
      <c r="O25" s="51"/>
      <c r="S25" s="2"/>
    </row>
    <row r="26" spans="1:19" ht="15" x14ac:dyDescent="0.45">
      <c r="B26" s="28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spans="1:19" x14ac:dyDescent="0.45">
      <c r="B27" s="13" t="s">
        <v>99</v>
      </c>
      <c r="C27" s="53">
        <f>SUM(C28:C29)</f>
        <v>0</v>
      </c>
      <c r="D27" s="53">
        <f>SUM(D28:D29)</f>
        <v>0</v>
      </c>
      <c r="E27" s="53">
        <f t="shared" ref="E27:N27" si="1">SUM(E28:E29)</f>
        <v>0</v>
      </c>
      <c r="F27" s="53">
        <f t="shared" si="1"/>
        <v>0</v>
      </c>
      <c r="G27" s="53"/>
      <c r="H27" s="53">
        <f t="shared" si="1"/>
        <v>0</v>
      </c>
      <c r="I27" s="53">
        <f t="shared" si="1"/>
        <v>0</v>
      </c>
      <c r="J27" s="53">
        <f t="shared" si="1"/>
        <v>0</v>
      </c>
      <c r="K27" s="53">
        <f t="shared" si="1"/>
        <v>0</v>
      </c>
      <c r="L27" s="53">
        <f t="shared" si="1"/>
        <v>0</v>
      </c>
      <c r="M27" s="53">
        <f t="shared" si="1"/>
        <v>0</v>
      </c>
      <c r="N27" s="53">
        <f t="shared" si="1"/>
        <v>0</v>
      </c>
      <c r="O27" s="51"/>
    </row>
    <row r="28" spans="1:19" outlineLevel="1" x14ac:dyDescent="0.45">
      <c r="B28" s="16" t="s">
        <v>100</v>
      </c>
      <c r="C28" s="51"/>
      <c r="D28" s="51"/>
      <c r="E28" s="51"/>
      <c r="F28" s="51"/>
      <c r="G28" s="51"/>
      <c r="H28" s="51"/>
      <c r="I28" s="51"/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/>
    </row>
    <row r="29" spans="1:19" outlineLevel="1" x14ac:dyDescent="0.45">
      <c r="B29" s="16" t="s">
        <v>309</v>
      </c>
      <c r="C29" s="51">
        <v>0</v>
      </c>
      <c r="D29" s="51">
        <v>0</v>
      </c>
      <c r="E29" s="51">
        <v>0</v>
      </c>
      <c r="F29" s="51">
        <v>0</v>
      </c>
      <c r="G29" s="51"/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/>
    </row>
    <row r="30" spans="1:19" ht="15" x14ac:dyDescent="0.45">
      <c r="B30" s="28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spans="1:19" s="95" customFormat="1" x14ac:dyDescent="0.45">
      <c r="A31" s="94"/>
      <c r="B31" s="19" t="s">
        <v>101</v>
      </c>
      <c r="C31" s="54">
        <f>SUM(C32:C43)</f>
        <v>131186.62</v>
      </c>
      <c r="D31" s="54">
        <f t="shared" ref="D31:N31" si="2">SUM(D32:D43)</f>
        <v>131131.32999999999</v>
      </c>
      <c r="E31" s="54">
        <f t="shared" si="2"/>
        <v>142099.49</v>
      </c>
      <c r="F31" s="54">
        <f t="shared" si="2"/>
        <v>123074.57</v>
      </c>
      <c r="G31" s="54">
        <f t="shared" si="2"/>
        <v>48284.729999999996</v>
      </c>
      <c r="H31" s="54">
        <f t="shared" si="2"/>
        <v>1679.89</v>
      </c>
      <c r="I31" s="54">
        <f t="shared" si="2"/>
        <v>5808.05</v>
      </c>
      <c r="J31" s="54">
        <f t="shared" si="2"/>
        <v>9936.2099999999991</v>
      </c>
      <c r="K31" s="54">
        <f t="shared" si="2"/>
        <v>14064.37</v>
      </c>
      <c r="L31" s="54">
        <f t="shared" si="2"/>
        <v>-6576.45</v>
      </c>
      <c r="M31" s="54">
        <f t="shared" si="2"/>
        <v>-4384.3</v>
      </c>
      <c r="N31" s="54">
        <f t="shared" si="2"/>
        <v>-2192.15</v>
      </c>
      <c r="O31" s="55"/>
    </row>
    <row r="32" spans="1:19" outlineLevel="1" x14ac:dyDescent="0.45">
      <c r="A32" s="29"/>
      <c r="B32" s="16" t="s">
        <v>102</v>
      </c>
      <c r="C32" s="51"/>
      <c r="D32" s="51"/>
      <c r="E32" s="51"/>
      <c r="F32" s="51"/>
      <c r="G32" s="51"/>
      <c r="H32" s="51"/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/>
    </row>
    <row r="33" spans="1:15" outlineLevel="1" x14ac:dyDescent="0.45">
      <c r="A33" s="29"/>
      <c r="B33" s="16" t="s">
        <v>103</v>
      </c>
      <c r="C33" s="51"/>
      <c r="D33" s="51"/>
      <c r="E33" s="51"/>
      <c r="F33" s="51"/>
      <c r="G33" s="51"/>
      <c r="H33" s="51"/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/>
    </row>
    <row r="34" spans="1:15" outlineLevel="1" x14ac:dyDescent="0.45">
      <c r="A34" s="29"/>
      <c r="B34" s="16" t="s">
        <v>104</v>
      </c>
      <c r="C34" s="51">
        <v>71402.05</v>
      </c>
      <c r="D34" s="51">
        <v>72654.7</v>
      </c>
      <c r="E34" s="51">
        <v>73907.350000000006</v>
      </c>
      <c r="F34" s="51">
        <v>75160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/>
    </row>
    <row r="35" spans="1:15" outlineLevel="1" x14ac:dyDescent="0.45">
      <c r="A35" s="29"/>
      <c r="B35" s="16" t="s">
        <v>105</v>
      </c>
      <c r="C35" s="51"/>
      <c r="D35" s="51"/>
      <c r="E35" s="51"/>
      <c r="F35" s="51"/>
      <c r="G35" s="51"/>
      <c r="H35" s="51"/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/>
    </row>
    <row r="36" spans="1:15" outlineLevel="1" x14ac:dyDescent="0.45">
      <c r="A36" s="29"/>
      <c r="B36" s="16" t="s">
        <v>106</v>
      </c>
      <c r="C36" s="51">
        <v>15798.79</v>
      </c>
      <c r="D36" s="51">
        <v>10246.98</v>
      </c>
      <c r="E36" s="51">
        <v>14090.17</v>
      </c>
      <c r="F36" s="51"/>
      <c r="G36" s="51"/>
      <c r="H36" s="51"/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/>
    </row>
    <row r="37" spans="1:15" outlineLevel="1" x14ac:dyDescent="0.45">
      <c r="A37" s="29"/>
      <c r="B37" s="16" t="s">
        <v>107</v>
      </c>
      <c r="C37" s="51"/>
      <c r="D37" s="51"/>
      <c r="E37" s="51"/>
      <c r="F37" s="51"/>
      <c r="G37" s="51"/>
      <c r="H37" s="51"/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/>
    </row>
    <row r="38" spans="1:15" outlineLevel="1" x14ac:dyDescent="0.45">
      <c r="A38" s="29"/>
      <c r="B38" s="16" t="s">
        <v>108</v>
      </c>
      <c r="C38" s="51">
        <v>6155.23</v>
      </c>
      <c r="D38" s="51">
        <v>10399.1</v>
      </c>
      <c r="E38" s="51">
        <v>14642.97</v>
      </c>
      <c r="F38" s="51">
        <v>6576.57</v>
      </c>
      <c r="G38" s="51">
        <v>10704.73</v>
      </c>
      <c r="H38" s="51">
        <v>1679.89</v>
      </c>
      <c r="I38" s="51">
        <v>5808.05</v>
      </c>
      <c r="J38" s="51">
        <v>9936.2099999999991</v>
      </c>
      <c r="K38" s="51">
        <v>14064.37</v>
      </c>
      <c r="L38" s="51">
        <v>-6576.45</v>
      </c>
      <c r="M38" s="51">
        <v>-4384.3</v>
      </c>
      <c r="N38" s="51">
        <v>-2192.15</v>
      </c>
      <c r="O38" s="51"/>
    </row>
    <row r="39" spans="1:15" outlineLevel="1" x14ac:dyDescent="0.45">
      <c r="A39" s="29"/>
      <c r="B39" s="16" t="s">
        <v>301</v>
      </c>
      <c r="C39" s="51">
        <v>37580</v>
      </c>
      <c r="D39" s="51">
        <v>37580</v>
      </c>
      <c r="E39" s="51">
        <v>37580</v>
      </c>
      <c r="F39" s="51">
        <v>37580</v>
      </c>
      <c r="G39" s="51">
        <v>37580</v>
      </c>
      <c r="H39" s="51"/>
      <c r="I39" s="51"/>
      <c r="J39" s="51"/>
      <c r="K39" s="51"/>
      <c r="L39" s="51"/>
      <c r="M39" s="51"/>
      <c r="N39" s="51"/>
      <c r="O39" s="51"/>
    </row>
    <row r="40" spans="1:15" outlineLevel="1" x14ac:dyDescent="0.45">
      <c r="A40" s="29"/>
      <c r="B40" s="16" t="s">
        <v>109</v>
      </c>
      <c r="C40" s="51">
        <v>250.55</v>
      </c>
      <c r="D40" s="51">
        <v>250.55</v>
      </c>
      <c r="E40" s="51">
        <v>1879</v>
      </c>
      <c r="F40" s="51">
        <v>3758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/>
    </row>
    <row r="41" spans="1:15" outlineLevel="1" x14ac:dyDescent="0.45">
      <c r="A41" s="29"/>
      <c r="B41" s="16" t="s">
        <v>110</v>
      </c>
      <c r="C41" s="51"/>
      <c r="D41" s="51"/>
      <c r="E41" s="51"/>
      <c r="F41" s="51"/>
      <c r="G41" s="51"/>
      <c r="H41" s="51"/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/>
    </row>
    <row r="42" spans="1:15" outlineLevel="1" x14ac:dyDescent="0.45">
      <c r="A42" s="29"/>
      <c r="B42" s="16" t="s">
        <v>172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</row>
    <row r="43" spans="1:15" outlineLevel="1" x14ac:dyDescent="0.45">
      <c r="A43" s="29"/>
      <c r="B43" s="16" t="s">
        <v>173</v>
      </c>
      <c r="C43" s="51"/>
      <c r="D43" s="51"/>
      <c r="E43" s="51"/>
      <c r="F43" s="51"/>
      <c r="G43" s="51"/>
      <c r="H43" s="51"/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/>
    </row>
    <row r="44" spans="1:15" outlineLevel="1" x14ac:dyDescent="0.45">
      <c r="A44" s="29"/>
      <c r="B44" s="16" t="s">
        <v>174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</row>
    <row r="45" spans="1:15" ht="15" x14ac:dyDescent="0.45">
      <c r="B45" s="28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</row>
    <row r="46" spans="1:15" x14ac:dyDescent="0.45">
      <c r="B46" s="19" t="s">
        <v>114</v>
      </c>
      <c r="C46" s="54">
        <f>+C31+C10+C27</f>
        <v>2139439.06</v>
      </c>
      <c r="D46" s="54">
        <f>+D31+D10+D27</f>
        <v>2490751.12</v>
      </c>
      <c r="E46" s="54">
        <f t="shared" ref="E46:N46" si="3">+E31+E10+E27</f>
        <v>2714169.7300000004</v>
      </c>
      <c r="F46" s="54">
        <f t="shared" si="3"/>
        <v>3116911.4</v>
      </c>
      <c r="G46" s="54">
        <f t="shared" si="3"/>
        <v>3291912.36</v>
      </c>
      <c r="H46" s="54">
        <f t="shared" si="3"/>
        <v>3567086.0300000003</v>
      </c>
      <c r="I46" s="54">
        <f t="shared" si="3"/>
        <v>2944349.7199999997</v>
      </c>
      <c r="J46" s="54">
        <f t="shared" si="3"/>
        <v>1576584.22</v>
      </c>
      <c r="K46" s="54">
        <f t="shared" si="3"/>
        <v>1925739.85</v>
      </c>
      <c r="L46" s="54">
        <f t="shared" si="3"/>
        <v>2128612.4299999997</v>
      </c>
      <c r="M46" s="54">
        <f t="shared" si="3"/>
        <v>2286474.5100000002</v>
      </c>
      <c r="N46" s="54">
        <f t="shared" si="3"/>
        <v>4665107.84</v>
      </c>
      <c r="O46" s="55"/>
    </row>
    <row r="47" spans="1:15" ht="15" x14ac:dyDescent="0.45">
      <c r="B47" s="28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</row>
    <row r="48" spans="1:15" ht="15" x14ac:dyDescent="0.45">
      <c r="B48" s="28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</row>
    <row r="49" spans="1:26" s="95" customFormat="1" x14ac:dyDescent="0.45">
      <c r="A49" s="94"/>
      <c r="B49" s="19" t="s">
        <v>115</v>
      </c>
      <c r="C49" s="54">
        <f>SUM(C50:C56)</f>
        <v>10767.830000000002</v>
      </c>
      <c r="D49" s="54">
        <f>SUM(D50:D57)</f>
        <v>11366.03</v>
      </c>
      <c r="E49" s="54">
        <f t="shared" ref="E49:N49" si="4">SUM(E50:E57)</f>
        <v>11964.23</v>
      </c>
      <c r="F49" s="54">
        <f t="shared" si="4"/>
        <v>12562.43</v>
      </c>
      <c r="G49" s="54">
        <f t="shared" si="4"/>
        <v>13160.630000000001</v>
      </c>
      <c r="H49" s="54">
        <f t="shared" si="4"/>
        <v>13758.83</v>
      </c>
      <c r="I49" s="54">
        <f t="shared" si="4"/>
        <v>0</v>
      </c>
      <c r="J49" s="54">
        <f t="shared" si="4"/>
        <v>0</v>
      </c>
      <c r="K49" s="54">
        <f t="shared" si="4"/>
        <v>0</v>
      </c>
      <c r="L49" s="54">
        <f t="shared" si="4"/>
        <v>0</v>
      </c>
      <c r="M49" s="54">
        <f t="shared" si="4"/>
        <v>0</v>
      </c>
      <c r="N49" s="54">
        <f t="shared" si="4"/>
        <v>0</v>
      </c>
      <c r="O49" s="55"/>
    </row>
    <row r="50" spans="1:26" outlineLevel="1" x14ac:dyDescent="0.45">
      <c r="B50" s="16" t="s">
        <v>116</v>
      </c>
      <c r="C50" s="51"/>
      <c r="D50" s="51"/>
      <c r="E50" s="51"/>
      <c r="F50" s="51"/>
      <c r="G50" s="51"/>
      <c r="H50" s="51"/>
      <c r="I50" s="51"/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/>
      <c r="V50" s="35"/>
      <c r="W50" s="35"/>
      <c r="X50" s="35"/>
      <c r="Y50" s="35"/>
      <c r="Z50" s="35"/>
    </row>
    <row r="51" spans="1:26" outlineLevel="1" x14ac:dyDescent="0.45">
      <c r="B51" s="16" t="s">
        <v>117</v>
      </c>
      <c r="C51" s="51"/>
      <c r="D51" s="51"/>
      <c r="E51" s="51"/>
      <c r="F51" s="51"/>
      <c r="G51" s="51"/>
      <c r="H51" s="51"/>
      <c r="I51" s="51"/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/>
      <c r="V51" s="35"/>
      <c r="W51" s="35"/>
      <c r="X51" s="35"/>
      <c r="Y51" s="35"/>
      <c r="Z51" s="35"/>
    </row>
    <row r="52" spans="1:26" outlineLevel="1" x14ac:dyDescent="0.45">
      <c r="B52" s="16" t="s">
        <v>118</v>
      </c>
      <c r="C52" s="51">
        <v>-3589.2</v>
      </c>
      <c r="D52" s="51">
        <v>-2991</v>
      </c>
      <c r="E52" s="51">
        <v>-2392.8000000000002</v>
      </c>
      <c r="F52" s="51">
        <v>-1794.6</v>
      </c>
      <c r="G52" s="51">
        <v>-1196.4000000000001</v>
      </c>
      <c r="H52" s="51">
        <v>-598.20000000000005</v>
      </c>
      <c r="I52" s="51"/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/>
      <c r="V52" s="35"/>
      <c r="W52" s="35"/>
      <c r="X52" s="35"/>
      <c r="Y52" s="35"/>
      <c r="Z52" s="35"/>
    </row>
    <row r="53" spans="1:26" outlineLevel="1" x14ac:dyDescent="0.45">
      <c r="B53" s="16" t="s">
        <v>175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V53" s="35"/>
      <c r="W53" s="35"/>
      <c r="X53" s="35"/>
      <c r="Y53" s="35"/>
      <c r="Z53" s="35"/>
    </row>
    <row r="54" spans="1:26" outlineLevel="1" x14ac:dyDescent="0.45">
      <c r="B54" s="16" t="s">
        <v>120</v>
      </c>
      <c r="C54" s="51"/>
      <c r="D54" s="51"/>
      <c r="E54" s="51"/>
      <c r="F54" s="51"/>
      <c r="G54" s="51"/>
      <c r="H54" s="51"/>
      <c r="I54" s="51"/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/>
      <c r="V54" s="35"/>
      <c r="W54" s="35"/>
      <c r="X54" s="35"/>
      <c r="Y54" s="35"/>
      <c r="Z54" s="35"/>
    </row>
    <row r="55" spans="1:26" outlineLevel="1" x14ac:dyDescent="0.45">
      <c r="B55" s="16" t="s">
        <v>121</v>
      </c>
      <c r="C55" s="51"/>
      <c r="D55" s="51"/>
      <c r="E55" s="51"/>
      <c r="F55" s="51"/>
      <c r="G55" s="51"/>
      <c r="H55" s="51"/>
      <c r="I55" s="51"/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/>
      <c r="V55" s="35"/>
      <c r="W55" s="35"/>
      <c r="X55" s="35"/>
      <c r="Y55" s="35"/>
      <c r="Z55" s="35"/>
    </row>
    <row r="56" spans="1:26" ht="15" x14ac:dyDescent="0.45">
      <c r="B56" s="16" t="s">
        <v>122</v>
      </c>
      <c r="C56" s="51">
        <v>14357.03</v>
      </c>
      <c r="D56" s="51">
        <v>14357.03</v>
      </c>
      <c r="E56" s="51">
        <v>14357.03</v>
      </c>
      <c r="F56" s="51">
        <v>14357.03</v>
      </c>
      <c r="G56" s="51">
        <v>14357.03</v>
      </c>
      <c r="H56" s="51">
        <v>14357.03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2"/>
      <c r="V56" s="35"/>
      <c r="W56" s="35"/>
      <c r="X56" s="35"/>
      <c r="Y56" s="35"/>
      <c r="Z56" s="35"/>
    </row>
    <row r="57" spans="1:26" ht="15" x14ac:dyDescent="0.45">
      <c r="B57" s="16" t="s">
        <v>123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</row>
    <row r="58" spans="1:26" ht="15" x14ac:dyDescent="0.45">
      <c r="B58" s="16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</row>
    <row r="59" spans="1:26" s="95" customFormat="1" x14ac:dyDescent="0.45">
      <c r="A59" s="94"/>
      <c r="B59" s="19" t="s">
        <v>302</v>
      </c>
      <c r="C59" s="54">
        <f>SUM(C60:C63)</f>
        <v>24466079.459999997</v>
      </c>
      <c r="D59" s="54">
        <f t="shared" ref="D59:N59" si="5">SUM(D60:D63)</f>
        <v>24466079.459999997</v>
      </c>
      <c r="E59" s="54">
        <f t="shared" si="5"/>
        <v>25029779.459999997</v>
      </c>
      <c r="F59" s="54">
        <f t="shared" si="5"/>
        <v>25029779.459999997</v>
      </c>
      <c r="G59" s="54">
        <f t="shared" si="5"/>
        <v>25029779.459999997</v>
      </c>
      <c r="H59" s="54">
        <f t="shared" si="5"/>
        <v>25029779.459999997</v>
      </c>
      <c r="I59" s="54">
        <f t="shared" si="5"/>
        <v>25027659.949999999</v>
      </c>
      <c r="J59" s="54">
        <f t="shared" si="5"/>
        <v>20906385.120000001</v>
      </c>
      <c r="K59" s="54">
        <f t="shared" si="5"/>
        <v>20906385.120000001</v>
      </c>
      <c r="L59" s="54">
        <f t="shared" si="5"/>
        <v>20906385.120000001</v>
      </c>
      <c r="M59" s="54">
        <f t="shared" si="5"/>
        <v>20906385.120000001</v>
      </c>
      <c r="N59" s="54">
        <f t="shared" si="5"/>
        <v>18651585.120000001</v>
      </c>
      <c r="O59" s="55"/>
    </row>
    <row r="60" spans="1:26" x14ac:dyDescent="0.45">
      <c r="B60" s="16" t="s">
        <v>296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</row>
    <row r="61" spans="1:26" x14ac:dyDescent="0.45">
      <c r="B61" s="16" t="s">
        <v>297</v>
      </c>
      <c r="C61" s="51">
        <v>2686.97</v>
      </c>
      <c r="D61" s="51">
        <v>2686.97</v>
      </c>
      <c r="E61" s="51">
        <v>2686.97</v>
      </c>
      <c r="F61" s="51">
        <v>2686.97</v>
      </c>
      <c r="G61" s="51">
        <v>2686.97</v>
      </c>
      <c r="H61" s="51">
        <v>2686.97</v>
      </c>
      <c r="I61" s="51">
        <v>567.46</v>
      </c>
      <c r="J61" s="51">
        <v>567.46</v>
      </c>
      <c r="K61" s="51">
        <v>567.46</v>
      </c>
      <c r="L61" s="51">
        <v>567.46</v>
      </c>
      <c r="M61" s="51">
        <v>567.46</v>
      </c>
      <c r="N61" s="51">
        <v>567.46</v>
      </c>
      <c r="O61" s="51"/>
    </row>
    <row r="62" spans="1:26" x14ac:dyDescent="0.45">
      <c r="B62" s="16" t="s">
        <v>298</v>
      </c>
      <c r="C62" s="56">
        <v>24463392.489999998</v>
      </c>
      <c r="D62" s="56">
        <v>24463392.489999998</v>
      </c>
      <c r="E62" s="56">
        <v>25027092.489999998</v>
      </c>
      <c r="F62" s="56">
        <v>25027092.489999998</v>
      </c>
      <c r="G62" s="56">
        <v>25027092.489999998</v>
      </c>
      <c r="H62" s="56">
        <v>25027092.489999998</v>
      </c>
      <c r="I62" s="56">
        <v>25027092.489999998</v>
      </c>
      <c r="J62" s="56">
        <v>20905817.66</v>
      </c>
      <c r="K62" s="56">
        <v>20905817.66</v>
      </c>
      <c r="L62" s="56">
        <v>20905817.66</v>
      </c>
      <c r="M62" s="56">
        <v>20905817.66</v>
      </c>
      <c r="N62" s="56">
        <v>18651017.66</v>
      </c>
      <c r="O62" s="56"/>
    </row>
    <row r="63" spans="1:26" ht="15" x14ac:dyDescent="0.45">
      <c r="B63" s="16" t="s">
        <v>299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</row>
    <row r="64" spans="1:26" ht="15" x14ac:dyDescent="0.45">
      <c r="B64" s="28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</row>
    <row r="65" spans="1:22" s="95" customFormat="1" x14ac:dyDescent="0.45">
      <c r="A65" s="94"/>
      <c r="B65" s="19" t="s">
        <v>304</v>
      </c>
      <c r="C65" s="54">
        <f>SUM(C66:C67)</f>
        <v>3720.42</v>
      </c>
      <c r="D65" s="54">
        <f t="shared" ref="D65:N65" si="6">SUM(D66:D67)</f>
        <v>3720.42</v>
      </c>
      <c r="E65" s="54">
        <f t="shared" si="6"/>
        <v>3720.42</v>
      </c>
      <c r="F65" s="54">
        <f t="shared" si="6"/>
        <v>3720.42</v>
      </c>
      <c r="G65" s="54">
        <f t="shared" si="6"/>
        <v>3720.42</v>
      </c>
      <c r="H65" s="54">
        <f t="shared" si="6"/>
        <v>3720.42</v>
      </c>
      <c r="I65" s="54">
        <f t="shared" si="6"/>
        <v>3720.42</v>
      </c>
      <c r="J65" s="54">
        <f t="shared" si="6"/>
        <v>3720.42</v>
      </c>
      <c r="K65" s="54">
        <f t="shared" si="6"/>
        <v>3720.42</v>
      </c>
      <c r="L65" s="54">
        <f t="shared" si="6"/>
        <v>3720.42</v>
      </c>
      <c r="M65" s="54">
        <f t="shared" si="6"/>
        <v>3720.42</v>
      </c>
      <c r="N65" s="54">
        <f t="shared" si="6"/>
        <v>3720.42</v>
      </c>
      <c r="O65" s="55"/>
    </row>
    <row r="66" spans="1:22" ht="15" x14ac:dyDescent="0.45">
      <c r="B66" s="16" t="s">
        <v>303</v>
      </c>
      <c r="C66" s="52">
        <v>3720.42</v>
      </c>
      <c r="D66" s="52">
        <v>3720.42</v>
      </c>
      <c r="E66" s="52">
        <v>3720.42</v>
      </c>
      <c r="F66" s="52">
        <v>3720.42</v>
      </c>
      <c r="G66" s="52">
        <v>3720.42</v>
      </c>
      <c r="H66" s="52">
        <v>3720.42</v>
      </c>
      <c r="I66" s="52">
        <v>3720.42</v>
      </c>
      <c r="J66" s="52">
        <v>3720.42</v>
      </c>
      <c r="K66" s="52">
        <v>3720.42</v>
      </c>
      <c r="L66" s="52">
        <v>3720.42</v>
      </c>
      <c r="M66" s="52">
        <v>3720.42</v>
      </c>
      <c r="N66" s="52">
        <v>3720.42</v>
      </c>
      <c r="O66" s="52"/>
    </row>
    <row r="67" spans="1:22" ht="15" x14ac:dyDescent="0.45">
      <c r="B67" s="28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</row>
    <row r="68" spans="1:22" ht="15" x14ac:dyDescent="0.45">
      <c r="B68" s="28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</row>
    <row r="69" spans="1:22" x14ac:dyDescent="0.45">
      <c r="B69" s="19" t="s">
        <v>125</v>
      </c>
      <c r="C69" s="54">
        <f>+C59+C49+C65</f>
        <v>24480567.709999997</v>
      </c>
      <c r="D69" s="54">
        <f t="shared" ref="D69:N69" si="7">+D59+D49+D65</f>
        <v>24481165.91</v>
      </c>
      <c r="E69" s="54">
        <f t="shared" si="7"/>
        <v>25045464.109999999</v>
      </c>
      <c r="F69" s="54">
        <f t="shared" si="7"/>
        <v>25046062.309999999</v>
      </c>
      <c r="G69" s="54">
        <f t="shared" si="7"/>
        <v>25046660.509999998</v>
      </c>
      <c r="H69" s="54">
        <f t="shared" si="7"/>
        <v>25047258.709999997</v>
      </c>
      <c r="I69" s="54">
        <f t="shared" si="7"/>
        <v>25031380.370000001</v>
      </c>
      <c r="J69" s="54">
        <f t="shared" si="7"/>
        <v>20910105.540000003</v>
      </c>
      <c r="K69" s="54">
        <f t="shared" si="7"/>
        <v>20910105.540000003</v>
      </c>
      <c r="L69" s="54">
        <f t="shared" si="7"/>
        <v>20910105.540000003</v>
      </c>
      <c r="M69" s="54">
        <f t="shared" si="7"/>
        <v>20910105.540000003</v>
      </c>
      <c r="N69" s="54">
        <f t="shared" si="7"/>
        <v>18655305.540000003</v>
      </c>
      <c r="O69" s="55"/>
      <c r="V69" s="61"/>
    </row>
    <row r="70" spans="1:22" ht="15" x14ac:dyDescent="0.45">
      <c r="B70" s="28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</row>
    <row r="71" spans="1:22" ht="15" x14ac:dyDescent="0.45">
      <c r="B71" s="28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</row>
    <row r="72" spans="1:22" x14ac:dyDescent="0.45">
      <c r="B72" s="19" t="s">
        <v>126</v>
      </c>
      <c r="C72" s="54">
        <f t="shared" ref="C72:N72" si="8">+C69+C46</f>
        <v>26620006.769999996</v>
      </c>
      <c r="D72" s="54">
        <f t="shared" si="8"/>
        <v>26971917.030000001</v>
      </c>
      <c r="E72" s="54">
        <f t="shared" si="8"/>
        <v>27759633.84</v>
      </c>
      <c r="F72" s="54">
        <f t="shared" si="8"/>
        <v>28162973.709999997</v>
      </c>
      <c r="G72" s="54">
        <f t="shared" si="8"/>
        <v>28338572.869999997</v>
      </c>
      <c r="H72" s="54">
        <f t="shared" si="8"/>
        <v>28614344.739999998</v>
      </c>
      <c r="I72" s="54">
        <f t="shared" si="8"/>
        <v>27975730.09</v>
      </c>
      <c r="J72" s="54">
        <f t="shared" si="8"/>
        <v>22486689.760000002</v>
      </c>
      <c r="K72" s="54">
        <f t="shared" si="8"/>
        <v>22835845.390000004</v>
      </c>
      <c r="L72" s="54">
        <f t="shared" si="8"/>
        <v>23038717.970000003</v>
      </c>
      <c r="M72" s="54">
        <f t="shared" si="8"/>
        <v>23196580.050000004</v>
      </c>
      <c r="N72" s="54">
        <f t="shared" si="8"/>
        <v>23320413.380000003</v>
      </c>
      <c r="O72" s="55"/>
    </row>
    <row r="73" spans="1:22" ht="15" x14ac:dyDescent="0.45">
      <c r="B73" s="28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U73" s="35"/>
    </row>
    <row r="74" spans="1:22" ht="15" x14ac:dyDescent="0.45">
      <c r="B74" s="28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U74" s="35"/>
    </row>
    <row r="75" spans="1:22" ht="15.75" thickBot="1" x14ac:dyDescent="0.5">
      <c r="B75" s="31" t="s">
        <v>127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2"/>
    </row>
    <row r="76" spans="1:22" ht="15.4" x14ac:dyDescent="0.45">
      <c r="B76" s="3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</row>
    <row r="77" spans="1:22" s="95" customFormat="1" x14ac:dyDescent="0.45">
      <c r="A77" s="94"/>
      <c r="B77" s="19" t="s">
        <v>128</v>
      </c>
      <c r="C77" s="54">
        <f>SUM(C78:C94)</f>
        <v>17851.759999999998</v>
      </c>
      <c r="D77" s="54">
        <f t="shared" ref="D77:N77" si="9">SUM(D78:D92)</f>
        <v>70460.210000000006</v>
      </c>
      <c r="E77" s="54">
        <f t="shared" si="9"/>
        <v>1.28</v>
      </c>
      <c r="F77" s="54">
        <f>SUM(F78:F92)</f>
        <v>105132.96</v>
      </c>
      <c r="G77" s="54">
        <f t="shared" si="9"/>
        <v>18039.650000000001</v>
      </c>
      <c r="H77" s="54">
        <f t="shared" si="9"/>
        <v>70384.81</v>
      </c>
      <c r="I77" s="54">
        <f t="shared" si="9"/>
        <v>175571.02000000002</v>
      </c>
      <c r="J77" s="54">
        <f t="shared" si="9"/>
        <v>90420.31</v>
      </c>
      <c r="K77" s="54">
        <f t="shared" si="9"/>
        <v>184923.33000000002</v>
      </c>
      <c r="L77" s="54">
        <f t="shared" si="9"/>
        <v>180560.52000000002</v>
      </c>
      <c r="M77" s="54">
        <f>SUM(M78:M93)</f>
        <v>143640.25</v>
      </c>
      <c r="N77" s="54">
        <f t="shared" si="9"/>
        <v>71364.709999999992</v>
      </c>
      <c r="O77" s="55"/>
      <c r="R77" s="97"/>
    </row>
    <row r="78" spans="1:22" outlineLevel="1" x14ac:dyDescent="0.45">
      <c r="B78" s="16" t="s">
        <v>129</v>
      </c>
      <c r="C78" s="51"/>
      <c r="D78" s="51"/>
      <c r="E78" s="51"/>
      <c r="F78" s="51"/>
      <c r="G78" s="51"/>
      <c r="H78" s="51"/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/>
      <c r="R78" s="2"/>
    </row>
    <row r="79" spans="1:22" outlineLevel="1" x14ac:dyDescent="0.45">
      <c r="B79" s="16" t="s">
        <v>130</v>
      </c>
      <c r="C79" s="51"/>
      <c r="D79" s="51"/>
      <c r="E79" s="51"/>
      <c r="F79" s="51"/>
      <c r="G79" s="51"/>
      <c r="H79" s="51"/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/>
      <c r="R79" s="2"/>
    </row>
    <row r="80" spans="1:22" outlineLevel="1" x14ac:dyDescent="0.45">
      <c r="B80" s="16" t="s">
        <v>131</v>
      </c>
      <c r="C80" s="51"/>
      <c r="D80" s="51"/>
      <c r="E80" s="51"/>
      <c r="F80" s="51"/>
      <c r="G80" s="51"/>
      <c r="H80" s="51"/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/>
      <c r="R80" s="2"/>
    </row>
    <row r="81" spans="1:18" outlineLevel="1" x14ac:dyDescent="0.45">
      <c r="B81" s="16" t="s">
        <v>132</v>
      </c>
      <c r="C81" s="51"/>
      <c r="D81" s="51"/>
      <c r="E81" s="51"/>
      <c r="F81" s="51"/>
      <c r="G81" s="51"/>
      <c r="H81" s="51"/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/>
      <c r="R81" s="2"/>
    </row>
    <row r="82" spans="1:18" outlineLevel="1" x14ac:dyDescent="0.45">
      <c r="B82" s="16" t="s">
        <v>133</v>
      </c>
      <c r="C82" s="51"/>
      <c r="D82" s="51"/>
      <c r="E82" s="51"/>
      <c r="F82" s="51"/>
      <c r="G82" s="51"/>
      <c r="H82" s="51"/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/>
    </row>
    <row r="83" spans="1:18" outlineLevel="1" x14ac:dyDescent="0.45">
      <c r="B83" s="16" t="s">
        <v>134</v>
      </c>
      <c r="C83" s="51"/>
      <c r="D83" s="51"/>
      <c r="E83" s="51"/>
      <c r="F83" s="51"/>
      <c r="G83" s="51"/>
      <c r="H83" s="51"/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/>
    </row>
    <row r="84" spans="1:18" outlineLevel="1" x14ac:dyDescent="0.45">
      <c r="B84" s="16" t="s">
        <v>135</v>
      </c>
      <c r="C84" s="51"/>
      <c r="D84" s="51"/>
      <c r="E84" s="51"/>
      <c r="F84" s="51"/>
      <c r="G84" s="51"/>
      <c r="H84" s="51"/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/>
    </row>
    <row r="85" spans="1:18" outlineLevel="1" x14ac:dyDescent="0.45">
      <c r="B85" s="16" t="s">
        <v>136</v>
      </c>
      <c r="C85" s="51"/>
      <c r="D85" s="51"/>
      <c r="E85" s="51"/>
      <c r="F85" s="51"/>
      <c r="G85" s="51"/>
      <c r="H85" s="51"/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/>
    </row>
    <row r="86" spans="1:18" outlineLevel="1" x14ac:dyDescent="0.45">
      <c r="B86" s="16" t="s">
        <v>137</v>
      </c>
      <c r="C86" s="51">
        <v>17850.5</v>
      </c>
      <c r="D86" s="51"/>
      <c r="E86" s="51"/>
      <c r="F86" s="51"/>
      <c r="G86" s="51"/>
      <c r="H86" s="51"/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/>
      <c r="P86" s="2"/>
    </row>
    <row r="87" spans="1:18" outlineLevel="1" x14ac:dyDescent="0.45">
      <c r="B87" s="16" t="s">
        <v>138</v>
      </c>
      <c r="C87" s="51"/>
      <c r="D87" s="51"/>
      <c r="E87" s="51"/>
      <c r="F87" s="51"/>
      <c r="G87" s="51"/>
      <c r="H87" s="51"/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/>
      <c r="P87" s="2"/>
    </row>
    <row r="88" spans="1:18" outlineLevel="1" x14ac:dyDescent="0.45">
      <c r="B88" s="16" t="s">
        <v>139</v>
      </c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2"/>
    </row>
    <row r="89" spans="1:18" outlineLevel="1" x14ac:dyDescent="0.45">
      <c r="B89" s="16" t="s">
        <v>140</v>
      </c>
      <c r="C89" s="51">
        <v>1.26</v>
      </c>
      <c r="D89" s="51">
        <v>70460.210000000006</v>
      </c>
      <c r="E89" s="51">
        <v>1.28</v>
      </c>
      <c r="F89" s="51">
        <v>105132.96</v>
      </c>
      <c r="G89" s="51">
        <v>18039.650000000001</v>
      </c>
      <c r="H89" s="51">
        <v>35871.360000000001</v>
      </c>
      <c r="I89" s="51">
        <v>141057.57</v>
      </c>
      <c r="J89" s="51">
        <v>55906.86</v>
      </c>
      <c r="K89" s="51">
        <v>150409.88</v>
      </c>
      <c r="L89" s="51">
        <v>146047.07</v>
      </c>
      <c r="M89" s="51">
        <v>109126.8</v>
      </c>
      <c r="N89" s="51">
        <v>36851.26</v>
      </c>
      <c r="O89" s="51"/>
    </row>
    <row r="90" spans="1:18" outlineLevel="1" x14ac:dyDescent="0.45">
      <c r="B90" s="16" t="s">
        <v>141</v>
      </c>
      <c r="C90" s="51"/>
      <c r="D90" s="51"/>
      <c r="E90" s="51"/>
      <c r="F90" s="51"/>
      <c r="G90" s="51"/>
      <c r="H90" s="51">
        <v>34513.449999999997</v>
      </c>
      <c r="I90" s="51">
        <v>34513.449999999997</v>
      </c>
      <c r="J90" s="51">
        <v>34513.449999999997</v>
      </c>
      <c r="K90" s="51">
        <v>34513.449999999997</v>
      </c>
      <c r="L90" s="51">
        <v>34513.449999999997</v>
      </c>
      <c r="M90" s="51">
        <v>34513.449999999997</v>
      </c>
      <c r="N90" s="51">
        <v>34513.449999999997</v>
      </c>
      <c r="O90" s="51"/>
    </row>
    <row r="91" spans="1:18" outlineLevel="1" x14ac:dyDescent="0.45">
      <c r="B91" s="16" t="s">
        <v>142</v>
      </c>
      <c r="C91" s="51"/>
      <c r="D91" s="51"/>
      <c r="E91" s="51"/>
      <c r="F91" s="51"/>
      <c r="G91" s="51"/>
      <c r="H91" s="51"/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/>
    </row>
    <row r="92" spans="1:18" outlineLevel="1" x14ac:dyDescent="0.45">
      <c r="B92" s="16" t="s">
        <v>143</v>
      </c>
      <c r="C92" s="51"/>
      <c r="D92" s="51"/>
      <c r="E92" s="51"/>
      <c r="F92" s="51"/>
      <c r="G92" s="51"/>
      <c r="H92" s="51"/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/>
    </row>
    <row r="93" spans="1:18" outlineLevel="1" x14ac:dyDescent="0.45">
      <c r="B93" s="16" t="s">
        <v>144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</row>
    <row r="94" spans="1:18" x14ac:dyDescent="0.45">
      <c r="B94" s="16" t="s">
        <v>146</v>
      </c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</row>
    <row r="95" spans="1:18" x14ac:dyDescent="0.45">
      <c r="B95" s="14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</row>
    <row r="96" spans="1:18" s="95" customFormat="1" x14ac:dyDescent="0.45">
      <c r="A96" s="94"/>
      <c r="B96" s="19" t="s">
        <v>147</v>
      </c>
      <c r="C96" s="54">
        <f>SUM(C97:C100)</f>
        <v>0</v>
      </c>
      <c r="D96" s="54">
        <f t="shared" ref="D96:M96" si="10">SUM(D97:D98)</f>
        <v>0</v>
      </c>
      <c r="E96" s="54">
        <f t="shared" si="10"/>
        <v>0</v>
      </c>
      <c r="F96" s="54">
        <f t="shared" si="10"/>
        <v>0</v>
      </c>
      <c r="G96" s="54"/>
      <c r="H96" s="54">
        <f t="shared" si="10"/>
        <v>0</v>
      </c>
      <c r="I96" s="54">
        <f t="shared" si="10"/>
        <v>0</v>
      </c>
      <c r="J96" s="54">
        <f t="shared" si="10"/>
        <v>0</v>
      </c>
      <c r="K96" s="54">
        <f t="shared" si="10"/>
        <v>0</v>
      </c>
      <c r="L96" s="54">
        <f t="shared" si="10"/>
        <v>0</v>
      </c>
      <c r="M96" s="54">
        <f t="shared" si="10"/>
        <v>0</v>
      </c>
      <c r="N96" s="54">
        <f>+N98+N97</f>
        <v>0</v>
      </c>
      <c r="O96" s="55"/>
    </row>
    <row r="97" spans="2:15" outlineLevel="1" x14ac:dyDescent="0.45">
      <c r="B97" s="16" t="s">
        <v>148</v>
      </c>
      <c r="C97" s="51"/>
      <c r="D97" s="51"/>
      <c r="E97" s="51"/>
      <c r="F97" s="51"/>
      <c r="G97" s="51"/>
      <c r="H97" s="51"/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/>
    </row>
    <row r="98" spans="2:15" outlineLevel="1" x14ac:dyDescent="0.45">
      <c r="B98" s="16" t="s">
        <v>149</v>
      </c>
      <c r="C98" s="51"/>
      <c r="D98" s="51"/>
      <c r="E98" s="51"/>
      <c r="F98" s="51"/>
      <c r="G98" s="51"/>
      <c r="H98" s="51"/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/>
    </row>
    <row r="99" spans="2:15" outlineLevel="1" x14ac:dyDescent="0.45">
      <c r="B99" s="16" t="s">
        <v>150</v>
      </c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</row>
    <row r="100" spans="2:15" x14ac:dyDescent="0.45">
      <c r="B100" s="14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</row>
    <row r="101" spans="2:15" x14ac:dyDescent="0.45">
      <c r="B101" s="14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</row>
    <row r="102" spans="2:15" x14ac:dyDescent="0.45">
      <c r="B102" s="19" t="s">
        <v>151</v>
      </c>
      <c r="C102" s="54">
        <f t="shared" ref="C102:N102" si="11">+C96+C77</f>
        <v>17851.759999999998</v>
      </c>
      <c r="D102" s="54">
        <f t="shared" si="11"/>
        <v>70460.210000000006</v>
      </c>
      <c r="E102" s="54">
        <f t="shared" si="11"/>
        <v>1.28</v>
      </c>
      <c r="F102" s="54">
        <f t="shared" si="11"/>
        <v>105132.96</v>
      </c>
      <c r="G102" s="54">
        <f t="shared" si="11"/>
        <v>18039.650000000001</v>
      </c>
      <c r="H102" s="54">
        <f t="shared" si="11"/>
        <v>70384.81</v>
      </c>
      <c r="I102" s="54">
        <f t="shared" si="11"/>
        <v>175571.02000000002</v>
      </c>
      <c r="J102" s="54">
        <f t="shared" si="11"/>
        <v>90420.31</v>
      </c>
      <c r="K102" s="54">
        <f t="shared" si="11"/>
        <v>184923.33000000002</v>
      </c>
      <c r="L102" s="54">
        <f t="shared" si="11"/>
        <v>180560.52000000002</v>
      </c>
      <c r="M102" s="54">
        <f t="shared" si="11"/>
        <v>143640.25</v>
      </c>
      <c r="N102" s="54">
        <f t="shared" si="11"/>
        <v>71364.709999999992</v>
      </c>
      <c r="O102" s="55"/>
    </row>
    <row r="103" spans="2:15" x14ac:dyDescent="0.45">
      <c r="B103" s="14" t="s">
        <v>152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</row>
    <row r="104" spans="2:15" x14ac:dyDescent="0.45">
      <c r="B104" s="14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</row>
    <row r="105" spans="2:15" x14ac:dyDescent="0.45">
      <c r="B105" s="13" t="s">
        <v>310</v>
      </c>
      <c r="C105" s="53">
        <v>269850.36</v>
      </c>
      <c r="D105" s="53">
        <v>262482.34999999998</v>
      </c>
      <c r="E105" s="53">
        <v>254966.35</v>
      </c>
      <c r="F105" s="53">
        <v>239934.35</v>
      </c>
      <c r="G105" s="53">
        <v>236927.95</v>
      </c>
      <c r="H105" s="53">
        <v>200320.35</v>
      </c>
      <c r="I105" s="53">
        <v>200320.35</v>
      </c>
      <c r="J105" s="53">
        <v>200320.35</v>
      </c>
      <c r="K105" s="53">
        <v>200320.35</v>
      </c>
      <c r="L105" s="53">
        <v>200320.35</v>
      </c>
      <c r="M105" s="53">
        <v>200320.35</v>
      </c>
      <c r="N105" s="53">
        <v>200320.35</v>
      </c>
      <c r="O105" s="51"/>
    </row>
    <row r="106" spans="2:15" x14ac:dyDescent="0.45">
      <c r="B106" s="11"/>
      <c r="C106" s="53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</row>
    <row r="107" spans="2:15" x14ac:dyDescent="0.45">
      <c r="B107" s="13" t="s">
        <v>153</v>
      </c>
      <c r="C107" s="53">
        <v>5056800</v>
      </c>
      <c r="D107" s="53">
        <v>5056800</v>
      </c>
      <c r="E107" s="113">
        <v>5620500</v>
      </c>
      <c r="F107" s="113">
        <v>5620500</v>
      </c>
      <c r="G107" s="113">
        <v>5620500</v>
      </c>
      <c r="H107" s="113">
        <v>5620500</v>
      </c>
      <c r="I107" s="113">
        <v>5620500</v>
      </c>
      <c r="J107" s="113">
        <v>0</v>
      </c>
      <c r="K107" s="113">
        <v>0</v>
      </c>
      <c r="L107" s="113">
        <v>0</v>
      </c>
      <c r="M107" s="113">
        <v>0</v>
      </c>
      <c r="N107" s="113">
        <v>0</v>
      </c>
      <c r="O107" s="51"/>
    </row>
    <row r="108" spans="2:15" ht="15" x14ac:dyDescent="0.45">
      <c r="B108" s="28"/>
      <c r="C108" s="53"/>
      <c r="D108" s="58"/>
      <c r="E108" s="58"/>
      <c r="F108" s="58"/>
      <c r="G108" s="58"/>
      <c r="H108" s="58"/>
      <c r="I108" s="58"/>
      <c r="J108" s="58"/>
      <c r="K108" s="13"/>
      <c r="L108" s="13"/>
      <c r="M108" s="13"/>
      <c r="N108" s="58"/>
      <c r="O108" s="59"/>
    </row>
    <row r="109" spans="2:15" x14ac:dyDescent="0.45">
      <c r="B109" s="13" t="s">
        <v>154</v>
      </c>
      <c r="C109" s="66"/>
      <c r="D109" s="53">
        <v>0</v>
      </c>
      <c r="E109" s="53">
        <v>0</v>
      </c>
      <c r="F109" s="53">
        <v>0</v>
      </c>
      <c r="G109" s="53"/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/>
      <c r="N109" s="53"/>
      <c r="O109" s="51"/>
    </row>
    <row r="110" spans="2:15" ht="15" x14ac:dyDescent="0.45">
      <c r="B110" s="28"/>
      <c r="C110" s="59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9"/>
    </row>
    <row r="111" spans="2:15" x14ac:dyDescent="0.45">
      <c r="B111" s="19" t="s">
        <v>155</v>
      </c>
      <c r="C111" s="54">
        <f t="shared" ref="C111:I111" si="12">+C109+C105+C107</f>
        <v>5326650.3600000003</v>
      </c>
      <c r="D111" s="54">
        <f t="shared" si="12"/>
        <v>5319282.3499999996</v>
      </c>
      <c r="E111" s="54">
        <f t="shared" si="12"/>
        <v>5875466.3499999996</v>
      </c>
      <c r="F111" s="54">
        <f t="shared" si="12"/>
        <v>5860434.3499999996</v>
      </c>
      <c r="G111" s="54">
        <f t="shared" si="12"/>
        <v>5857427.9500000002</v>
      </c>
      <c r="H111" s="54">
        <f t="shared" si="12"/>
        <v>5820820.3499999996</v>
      </c>
      <c r="I111" s="54">
        <f t="shared" si="12"/>
        <v>5820820.3499999996</v>
      </c>
      <c r="J111" s="54">
        <f t="shared" ref="J111:N111" si="13">+J109+J105</f>
        <v>200320.35</v>
      </c>
      <c r="K111" s="54">
        <f t="shared" si="13"/>
        <v>200320.35</v>
      </c>
      <c r="L111" s="54">
        <f t="shared" si="13"/>
        <v>200320.35</v>
      </c>
      <c r="M111" s="54">
        <f t="shared" si="13"/>
        <v>200320.35</v>
      </c>
      <c r="N111" s="54">
        <f t="shared" si="13"/>
        <v>200320.35</v>
      </c>
      <c r="O111" s="55"/>
    </row>
    <row r="112" spans="2:15" x14ac:dyDescent="0.45">
      <c r="B112" s="14" t="s">
        <v>152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</row>
    <row r="113" spans="2:21" x14ac:dyDescent="0.45">
      <c r="B113" s="14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</row>
    <row r="114" spans="2:21" x14ac:dyDescent="0.45">
      <c r="B114" s="13" t="s">
        <v>156</v>
      </c>
      <c r="C114" s="53">
        <v>25257006.130000003</v>
      </c>
      <c r="D114" s="53">
        <v>25257006.130000003</v>
      </c>
      <c r="E114" s="53">
        <v>25257006.130000003</v>
      </c>
      <c r="F114" s="53">
        <v>25257006.130000003</v>
      </c>
      <c r="G114" s="53">
        <v>25257006.130000003</v>
      </c>
      <c r="H114" s="53">
        <v>25257006.130000003</v>
      </c>
      <c r="I114" s="53">
        <v>24254910.400000002</v>
      </c>
      <c r="J114" s="53">
        <v>24254910.400000002</v>
      </c>
      <c r="K114" s="53">
        <v>24254910.400000002</v>
      </c>
      <c r="L114" s="53">
        <v>24254910.400000002</v>
      </c>
      <c r="M114" s="53">
        <v>24254910.400000002</v>
      </c>
      <c r="N114" s="53">
        <v>24254910.400000002</v>
      </c>
      <c r="O114" s="51"/>
    </row>
    <row r="115" spans="2:21" ht="15" x14ac:dyDescent="0.45">
      <c r="B115" s="28"/>
      <c r="C115" s="59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9"/>
    </row>
    <row r="116" spans="2:21" x14ac:dyDescent="0.45">
      <c r="B116" s="13" t="s">
        <v>157</v>
      </c>
      <c r="C116" s="53">
        <v>0</v>
      </c>
      <c r="D116" s="53">
        <v>0</v>
      </c>
      <c r="E116" s="53">
        <v>0</v>
      </c>
      <c r="F116" s="53">
        <v>0</v>
      </c>
      <c r="G116" s="53"/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1"/>
    </row>
    <row r="117" spans="2:21" ht="15" x14ac:dyDescent="0.45">
      <c r="B117" s="28"/>
      <c r="C117" s="59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9"/>
    </row>
    <row r="118" spans="2:21" x14ac:dyDescent="0.45">
      <c r="B118" s="13" t="s">
        <v>158</v>
      </c>
      <c r="C118" s="53">
        <v>0</v>
      </c>
      <c r="D118" s="53">
        <v>0</v>
      </c>
      <c r="E118" s="53">
        <v>0</v>
      </c>
      <c r="F118" s="53">
        <v>0</v>
      </c>
      <c r="G118" s="53"/>
      <c r="H118" s="53"/>
      <c r="I118" s="53">
        <v>0</v>
      </c>
      <c r="J118" s="53">
        <v>0</v>
      </c>
      <c r="K118" s="53">
        <v>0</v>
      </c>
      <c r="L118" s="53">
        <v>0</v>
      </c>
      <c r="M118" s="53"/>
      <c r="N118" s="53"/>
      <c r="O118" s="51"/>
    </row>
    <row r="119" spans="2:21" ht="15" x14ac:dyDescent="0.45">
      <c r="B119" s="28"/>
      <c r="C119" s="59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9"/>
    </row>
    <row r="120" spans="2:21" x14ac:dyDescent="0.45">
      <c r="B120" s="13" t="s">
        <v>159</v>
      </c>
      <c r="C120" s="66">
        <v>-2941803.51</v>
      </c>
      <c r="D120" s="53">
        <v>-2635133.69</v>
      </c>
      <c r="E120" s="53">
        <v>-2333141.9500000002</v>
      </c>
      <c r="F120" s="53">
        <v>-2019901.76</v>
      </c>
      <c r="G120" s="53">
        <v>-1754202.89</v>
      </c>
      <c r="H120" s="53">
        <v>-1494168.58</v>
      </c>
      <c r="I120" s="53">
        <v>-1235873.71</v>
      </c>
      <c r="J120" s="53">
        <v>-1019263.33</v>
      </c>
      <c r="K120" s="53">
        <v>-764610.72</v>
      </c>
      <c r="L120" s="53">
        <v>-557375.32999999996</v>
      </c>
      <c r="M120" s="53">
        <v>-362592.98</v>
      </c>
      <c r="N120" s="53">
        <v>-166484.10999999999</v>
      </c>
      <c r="O120" s="51"/>
      <c r="U120" s="61"/>
    </row>
    <row r="121" spans="2:21" ht="15" x14ac:dyDescent="0.45">
      <c r="B121" s="28"/>
      <c r="C121" s="59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9"/>
    </row>
    <row r="122" spans="2:21" x14ac:dyDescent="0.45">
      <c r="B122" s="13" t="s">
        <v>160</v>
      </c>
      <c r="C122" s="53">
        <v>-1039697.97</v>
      </c>
      <c r="D122" s="53">
        <v>-1039697.97</v>
      </c>
      <c r="E122" s="53">
        <v>-1039697.97</v>
      </c>
      <c r="F122" s="53">
        <v>-1039697.97</v>
      </c>
      <c r="G122" s="53">
        <v>-1039697.97</v>
      </c>
      <c r="H122" s="53">
        <v>-1039697.97</v>
      </c>
      <c r="I122" s="53">
        <v>-1039697.97</v>
      </c>
      <c r="J122" s="53">
        <v>-1039697.97</v>
      </c>
      <c r="K122" s="53">
        <v>-1039697.97</v>
      </c>
      <c r="L122" s="53">
        <v>-1039697.97</v>
      </c>
      <c r="M122" s="53">
        <v>-1039697.97</v>
      </c>
      <c r="N122" s="53">
        <v>-1039697.97</v>
      </c>
      <c r="O122" s="51"/>
    </row>
    <row r="123" spans="2:21" ht="15" x14ac:dyDescent="0.45">
      <c r="B123" s="28"/>
      <c r="C123" s="59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9"/>
    </row>
    <row r="124" spans="2:21" x14ac:dyDescent="0.45">
      <c r="B124" s="19" t="s">
        <v>161</v>
      </c>
      <c r="C124" s="54">
        <f>+C114+C118+C120+C122</f>
        <v>21275504.650000006</v>
      </c>
      <c r="D124" s="54">
        <f t="shared" ref="D124:N124" si="14">+D114+D118+D120+D122</f>
        <v>21582174.470000003</v>
      </c>
      <c r="E124" s="54">
        <f>+E114+E118+E120+E122</f>
        <v>21884166.210000005</v>
      </c>
      <c r="F124" s="54">
        <f>+F114+F118+F120+F122</f>
        <v>22197406.400000002</v>
      </c>
      <c r="G124" s="54">
        <f t="shared" si="14"/>
        <v>22463105.270000003</v>
      </c>
      <c r="H124" s="54">
        <f t="shared" si="14"/>
        <v>22723139.580000006</v>
      </c>
      <c r="I124" s="54">
        <f t="shared" si="14"/>
        <v>21979338.720000003</v>
      </c>
      <c r="J124" s="54">
        <f t="shared" si="14"/>
        <v>22195949.100000005</v>
      </c>
      <c r="K124" s="54">
        <f t="shared" si="14"/>
        <v>22450601.710000005</v>
      </c>
      <c r="L124" s="54">
        <f t="shared" si="14"/>
        <v>22657837.100000005</v>
      </c>
      <c r="M124" s="54">
        <f t="shared" si="14"/>
        <v>22852619.450000003</v>
      </c>
      <c r="N124" s="54">
        <f t="shared" si="14"/>
        <v>23048728.320000004</v>
      </c>
      <c r="O124" s="55"/>
    </row>
    <row r="125" spans="2:21" ht="15" x14ac:dyDescent="0.45">
      <c r="B125" s="28"/>
      <c r="C125" s="59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9"/>
    </row>
    <row r="126" spans="2:21" ht="15" x14ac:dyDescent="0.45">
      <c r="B126" s="28"/>
      <c r="C126" s="59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9"/>
      <c r="P126" t="s">
        <v>152</v>
      </c>
    </row>
    <row r="127" spans="2:21" x14ac:dyDescent="0.45">
      <c r="B127" s="19" t="s">
        <v>162</v>
      </c>
      <c r="C127" s="54">
        <f>+C124+C102+C111</f>
        <v>26620006.770000007</v>
      </c>
      <c r="D127" s="54">
        <f t="shared" ref="D127:N127" si="15">+D124+D102+D111</f>
        <v>26971917.030000001</v>
      </c>
      <c r="E127" s="54">
        <f t="shared" si="15"/>
        <v>27759633.840000004</v>
      </c>
      <c r="F127" s="54">
        <f t="shared" si="15"/>
        <v>28162973.710000001</v>
      </c>
      <c r="G127" s="54">
        <f t="shared" si="15"/>
        <v>28338572.870000001</v>
      </c>
      <c r="H127" s="54">
        <f t="shared" si="15"/>
        <v>28614344.740000002</v>
      </c>
      <c r="I127" s="54">
        <f t="shared" si="15"/>
        <v>27975730.090000004</v>
      </c>
      <c r="J127" s="54">
        <f t="shared" si="15"/>
        <v>22486689.760000005</v>
      </c>
      <c r="K127" s="54">
        <f t="shared" si="15"/>
        <v>22835845.390000004</v>
      </c>
      <c r="L127" s="54">
        <f t="shared" si="15"/>
        <v>23038717.970000006</v>
      </c>
      <c r="M127" s="54">
        <f t="shared" si="15"/>
        <v>23196580.050000004</v>
      </c>
      <c r="N127" s="54">
        <f t="shared" si="15"/>
        <v>23320413.380000006</v>
      </c>
      <c r="O127" s="55"/>
    </row>
    <row r="128" spans="2:21" ht="15" x14ac:dyDescent="0.45">
      <c r="B128" s="20"/>
      <c r="C128" s="60">
        <f t="shared" ref="C128:N128" si="16">+C127-C72</f>
        <v>0</v>
      </c>
      <c r="D128" s="60">
        <f t="shared" si="16"/>
        <v>0</v>
      </c>
      <c r="E128" s="60">
        <f t="shared" si="16"/>
        <v>0</v>
      </c>
      <c r="F128" s="60">
        <f t="shared" si="16"/>
        <v>0</v>
      </c>
      <c r="G128" s="60">
        <f t="shared" si="16"/>
        <v>0</v>
      </c>
      <c r="H128" s="60">
        <f t="shared" si="16"/>
        <v>0</v>
      </c>
      <c r="I128" s="60">
        <f t="shared" si="16"/>
        <v>0</v>
      </c>
      <c r="J128" s="33">
        <f t="shared" si="16"/>
        <v>0</v>
      </c>
      <c r="K128" s="33">
        <f t="shared" si="16"/>
        <v>0</v>
      </c>
      <c r="L128" s="33">
        <f t="shared" si="16"/>
        <v>0</v>
      </c>
      <c r="M128" s="33">
        <f t="shared" si="16"/>
        <v>0</v>
      </c>
      <c r="N128" s="33">
        <f t="shared" si="16"/>
        <v>0</v>
      </c>
      <c r="O128" s="37"/>
    </row>
    <row r="129" spans="2:15" ht="15" x14ac:dyDescent="0.45">
      <c r="B129" s="22"/>
      <c r="C129" s="65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7"/>
    </row>
    <row r="130" spans="2:15" x14ac:dyDescent="0.45">
      <c r="C130" s="41"/>
      <c r="D130" s="41"/>
      <c r="F130" s="39"/>
      <c r="G130" s="39"/>
      <c r="H130" s="39"/>
    </row>
    <row r="131" spans="2:15" x14ac:dyDescent="0.45">
      <c r="C131" s="41"/>
      <c r="D131" s="41"/>
    </row>
  </sheetData>
  <autoFilter ref="A5:Z131" xr:uid="{C3EF4C86-21D2-4D18-83F3-5D7E98E0A486}"/>
  <pageMargins left="0.7" right="0.7" top="0.75" bottom="0.75" header="0.3" footer="0.3"/>
  <pageSetup orientation="portrait" r:id="rId1"/>
  <ignoredErrors>
    <ignoredError sqref="J100:N104 J10:N21 J35:N37 J54:N55 J45:N48 J123:N127 J121:N121 J41:N41 J26:N33 J70:N87 J108:N113 J106:N106 J115:N119 J91:N92 J43:N43 J95:N98 J50:N52 J57:N57 J63:N64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D386-AA45-41CE-A92B-933D1E35A122}">
  <dimension ref="A1"/>
  <sheetViews>
    <sheetView showGridLines="0" workbookViewId="0">
      <selection activeCell="O5" sqref="O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8580-E5F1-4DD1-8580-B9D507D288C5}">
  <sheetPr codeName="Sheet5"/>
  <dimension ref="A1:Y152"/>
  <sheetViews>
    <sheetView showGridLines="0" tabSelected="1" zoomScale="83" zoomScaleNormal="83" workbookViewId="0">
      <pane xSplit="2" ySplit="8" topLeftCell="E68" activePane="bottomRight" state="frozen"/>
      <selection pane="topRight" activeCell="C1" sqref="C1"/>
      <selection pane="bottomLeft" activeCell="A9" sqref="A9"/>
      <selection pane="bottomRight" activeCell="Q83" sqref="Q83"/>
    </sheetView>
  </sheetViews>
  <sheetFormatPr defaultColWidth="8.53125" defaultRowHeight="14.25" outlineLevelRow="1" outlineLevelCol="1" x14ac:dyDescent="0.45"/>
  <cols>
    <col min="1" max="1" width="3.46484375" style="152" customWidth="1"/>
    <col min="2" max="2" width="40.53125" style="153" bestFit="1" customWidth="1"/>
    <col min="3" max="3" width="16.46484375" style="153" customWidth="1"/>
    <col min="4" max="4" width="13.265625" style="153" bestFit="1" customWidth="1"/>
    <col min="5" max="5" width="17.53125" style="153" customWidth="1" outlineLevel="1"/>
    <col min="6" max="7" width="16.46484375" style="153" customWidth="1" outlineLevel="1"/>
    <col min="8" max="11" width="16.53125" style="153" customWidth="1" outlineLevel="1"/>
    <col min="12" max="12" width="21.53125" style="153" customWidth="1" outlineLevel="1"/>
    <col min="13" max="13" width="20.46484375" style="153" bestFit="1" customWidth="1"/>
    <col min="14" max="14" width="15.86328125" style="153" bestFit="1" customWidth="1" outlineLevel="1"/>
    <col min="15" max="16" width="16.46484375" style="153" customWidth="1" outlineLevel="1"/>
    <col min="17" max="17" width="14" style="153" bestFit="1" customWidth="1"/>
    <col min="18" max="20" width="12.46484375" style="153" customWidth="1" outlineLevel="1"/>
    <col min="21" max="21" width="4" style="153" customWidth="1" outlineLevel="1"/>
    <col min="22" max="22" width="13.46484375" style="153" bestFit="1" customWidth="1"/>
    <col min="23" max="23" width="13.53125" style="153" bestFit="1" customWidth="1"/>
    <col min="24" max="24" width="10.53125" style="153" bestFit="1" customWidth="1"/>
    <col min="25" max="25" width="14" style="153" bestFit="1" customWidth="1"/>
    <col min="26" max="16384" width="8.53125" style="153"/>
  </cols>
  <sheetData>
    <row r="1" spans="1:25" x14ac:dyDescent="0.45">
      <c r="E1" s="259"/>
      <c r="F1" s="259"/>
      <c r="G1" s="259"/>
      <c r="H1" s="259"/>
      <c r="I1" s="259"/>
    </row>
    <row r="2" spans="1:25" x14ac:dyDescent="0.45">
      <c r="C2" s="155">
        <f>C63/3.75</f>
        <v>26271.370666666666</v>
      </c>
      <c r="E2" s="242">
        <v>45321</v>
      </c>
      <c r="F2" s="242">
        <f>EDATE(E2,1)</f>
        <v>45351</v>
      </c>
      <c r="G2" s="242">
        <f t="shared" ref="G2:P2" si="0">EDATE(F2,1)</f>
        <v>45380</v>
      </c>
      <c r="H2" s="242">
        <f t="shared" si="0"/>
        <v>45411</v>
      </c>
      <c r="I2" s="242">
        <f t="shared" si="0"/>
        <v>45441</v>
      </c>
      <c r="J2" s="242">
        <f t="shared" si="0"/>
        <v>45472</v>
      </c>
      <c r="K2" s="242">
        <f t="shared" si="0"/>
        <v>45502</v>
      </c>
      <c r="L2" s="242">
        <f t="shared" si="0"/>
        <v>45533</v>
      </c>
      <c r="M2" s="242">
        <f t="shared" si="0"/>
        <v>45564</v>
      </c>
      <c r="N2" s="242">
        <f t="shared" si="0"/>
        <v>45594</v>
      </c>
      <c r="O2" s="242">
        <f t="shared" si="0"/>
        <v>45625</v>
      </c>
      <c r="P2" s="242">
        <f t="shared" si="0"/>
        <v>45655</v>
      </c>
    </row>
    <row r="3" spans="1:25" x14ac:dyDescent="0.45">
      <c r="C3" s="155">
        <f>C2/40</f>
        <v>656.78426666666667</v>
      </c>
      <c r="D3" s="207"/>
      <c r="E3">
        <v>12</v>
      </c>
      <c r="F3">
        <f>E3-1</f>
        <v>11</v>
      </c>
      <c r="G3">
        <f t="shared" ref="G3:P3" si="1">F3-1</f>
        <v>10</v>
      </c>
      <c r="H3">
        <f t="shared" si="1"/>
        <v>9</v>
      </c>
      <c r="I3">
        <f t="shared" si="1"/>
        <v>8</v>
      </c>
      <c r="J3">
        <f t="shared" si="1"/>
        <v>7</v>
      </c>
      <c r="K3">
        <f t="shared" si="1"/>
        <v>6</v>
      </c>
      <c r="L3">
        <f t="shared" si="1"/>
        <v>5</v>
      </c>
      <c r="M3">
        <f t="shared" si="1"/>
        <v>4</v>
      </c>
      <c r="N3">
        <f t="shared" si="1"/>
        <v>3</v>
      </c>
      <c r="O3">
        <f t="shared" si="1"/>
        <v>2</v>
      </c>
      <c r="P3">
        <f t="shared" si="1"/>
        <v>1</v>
      </c>
      <c r="S3" s="155"/>
      <c r="X3" s="156"/>
    </row>
    <row r="4" spans="1:25" x14ac:dyDescent="0.45">
      <c r="D4" s="158"/>
      <c r="E4" s="18" cm="1">
        <f t="array" ref="E4">INDEX($E$6:$P$6,,MATCH(E3,$E$5:$P$5,FALSE))</f>
        <v>-3864.7499999999991</v>
      </c>
      <c r="F4" s="18" cm="1">
        <f t="array" ref="F4">INDEX($E$6:$P$6,,MATCH(F3,$E$5:$P$5,FALSE))</f>
        <v>-15356.849999999999</v>
      </c>
      <c r="G4" s="18" cm="1">
        <f t="array" ref="G4">INDEX($E$6:$P$6,,MATCH(G3,$E$5:$P$5,FALSE))</f>
        <v>-86801.8</v>
      </c>
      <c r="H4" s="18" cm="1">
        <f t="array" ref="H4">INDEX($E$6:$P$6,,MATCH(H3,$E$5:$P$5,FALSE))</f>
        <v>-37530.759999999995</v>
      </c>
      <c r="I4" s="18" cm="1">
        <f t="array" ref="I4">INDEX($E$6:$P$6,,MATCH(I3,$E$5:$P$5,FALSE))</f>
        <v>-80455.25</v>
      </c>
      <c r="J4" s="18" cm="1">
        <f t="array" ref="J4">INDEX($E$6:$P$6,,MATCH(J3,$E$5:$P$5,FALSE))</f>
        <v>-55373.369999999995</v>
      </c>
      <c r="K4" s="18" cm="1">
        <f t="array" ref="K4">INDEX($E$6:$P$6,,MATCH(K3,$E$5:$P$5,FALSE))</f>
        <v>-74578.66</v>
      </c>
      <c r="L4" s="18" cm="1">
        <f t="array" ref="L4">INDEX($E$6:$P$6,,MATCH(L3,$E$5:$P$5,FALSE))</f>
        <v>-122563.93</v>
      </c>
      <c r="M4" s="18" cm="1">
        <f t="array" ref="M4">INDEX($E$6:$P$6,,MATCH(M3,$E$5:$P$5,FALSE))</f>
        <v>-68531.350000000006</v>
      </c>
      <c r="N4" s="18" cm="1">
        <f t="array" ref="N4">INDEX($E$6:$P$6,,MATCH(N3,$E$5:$P$5,FALSE))</f>
        <v>-60767.06</v>
      </c>
      <c r="O4" s="18" cm="1">
        <f t="array" ref="O4">INDEX($E$6:$P$6,,MATCH(O3,$E$5:$P$5,FALSE))</f>
        <v>-61700.21</v>
      </c>
      <c r="P4" s="18" cm="1">
        <f t="array" ref="P4">INDEX($E$6:$P$6,,MATCH(P3,$E$5:$P$5,FALSE))</f>
        <v>-218169.59</v>
      </c>
      <c r="S4" s="157"/>
      <c r="X4" s="156"/>
    </row>
    <row r="5" spans="1:25" x14ac:dyDescent="0.45">
      <c r="C5" s="158"/>
      <c r="D5" s="158"/>
      <c r="E5" s="243">
        <v>1</v>
      </c>
      <c r="F5" s="243">
        <v>2</v>
      </c>
      <c r="G5" s="243">
        <v>3</v>
      </c>
      <c r="H5" s="243">
        <v>4</v>
      </c>
      <c r="I5" s="243">
        <v>5</v>
      </c>
      <c r="J5" s="243">
        <v>6</v>
      </c>
      <c r="K5" s="243">
        <v>7</v>
      </c>
      <c r="L5" s="243">
        <v>8</v>
      </c>
      <c r="M5" s="243">
        <v>9</v>
      </c>
      <c r="N5" s="243">
        <v>10</v>
      </c>
      <c r="O5" s="243">
        <v>11</v>
      </c>
      <c r="P5" s="243">
        <v>12</v>
      </c>
      <c r="S5" s="154"/>
      <c r="Y5" s="159"/>
    </row>
    <row r="6" spans="1:25" s="164" customFormat="1" ht="16.149999999999999" thickBot="1" x14ac:dyDescent="0.55000000000000004">
      <c r="A6" s="160"/>
      <c r="B6" s="161"/>
      <c r="C6" s="162"/>
      <c r="D6" s="163"/>
      <c r="E6" s="244">
        <f>SUM(E53:E63,E68:E69)*-1</f>
        <v>-218169.59</v>
      </c>
      <c r="F6" s="244">
        <f t="shared" ref="F6:G6" si="2">SUM(F53:F63,F68:F69)*-1</f>
        <v>-61700.21</v>
      </c>
      <c r="G6" s="244">
        <f t="shared" si="2"/>
        <v>-60767.06</v>
      </c>
      <c r="H6" s="244">
        <f>SUM(I53:I63,I68:I69)*-1</f>
        <v>-68531.350000000006</v>
      </c>
      <c r="I6" s="244">
        <f t="shared" ref="I6:J6" si="3">SUM(J53:J63,J68:J69)*-1</f>
        <v>-122563.93</v>
      </c>
      <c r="J6" s="244">
        <f t="shared" si="3"/>
        <v>-74578.66</v>
      </c>
      <c r="K6" s="244">
        <f>SUM(M53:M63,M68:M69)*-1</f>
        <v>-55373.369999999995</v>
      </c>
      <c r="L6" s="244">
        <f t="shared" ref="L6:M6" si="4">SUM(N53:N63,N68:N69)*-1</f>
        <v>-80455.25</v>
      </c>
      <c r="M6" s="244">
        <f t="shared" si="4"/>
        <v>-37530.759999999995</v>
      </c>
      <c r="N6" s="244">
        <f>SUM(Q53:Q63,Q68:Q69)*-1</f>
        <v>-86801.8</v>
      </c>
      <c r="O6" s="244">
        <f t="shared" ref="O6:P6" si="5">SUM(R53:R63,R68:R69)*-1</f>
        <v>-15356.849999999999</v>
      </c>
      <c r="P6" s="244">
        <f t="shared" si="5"/>
        <v>-3864.7499999999991</v>
      </c>
      <c r="S6" s="165"/>
      <c r="U6" s="166"/>
    </row>
    <row r="7" spans="1:25" ht="14.65" thickBot="1" x14ac:dyDescent="0.5">
      <c r="B7" s="167" t="s">
        <v>163</v>
      </c>
      <c r="C7" s="168" t="s">
        <v>1</v>
      </c>
      <c r="D7" s="169" t="s">
        <v>176</v>
      </c>
      <c r="E7" s="236" t="s">
        <v>3</v>
      </c>
      <c r="F7" s="236" t="s">
        <v>3</v>
      </c>
      <c r="G7" s="236" t="s">
        <v>3</v>
      </c>
      <c r="H7" s="236" t="s">
        <v>177</v>
      </c>
      <c r="I7" s="236" t="s">
        <v>3</v>
      </c>
      <c r="J7" s="236" t="s">
        <v>3</v>
      </c>
      <c r="K7" s="236" t="s">
        <v>3</v>
      </c>
      <c r="L7" s="169" t="s">
        <v>178</v>
      </c>
      <c r="M7" s="236" t="s">
        <v>3</v>
      </c>
      <c r="N7" s="236" t="s">
        <v>3</v>
      </c>
      <c r="O7" s="236" t="s">
        <v>3</v>
      </c>
      <c r="P7" s="169" t="s">
        <v>179</v>
      </c>
      <c r="Q7" s="236" t="s">
        <v>3</v>
      </c>
      <c r="R7" s="236" t="s">
        <v>3</v>
      </c>
      <c r="S7" s="236" t="s">
        <v>3</v>
      </c>
      <c r="T7" s="170"/>
    </row>
    <row r="8" spans="1:25" x14ac:dyDescent="0.45">
      <c r="B8" s="153" t="s">
        <v>7</v>
      </c>
      <c r="C8" s="230"/>
      <c r="D8" s="171" t="s">
        <v>8</v>
      </c>
      <c r="E8" s="172">
        <v>45657</v>
      </c>
      <c r="F8" s="172">
        <v>45626</v>
      </c>
      <c r="G8" s="172">
        <v>45596</v>
      </c>
      <c r="H8" s="171" t="s">
        <v>8</v>
      </c>
      <c r="I8" s="172">
        <v>45565</v>
      </c>
      <c r="J8" s="172">
        <v>45535</v>
      </c>
      <c r="K8" s="172">
        <v>45504</v>
      </c>
      <c r="L8" s="171" t="s">
        <v>8</v>
      </c>
      <c r="M8" s="172">
        <v>45473</v>
      </c>
      <c r="N8" s="172">
        <v>45443</v>
      </c>
      <c r="O8" s="172">
        <v>45412</v>
      </c>
      <c r="P8" s="171" t="s">
        <v>8</v>
      </c>
      <c r="Q8" s="172">
        <v>45382</v>
      </c>
      <c r="R8" s="172">
        <v>45350</v>
      </c>
      <c r="S8" s="172">
        <v>45322</v>
      </c>
      <c r="T8" s="172"/>
    </row>
    <row r="9" spans="1:25" ht="15.75" x14ac:dyDescent="0.5">
      <c r="B9" s="173"/>
      <c r="C9" s="174"/>
      <c r="D9" s="175"/>
      <c r="E9" s="163"/>
      <c r="F9" s="163"/>
      <c r="G9" s="163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</row>
    <row r="10" spans="1:25" x14ac:dyDescent="0.45">
      <c r="B10" s="176" t="s">
        <v>9</v>
      </c>
      <c r="C10" s="177">
        <f t="shared" ref="C10:C15" si="6">G10+H10+L10+P10+F10+E10</f>
        <v>76420879.799999997</v>
      </c>
      <c r="D10" s="177">
        <f>SUM(E10:G10)</f>
        <v>21384439.829999998</v>
      </c>
      <c r="E10" s="212">
        <f>'IS Dec KSA'!E10+'IS Dec USA'!E10</f>
        <v>10080211.189999999</v>
      </c>
      <c r="F10" s="212">
        <f>'IS Dec KSA'!F10+'IS Dec USA'!F10</f>
        <v>7198821.5999999996</v>
      </c>
      <c r="G10" s="177">
        <f>'IS Dec KSA'!G10+'IS Dec USA'!G10</f>
        <v>4105407.04</v>
      </c>
      <c r="H10" s="177">
        <f>I10+J10+K10</f>
        <v>18352784.899999999</v>
      </c>
      <c r="I10" s="177">
        <f>'IS Dec KSA'!I10+'IS Dec USA'!I10</f>
        <v>4309452.55</v>
      </c>
      <c r="J10" s="177">
        <f>'IS Dec KSA'!J10+'IS Dec USA'!J10</f>
        <v>6772611.9900000002</v>
      </c>
      <c r="K10" s="177">
        <f>'IS Dec KSA'!K10+'IS Dec USA'!K10</f>
        <v>7270720.3600000003</v>
      </c>
      <c r="L10" s="177">
        <f>SUM(M10:O10)</f>
        <v>19534533.07</v>
      </c>
      <c r="M10" s="177">
        <f>'IS Dec KSA'!M10+'IS Dec USA'!M10</f>
        <v>6957712.6200000001</v>
      </c>
      <c r="N10" s="177">
        <f>'IS Dec KSA'!N10+'IS Dec USA'!N10</f>
        <v>7682337.1699999999</v>
      </c>
      <c r="O10" s="177">
        <f>'IS Dec KSA'!O10+'IS Dec USA'!O10</f>
        <v>4894483.28</v>
      </c>
      <c r="P10" s="177">
        <f>SUM(Q10:S10)</f>
        <v>17149122</v>
      </c>
      <c r="Q10" s="177">
        <f>'IS Dec KSA'!Q10+'IS Dec USA'!Q10</f>
        <v>9910492.9399999995</v>
      </c>
      <c r="R10" s="177">
        <f>'IS Dec KSA'!R10+'IS Dec USA'!R10</f>
        <v>4805893.41</v>
      </c>
      <c r="S10" s="177">
        <f>'IS Dec KSA'!S10+'IS Dec USA'!S10</f>
        <v>2432735.65</v>
      </c>
      <c r="T10" s="178"/>
      <c r="U10" s="179"/>
    </row>
    <row r="11" spans="1:25" x14ac:dyDescent="0.45">
      <c r="B11" s="176" t="s">
        <v>10</v>
      </c>
      <c r="C11" s="177">
        <f t="shared" si="6"/>
        <v>69127801.870000005</v>
      </c>
      <c r="D11" s="177">
        <f t="shared" ref="D11:D14" si="7">SUM(E11:G11)</f>
        <v>19099399.469999999</v>
      </c>
      <c r="E11" s="177">
        <f>'IS Dec KSA'!E11+'IS Dec USA'!E11</f>
        <v>9065157.9299999997</v>
      </c>
      <c r="F11" s="177">
        <f>'IS Dec KSA'!F11+'IS Dec USA'!F11</f>
        <v>6363434.9699999997</v>
      </c>
      <c r="G11" s="177">
        <f>'IS Dec KSA'!G11+'IS Dec USA'!G11</f>
        <v>3670806.57</v>
      </c>
      <c r="H11" s="177">
        <f>I11+J11+K11</f>
        <v>16705222.759999998</v>
      </c>
      <c r="I11" s="177">
        <f>'IS Dec KSA'!I11+'IS Dec USA'!I11</f>
        <v>3901380</v>
      </c>
      <c r="J11" s="177">
        <f>'IS Dec KSA'!J11+'IS Dec USA'!J11</f>
        <v>6268335.9699999997</v>
      </c>
      <c r="K11" s="177">
        <f>'IS Dec KSA'!K11+'IS Dec USA'!K11</f>
        <v>6535506.79</v>
      </c>
      <c r="L11" s="177">
        <f t="shared" ref="L11:L14" si="8">SUM(M11:O11)</f>
        <v>17712882.800000001</v>
      </c>
      <c r="M11" s="177">
        <f>'IS Dec KSA'!M11+'IS Dec USA'!M11</f>
        <v>6212033.4699999997</v>
      </c>
      <c r="N11" s="177">
        <f>'IS Dec KSA'!N11+'IS Dec USA'!N11</f>
        <v>6980089.3600000003</v>
      </c>
      <c r="O11" s="177">
        <f>'IS Dec KSA'!O11+'IS Dec USA'!O11</f>
        <v>4520759.97</v>
      </c>
      <c r="P11" s="177">
        <f t="shared" ref="P11:P14" si="9">SUM(Q11:S11)</f>
        <v>15610296.840000002</v>
      </c>
      <c r="Q11" s="177">
        <f>'IS Dec KSA'!Q11+'IS Dec USA'!Q11</f>
        <v>9054208.3900000006</v>
      </c>
      <c r="R11" s="177">
        <f>'IS Dec KSA'!R11+'IS Dec USA'!R11</f>
        <v>4407294.05</v>
      </c>
      <c r="S11" s="177">
        <f>'IS Dec KSA'!S11+'IS Dec USA'!S11</f>
        <v>2148794.4</v>
      </c>
      <c r="T11" s="178"/>
    </row>
    <row r="12" spans="1:25" outlineLevel="1" x14ac:dyDescent="0.45">
      <c r="B12" s="176" t="s">
        <v>11</v>
      </c>
      <c r="C12" s="177">
        <f t="shared" si="6"/>
        <v>-93226.45</v>
      </c>
      <c r="D12" s="177">
        <f t="shared" si="7"/>
        <v>-1236.25</v>
      </c>
      <c r="E12" s="177">
        <f>'IS Dec KSA'!E12+'IS Dec USA'!E12</f>
        <v>0</v>
      </c>
      <c r="F12" s="177">
        <f>'IS Dec KSA'!F12+'IS Dec USA'!F12</f>
        <v>0</v>
      </c>
      <c r="G12" s="177">
        <f>'IS Dec KSA'!G12+'IS Dec USA'!G12</f>
        <v>-1236.25</v>
      </c>
      <c r="H12" s="177">
        <f>I12+J12+K12</f>
        <v>-54172.81</v>
      </c>
      <c r="I12" s="177">
        <f>'IS Dec KSA'!I12+'IS Dec USA'!I12</f>
        <v>-6670</v>
      </c>
      <c r="J12" s="177">
        <f>'IS Dec KSA'!J12+'IS Dec USA'!J12</f>
        <v>-7915.43</v>
      </c>
      <c r="K12" s="177">
        <f>'IS Dec KSA'!K12+'IS Dec USA'!K12</f>
        <v>-39587.379999999997</v>
      </c>
      <c r="L12" s="177">
        <f t="shared" si="8"/>
        <v>-18295.8</v>
      </c>
      <c r="M12" s="177">
        <f>'IS Dec KSA'!M12+'IS Dec USA'!M12</f>
        <v>0</v>
      </c>
      <c r="N12" s="177">
        <f>'IS Dec KSA'!N12+'IS Dec USA'!N12</f>
        <v>-5820.46</v>
      </c>
      <c r="O12" s="177">
        <f>'IS Dec KSA'!O12+'IS Dec USA'!O12</f>
        <v>-12475.34</v>
      </c>
      <c r="P12" s="177">
        <f t="shared" si="9"/>
        <v>-19521.59</v>
      </c>
      <c r="Q12" s="177">
        <f>'IS Dec KSA'!Q12+'IS Dec USA'!Q12</f>
        <v>-11033.03</v>
      </c>
      <c r="R12" s="177">
        <f>'IS Dec KSA'!R12+'IS Dec USA'!R12</f>
        <v>-8488.56</v>
      </c>
      <c r="S12" s="177">
        <f>'IS Dec KSA'!S12+'IS Dec USA'!S12</f>
        <v>0</v>
      </c>
      <c r="T12" s="180"/>
      <c r="U12" s="155"/>
    </row>
    <row r="13" spans="1:25" x14ac:dyDescent="0.45">
      <c r="B13" s="176" t="s">
        <v>12</v>
      </c>
      <c r="C13" s="177">
        <f t="shared" si="6"/>
        <v>7386304.379999998</v>
      </c>
      <c r="D13" s="177">
        <f t="shared" si="7"/>
        <v>2286276.61</v>
      </c>
      <c r="E13" s="177">
        <f>'IS Dec KSA'!E13+'IS Dec USA'!E13</f>
        <v>1015053.2599999998</v>
      </c>
      <c r="F13" s="177">
        <f>'IS Dec KSA'!F13+'IS Dec USA'!F13</f>
        <v>835386.62999999989</v>
      </c>
      <c r="G13" s="177">
        <f>'IS Dec KSA'!G13+'IS Dec USA'!G13</f>
        <v>435836.7200000002</v>
      </c>
      <c r="H13" s="177">
        <f>I13+J13+K13</f>
        <v>1701734.9500000002</v>
      </c>
      <c r="I13" s="177">
        <f>'IS Dec KSA'!I13+'IS Dec USA'!I13</f>
        <v>414742.54999999981</v>
      </c>
      <c r="J13" s="177">
        <f>'IS Dec KSA'!J13+'IS Dec USA'!J13</f>
        <v>512191.45000000019</v>
      </c>
      <c r="K13" s="177">
        <f>'IS Dec KSA'!K13+'IS Dec USA'!K13</f>
        <v>774800.95000000019</v>
      </c>
      <c r="L13" s="177">
        <f t="shared" si="8"/>
        <v>1839946.0700000003</v>
      </c>
      <c r="M13" s="177">
        <f>'IS Dec KSA'!M13+'IS Dec USA'!M13</f>
        <v>745679.15000000037</v>
      </c>
      <c r="N13" s="177">
        <f>'IS Dec KSA'!N13+'IS Dec USA'!N13</f>
        <v>708068.26999999955</v>
      </c>
      <c r="O13" s="177">
        <f>'IS Dec KSA'!O13+'IS Dec USA'!O13</f>
        <v>386198.65000000037</v>
      </c>
      <c r="P13" s="177">
        <f t="shared" si="9"/>
        <v>1558346.7499999981</v>
      </c>
      <c r="Q13" s="177">
        <f>'IS Dec KSA'!Q13+'IS Dec USA'!Q13</f>
        <v>867317.57999999821</v>
      </c>
      <c r="R13" s="177">
        <f>'IS Dec KSA'!R13+'IS Dec USA'!R13</f>
        <v>407087.91999999993</v>
      </c>
      <c r="S13" s="177">
        <f>'IS Dec KSA'!S13+'IS Dec USA'!S13</f>
        <v>283941.25</v>
      </c>
      <c r="T13" s="178"/>
      <c r="U13" s="181"/>
      <c r="V13" s="181"/>
    </row>
    <row r="14" spans="1:25" x14ac:dyDescent="0.45">
      <c r="B14" s="176" t="s">
        <v>13</v>
      </c>
      <c r="C14" s="177">
        <f t="shared" si="6"/>
        <v>293478.27</v>
      </c>
      <c r="D14" s="177">
        <f t="shared" si="7"/>
        <v>26086.959999999999</v>
      </c>
      <c r="E14" s="177">
        <f>'IS Dec KSA'!E14+'IS Dec USA'!E14</f>
        <v>26086.959999999999</v>
      </c>
      <c r="F14" s="177">
        <f>'IS Dec KSA'!F14+'IS Dec USA'!F14</f>
        <v>0</v>
      </c>
      <c r="G14" s="177">
        <f>'IS Dec KSA'!G14+'IS Dec USA'!G14</f>
        <v>0</v>
      </c>
      <c r="H14" s="177">
        <f>I14+J14+K14</f>
        <v>143478.26</v>
      </c>
      <c r="I14" s="177">
        <f>'IS Dec KSA'!I14+'IS Dec USA'!I14</f>
        <v>0</v>
      </c>
      <c r="J14" s="177">
        <f>'IS Dec KSA'!J14+'IS Dec USA'!J14</f>
        <v>0</v>
      </c>
      <c r="K14" s="177">
        <f>'IS Dec KSA'!K14+'IS Dec USA'!K14</f>
        <v>143478.26</v>
      </c>
      <c r="L14" s="177">
        <f t="shared" si="8"/>
        <v>0</v>
      </c>
      <c r="M14" s="177">
        <f>'IS Dec KSA'!M14+'IS Dec USA'!M14</f>
        <v>0</v>
      </c>
      <c r="N14" s="177">
        <f>'IS Dec KSA'!N14+'IS Dec USA'!N14</f>
        <v>0</v>
      </c>
      <c r="O14" s="177">
        <f>'IS Dec KSA'!O14+'IS Dec USA'!O14</f>
        <v>0</v>
      </c>
      <c r="P14" s="177">
        <f t="shared" si="9"/>
        <v>123913.05</v>
      </c>
      <c r="Q14" s="177">
        <f>'IS Dec KSA'!Q14+'IS Dec USA'!Q14</f>
        <v>19565.22</v>
      </c>
      <c r="R14" s="177">
        <f>'IS Dec KSA'!R14+'IS Dec USA'!R14</f>
        <v>104347.83</v>
      </c>
      <c r="S14" s="177">
        <f>'IS Dec KSA'!S14+'IS Dec USA'!S14</f>
        <v>0</v>
      </c>
      <c r="T14" s="178"/>
    </row>
    <row r="15" spans="1:25" s="186" customFormat="1" x14ac:dyDescent="0.45">
      <c r="A15" s="182"/>
      <c r="B15" s="183" t="s">
        <v>14</v>
      </c>
      <c r="C15" s="184">
        <f t="shared" si="6"/>
        <v>7679782.6499999985</v>
      </c>
      <c r="D15" s="184">
        <f>SUM(E15:G15)</f>
        <v>2312363.5699999998</v>
      </c>
      <c r="E15" s="184">
        <f>+E14+E13</f>
        <v>1041140.2199999997</v>
      </c>
      <c r="F15" s="184">
        <f>+F14+F13</f>
        <v>835386.62999999989</v>
      </c>
      <c r="G15" s="184">
        <f>+G14+G13</f>
        <v>435836.7200000002</v>
      </c>
      <c r="H15" s="184">
        <f t="shared" ref="H15:R15" si="10">+H14+H13</f>
        <v>1845213.2100000002</v>
      </c>
      <c r="I15" s="184">
        <f t="shared" si="10"/>
        <v>414742.54999999981</v>
      </c>
      <c r="J15" s="184">
        <f t="shared" si="10"/>
        <v>512191.45000000019</v>
      </c>
      <c r="K15" s="184">
        <f t="shared" si="10"/>
        <v>918279.2100000002</v>
      </c>
      <c r="L15" s="184">
        <f t="shared" si="10"/>
        <v>1839946.0700000003</v>
      </c>
      <c r="M15" s="184">
        <f t="shared" si="10"/>
        <v>745679.15000000037</v>
      </c>
      <c r="N15" s="184">
        <f t="shared" si="10"/>
        <v>708068.26999999955</v>
      </c>
      <c r="O15" s="184">
        <f t="shared" si="10"/>
        <v>386198.65000000037</v>
      </c>
      <c r="P15" s="184">
        <f t="shared" si="10"/>
        <v>1682259.7999999982</v>
      </c>
      <c r="Q15" s="184">
        <f t="shared" si="10"/>
        <v>886882.79999999818</v>
      </c>
      <c r="R15" s="184">
        <f t="shared" si="10"/>
        <v>511435.74999999994</v>
      </c>
      <c r="S15" s="184">
        <f t="shared" ref="S15" si="11">+S14+S13</f>
        <v>283941.25</v>
      </c>
      <c r="T15" s="185"/>
      <c r="W15" s="187"/>
    </row>
    <row r="16" spans="1:25" x14ac:dyDescent="0.45">
      <c r="B16" s="188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90"/>
      <c r="Q16" s="189"/>
      <c r="R16" s="189"/>
      <c r="S16" s="189"/>
      <c r="T16" s="180"/>
      <c r="U16" s="159"/>
    </row>
    <row r="17" spans="1:23" s="186" customFormat="1" x14ac:dyDescent="0.45">
      <c r="A17" s="182"/>
      <c r="B17" s="183" t="s">
        <v>15</v>
      </c>
      <c r="C17" s="184">
        <f>SUM(C18:C33)</f>
        <v>1182570.32</v>
      </c>
      <c r="D17" s="184">
        <f t="shared" ref="D17:S17" si="12">SUM(D18:D33)</f>
        <v>588110.79</v>
      </c>
      <c r="E17" s="184">
        <f t="shared" si="12"/>
        <v>326464.27999999997</v>
      </c>
      <c r="F17" s="184">
        <f t="shared" si="12"/>
        <v>118090.11</v>
      </c>
      <c r="G17" s="184">
        <f t="shared" si="12"/>
        <v>143556.40000000002</v>
      </c>
      <c r="H17" s="184">
        <f t="shared" si="12"/>
        <v>222605.62999999998</v>
      </c>
      <c r="I17" s="184">
        <f t="shared" si="12"/>
        <v>99971.72</v>
      </c>
      <c r="J17" s="184">
        <f t="shared" si="12"/>
        <v>54605.599999999999</v>
      </c>
      <c r="K17" s="184">
        <f t="shared" si="12"/>
        <v>68028.31</v>
      </c>
      <c r="L17" s="184">
        <f t="shared" si="12"/>
        <v>195428.51</v>
      </c>
      <c r="M17" s="184">
        <f t="shared" si="12"/>
        <v>56417.98</v>
      </c>
      <c r="N17" s="184">
        <f t="shared" si="12"/>
        <v>74300.2</v>
      </c>
      <c r="O17" s="184">
        <f t="shared" si="12"/>
        <v>64710.33</v>
      </c>
      <c r="P17" s="184">
        <f t="shared" si="12"/>
        <v>176425.39</v>
      </c>
      <c r="Q17" s="184">
        <f t="shared" si="12"/>
        <v>49313.209999999992</v>
      </c>
      <c r="R17" s="184">
        <f t="shared" si="12"/>
        <v>62984.28</v>
      </c>
      <c r="S17" s="184">
        <f t="shared" si="12"/>
        <v>64127.9</v>
      </c>
      <c r="T17" s="185"/>
      <c r="U17" s="191"/>
      <c r="V17" s="192"/>
      <c r="W17" s="193"/>
    </row>
    <row r="18" spans="1:23" outlineLevel="1" x14ac:dyDescent="0.45">
      <c r="B18" s="194" t="s">
        <v>16</v>
      </c>
      <c r="C18" s="177">
        <f t="shared" ref="C18:C31" si="13">G18+H18+L18+P18+F18+E18</f>
        <v>203016.64</v>
      </c>
      <c r="D18" s="177">
        <f t="shared" ref="D18:D31" si="14">SUM(E18:G18)</f>
        <v>203011.78</v>
      </c>
      <c r="E18" s="177">
        <f>'IS Dec KSA'!E18+'IS Dec USA'!E18</f>
        <v>203009.5</v>
      </c>
      <c r="F18" s="177">
        <f>'IS Dec KSA'!F18+'IS Dec USA'!F18</f>
        <v>0.37</v>
      </c>
      <c r="G18" s="177">
        <f>'IS Dec KSA'!G18+'IS Dec USA'!G18</f>
        <v>1.91</v>
      </c>
      <c r="H18" s="177">
        <f t="shared" ref="H18:H31" si="15">I18+J18+K18</f>
        <v>2.67</v>
      </c>
      <c r="I18" s="177">
        <f>'IS Dec KSA'!I18+'IS Dec USA'!I18</f>
        <v>0.5</v>
      </c>
      <c r="J18" s="177">
        <f>'IS Dec KSA'!J18+'IS Dec USA'!J18</f>
        <v>0.4</v>
      </c>
      <c r="K18" s="177">
        <f>'IS Dec KSA'!K18+'IS Dec USA'!K18</f>
        <v>1.77</v>
      </c>
      <c r="L18" s="177">
        <f t="shared" ref="L18:L31" si="16">SUM(M18:O18)</f>
        <v>0.63</v>
      </c>
      <c r="M18" s="177">
        <f>'IS Dec KSA'!M18+'IS Dec USA'!M18</f>
        <v>0</v>
      </c>
      <c r="N18" s="177">
        <f>'IS Dec KSA'!N18+'IS Dec USA'!N18</f>
        <v>0.63</v>
      </c>
      <c r="O18" s="177">
        <f>'IS Dec KSA'!O18+'IS Dec USA'!O18</f>
        <v>0</v>
      </c>
      <c r="P18" s="177">
        <f t="shared" ref="P18:P69" si="17">SUM(Q18:S18)</f>
        <v>1.56</v>
      </c>
      <c r="Q18" s="177">
        <f>'IS Dec KSA'!Q18+'IS Dec USA'!Q18</f>
        <v>0.51</v>
      </c>
      <c r="R18" s="177">
        <f>'IS Dec KSA'!R18+'IS Dec USA'!R18</f>
        <v>0.27</v>
      </c>
      <c r="S18" s="177">
        <f>'IS Dec KSA'!S18+'IS Dec USA'!S18</f>
        <v>0.78</v>
      </c>
      <c r="T18" s="180"/>
      <c r="U18" s="159"/>
    </row>
    <row r="19" spans="1:23" outlineLevel="1" x14ac:dyDescent="0.45">
      <c r="B19" s="194" t="s">
        <v>17</v>
      </c>
      <c r="C19" s="245">
        <f t="shared" si="13"/>
        <v>24338.49</v>
      </c>
      <c r="D19" s="177">
        <f t="shared" si="14"/>
        <v>5748.42</v>
      </c>
      <c r="E19" s="177">
        <f>'IS Dec KSA'!E19+'IS Dec USA'!E19</f>
        <v>2381.41</v>
      </c>
      <c r="F19" s="177">
        <f>'IS Dec KSA'!F19+'IS Dec USA'!F19</f>
        <v>868.91000000000008</v>
      </c>
      <c r="G19" s="177">
        <f>'IS Dec KSA'!G19+'IS Dec USA'!G19</f>
        <v>2498.1000000000004</v>
      </c>
      <c r="H19" s="177">
        <f t="shared" si="15"/>
        <v>5553.18</v>
      </c>
      <c r="I19" s="177">
        <f>'IS Dec KSA'!I19+'IS Dec USA'!I19</f>
        <v>916.73</v>
      </c>
      <c r="J19" s="177">
        <f>'IS Dec KSA'!J19+'IS Dec USA'!J19</f>
        <v>1735.73</v>
      </c>
      <c r="K19" s="177">
        <f>'IS Dec KSA'!K19+'IS Dec USA'!K19</f>
        <v>2900.7200000000003</v>
      </c>
      <c r="L19" s="177">
        <f t="shared" si="16"/>
        <v>7303.74</v>
      </c>
      <c r="M19" s="177">
        <f>'IS Dec KSA'!M19+'IS Dec USA'!M19</f>
        <v>1444.7</v>
      </c>
      <c r="N19" s="177">
        <f>'IS Dec KSA'!N19+'IS Dec USA'!N19</f>
        <v>3296.92</v>
      </c>
      <c r="O19" s="177">
        <f>'IS Dec KSA'!O19+'IS Dec USA'!O19</f>
        <v>2562.12</v>
      </c>
      <c r="P19" s="177">
        <f t="shared" si="17"/>
        <v>5733.1500000000005</v>
      </c>
      <c r="Q19" s="177">
        <f>'IS Dec KSA'!Q19+'IS Dec USA'!Q19</f>
        <v>1642.49</v>
      </c>
      <c r="R19" s="177">
        <f>'IS Dec KSA'!R19+'IS Dec USA'!R19</f>
        <v>2076.0300000000002</v>
      </c>
      <c r="S19" s="177">
        <f>'IS Dec KSA'!S19+'IS Dec USA'!S19</f>
        <v>2014.63</v>
      </c>
      <c r="T19" s="180"/>
      <c r="U19" s="159"/>
    </row>
    <row r="20" spans="1:23" s="251" customFormat="1" outlineLevel="1" x14ac:dyDescent="0.45">
      <c r="A20" s="247"/>
      <c r="B20" s="248" t="s">
        <v>18</v>
      </c>
      <c r="C20" s="246">
        <f t="shared" si="13"/>
        <v>54128.030000000006</v>
      </c>
      <c r="D20" s="246">
        <f t="shared" si="14"/>
        <v>2690.87</v>
      </c>
      <c r="E20" s="246">
        <f>'IS Dec KSA'!E20+'IS Dec USA'!E20</f>
        <v>819.32</v>
      </c>
      <c r="F20" s="246">
        <f>'IS Dec KSA'!F20+'IS Dec USA'!F20</f>
        <v>669.05</v>
      </c>
      <c r="G20" s="246">
        <f>'IS Dec KSA'!G20+'IS Dec USA'!G20</f>
        <v>1202.5</v>
      </c>
      <c r="H20" s="246">
        <f t="shared" si="15"/>
        <v>11522.46</v>
      </c>
      <c r="I20" s="246">
        <f>'IS Dec KSA'!I20+'IS Dec USA'!I20</f>
        <v>4877.46</v>
      </c>
      <c r="J20" s="246">
        <f>'IS Dec KSA'!J20+'IS Dec USA'!J20</f>
        <v>6110.09</v>
      </c>
      <c r="K20" s="246">
        <f>'IS Dec KSA'!K20+'IS Dec USA'!K20</f>
        <v>534.91</v>
      </c>
      <c r="L20" s="246">
        <f t="shared" si="16"/>
        <v>24158.2</v>
      </c>
      <c r="M20" s="246">
        <f>'IS Dec KSA'!M20+'IS Dec USA'!M20</f>
        <v>682.6</v>
      </c>
      <c r="N20" s="246">
        <f>'IS Dec KSA'!N20+'IS Dec USA'!N20</f>
        <v>7993.77</v>
      </c>
      <c r="O20" s="246">
        <f>'IS Dec KSA'!O20+'IS Dec USA'!O20</f>
        <v>15481.83</v>
      </c>
      <c r="P20" s="246">
        <f t="shared" si="17"/>
        <v>15756.5</v>
      </c>
      <c r="Q20" s="246">
        <f>'IS Dec KSA'!Q20+'IS Dec USA'!Q20</f>
        <v>2319</v>
      </c>
      <c r="R20" s="246">
        <f>'IS Dec KSA'!R20+'IS Dec USA'!R20</f>
        <v>6937.4699999999993</v>
      </c>
      <c r="S20" s="246">
        <f>'IS Dec KSA'!S20+'IS Dec USA'!S20</f>
        <v>6500.0300000000007</v>
      </c>
      <c r="T20" s="249"/>
      <c r="U20" s="250"/>
    </row>
    <row r="21" spans="1:23" outlineLevel="1" x14ac:dyDescent="0.45">
      <c r="B21" s="194" t="s">
        <v>19</v>
      </c>
      <c r="C21" s="245">
        <f t="shared" si="13"/>
        <v>24609.21</v>
      </c>
      <c r="D21" s="177">
        <f t="shared" si="14"/>
        <v>13664.34</v>
      </c>
      <c r="E21" s="177">
        <f>'IS Dec KSA'!E21+'IS Dec USA'!E21</f>
        <v>4705.55</v>
      </c>
      <c r="F21" s="177">
        <f>'IS Dec KSA'!F21+'IS Dec USA'!F21</f>
        <v>1182.28</v>
      </c>
      <c r="G21" s="177">
        <f>'IS Dec KSA'!G21+'IS Dec USA'!G21</f>
        <v>7776.51</v>
      </c>
      <c r="H21" s="177">
        <f t="shared" si="15"/>
        <v>6139.69</v>
      </c>
      <c r="I21" s="177">
        <f>'IS Dec KSA'!I21+'IS Dec USA'!I21</f>
        <v>282</v>
      </c>
      <c r="J21" s="177">
        <f>'IS Dec KSA'!J21+'IS Dec USA'!J21</f>
        <v>4257.6499999999996</v>
      </c>
      <c r="K21" s="177">
        <f>'IS Dec KSA'!K21+'IS Dec USA'!K21</f>
        <v>1600.04</v>
      </c>
      <c r="L21" s="177">
        <f t="shared" si="16"/>
        <v>3342.28</v>
      </c>
      <c r="M21" s="177">
        <f>'IS Dec KSA'!M21+'IS Dec USA'!M21</f>
        <v>983.6</v>
      </c>
      <c r="N21" s="177">
        <f>'IS Dec KSA'!N21+'IS Dec USA'!N21</f>
        <v>1889.74</v>
      </c>
      <c r="O21" s="177">
        <f>'IS Dec KSA'!O21+'IS Dec USA'!O21</f>
        <v>468.94</v>
      </c>
      <c r="P21" s="177">
        <f t="shared" si="17"/>
        <v>1462.9</v>
      </c>
      <c r="Q21" s="177">
        <f>'IS Dec KSA'!Q21+'IS Dec USA'!Q21</f>
        <v>824.4</v>
      </c>
      <c r="R21" s="177">
        <f>'IS Dec KSA'!R21+'IS Dec USA'!R21</f>
        <v>454</v>
      </c>
      <c r="S21" s="177">
        <f>'IS Dec KSA'!S21+'IS Dec USA'!S21</f>
        <v>184.5</v>
      </c>
      <c r="T21" s="180"/>
    </row>
    <row r="22" spans="1:23" s="251" customFormat="1" outlineLevel="1" x14ac:dyDescent="0.45">
      <c r="A22" s="247"/>
      <c r="B22" s="248" t="s">
        <v>20</v>
      </c>
      <c r="C22" s="246">
        <f t="shared" si="13"/>
        <v>3444.41</v>
      </c>
      <c r="D22" s="246">
        <f t="shared" si="14"/>
        <v>1</v>
      </c>
      <c r="E22" s="246">
        <f>'IS Dec KSA'!E22+'IS Dec USA'!E22</f>
        <v>0</v>
      </c>
      <c r="F22" s="246">
        <f>'IS Dec KSA'!F22+'IS Dec USA'!F22</f>
        <v>0</v>
      </c>
      <c r="G22" s="246">
        <f>'IS Dec KSA'!G22+'IS Dec USA'!G22</f>
        <v>1</v>
      </c>
      <c r="H22" s="246">
        <f t="shared" si="15"/>
        <v>0</v>
      </c>
      <c r="I22" s="246">
        <f>'IS Dec KSA'!I22+'IS Dec USA'!I22</f>
        <v>0</v>
      </c>
      <c r="J22" s="246">
        <f>'IS Dec KSA'!J22+'IS Dec USA'!J22</f>
        <v>0</v>
      </c>
      <c r="K22" s="246">
        <f>'IS Dec KSA'!K22+'IS Dec USA'!K22</f>
        <v>0</v>
      </c>
      <c r="L22" s="246">
        <f t="shared" si="16"/>
        <v>0</v>
      </c>
      <c r="M22" s="246">
        <f>'IS Dec KSA'!M22+'IS Dec USA'!M22</f>
        <v>0</v>
      </c>
      <c r="N22" s="246">
        <f>'IS Dec KSA'!N22+'IS Dec USA'!N22</f>
        <v>0</v>
      </c>
      <c r="O22" s="246">
        <f>'IS Dec KSA'!O22+'IS Dec USA'!O22</f>
        <v>0</v>
      </c>
      <c r="P22" s="246">
        <f t="shared" si="17"/>
        <v>3443.41</v>
      </c>
      <c r="Q22" s="246">
        <f>'IS Dec KSA'!Q22+'IS Dec USA'!Q22</f>
        <v>0</v>
      </c>
      <c r="R22" s="246">
        <f>'IS Dec KSA'!R22+'IS Dec USA'!R22</f>
        <v>3443.41</v>
      </c>
      <c r="S22" s="246">
        <f>'IS Dec KSA'!S22+'IS Dec USA'!S22</f>
        <v>0</v>
      </c>
      <c r="T22" s="249"/>
    </row>
    <row r="23" spans="1:23" s="251" customFormat="1" outlineLevel="1" x14ac:dyDescent="0.45">
      <c r="A23" s="247"/>
      <c r="B23" s="248" t="s">
        <v>21</v>
      </c>
      <c r="C23" s="246">
        <f t="shared" si="13"/>
        <v>38163.24</v>
      </c>
      <c r="D23" s="246">
        <f t="shared" si="14"/>
        <v>3750</v>
      </c>
      <c r="E23" s="246">
        <f>'IS Dec KSA'!E23+'IS Dec USA'!E23</f>
        <v>3750</v>
      </c>
      <c r="F23" s="246">
        <f>'IS Dec KSA'!F23+'IS Dec USA'!F23</f>
        <v>0</v>
      </c>
      <c r="G23" s="246">
        <f>'IS Dec KSA'!G23+'IS Dec USA'!G23</f>
        <v>0</v>
      </c>
      <c r="H23" s="246">
        <f t="shared" si="15"/>
        <v>18156.739999999998</v>
      </c>
      <c r="I23" s="246">
        <f>'IS Dec KSA'!I23+'IS Dec USA'!I23</f>
        <v>2446.84</v>
      </c>
      <c r="J23" s="246">
        <f>'IS Dec KSA'!J23+'IS Dec USA'!J23</f>
        <v>0</v>
      </c>
      <c r="K23" s="246">
        <f>'IS Dec KSA'!K23+'IS Dec USA'!K23</f>
        <v>15709.9</v>
      </c>
      <c r="L23" s="246">
        <f t="shared" si="16"/>
        <v>8606.5300000000007</v>
      </c>
      <c r="M23" s="246">
        <f>'IS Dec KSA'!M23+'IS Dec USA'!M23</f>
        <v>308.16000000000003</v>
      </c>
      <c r="N23" s="246">
        <f>'IS Dec KSA'!N23+'IS Dec USA'!N23</f>
        <v>8025.25</v>
      </c>
      <c r="O23" s="246">
        <f>'IS Dec KSA'!O23+'IS Dec USA'!O23</f>
        <v>273.12</v>
      </c>
      <c r="P23" s="246">
        <f t="shared" si="17"/>
        <v>7649.97</v>
      </c>
      <c r="Q23" s="246">
        <f>'IS Dec KSA'!Q23+'IS Dec USA'!Q23</f>
        <v>814.47</v>
      </c>
      <c r="R23" s="246">
        <f>'IS Dec KSA'!R23+'IS Dec USA'!R23</f>
        <v>6835.5</v>
      </c>
      <c r="S23" s="246">
        <f>'IS Dec KSA'!S23+'IS Dec USA'!S23</f>
        <v>0</v>
      </c>
      <c r="T23" s="249"/>
    </row>
    <row r="24" spans="1:23" s="251" customFormat="1" outlineLevel="1" x14ac:dyDescent="0.45">
      <c r="A24" s="247"/>
      <c r="B24" s="248" t="s">
        <v>22</v>
      </c>
      <c r="C24" s="246">
        <f t="shared" si="13"/>
        <v>4591.3600000000006</v>
      </c>
      <c r="D24" s="246">
        <f t="shared" si="14"/>
        <v>1056.29</v>
      </c>
      <c r="E24" s="246">
        <f>'IS Dec KSA'!E24+'IS Dec USA'!E24</f>
        <v>241</v>
      </c>
      <c r="F24" s="246">
        <f>'IS Dec KSA'!F24+'IS Dec USA'!F24</f>
        <v>675.29</v>
      </c>
      <c r="G24" s="246">
        <f>'IS Dec KSA'!G24+'IS Dec USA'!G24</f>
        <v>140</v>
      </c>
      <c r="H24" s="246">
        <f t="shared" si="15"/>
        <v>2690.93</v>
      </c>
      <c r="I24" s="246">
        <f>'IS Dec KSA'!I24+'IS Dec USA'!I24</f>
        <v>990.06</v>
      </c>
      <c r="J24" s="246">
        <f>'IS Dec KSA'!J24+'IS Dec USA'!J24</f>
        <v>0</v>
      </c>
      <c r="K24" s="246">
        <f>'IS Dec KSA'!K24+'IS Dec USA'!K24</f>
        <v>1700.87</v>
      </c>
      <c r="L24" s="246">
        <f t="shared" si="16"/>
        <v>69.569999999999993</v>
      </c>
      <c r="M24" s="246">
        <f>'IS Dec KSA'!M24+'IS Dec USA'!M24</f>
        <v>69.569999999999993</v>
      </c>
      <c r="N24" s="246">
        <f>'IS Dec KSA'!N24+'IS Dec USA'!N24</f>
        <v>0</v>
      </c>
      <c r="O24" s="246">
        <f>'IS Dec KSA'!O24+'IS Dec USA'!O24</f>
        <v>0</v>
      </c>
      <c r="P24" s="246">
        <f t="shared" si="17"/>
        <v>774.57</v>
      </c>
      <c r="Q24" s="246">
        <f>'IS Dec KSA'!Q24+'IS Dec USA'!Q24</f>
        <v>0</v>
      </c>
      <c r="R24" s="246">
        <f>'IS Dec KSA'!R24+'IS Dec USA'!R24</f>
        <v>774.57</v>
      </c>
      <c r="S24" s="246">
        <f>'IS Dec KSA'!S24+'IS Dec USA'!S24</f>
        <v>0</v>
      </c>
      <c r="T24" s="249"/>
    </row>
    <row r="25" spans="1:23" outlineLevel="1" x14ac:dyDescent="0.45">
      <c r="B25" s="194" t="s">
        <v>23</v>
      </c>
      <c r="C25" s="245">
        <f t="shared" si="13"/>
        <v>127377.93999999999</v>
      </c>
      <c r="D25" s="177">
        <f t="shared" si="14"/>
        <v>48093.19</v>
      </c>
      <c r="E25" s="177">
        <f>'IS Dec KSA'!E25+'IS Dec USA'!E25</f>
        <v>32096.09</v>
      </c>
      <c r="F25" s="177">
        <f>'IS Dec KSA'!F25+'IS Dec USA'!F25</f>
        <v>7998.55</v>
      </c>
      <c r="G25" s="177">
        <f>'IS Dec KSA'!G25+'IS Dec USA'!G25</f>
        <v>7998.55</v>
      </c>
      <c r="H25" s="177">
        <f t="shared" si="15"/>
        <v>23995.64</v>
      </c>
      <c r="I25" s="177">
        <f>'IS Dec KSA'!I25+'IS Dec USA'!I25</f>
        <v>7998.55</v>
      </c>
      <c r="J25" s="177">
        <f>'IS Dec KSA'!J25+'IS Dec USA'!J25</f>
        <v>7998.55</v>
      </c>
      <c r="K25" s="177">
        <f>'IS Dec KSA'!K25+'IS Dec USA'!K25</f>
        <v>7998.54</v>
      </c>
      <c r="L25" s="177">
        <f t="shared" si="16"/>
        <v>23899.98</v>
      </c>
      <c r="M25" s="177">
        <f>'IS Dec KSA'!M25+'IS Dec USA'!M25</f>
        <v>7966.66</v>
      </c>
      <c r="N25" s="177">
        <f>'IS Dec KSA'!N25+'IS Dec USA'!N25</f>
        <v>7966.66</v>
      </c>
      <c r="O25" s="177">
        <f>'IS Dec KSA'!O25+'IS Dec USA'!O25</f>
        <v>7966.66</v>
      </c>
      <c r="P25" s="177">
        <f t="shared" si="17"/>
        <v>31389.129999999997</v>
      </c>
      <c r="Q25" s="177">
        <f>'IS Dec KSA'!Q25+'IS Dec USA'!Q25</f>
        <v>10162.66</v>
      </c>
      <c r="R25" s="177">
        <f>'IS Dec KSA'!R25+'IS Dec USA'!R25</f>
        <v>10162.66</v>
      </c>
      <c r="S25" s="177">
        <f>'IS Dec KSA'!S25+'IS Dec USA'!S25</f>
        <v>11063.81</v>
      </c>
      <c r="T25" s="180"/>
    </row>
    <row r="26" spans="1:23" s="251" customFormat="1" outlineLevel="1" x14ac:dyDescent="0.45">
      <c r="A26" s="247"/>
      <c r="B26" s="248" t="s">
        <v>24</v>
      </c>
      <c r="C26" s="246">
        <f t="shared" si="13"/>
        <v>91973.440000000002</v>
      </c>
      <c r="D26" s="246">
        <f t="shared" si="14"/>
        <v>48368.41</v>
      </c>
      <c r="E26" s="246">
        <f>'IS Dec KSA'!E26+'IS Dec USA'!E26</f>
        <v>3897.75</v>
      </c>
      <c r="F26" s="246">
        <f>'IS Dec KSA'!F26+'IS Dec USA'!F26</f>
        <v>25111.759999999998</v>
      </c>
      <c r="G26" s="246">
        <f>'IS Dec KSA'!G26+'IS Dec USA'!G26</f>
        <v>19358.900000000001</v>
      </c>
      <c r="H26" s="246">
        <f t="shared" si="15"/>
        <v>22739.23</v>
      </c>
      <c r="I26" s="246">
        <f>'IS Dec KSA'!I26+'IS Dec USA'!I26</f>
        <v>8471.34</v>
      </c>
      <c r="J26" s="246">
        <f>'IS Dec KSA'!J26+'IS Dec USA'!J26</f>
        <v>6298.48</v>
      </c>
      <c r="K26" s="246">
        <f>'IS Dec KSA'!K26+'IS Dec USA'!K26</f>
        <v>7969.41</v>
      </c>
      <c r="L26" s="246">
        <f t="shared" si="16"/>
        <v>8918.73</v>
      </c>
      <c r="M26" s="246">
        <f>'IS Dec KSA'!M26+'IS Dec USA'!M26</f>
        <v>3696.52</v>
      </c>
      <c r="N26" s="246">
        <f>'IS Dec KSA'!N26+'IS Dec USA'!N26</f>
        <v>3183.82</v>
      </c>
      <c r="O26" s="246">
        <f>'IS Dec KSA'!O26+'IS Dec USA'!O26</f>
        <v>2038.39</v>
      </c>
      <c r="P26" s="246">
        <f t="shared" si="17"/>
        <v>11947.07</v>
      </c>
      <c r="Q26" s="246">
        <f>'IS Dec KSA'!Q26+'IS Dec USA'!Q26</f>
        <v>1173.6600000000001</v>
      </c>
      <c r="R26" s="246">
        <f>'IS Dec KSA'!R26+'IS Dec USA'!R26</f>
        <v>3677.2200000000003</v>
      </c>
      <c r="S26" s="246">
        <f>'IS Dec KSA'!S26+'IS Dec USA'!S26</f>
        <v>7096.1900000000005</v>
      </c>
      <c r="T26" s="249"/>
    </row>
    <row r="27" spans="1:23" s="251" customFormat="1" outlineLevel="1" x14ac:dyDescent="0.45">
      <c r="A27" s="247"/>
      <c r="B27" s="248" t="s">
        <v>25</v>
      </c>
      <c r="C27" s="246">
        <f t="shared" si="13"/>
        <v>42500</v>
      </c>
      <c r="D27" s="246">
        <f t="shared" si="14"/>
        <v>17500</v>
      </c>
      <c r="E27" s="246">
        <f>'IS Dec KSA'!E27+'IS Dec USA'!E27</f>
        <v>17500</v>
      </c>
      <c r="F27" s="246">
        <f>'IS Dec KSA'!F27+'IS Dec USA'!F27</f>
        <v>0</v>
      </c>
      <c r="G27" s="246">
        <f>'IS Dec KSA'!G27+'IS Dec USA'!G27</f>
        <v>0</v>
      </c>
      <c r="H27" s="246">
        <f t="shared" si="15"/>
        <v>0</v>
      </c>
      <c r="I27" s="246">
        <f>'IS Dec KSA'!I27+'IS Dec USA'!I27</f>
        <v>0</v>
      </c>
      <c r="J27" s="246">
        <f>'IS Dec KSA'!J27+'IS Dec USA'!J27</f>
        <v>0</v>
      </c>
      <c r="K27" s="246">
        <f>'IS Dec KSA'!K27+'IS Dec USA'!K27</f>
        <v>0</v>
      </c>
      <c r="L27" s="246">
        <f t="shared" si="16"/>
        <v>12500</v>
      </c>
      <c r="M27" s="246">
        <f>'IS Dec KSA'!M27+'IS Dec USA'!M27</f>
        <v>12500</v>
      </c>
      <c r="N27" s="246">
        <f>'IS Dec KSA'!N27+'IS Dec USA'!N27</f>
        <v>0</v>
      </c>
      <c r="O27" s="246">
        <f>'IS Dec KSA'!O27+'IS Dec USA'!O27</f>
        <v>0</v>
      </c>
      <c r="P27" s="246">
        <f t="shared" si="17"/>
        <v>12500</v>
      </c>
      <c r="Q27" s="246">
        <f>'IS Dec KSA'!Q27+'IS Dec USA'!Q27</f>
        <v>0</v>
      </c>
      <c r="R27" s="246">
        <f>'IS Dec KSA'!R27+'IS Dec USA'!R27</f>
        <v>0</v>
      </c>
      <c r="S27" s="246">
        <f>'IS Dec KSA'!S27+'IS Dec USA'!S27</f>
        <v>12500</v>
      </c>
      <c r="T27" s="249"/>
    </row>
    <row r="28" spans="1:23" s="251" customFormat="1" outlineLevel="1" x14ac:dyDescent="0.45">
      <c r="A28" s="247"/>
      <c r="B28" s="248" t="s">
        <v>26</v>
      </c>
      <c r="C28" s="246">
        <f t="shared" si="13"/>
        <v>25607.52</v>
      </c>
      <c r="D28" s="246">
        <f t="shared" si="14"/>
        <v>8450.2099999999991</v>
      </c>
      <c r="E28" s="246">
        <f>'IS Dec KSA'!E28+'IS Dec USA'!E28</f>
        <v>2142.64</v>
      </c>
      <c r="F28" s="246">
        <f>'IS Dec KSA'!F28+'IS Dec USA'!F28</f>
        <v>2122.61</v>
      </c>
      <c r="G28" s="246">
        <f>'IS Dec KSA'!G28+'IS Dec USA'!G28</f>
        <v>4184.96</v>
      </c>
      <c r="H28" s="246">
        <f t="shared" si="15"/>
        <v>4191.5</v>
      </c>
      <c r="I28" s="246">
        <f>'IS Dec KSA'!I28+'IS Dec USA'!I28</f>
        <v>288.54000000000002</v>
      </c>
      <c r="J28" s="246">
        <f>'IS Dec KSA'!J28+'IS Dec USA'!J28</f>
        <v>1922.61</v>
      </c>
      <c r="K28" s="246">
        <f>'IS Dec KSA'!K28+'IS Dec USA'!K28</f>
        <v>1980.3500000000001</v>
      </c>
      <c r="L28" s="246">
        <f t="shared" si="16"/>
        <v>7104.3600000000006</v>
      </c>
      <c r="M28" s="246">
        <f>'IS Dec KSA'!M28+'IS Dec USA'!M28</f>
        <v>2045.28</v>
      </c>
      <c r="N28" s="246">
        <f>'IS Dec KSA'!N28+'IS Dec USA'!N28</f>
        <v>2927.6</v>
      </c>
      <c r="O28" s="246">
        <f>'IS Dec KSA'!O28+'IS Dec USA'!O28</f>
        <v>2131.48</v>
      </c>
      <c r="P28" s="246">
        <f t="shared" si="17"/>
        <v>5861.45</v>
      </c>
      <c r="Q28" s="246">
        <f>'IS Dec KSA'!Q28+'IS Dec USA'!Q28</f>
        <v>2016.21</v>
      </c>
      <c r="R28" s="246">
        <f>'IS Dec KSA'!R28+'IS Dec USA'!R28</f>
        <v>1922.61</v>
      </c>
      <c r="S28" s="246">
        <f>'IS Dec KSA'!S28+'IS Dec USA'!S28</f>
        <v>1922.63</v>
      </c>
      <c r="T28" s="249"/>
    </row>
    <row r="29" spans="1:23" outlineLevel="1" x14ac:dyDescent="0.45">
      <c r="B29" s="194" t="s">
        <v>27</v>
      </c>
      <c r="C29" s="245">
        <f t="shared" si="13"/>
        <v>472140.14</v>
      </c>
      <c r="D29" s="177">
        <f t="shared" si="14"/>
        <v>171131.28</v>
      </c>
      <c r="E29" s="177">
        <f>'IS Dec KSA'!E29+'IS Dec USA'!E29</f>
        <v>51500.229999999996</v>
      </c>
      <c r="F29" s="177">
        <f>'IS Dec KSA'!F29+'IS Dec USA'!F29</f>
        <v>75292.78</v>
      </c>
      <c r="G29" s="177">
        <f>'IS Dec KSA'!G29+'IS Dec USA'!G29</f>
        <v>44338.270000000004</v>
      </c>
      <c r="H29" s="177">
        <f t="shared" si="15"/>
        <v>121579.29</v>
      </c>
      <c r="I29" s="177">
        <f>'IS Dec KSA'!I29+'IS Dec USA'!I29</f>
        <v>67561.26999999999</v>
      </c>
      <c r="J29" s="177">
        <f>'IS Dec KSA'!J29+'IS Dec USA'!J29</f>
        <v>26386.190000000002</v>
      </c>
      <c r="K29" s="177">
        <f>'IS Dec KSA'!K29+'IS Dec USA'!K29</f>
        <v>27631.83</v>
      </c>
      <c r="L29" s="177">
        <f t="shared" si="16"/>
        <v>99523.890000000014</v>
      </c>
      <c r="M29" s="177">
        <f>'IS Dec KSA'!M29+'IS Dec USA'!M29</f>
        <v>26720.77</v>
      </c>
      <c r="N29" s="177">
        <f>'IS Dec KSA'!N29+'IS Dec USA'!N29</f>
        <v>39015.770000000004</v>
      </c>
      <c r="O29" s="177">
        <f>'IS Dec KSA'!O29+'IS Dec USA'!O29</f>
        <v>33787.35</v>
      </c>
      <c r="P29" s="177">
        <f t="shared" si="17"/>
        <v>79905.679999999993</v>
      </c>
      <c r="Q29" s="177">
        <f>'IS Dec KSA'!Q29+'IS Dec USA'!Q29</f>
        <v>30359.809999999998</v>
      </c>
      <c r="R29" s="177">
        <f>'IS Dec KSA'!R29+'IS Dec USA'!R29</f>
        <v>26700.54</v>
      </c>
      <c r="S29" s="177">
        <f>'IS Dec KSA'!S29+'IS Dec USA'!S29</f>
        <v>22845.33</v>
      </c>
      <c r="T29" s="180"/>
    </row>
    <row r="30" spans="1:23" s="251" customFormat="1" outlineLevel="1" x14ac:dyDescent="0.45">
      <c r="A30" s="247"/>
      <c r="B30" s="248" t="s">
        <v>28</v>
      </c>
      <c r="C30" s="246">
        <f t="shared" si="13"/>
        <v>-103.77</v>
      </c>
      <c r="D30" s="246">
        <f t="shared" si="14"/>
        <v>-0.24</v>
      </c>
      <c r="E30" s="246">
        <f>'IS Dec KSA'!E30+'IS Dec USA'!E30</f>
        <v>0.24</v>
      </c>
      <c r="F30" s="246">
        <f>'IS Dec KSA'!F30+'IS Dec USA'!F30</f>
        <v>0.01</v>
      </c>
      <c r="G30" s="246">
        <f>'IS Dec KSA'!G30+'IS Dec USA'!G30</f>
        <v>-0.49</v>
      </c>
      <c r="H30" s="246">
        <f t="shared" si="15"/>
        <v>-104.13</v>
      </c>
      <c r="I30" s="246">
        <f>'IS Dec KSA'!I30+'IS Dec USA'!I30</f>
        <v>0</v>
      </c>
      <c r="J30" s="246">
        <f>'IS Dec KSA'!J30+'IS Dec USA'!J30</f>
        <v>-104.1</v>
      </c>
      <c r="K30" s="246">
        <f>'IS Dec KSA'!K30+'IS Dec USA'!K30</f>
        <v>-0.03</v>
      </c>
      <c r="L30" s="246">
        <f t="shared" si="16"/>
        <v>0.6</v>
      </c>
      <c r="M30" s="246">
        <f>'IS Dec KSA'!M30+'IS Dec USA'!M30</f>
        <v>0.12</v>
      </c>
      <c r="N30" s="246">
        <f>'IS Dec KSA'!N30+'IS Dec USA'!N30</f>
        <v>0.04</v>
      </c>
      <c r="O30" s="246">
        <f>'IS Dec KSA'!O30+'IS Dec USA'!O30</f>
        <v>0.44</v>
      </c>
      <c r="P30" s="246">
        <f t="shared" si="17"/>
        <v>0</v>
      </c>
      <c r="Q30" s="246">
        <f>'IS Dec KSA'!Q30+'IS Dec USA'!Q30</f>
        <v>0</v>
      </c>
      <c r="R30" s="246">
        <f>'IS Dec KSA'!R30+'IS Dec USA'!R30</f>
        <v>0</v>
      </c>
      <c r="S30" s="246">
        <f>'IS Dec KSA'!S30+'IS Dec USA'!S30</f>
        <v>0</v>
      </c>
      <c r="T30" s="249"/>
    </row>
    <row r="31" spans="1:23" s="251" customFormat="1" outlineLevel="1" x14ac:dyDescent="0.45">
      <c r="A31" s="247"/>
      <c r="B31" s="248" t="s">
        <v>29</v>
      </c>
      <c r="C31" s="246">
        <f t="shared" si="13"/>
        <v>13174.86</v>
      </c>
      <c r="D31" s="246">
        <f t="shared" si="14"/>
        <v>7036.43</v>
      </c>
      <c r="E31" s="246">
        <f>'IS Dec KSA'!E31+'IS Dec USA'!E31</f>
        <v>2420.5500000000002</v>
      </c>
      <c r="F31" s="246">
        <f>'IS Dec KSA'!F31+'IS Dec USA'!F31</f>
        <v>4168.5</v>
      </c>
      <c r="G31" s="246">
        <f>'IS Dec KSA'!G31+'IS Dec USA'!G31</f>
        <v>447.38</v>
      </c>
      <c r="H31" s="246">
        <f t="shared" si="15"/>
        <v>6138.43</v>
      </c>
      <c r="I31" s="246">
        <f>'IS Dec KSA'!I31+'IS Dec USA'!I31</f>
        <v>6138.43</v>
      </c>
      <c r="J31" s="246">
        <f>'IS Dec KSA'!J31+'IS Dec USA'!J31</f>
        <v>0</v>
      </c>
      <c r="K31" s="246">
        <f>'IS Dec KSA'!K31+'IS Dec USA'!K31</f>
        <v>0</v>
      </c>
      <c r="L31" s="246">
        <f t="shared" si="16"/>
        <v>0</v>
      </c>
      <c r="M31" s="246">
        <f>'IS Dec KSA'!M31+'IS Dec USA'!M31</f>
        <v>0</v>
      </c>
      <c r="N31" s="246">
        <f>'IS Dec KSA'!N31+'IS Dec USA'!N31</f>
        <v>0</v>
      </c>
      <c r="O31" s="246">
        <f>'IS Dec KSA'!O31+'IS Dec USA'!O31</f>
        <v>0</v>
      </c>
      <c r="P31" s="246">
        <f t="shared" si="17"/>
        <v>0</v>
      </c>
      <c r="Q31" s="246">
        <f>'IS Dec KSA'!Q31+'IS Dec USA'!Q31</f>
        <v>0</v>
      </c>
      <c r="R31" s="246">
        <f>'IS Dec KSA'!R31+'IS Dec USA'!R31</f>
        <v>0</v>
      </c>
      <c r="S31" s="246">
        <f>'IS Dec KSA'!S31+'IS Dec USA'!S31</f>
        <v>0</v>
      </c>
      <c r="T31" s="249"/>
    </row>
    <row r="32" spans="1:23" s="251" customFormat="1" outlineLevel="1" x14ac:dyDescent="0.45">
      <c r="A32" s="247"/>
      <c r="B32" s="248" t="s">
        <v>68</v>
      </c>
      <c r="C32" s="246">
        <f>G32+H32+L32+P32+F32+E32</f>
        <v>10000</v>
      </c>
      <c r="D32" s="246">
        <f t="shared" ref="D32" si="18">SUM(E32:G32)</f>
        <v>10000</v>
      </c>
      <c r="E32" s="246">
        <f>'IS Dec KSA'!E32+'IS Dec USA'!E32</f>
        <v>2000</v>
      </c>
      <c r="F32" s="246">
        <f>'IS Dec KSA'!F32+'IS Dec USA'!F32</f>
        <v>0</v>
      </c>
      <c r="G32" s="246">
        <f>'IS Dec KSA'!G32+'IS Dec USA'!G32</f>
        <v>8000</v>
      </c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9"/>
    </row>
    <row r="33" spans="1:22" s="251" customFormat="1" outlineLevel="1" x14ac:dyDescent="0.45">
      <c r="A33" s="247"/>
      <c r="B33" s="248" t="s">
        <v>70</v>
      </c>
      <c r="C33" s="246">
        <f>G33+H33+L33+P33+F33+E33</f>
        <v>47608.81</v>
      </c>
      <c r="D33" s="246">
        <f t="shared" ref="D33" si="19">SUM(E33:G33)</f>
        <v>47608.81</v>
      </c>
      <c r="E33" s="246">
        <f>'IS Dec KSA'!E33+'IS Dec USA'!E33</f>
        <v>0</v>
      </c>
      <c r="F33" s="246">
        <f>'IS Dec KSA'!F33+'IS Dec USA'!F33</f>
        <v>0</v>
      </c>
      <c r="G33" s="246">
        <f>'IS Dec KSA'!G33+'IS Dec USA'!G33</f>
        <v>47608.81</v>
      </c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9"/>
    </row>
    <row r="34" spans="1:22" s="186" customFormat="1" x14ac:dyDescent="0.45">
      <c r="A34" s="182"/>
      <c r="B34" s="183" t="s">
        <v>30</v>
      </c>
      <c r="C34" s="184">
        <f>SUM(C35:C43)</f>
        <v>771628.3600000001</v>
      </c>
      <c r="D34" s="184">
        <f>SUM(E34:G34)</f>
        <v>263087.79000000004</v>
      </c>
      <c r="E34" s="184">
        <f>SUM(E35:E43)</f>
        <v>88341.5</v>
      </c>
      <c r="F34" s="184">
        <f>SUM(F35:F43)</f>
        <v>99215.19</v>
      </c>
      <c r="G34" s="184">
        <f>SUM(G35:G43)</f>
        <v>75531.100000000006</v>
      </c>
      <c r="H34" s="184">
        <f t="shared" ref="H34:R34" si="20">SUM(H35:H43)</f>
        <v>217926.39</v>
      </c>
      <c r="I34" s="184">
        <f t="shared" si="20"/>
        <v>110136.53</v>
      </c>
      <c r="J34" s="184">
        <f t="shared" si="20"/>
        <v>52412.66</v>
      </c>
      <c r="K34" s="184">
        <f t="shared" si="20"/>
        <v>55377.2</v>
      </c>
      <c r="L34" s="184">
        <f t="shared" si="20"/>
        <v>174055.86</v>
      </c>
      <c r="M34" s="184">
        <f t="shared" si="20"/>
        <v>58829.31</v>
      </c>
      <c r="N34" s="184">
        <f t="shared" si="20"/>
        <v>62547.349999999991</v>
      </c>
      <c r="O34" s="184">
        <f t="shared" si="20"/>
        <v>52679.199999999997</v>
      </c>
      <c r="P34" s="184">
        <f t="shared" si="20"/>
        <v>116558.32</v>
      </c>
      <c r="Q34" s="184">
        <f t="shared" si="20"/>
        <v>50926.289999999994</v>
      </c>
      <c r="R34" s="184">
        <f t="shared" si="20"/>
        <v>36500.94</v>
      </c>
      <c r="S34" s="184">
        <f>SUM(S35:S43)</f>
        <v>29131.09</v>
      </c>
      <c r="T34" s="195"/>
    </row>
    <row r="35" spans="1:22" outlineLevel="1" x14ac:dyDescent="0.45">
      <c r="B35" s="194" t="s">
        <v>31</v>
      </c>
      <c r="C35" s="177">
        <f t="shared" ref="C35:C42" si="21">G35+H35+L35+P35+F35+E35</f>
        <v>110575.44</v>
      </c>
      <c r="D35" s="177">
        <f t="shared" ref="D35:D69" si="22">SUM(E35:G35)</f>
        <v>61398.61</v>
      </c>
      <c r="E35" s="177">
        <f>'IS Dec KSA'!E35+'IS Dec USA'!E35</f>
        <v>18308.590000000004</v>
      </c>
      <c r="F35" s="177">
        <f>'IS Dec KSA'!F35+'IS Dec USA'!F35</f>
        <v>18913.71</v>
      </c>
      <c r="G35" s="177">
        <f>'IS Dec KSA'!G35+'IS Dec USA'!G35</f>
        <v>24176.31</v>
      </c>
      <c r="H35" s="177">
        <f t="shared" ref="H35:H43" si="23">I35+J35+K35</f>
        <v>15855.330000000002</v>
      </c>
      <c r="I35" s="177">
        <f>'IS Dec KSA'!I35+'IS Dec USA'!I35</f>
        <v>4564.6400000000003</v>
      </c>
      <c r="J35" s="177">
        <f>'IS Dec KSA'!J35+'IS Dec USA'!J35</f>
        <v>690</v>
      </c>
      <c r="K35" s="177">
        <f>'IS Dec KSA'!K35+'IS Dec USA'!K35</f>
        <v>10600.69</v>
      </c>
      <c r="L35" s="177">
        <f t="shared" ref="L35:L43" si="24">SUM(M35:O35)</f>
        <v>21622.38</v>
      </c>
      <c r="M35" s="177">
        <f>'IS Dec KSA'!M35+'IS Dec USA'!M35</f>
        <v>2500</v>
      </c>
      <c r="N35" s="177">
        <f>'IS Dec KSA'!N35+'IS Dec USA'!N35</f>
        <v>2912.45</v>
      </c>
      <c r="O35" s="177">
        <f>'IS Dec KSA'!O35+'IS Dec USA'!O35</f>
        <v>16209.93</v>
      </c>
      <c r="P35" s="177">
        <f t="shared" si="17"/>
        <v>11699.119999999999</v>
      </c>
      <c r="Q35" s="177">
        <f>'IS Dec KSA'!Q35+'IS Dec USA'!Q35</f>
        <v>7809.92</v>
      </c>
      <c r="R35" s="177">
        <f>'IS Dec KSA'!R35+'IS Dec USA'!R35</f>
        <v>3889.2</v>
      </c>
      <c r="S35" s="177">
        <f>'IS Dec KSA'!S35+'IS Dec USA'!S35</f>
        <v>0</v>
      </c>
      <c r="T35" s="180"/>
    </row>
    <row r="36" spans="1:22" outlineLevel="1" x14ac:dyDescent="0.45">
      <c r="B36" s="194" t="s">
        <v>32</v>
      </c>
      <c r="C36" s="245">
        <f t="shared" si="21"/>
        <v>61150.529999999992</v>
      </c>
      <c r="D36" s="177">
        <f t="shared" si="22"/>
        <v>8117.57</v>
      </c>
      <c r="E36" s="177">
        <f>'IS Dec KSA'!E36+'IS Dec USA'!E36</f>
        <v>4797.13</v>
      </c>
      <c r="F36" s="177">
        <f>'IS Dec KSA'!F36+'IS Dec USA'!F36</f>
        <v>0</v>
      </c>
      <c r="G36" s="177">
        <f>'IS Dec KSA'!G36+'IS Dec USA'!G36</f>
        <v>3320.44</v>
      </c>
      <c r="H36" s="177">
        <f t="shared" si="23"/>
        <v>17715.010000000002</v>
      </c>
      <c r="I36" s="177">
        <f>'IS Dec KSA'!I36+'IS Dec USA'!I36</f>
        <v>3388.45</v>
      </c>
      <c r="J36" s="177">
        <f>'IS Dec KSA'!J36+'IS Dec USA'!J36</f>
        <v>11016.84</v>
      </c>
      <c r="K36" s="177">
        <f>'IS Dec KSA'!K36+'IS Dec USA'!K36</f>
        <v>3309.72</v>
      </c>
      <c r="L36" s="177">
        <f t="shared" si="24"/>
        <v>17647.359999999997</v>
      </c>
      <c r="M36" s="177">
        <f>'IS Dec KSA'!M36+'IS Dec USA'!M36</f>
        <v>10814.05</v>
      </c>
      <c r="N36" s="177">
        <f>'IS Dec KSA'!N36+'IS Dec USA'!N36</f>
        <v>4426.28</v>
      </c>
      <c r="O36" s="177">
        <f>'IS Dec KSA'!O36+'IS Dec USA'!O36</f>
        <v>2407.0300000000002</v>
      </c>
      <c r="P36" s="177">
        <f t="shared" si="17"/>
        <v>17670.59</v>
      </c>
      <c r="Q36" s="177">
        <f>'IS Dec KSA'!Q36+'IS Dec USA'!Q36</f>
        <v>6731.53</v>
      </c>
      <c r="R36" s="177">
        <f>'IS Dec KSA'!R36+'IS Dec USA'!R36</f>
        <v>1817.82</v>
      </c>
      <c r="S36" s="177">
        <f>'IS Dec KSA'!S36+'IS Dec USA'!S36</f>
        <v>9121.24</v>
      </c>
      <c r="T36" s="180"/>
      <c r="U36" s="159"/>
      <c r="V36" s="180"/>
    </row>
    <row r="37" spans="1:22" outlineLevel="1" x14ac:dyDescent="0.45">
      <c r="B37" s="194" t="s">
        <v>33</v>
      </c>
      <c r="C37" s="177">
        <f t="shared" si="21"/>
        <v>8543.48</v>
      </c>
      <c r="D37" s="177">
        <f t="shared" si="22"/>
        <v>0</v>
      </c>
      <c r="E37" s="177">
        <f>'IS Dec KSA'!E37+'IS Dec USA'!E37</f>
        <v>0</v>
      </c>
      <c r="F37" s="177">
        <f>'IS Dec KSA'!F37+'IS Dec USA'!F37</f>
        <v>0</v>
      </c>
      <c r="G37" s="177">
        <f>'IS Dec KSA'!G37+'IS Dec USA'!G37</f>
        <v>0</v>
      </c>
      <c r="H37" s="177">
        <f t="shared" si="23"/>
        <v>2869.5699999999997</v>
      </c>
      <c r="I37" s="177">
        <f>'IS Dec KSA'!I37+'IS Dec USA'!I37</f>
        <v>0</v>
      </c>
      <c r="J37" s="177">
        <f>'IS Dec KSA'!J37+'IS Dec USA'!J37</f>
        <v>1304.3499999999999</v>
      </c>
      <c r="K37" s="177">
        <f>'IS Dec KSA'!K37+'IS Dec USA'!K37</f>
        <v>1565.22</v>
      </c>
      <c r="L37" s="177">
        <f t="shared" si="24"/>
        <v>391.3</v>
      </c>
      <c r="M37" s="177">
        <f>'IS Dec KSA'!M37+'IS Dec USA'!M37</f>
        <v>0</v>
      </c>
      <c r="N37" s="177">
        <f>'IS Dec KSA'!N37+'IS Dec USA'!N37</f>
        <v>0</v>
      </c>
      <c r="O37" s="177">
        <f>'IS Dec KSA'!O37+'IS Dec USA'!O37</f>
        <v>391.3</v>
      </c>
      <c r="P37" s="177">
        <f t="shared" si="17"/>
        <v>5282.6100000000006</v>
      </c>
      <c r="Q37" s="177">
        <f>'IS Dec KSA'!Q37+'IS Dec USA'!Q37</f>
        <v>2086.96</v>
      </c>
      <c r="R37" s="177">
        <f>'IS Dec KSA'!R37+'IS Dec USA'!R37</f>
        <v>0</v>
      </c>
      <c r="S37" s="177">
        <f>'IS Dec KSA'!S37+'IS Dec USA'!S37</f>
        <v>3195.65</v>
      </c>
      <c r="T37" s="180"/>
      <c r="U37" s="159"/>
    </row>
    <row r="38" spans="1:22" outlineLevel="1" x14ac:dyDescent="0.45">
      <c r="B38" s="194" t="s">
        <v>34</v>
      </c>
      <c r="C38" s="245">
        <f>G38+H38+L38+P38+F38+E38</f>
        <v>44606.18</v>
      </c>
      <c r="D38" s="177">
        <f t="shared" si="22"/>
        <v>13166.48</v>
      </c>
      <c r="E38" s="177">
        <f>'IS Dec KSA'!E38+'IS Dec USA'!E38</f>
        <v>5000</v>
      </c>
      <c r="F38" s="177">
        <f>'IS Dec KSA'!F38+'IS Dec USA'!F38</f>
        <v>8166.48</v>
      </c>
      <c r="G38" s="177">
        <f>'IS Dec KSA'!G38+'IS Dec USA'!G38</f>
        <v>0</v>
      </c>
      <c r="H38" s="177">
        <f t="shared" si="23"/>
        <v>9439.7000000000007</v>
      </c>
      <c r="I38" s="177">
        <f>'IS Dec KSA'!I38+'IS Dec USA'!I38</f>
        <v>1500</v>
      </c>
      <c r="J38" s="177">
        <f>'IS Dec KSA'!J38+'IS Dec USA'!J38</f>
        <v>5939.7</v>
      </c>
      <c r="K38" s="177">
        <f>'IS Dec KSA'!K38+'IS Dec USA'!K38</f>
        <v>2000</v>
      </c>
      <c r="L38" s="177">
        <f t="shared" si="24"/>
        <v>13000</v>
      </c>
      <c r="M38" s="177">
        <f>'IS Dec KSA'!M38+'IS Dec USA'!M38</f>
        <v>7000</v>
      </c>
      <c r="N38" s="177">
        <f>'IS Dec KSA'!N38+'IS Dec USA'!N38</f>
        <v>3000</v>
      </c>
      <c r="O38" s="177">
        <f>'IS Dec KSA'!O38+'IS Dec USA'!O38</f>
        <v>3000</v>
      </c>
      <c r="P38" s="177">
        <f t="shared" si="17"/>
        <v>9000</v>
      </c>
      <c r="Q38" s="177">
        <f>'IS Dec KSA'!Q38+'IS Dec USA'!Q38</f>
        <v>2000</v>
      </c>
      <c r="R38" s="177">
        <f>'IS Dec KSA'!R38+'IS Dec USA'!R38</f>
        <v>1000</v>
      </c>
      <c r="S38" s="177">
        <f>'IS Dec KSA'!S38+'IS Dec USA'!S38</f>
        <v>6000</v>
      </c>
      <c r="T38" s="180"/>
      <c r="U38" s="159"/>
    </row>
    <row r="39" spans="1:22" outlineLevel="1" x14ac:dyDescent="0.45">
      <c r="B39" s="194" t="s">
        <v>35</v>
      </c>
      <c r="C39" s="177">
        <f t="shared" si="21"/>
        <v>4457.7700000000004</v>
      </c>
      <c r="D39" s="177">
        <f t="shared" si="22"/>
        <v>687.5</v>
      </c>
      <c r="E39" s="177">
        <f>'IS Dec KSA'!E39+'IS Dec USA'!E39</f>
        <v>107.5</v>
      </c>
      <c r="F39" s="177">
        <f>'IS Dec KSA'!F39+'IS Dec USA'!F39</f>
        <v>0</v>
      </c>
      <c r="G39" s="177">
        <f>'IS Dec KSA'!G39+'IS Dec USA'!G39</f>
        <v>580</v>
      </c>
      <c r="H39" s="177">
        <f t="shared" si="23"/>
        <v>481.81</v>
      </c>
      <c r="I39" s="177">
        <f>'IS Dec KSA'!I39+'IS Dec USA'!I39</f>
        <v>481.81</v>
      </c>
      <c r="J39" s="177">
        <f>'IS Dec KSA'!J39+'IS Dec USA'!J39</f>
        <v>0</v>
      </c>
      <c r="K39" s="177">
        <f>'IS Dec KSA'!K39+'IS Dec USA'!K39</f>
        <v>0</v>
      </c>
      <c r="L39" s="177">
        <f t="shared" si="24"/>
        <v>3288.46</v>
      </c>
      <c r="M39" s="177">
        <f>'IS Dec KSA'!M39+'IS Dec USA'!M39</f>
        <v>506.13</v>
      </c>
      <c r="N39" s="177">
        <f>'IS Dec KSA'!N39+'IS Dec USA'!N39</f>
        <v>2782.33</v>
      </c>
      <c r="O39" s="177">
        <f>'IS Dec KSA'!O39+'IS Dec USA'!O39</f>
        <v>0</v>
      </c>
      <c r="P39" s="177">
        <f t="shared" si="17"/>
        <v>0</v>
      </c>
      <c r="Q39" s="177">
        <f>'IS Dec KSA'!Q39+'IS Dec USA'!Q39</f>
        <v>0</v>
      </c>
      <c r="R39" s="177">
        <f>'IS Dec KSA'!R39+'IS Dec USA'!R39</f>
        <v>0</v>
      </c>
      <c r="S39" s="177">
        <f>'IS Dec KSA'!S39+'IS Dec USA'!S39</f>
        <v>0</v>
      </c>
      <c r="T39" s="180"/>
      <c r="U39" s="159"/>
    </row>
    <row r="40" spans="1:22" outlineLevel="1" x14ac:dyDescent="0.45">
      <c r="B40" s="194" t="s">
        <v>36</v>
      </c>
      <c r="C40" s="177">
        <f t="shared" si="21"/>
        <v>21797.18</v>
      </c>
      <c r="D40" s="177">
        <f t="shared" si="22"/>
        <v>240</v>
      </c>
      <c r="E40" s="177">
        <f>'IS Dec KSA'!E40+'IS Dec USA'!E40</f>
        <v>0</v>
      </c>
      <c r="F40" s="177">
        <f>'IS Dec KSA'!F40+'IS Dec USA'!F40</f>
        <v>120</v>
      </c>
      <c r="G40" s="177">
        <f>'IS Dec KSA'!G40+'IS Dec USA'!G40</f>
        <v>120</v>
      </c>
      <c r="H40" s="177">
        <f t="shared" si="23"/>
        <v>4162.38</v>
      </c>
      <c r="I40" s="177">
        <f>'IS Dec KSA'!I40+'IS Dec USA'!I40</f>
        <v>720</v>
      </c>
      <c r="J40" s="177">
        <f>'IS Dec KSA'!J40+'IS Dec USA'!J40</f>
        <v>3442.38</v>
      </c>
      <c r="K40" s="177">
        <f>'IS Dec KSA'!K40+'IS Dec USA'!K40</f>
        <v>0</v>
      </c>
      <c r="L40" s="177">
        <f t="shared" si="24"/>
        <v>17394.8</v>
      </c>
      <c r="M40" s="177">
        <f>'IS Dec KSA'!M40+'IS Dec USA'!M40</f>
        <v>6744.8</v>
      </c>
      <c r="N40" s="177">
        <f>'IS Dec KSA'!N40+'IS Dec USA'!N40</f>
        <v>10650</v>
      </c>
      <c r="O40" s="177">
        <f>'IS Dec KSA'!O40+'IS Dec USA'!O40</f>
        <v>0</v>
      </c>
      <c r="P40" s="177">
        <f t="shared" si="17"/>
        <v>0</v>
      </c>
      <c r="Q40" s="177">
        <f>'IS Dec KSA'!Q40+'IS Dec USA'!Q40</f>
        <v>0</v>
      </c>
      <c r="R40" s="177">
        <f>'IS Dec KSA'!R40+'IS Dec USA'!R40</f>
        <v>0</v>
      </c>
      <c r="S40" s="177">
        <f>'IS Dec KSA'!S40+'IS Dec USA'!S40</f>
        <v>0</v>
      </c>
      <c r="T40" s="180"/>
      <c r="U40" s="159"/>
    </row>
    <row r="41" spans="1:22" outlineLevel="1" x14ac:dyDescent="0.45">
      <c r="B41" s="194" t="s">
        <v>37</v>
      </c>
      <c r="C41" s="177">
        <f t="shared" si="21"/>
        <v>42649.18</v>
      </c>
      <c r="D41" s="177">
        <f t="shared" si="22"/>
        <v>12753.84</v>
      </c>
      <c r="E41" s="177">
        <f>'IS Dec KSA'!E41+'IS Dec USA'!E41</f>
        <v>4340.78</v>
      </c>
      <c r="F41" s="177">
        <f>'IS Dec KSA'!F41+'IS Dec USA'!F41</f>
        <v>3114.39</v>
      </c>
      <c r="G41" s="177">
        <f>'IS Dec KSA'!G41+'IS Dec USA'!G41</f>
        <v>5298.67</v>
      </c>
      <c r="H41" s="177">
        <f t="shared" si="23"/>
        <v>10160.15</v>
      </c>
      <c r="I41" s="177">
        <f>'IS Dec KSA'!I41+'IS Dec USA'!I41</f>
        <v>4905.08</v>
      </c>
      <c r="J41" s="177">
        <f>'IS Dec KSA'!J41+'IS Dec USA'!J41</f>
        <v>1943.42</v>
      </c>
      <c r="K41" s="177">
        <f>'IS Dec KSA'!K41+'IS Dec USA'!K41</f>
        <v>3311.65</v>
      </c>
      <c r="L41" s="177">
        <f t="shared" si="24"/>
        <v>12392.19</v>
      </c>
      <c r="M41" s="177">
        <f>'IS Dec KSA'!M41+'IS Dec USA'!M41</f>
        <v>4093.31</v>
      </c>
      <c r="N41" s="177">
        <f>'IS Dec KSA'!N41+'IS Dec USA'!N41</f>
        <v>5875.86</v>
      </c>
      <c r="O41" s="177">
        <f>'IS Dec KSA'!O41+'IS Dec USA'!O41</f>
        <v>2423.02</v>
      </c>
      <c r="P41" s="177">
        <f t="shared" si="17"/>
        <v>7343</v>
      </c>
      <c r="Q41" s="177">
        <f>'IS Dec KSA'!Q41+'IS Dec USA'!Q41</f>
        <v>4287.21</v>
      </c>
      <c r="R41" s="177">
        <f>'IS Dec KSA'!R41+'IS Dec USA'!R41</f>
        <v>1634.11</v>
      </c>
      <c r="S41" s="177">
        <f>'IS Dec KSA'!S41+'IS Dec USA'!S41</f>
        <v>1421.68</v>
      </c>
      <c r="T41" s="180"/>
    </row>
    <row r="42" spans="1:22" outlineLevel="1" x14ac:dyDescent="0.45">
      <c r="B42" s="194" t="s">
        <v>38</v>
      </c>
      <c r="C42" s="245">
        <f t="shared" si="21"/>
        <v>259041.14</v>
      </c>
      <c r="D42" s="177">
        <f t="shared" si="22"/>
        <v>89059.37</v>
      </c>
      <c r="E42" s="177">
        <f>'IS Dec KSA'!E42+'IS Dec USA'!E42</f>
        <v>29899.360000000001</v>
      </c>
      <c r="F42" s="177">
        <f>'IS Dec KSA'!F42+'IS Dec USA'!F42</f>
        <v>43012.47</v>
      </c>
      <c r="G42" s="177">
        <f>'IS Dec KSA'!G42+'IS Dec USA'!G42</f>
        <v>16147.54</v>
      </c>
      <c r="H42" s="177">
        <f t="shared" si="23"/>
        <v>101413.60000000002</v>
      </c>
      <c r="I42" s="177">
        <f>'IS Dec KSA'!I42+'IS Dec USA'!I42</f>
        <v>75984.450000000012</v>
      </c>
      <c r="J42" s="177">
        <f>'IS Dec KSA'!J42+'IS Dec USA'!J42</f>
        <v>9457.6</v>
      </c>
      <c r="K42" s="177">
        <f>'IS Dec KSA'!K42+'IS Dec USA'!K42</f>
        <v>15971.55</v>
      </c>
      <c r="L42" s="177">
        <f t="shared" si="24"/>
        <v>37892.559999999998</v>
      </c>
      <c r="M42" s="177">
        <f>'IS Dec KSA'!M42+'IS Dec USA'!M42</f>
        <v>10375.74</v>
      </c>
      <c r="N42" s="177">
        <f>'IS Dec KSA'!N42+'IS Dec USA'!N42</f>
        <v>16091.45</v>
      </c>
      <c r="O42" s="177">
        <f>'IS Dec KSA'!O42+'IS Dec USA'!O42</f>
        <v>11425.369999999999</v>
      </c>
      <c r="P42" s="177">
        <f t="shared" si="17"/>
        <v>30675.610000000004</v>
      </c>
      <c r="Q42" s="177">
        <f>'IS Dec KSA'!Q42+'IS Dec USA'!Q42</f>
        <v>11188.12</v>
      </c>
      <c r="R42" s="177">
        <f>'IS Dec KSA'!R42+'IS Dec USA'!R42</f>
        <v>10094.970000000001</v>
      </c>
      <c r="S42" s="177">
        <f>'IS Dec KSA'!S42+'IS Dec USA'!S42</f>
        <v>9392.52</v>
      </c>
      <c r="T42" s="180"/>
    </row>
    <row r="43" spans="1:22" outlineLevel="1" x14ac:dyDescent="0.45">
      <c r="B43" s="194" t="s">
        <v>39</v>
      </c>
      <c r="C43" s="245">
        <f>G43+H43+L43+P43+F43+E43</f>
        <v>218807.46000000002</v>
      </c>
      <c r="D43" s="177">
        <f t="shared" si="22"/>
        <v>77664.42</v>
      </c>
      <c r="E43" s="177">
        <f>'IS Dec KSA'!E43+'IS Dec USA'!E43</f>
        <v>25888.14</v>
      </c>
      <c r="F43" s="177">
        <f>'IS Dec KSA'!F43+'IS Dec USA'!F43</f>
        <v>25888.14</v>
      </c>
      <c r="G43" s="177">
        <f>'IS Dec KSA'!G43+'IS Dec USA'!G43</f>
        <v>25888.14</v>
      </c>
      <c r="H43" s="177">
        <f t="shared" si="23"/>
        <v>55828.84</v>
      </c>
      <c r="I43" s="177">
        <f>'IS Dec KSA'!I43+'IS Dec USA'!I43</f>
        <v>18592.099999999999</v>
      </c>
      <c r="J43" s="177">
        <f>'IS Dec KSA'!J43+'IS Dec USA'!J43</f>
        <v>18618.37</v>
      </c>
      <c r="K43" s="177">
        <f>'IS Dec KSA'!K43+'IS Dec USA'!K43</f>
        <v>18618.37</v>
      </c>
      <c r="L43" s="177">
        <f t="shared" si="24"/>
        <v>50426.81</v>
      </c>
      <c r="M43" s="177">
        <f>'IS Dec KSA'!M43+'IS Dec USA'!M43</f>
        <v>16795.28</v>
      </c>
      <c r="N43" s="177">
        <f>'IS Dec KSA'!N43+'IS Dec USA'!N43</f>
        <v>16808.98</v>
      </c>
      <c r="O43" s="177">
        <f>'IS Dec KSA'!O43+'IS Dec USA'!O43</f>
        <v>16822.55</v>
      </c>
      <c r="P43" s="177">
        <f t="shared" si="17"/>
        <v>34887.39</v>
      </c>
      <c r="Q43" s="177">
        <f>'IS Dec KSA'!Q43+'IS Dec USA'!Q43</f>
        <v>16822.55</v>
      </c>
      <c r="R43" s="177">
        <f>'IS Dec KSA'!R43+'IS Dec USA'!R43</f>
        <v>18064.84</v>
      </c>
      <c r="S43" s="177">
        <f>'IS Dec KSA'!S43+'IS Dec USA'!S43</f>
        <v>0</v>
      </c>
      <c r="T43" s="180"/>
    </row>
    <row r="44" spans="1:22" s="186" customFormat="1" x14ac:dyDescent="0.45">
      <c r="A44" s="182"/>
      <c r="B44" s="183" t="s">
        <v>40</v>
      </c>
      <c r="C44" s="184">
        <f>SUM(C45:C47)</f>
        <v>912663.56</v>
      </c>
      <c r="D44" s="184">
        <f>SUM(E44:G44)</f>
        <v>424971.86</v>
      </c>
      <c r="E44" s="184">
        <f>SUM(E45:E47)</f>
        <v>241058.12</v>
      </c>
      <c r="F44" s="184">
        <f>SUM(F45:F47)</f>
        <v>50847.839999999997</v>
      </c>
      <c r="G44" s="184">
        <f>SUM(G45:G47)</f>
        <v>133065.9</v>
      </c>
      <c r="H44" s="184">
        <f t="shared" ref="H44:R44" si="25">SUM(H45:H47)</f>
        <v>210063.35999999999</v>
      </c>
      <c r="I44" s="184">
        <f t="shared" si="25"/>
        <v>55589.369999999995</v>
      </c>
      <c r="J44" s="184">
        <f t="shared" si="25"/>
        <v>99963.44</v>
      </c>
      <c r="K44" s="184">
        <f t="shared" si="25"/>
        <v>54510.549999999996</v>
      </c>
      <c r="L44" s="184">
        <f t="shared" si="25"/>
        <v>111316.31</v>
      </c>
      <c r="M44" s="184">
        <f t="shared" si="25"/>
        <v>33792.089999999997</v>
      </c>
      <c r="N44" s="184">
        <f t="shared" si="25"/>
        <v>37970.74</v>
      </c>
      <c r="O44" s="184">
        <f t="shared" si="25"/>
        <v>39553.479999999996</v>
      </c>
      <c r="P44" s="184">
        <f t="shared" si="25"/>
        <v>166312.03</v>
      </c>
      <c r="Q44" s="184">
        <f t="shared" si="25"/>
        <v>30360.14</v>
      </c>
      <c r="R44" s="184">
        <f t="shared" si="25"/>
        <v>77215.75</v>
      </c>
      <c r="S44" s="184">
        <f>SUM(S45:S47)</f>
        <v>58736.14</v>
      </c>
      <c r="T44" s="195"/>
    </row>
    <row r="45" spans="1:22" outlineLevel="1" x14ac:dyDescent="0.45">
      <c r="B45" s="194" t="s">
        <v>41</v>
      </c>
      <c r="C45" s="177">
        <f>G45+H45+L45+P45+F45+E45</f>
        <v>515896.62999999995</v>
      </c>
      <c r="D45" s="177">
        <f t="shared" si="22"/>
        <v>201530.87</v>
      </c>
      <c r="E45" s="177">
        <f>'IS Dec KSA'!E45+'IS Dec USA'!E45</f>
        <v>74891.990000000005</v>
      </c>
      <c r="F45" s="177">
        <f>'IS Dec KSA'!F45+'IS Dec USA'!F45</f>
        <v>22525.54</v>
      </c>
      <c r="G45" s="177">
        <f>'IS Dec KSA'!G45+'IS Dec USA'!G45</f>
        <v>104113.34</v>
      </c>
      <c r="H45" s="177">
        <f>I45+J45+K45</f>
        <v>118778.72</v>
      </c>
      <c r="I45" s="177">
        <f>'IS Dec KSA'!I45+'IS Dec USA'!I45</f>
        <v>26304.29</v>
      </c>
      <c r="J45" s="177">
        <f>'IS Dec KSA'!J45+'IS Dec USA'!J45</f>
        <v>45311.9</v>
      </c>
      <c r="K45" s="177">
        <f>'IS Dec KSA'!K45+'IS Dec USA'!K45</f>
        <v>47162.53</v>
      </c>
      <c r="L45" s="177">
        <f t="shared" ref="L45:L47" si="26">SUM(M45:O45)</f>
        <v>76365.61</v>
      </c>
      <c r="M45" s="177">
        <f>'IS Dec KSA'!M45+'IS Dec USA'!M45</f>
        <v>22845.599999999999</v>
      </c>
      <c r="N45" s="177">
        <f>'IS Dec KSA'!N45+'IS Dec USA'!N45</f>
        <v>26569.25</v>
      </c>
      <c r="O45" s="177">
        <f>'IS Dec KSA'!O45+'IS Dec USA'!O45</f>
        <v>26950.76</v>
      </c>
      <c r="P45" s="177">
        <f t="shared" si="17"/>
        <v>119221.43</v>
      </c>
      <c r="Q45" s="177">
        <f>'IS Dec KSA'!Q45+'IS Dec USA'!Q45</f>
        <v>21297.91</v>
      </c>
      <c r="R45" s="177">
        <f>'IS Dec KSA'!R45+'IS Dec USA'!R45</f>
        <v>49882.6</v>
      </c>
      <c r="S45" s="177">
        <f>'IS Dec KSA'!S45+'IS Dec USA'!S45</f>
        <v>48040.92</v>
      </c>
      <c r="T45" s="180"/>
    </row>
    <row r="46" spans="1:22" outlineLevel="1" x14ac:dyDescent="0.45">
      <c r="B46" s="194" t="s">
        <v>42</v>
      </c>
      <c r="C46" s="177">
        <f t="shared" ref="C46" si="27">G46+H46+L46+P46+F46+E46</f>
        <v>29073.829999999998</v>
      </c>
      <c r="D46" s="177">
        <f t="shared" si="22"/>
        <v>7668.36</v>
      </c>
      <c r="E46" s="177">
        <f>'IS Dec KSA'!E46+'IS Dec USA'!E46</f>
        <v>1332.26</v>
      </c>
      <c r="F46" s="177">
        <f>'IS Dec KSA'!F46+'IS Dec USA'!F46</f>
        <v>3174.35</v>
      </c>
      <c r="G46" s="177">
        <f>'IS Dec KSA'!G46+'IS Dec USA'!G46</f>
        <v>3161.75</v>
      </c>
      <c r="H46" s="177">
        <f>I46+J46+K46</f>
        <v>9461.39</v>
      </c>
      <c r="I46" s="177">
        <f>'IS Dec KSA'!I46+'IS Dec USA'!I46</f>
        <v>1380.25</v>
      </c>
      <c r="J46" s="177">
        <f>'IS Dec KSA'!J46+'IS Dec USA'!J46</f>
        <v>5155.1400000000003</v>
      </c>
      <c r="K46" s="177">
        <f>'IS Dec KSA'!K46+'IS Dec USA'!K46</f>
        <v>2926</v>
      </c>
      <c r="L46" s="177">
        <f t="shared" si="26"/>
        <v>3638.5</v>
      </c>
      <c r="M46" s="177">
        <f>'IS Dec KSA'!M46+'IS Dec USA'!M46</f>
        <v>1201.75</v>
      </c>
      <c r="N46" s="177">
        <f>'IS Dec KSA'!N46+'IS Dec USA'!N46</f>
        <v>1656.75</v>
      </c>
      <c r="O46" s="177">
        <f>'IS Dec KSA'!O46+'IS Dec USA'!O46</f>
        <v>780</v>
      </c>
      <c r="P46" s="177">
        <f t="shared" si="17"/>
        <v>8305.58</v>
      </c>
      <c r="Q46" s="177">
        <f>'IS Dec KSA'!Q46+'IS Dec USA'!Q46</f>
        <v>1253.5</v>
      </c>
      <c r="R46" s="177">
        <f>'IS Dec KSA'!R46+'IS Dec USA'!R46</f>
        <v>4165.59</v>
      </c>
      <c r="S46" s="177">
        <f>'IS Dec KSA'!S46+'IS Dec USA'!S46</f>
        <v>2886.49</v>
      </c>
      <c r="T46" s="180"/>
    </row>
    <row r="47" spans="1:22" outlineLevel="1" x14ac:dyDescent="0.45">
      <c r="B47" s="194" t="s">
        <v>43</v>
      </c>
      <c r="C47" s="177">
        <f>G47+H47+L47+P47+F47+E47</f>
        <v>367693.10000000003</v>
      </c>
      <c r="D47" s="177">
        <f t="shared" si="22"/>
        <v>215772.63</v>
      </c>
      <c r="E47" s="177">
        <f>'IS Dec KSA'!E47+'IS Dec USA'!E47</f>
        <v>164833.87</v>
      </c>
      <c r="F47" s="177">
        <f>'IS Dec KSA'!F47+'IS Dec USA'!F47</f>
        <v>25147.95</v>
      </c>
      <c r="G47" s="177">
        <f>'IS Dec KSA'!G47+'IS Dec USA'!G47</f>
        <v>25790.81</v>
      </c>
      <c r="H47" s="177">
        <f>I47+J47+K47</f>
        <v>81823.25</v>
      </c>
      <c r="I47" s="177">
        <f>'IS Dec KSA'!I47+'IS Dec USA'!I47</f>
        <v>27904.829999999998</v>
      </c>
      <c r="J47" s="177">
        <f>'IS Dec KSA'!J47+'IS Dec USA'!J47</f>
        <v>49496.4</v>
      </c>
      <c r="K47" s="177">
        <f>'IS Dec KSA'!K47+'IS Dec USA'!K47</f>
        <v>4422.0199999999995</v>
      </c>
      <c r="L47" s="177">
        <f t="shared" si="26"/>
        <v>31312.2</v>
      </c>
      <c r="M47" s="177">
        <f>'IS Dec KSA'!M47+'IS Dec USA'!M47</f>
        <v>9744.74</v>
      </c>
      <c r="N47" s="177">
        <f>'IS Dec KSA'!N47+'IS Dec USA'!N47</f>
        <v>9744.74</v>
      </c>
      <c r="O47" s="177">
        <f>'IS Dec KSA'!O47+'IS Dec USA'!O47</f>
        <v>11822.720000000001</v>
      </c>
      <c r="P47" s="177">
        <f t="shared" si="17"/>
        <v>38785.020000000004</v>
      </c>
      <c r="Q47" s="177">
        <f>'IS Dec KSA'!Q47+'IS Dec USA'!Q47</f>
        <v>7808.73</v>
      </c>
      <c r="R47" s="177">
        <f>'IS Dec KSA'!R47+'IS Dec USA'!R47</f>
        <v>23167.56</v>
      </c>
      <c r="S47" s="177">
        <f>'IS Dec KSA'!S47+'IS Dec USA'!S47</f>
        <v>7808.73</v>
      </c>
      <c r="T47" s="180"/>
    </row>
    <row r="48" spans="1:22" s="186" customFormat="1" x14ac:dyDescent="0.45">
      <c r="A48" s="182"/>
      <c r="B48" s="183" t="s">
        <v>44</v>
      </c>
      <c r="C48" s="184">
        <f>SUM(C49:C51)</f>
        <v>88776.89</v>
      </c>
      <c r="D48" s="184">
        <f>SUM(E48:G48)</f>
        <v>24991.62</v>
      </c>
      <c r="E48" s="184">
        <f>SUM(E49:E51)</f>
        <v>8478.56</v>
      </c>
      <c r="F48" s="184">
        <f>SUM(F49:F51)</f>
        <v>7889.45</v>
      </c>
      <c r="G48" s="184">
        <f>SUM(G49:G51)</f>
        <v>8623.61</v>
      </c>
      <c r="H48" s="184">
        <f t="shared" ref="H48:R48" si="28">SUM(H49:H51)</f>
        <v>24491.159999999996</v>
      </c>
      <c r="I48" s="184">
        <f t="shared" si="28"/>
        <v>8533.2099999999991</v>
      </c>
      <c r="J48" s="184">
        <f t="shared" si="28"/>
        <v>8623.0999999999985</v>
      </c>
      <c r="K48" s="184">
        <f t="shared" si="28"/>
        <v>7334.85</v>
      </c>
      <c r="L48" s="184">
        <f t="shared" si="28"/>
        <v>20209.95</v>
      </c>
      <c r="M48" s="184">
        <f t="shared" si="28"/>
        <v>6736.65</v>
      </c>
      <c r="N48" s="184">
        <f t="shared" si="28"/>
        <v>6736.65</v>
      </c>
      <c r="O48" s="184">
        <f t="shared" si="28"/>
        <v>6736.65</v>
      </c>
      <c r="P48" s="184">
        <f t="shared" si="28"/>
        <v>19084.16</v>
      </c>
      <c r="Q48" s="184">
        <f t="shared" si="28"/>
        <v>6736.65</v>
      </c>
      <c r="R48" s="184">
        <f t="shared" si="28"/>
        <v>6347.16</v>
      </c>
      <c r="S48" s="184">
        <f>SUM(S49:S51)</f>
        <v>6000.35</v>
      </c>
      <c r="T48" s="195"/>
    </row>
    <row r="49" spans="1:23" outlineLevel="1" x14ac:dyDescent="0.45">
      <c r="B49" s="194" t="s">
        <v>45</v>
      </c>
      <c r="C49" s="177">
        <f t="shared" ref="C49:C50" si="29">G49+H49+L49+P49+F49+E49</f>
        <v>15221.759999999998</v>
      </c>
      <c r="D49" s="177">
        <f t="shared" si="22"/>
        <v>3943.41</v>
      </c>
      <c r="E49" s="177">
        <f>'IS Dec KSA'!E49+'IS Dec USA'!E49</f>
        <v>1314.47</v>
      </c>
      <c r="F49" s="177">
        <f>'IS Dec KSA'!F49+'IS Dec USA'!F49</f>
        <v>1314.47</v>
      </c>
      <c r="G49" s="177">
        <f>'IS Dec KSA'!G49+'IS Dec USA'!G49</f>
        <v>1314.47</v>
      </c>
      <c r="H49" s="177">
        <f>I49+J49+K49</f>
        <v>3864.57</v>
      </c>
      <c r="I49" s="177">
        <f>'IS Dec KSA'!I49+'IS Dec USA'!I49</f>
        <v>1314.47</v>
      </c>
      <c r="J49" s="177">
        <f>'IS Dec KSA'!J49+'IS Dec USA'!J49</f>
        <v>1314.47</v>
      </c>
      <c r="K49" s="177">
        <f>'IS Dec KSA'!K49+'IS Dec USA'!K49</f>
        <v>1235.6300000000001</v>
      </c>
      <c r="L49" s="177">
        <f t="shared" ref="L49:L51" si="30">SUM(M49:O49)</f>
        <v>3706.8900000000003</v>
      </c>
      <c r="M49" s="177">
        <f>'IS Dec KSA'!M49+'IS Dec USA'!M49</f>
        <v>1235.6300000000001</v>
      </c>
      <c r="N49" s="177">
        <f>'IS Dec KSA'!N49+'IS Dec USA'!N49</f>
        <v>1235.6300000000001</v>
      </c>
      <c r="O49" s="177">
        <f>'IS Dec KSA'!O49+'IS Dec USA'!O49</f>
        <v>1235.6300000000001</v>
      </c>
      <c r="P49" s="177">
        <f t="shared" si="17"/>
        <v>3706.8900000000003</v>
      </c>
      <c r="Q49" s="177">
        <f>'IS Dec KSA'!Q49+'IS Dec USA'!Q49</f>
        <v>1235.6300000000001</v>
      </c>
      <c r="R49" s="177">
        <f>'IS Dec KSA'!R49+'IS Dec USA'!R49</f>
        <v>1235.6300000000001</v>
      </c>
      <c r="S49" s="177">
        <f>'IS Dec KSA'!S49+'IS Dec USA'!S49</f>
        <v>1235.6300000000001</v>
      </c>
      <c r="T49" s="180"/>
    </row>
    <row r="50" spans="1:23" outlineLevel="1" x14ac:dyDescent="0.45">
      <c r="B50" s="194" t="s">
        <v>46</v>
      </c>
      <c r="C50" s="177">
        <f t="shared" si="29"/>
        <v>14526.77</v>
      </c>
      <c r="D50" s="177">
        <f t="shared" si="22"/>
        <v>5039.5499999999993</v>
      </c>
      <c r="E50" s="177">
        <f>'IS Dec KSA'!E50+'IS Dec USA'!E50</f>
        <v>1679.85</v>
      </c>
      <c r="F50" s="177">
        <f>'IS Dec KSA'!F50+'IS Dec USA'!F50</f>
        <v>1679.85</v>
      </c>
      <c r="G50" s="177">
        <f>'IS Dec KSA'!G50+'IS Dec USA'!G50</f>
        <v>1679.85</v>
      </c>
      <c r="H50" s="177">
        <f>I50+J50+K50</f>
        <v>4235.0599999999995</v>
      </c>
      <c r="I50" s="177">
        <f>'IS Dec KSA'!I50+'IS Dec USA'!I50</f>
        <v>1679.85</v>
      </c>
      <c r="J50" s="177">
        <f>'IS Dec KSA'!J50+'IS Dec USA'!J50</f>
        <v>1679.85</v>
      </c>
      <c r="K50" s="177">
        <f>'IS Dec KSA'!K50+'IS Dec USA'!K50</f>
        <v>875.36</v>
      </c>
      <c r="L50" s="177">
        <f t="shared" si="30"/>
        <v>2626.08</v>
      </c>
      <c r="M50" s="177">
        <f>'IS Dec KSA'!M50+'IS Dec USA'!M50</f>
        <v>875.36</v>
      </c>
      <c r="N50" s="177">
        <f>'IS Dec KSA'!N50+'IS Dec USA'!N50</f>
        <v>875.36</v>
      </c>
      <c r="O50" s="177">
        <f>'IS Dec KSA'!O50+'IS Dec USA'!O50</f>
        <v>875.36</v>
      </c>
      <c r="P50" s="177">
        <f t="shared" si="17"/>
        <v>2626.08</v>
      </c>
      <c r="Q50" s="177">
        <f>'IS Dec KSA'!Q50+'IS Dec USA'!Q50</f>
        <v>875.36</v>
      </c>
      <c r="R50" s="177">
        <f>'IS Dec KSA'!R50+'IS Dec USA'!R50</f>
        <v>875.36</v>
      </c>
      <c r="S50" s="177">
        <f>'IS Dec KSA'!S50+'IS Dec USA'!S50</f>
        <v>875.36</v>
      </c>
      <c r="T50" s="180"/>
    </row>
    <row r="51" spans="1:23" outlineLevel="1" x14ac:dyDescent="0.45">
      <c r="B51" s="194" t="s">
        <v>47</v>
      </c>
      <c r="C51" s="177">
        <f>G51+H51+L51+P51+F51+E51</f>
        <v>59028.36</v>
      </c>
      <c r="D51" s="177">
        <f t="shared" si="22"/>
        <v>16008.66</v>
      </c>
      <c r="E51" s="177">
        <f>'IS Dec KSA'!E51+'IS Dec USA'!E51</f>
        <v>5484.24</v>
      </c>
      <c r="F51" s="177">
        <f>'IS Dec KSA'!F51+'IS Dec USA'!F51</f>
        <v>4895.13</v>
      </c>
      <c r="G51" s="177">
        <f>'IS Dec KSA'!G51+'IS Dec USA'!G51</f>
        <v>5629.29</v>
      </c>
      <c r="H51" s="177">
        <f>I51+J51+K51</f>
        <v>16391.53</v>
      </c>
      <c r="I51" s="177">
        <f>'IS Dec KSA'!I51+'IS Dec USA'!I51</f>
        <v>5538.8899999999994</v>
      </c>
      <c r="J51" s="177">
        <f>'IS Dec KSA'!J51+'IS Dec USA'!J51</f>
        <v>5628.78</v>
      </c>
      <c r="K51" s="177">
        <f>'IS Dec KSA'!K51+'IS Dec USA'!K51</f>
        <v>5223.8599999999997</v>
      </c>
      <c r="L51" s="177">
        <f t="shared" si="30"/>
        <v>13876.98</v>
      </c>
      <c r="M51" s="177">
        <f>'IS Dec KSA'!M51+'IS Dec USA'!M51</f>
        <v>4625.66</v>
      </c>
      <c r="N51" s="177">
        <f>'IS Dec KSA'!N51+'IS Dec USA'!N51</f>
        <v>4625.66</v>
      </c>
      <c r="O51" s="177">
        <f>'IS Dec KSA'!O51+'IS Dec USA'!O51</f>
        <v>4625.66</v>
      </c>
      <c r="P51" s="177">
        <f t="shared" si="17"/>
        <v>12751.19</v>
      </c>
      <c r="Q51" s="177">
        <f>'IS Dec KSA'!Q51+'IS Dec USA'!Q51</f>
        <v>4625.66</v>
      </c>
      <c r="R51" s="177">
        <f>'IS Dec KSA'!R51+'IS Dec USA'!R51</f>
        <v>4236.17</v>
      </c>
      <c r="S51" s="177">
        <f>'IS Dec KSA'!S51+'IS Dec USA'!S51</f>
        <v>3889.36</v>
      </c>
      <c r="T51" s="180"/>
    </row>
    <row r="52" spans="1:23" s="186" customFormat="1" x14ac:dyDescent="0.45">
      <c r="A52" s="182"/>
      <c r="B52" s="183" t="s">
        <v>48</v>
      </c>
      <c r="C52" s="184">
        <f>SUM(C53:C69)</f>
        <v>5782386.1699999999</v>
      </c>
      <c r="D52" s="184">
        <f>SUM(E52:G52)</f>
        <v>1817654.34</v>
      </c>
      <c r="E52" s="184">
        <f>SUM(E53:E69)</f>
        <v>715590.12999999989</v>
      </c>
      <c r="F52" s="184">
        <f>SUM(F53:F69)</f>
        <v>549140.42000000016</v>
      </c>
      <c r="G52" s="184">
        <f>SUM(G53:G69)</f>
        <v>552923.79</v>
      </c>
      <c r="H52" s="184">
        <f t="shared" ref="H52:R52" si="31">SUM(H53:H69)</f>
        <v>1624050.57</v>
      </c>
      <c r="I52" s="184">
        <f t="shared" si="31"/>
        <v>548004.74</v>
      </c>
      <c r="J52" s="184">
        <f t="shared" si="31"/>
        <v>590153.43999999994</v>
      </c>
      <c r="K52" s="184">
        <f t="shared" si="31"/>
        <v>485892.39</v>
      </c>
      <c r="L52" s="184">
        <f t="shared" si="31"/>
        <v>1355517.58</v>
      </c>
      <c r="M52" s="184">
        <f t="shared" si="31"/>
        <v>464748.47</v>
      </c>
      <c r="N52" s="184">
        <f t="shared" si="31"/>
        <v>489741.05999999994</v>
      </c>
      <c r="O52" s="184">
        <f t="shared" si="31"/>
        <v>401028.05000000005</v>
      </c>
      <c r="P52" s="184">
        <f t="shared" si="31"/>
        <v>985163.68000000017</v>
      </c>
      <c r="Q52" s="184">
        <f t="shared" si="31"/>
        <v>442872.16</v>
      </c>
      <c r="R52" s="184">
        <f t="shared" si="31"/>
        <v>281889.93</v>
      </c>
      <c r="S52" s="184">
        <f t="shared" ref="S52" si="32">SUM(S53:S69)</f>
        <v>260401.59</v>
      </c>
      <c r="T52" s="185"/>
      <c r="U52" s="191"/>
      <c r="V52" s="192"/>
      <c r="W52" s="193"/>
    </row>
    <row r="53" spans="1:23" outlineLevel="1" x14ac:dyDescent="0.45">
      <c r="B53" s="194" t="s">
        <v>49</v>
      </c>
      <c r="C53" s="177">
        <f t="shared" ref="C53:C69" si="33">G53+H53+L53+P53+F53+E53</f>
        <v>155647.64000000001</v>
      </c>
      <c r="D53" s="177">
        <f t="shared" si="22"/>
        <v>55475.28</v>
      </c>
      <c r="E53" s="177">
        <f>'IS Dec KSA'!E53+'IS Dec USA'!E53</f>
        <v>19139.830000000002</v>
      </c>
      <c r="F53" s="177">
        <f>'IS Dec KSA'!F53+'IS Dec USA'!F53</f>
        <v>18825.080000000002</v>
      </c>
      <c r="G53" s="177">
        <f>'IS Dec KSA'!G53+'IS Dec USA'!G53</f>
        <v>17510.37</v>
      </c>
      <c r="H53" s="177">
        <f t="shared" ref="H53:H69" si="34">I53+J53+K53</f>
        <v>49398.66</v>
      </c>
      <c r="I53" s="177">
        <f>'IS Dec KSA'!I53+'IS Dec USA'!I53</f>
        <v>17220.59</v>
      </c>
      <c r="J53" s="177">
        <f>'IS Dec KSA'!J53+'IS Dec USA'!J53</f>
        <v>16380.48</v>
      </c>
      <c r="K53" s="177">
        <f>'IS Dec KSA'!K53+'IS Dec USA'!K53</f>
        <v>15797.59</v>
      </c>
      <c r="L53" s="177">
        <f t="shared" ref="L53:L69" si="35">SUM(M53:O53)</f>
        <v>37231.82</v>
      </c>
      <c r="M53" s="177">
        <f>'IS Dec KSA'!M53+'IS Dec USA'!M53</f>
        <v>12374.81</v>
      </c>
      <c r="N53" s="177">
        <f>'IS Dec KSA'!N53+'IS Dec USA'!N53</f>
        <v>12614.48</v>
      </c>
      <c r="O53" s="177">
        <f>'IS Dec KSA'!O53+'IS Dec USA'!O53</f>
        <v>12242.53</v>
      </c>
      <c r="P53" s="177">
        <f t="shared" si="17"/>
        <v>13541.880000000001</v>
      </c>
      <c r="Q53" s="177">
        <f>'IS Dec KSA'!Q53+'IS Dec USA'!Q53</f>
        <v>5797.64</v>
      </c>
      <c r="R53" s="177">
        <f>'IS Dec KSA'!R53+'IS Dec USA'!R53</f>
        <v>4107.8599999999997</v>
      </c>
      <c r="S53" s="177">
        <f>'IS Dec KSA'!S53+'IS Dec USA'!S53</f>
        <v>3636.38</v>
      </c>
      <c r="T53" s="180"/>
    </row>
    <row r="54" spans="1:23" outlineLevel="1" x14ac:dyDescent="0.45">
      <c r="B54" s="194" t="s">
        <v>50</v>
      </c>
      <c r="C54" s="177">
        <f t="shared" si="33"/>
        <v>71427.81</v>
      </c>
      <c r="D54" s="177">
        <f t="shared" si="22"/>
        <v>58357.68</v>
      </c>
      <c r="E54" s="177">
        <f>'IS Dec KSA'!E54+'IS Dec USA'!E54</f>
        <v>47874.96</v>
      </c>
      <c r="F54" s="177">
        <f>'IS Dec KSA'!F54+'IS Dec USA'!F54</f>
        <v>4523.71</v>
      </c>
      <c r="G54" s="177">
        <f>'IS Dec KSA'!G54+'IS Dec USA'!G54</f>
        <v>5959.01</v>
      </c>
      <c r="H54" s="177">
        <f t="shared" si="34"/>
        <v>11233.130000000001</v>
      </c>
      <c r="I54" s="177">
        <f>'IS Dec KSA'!I54+'IS Dec USA'!I54</f>
        <v>2420</v>
      </c>
      <c r="J54" s="177">
        <f>'IS Dec KSA'!J54+'IS Dec USA'!J54</f>
        <v>4613.13</v>
      </c>
      <c r="K54" s="177">
        <f>'IS Dec KSA'!K54+'IS Dec USA'!K54</f>
        <v>4200</v>
      </c>
      <c r="L54" s="177">
        <f t="shared" si="35"/>
        <v>1837</v>
      </c>
      <c r="M54" s="177">
        <f>'IS Dec KSA'!M54+'IS Dec USA'!M54</f>
        <v>0</v>
      </c>
      <c r="N54" s="177">
        <f>'IS Dec KSA'!N54+'IS Dec USA'!N54</f>
        <v>1837</v>
      </c>
      <c r="O54" s="177">
        <f>'IS Dec KSA'!O54+'IS Dec USA'!O54</f>
        <v>0</v>
      </c>
      <c r="P54" s="177">
        <f t="shared" si="17"/>
        <v>0</v>
      </c>
      <c r="Q54" s="177">
        <f>'IS Dec KSA'!Q54+'IS Dec USA'!Q54</f>
        <v>0</v>
      </c>
      <c r="R54" s="177">
        <f>'IS Dec KSA'!R54+'IS Dec USA'!R54</f>
        <v>0</v>
      </c>
      <c r="S54" s="177">
        <f>'IS Dec KSA'!S54+'IS Dec USA'!S54</f>
        <v>0</v>
      </c>
      <c r="T54" s="180"/>
    </row>
    <row r="55" spans="1:23" outlineLevel="1" x14ac:dyDescent="0.45">
      <c r="B55" s="194" t="s">
        <v>51</v>
      </c>
      <c r="C55" s="177">
        <f t="shared" si="33"/>
        <v>13059.86</v>
      </c>
      <c r="D55" s="177">
        <f t="shared" si="22"/>
        <v>3000</v>
      </c>
      <c r="E55" s="177">
        <f>'IS Dec KSA'!E55+'IS Dec USA'!E55</f>
        <v>0</v>
      </c>
      <c r="F55" s="177">
        <f>'IS Dec KSA'!F55+'IS Dec USA'!F55</f>
        <v>3000</v>
      </c>
      <c r="G55" s="177">
        <f>'IS Dec KSA'!G55+'IS Dec USA'!G55</f>
        <v>0</v>
      </c>
      <c r="H55" s="177">
        <f t="shared" si="34"/>
        <v>0</v>
      </c>
      <c r="I55" s="177">
        <f>'IS Dec KSA'!I55+'IS Dec USA'!I55</f>
        <v>0</v>
      </c>
      <c r="J55" s="177">
        <f>'IS Dec KSA'!J55+'IS Dec USA'!J55</f>
        <v>0</v>
      </c>
      <c r="K55" s="177">
        <f>'IS Dec KSA'!K55+'IS Dec USA'!K55</f>
        <v>0</v>
      </c>
      <c r="L55" s="177">
        <f t="shared" si="35"/>
        <v>5059.8599999999997</v>
      </c>
      <c r="M55" s="177">
        <f>'IS Dec KSA'!M55+'IS Dec USA'!M55</f>
        <v>0</v>
      </c>
      <c r="N55" s="177">
        <f>'IS Dec KSA'!N55+'IS Dec USA'!N55</f>
        <v>682.08</v>
      </c>
      <c r="O55" s="177">
        <f>'IS Dec KSA'!O55+'IS Dec USA'!O55</f>
        <v>4377.78</v>
      </c>
      <c r="P55" s="177">
        <f t="shared" si="17"/>
        <v>5000</v>
      </c>
      <c r="Q55" s="177">
        <f>'IS Dec KSA'!Q55+'IS Dec USA'!Q55</f>
        <v>0</v>
      </c>
      <c r="R55" s="177">
        <f>'IS Dec KSA'!R55+'IS Dec USA'!R55</f>
        <v>5000</v>
      </c>
      <c r="S55" s="177">
        <f>'IS Dec KSA'!S55+'IS Dec USA'!S55</f>
        <v>0</v>
      </c>
      <c r="T55" s="180"/>
    </row>
    <row r="56" spans="1:23" outlineLevel="1" x14ac:dyDescent="0.45">
      <c r="B56" s="194" t="s">
        <v>52</v>
      </c>
      <c r="C56" s="177">
        <f t="shared" si="33"/>
        <v>50915.87</v>
      </c>
      <c r="D56" s="177">
        <f t="shared" si="22"/>
        <v>16500</v>
      </c>
      <c r="E56" s="177">
        <f>'IS Dec KSA'!E56+'IS Dec USA'!E56</f>
        <v>9000</v>
      </c>
      <c r="F56" s="177">
        <f>'IS Dec KSA'!F56+'IS Dec USA'!F56</f>
        <v>3210.43</v>
      </c>
      <c r="G56" s="177">
        <f>'IS Dec KSA'!G56+'IS Dec USA'!G56</f>
        <v>4289.57</v>
      </c>
      <c r="H56" s="177">
        <f t="shared" si="34"/>
        <v>7891</v>
      </c>
      <c r="I56" s="177">
        <f>'IS Dec KSA'!I56+'IS Dec USA'!I56</f>
        <v>3000</v>
      </c>
      <c r="J56" s="177">
        <f>'IS Dec KSA'!J56+'IS Dec USA'!J56</f>
        <v>1391</v>
      </c>
      <c r="K56" s="177">
        <f>'IS Dec KSA'!K56+'IS Dec USA'!K56</f>
        <v>3500</v>
      </c>
      <c r="L56" s="177">
        <f t="shared" si="35"/>
        <v>14714</v>
      </c>
      <c r="M56" s="177">
        <f>'IS Dec KSA'!M56+'IS Dec USA'!M56</f>
        <v>4000</v>
      </c>
      <c r="N56" s="177">
        <f>'IS Dec KSA'!N56+'IS Dec USA'!N56</f>
        <v>7214</v>
      </c>
      <c r="O56" s="177">
        <f>'IS Dec KSA'!O56+'IS Dec USA'!O56</f>
        <v>3500</v>
      </c>
      <c r="P56" s="177">
        <f t="shared" si="17"/>
        <v>11810.869999999999</v>
      </c>
      <c r="Q56" s="177">
        <f>'IS Dec KSA'!Q56+'IS Dec USA'!Q56</f>
        <v>6810.87</v>
      </c>
      <c r="R56" s="177">
        <f>'IS Dec KSA'!R56+'IS Dec USA'!R56</f>
        <v>2500</v>
      </c>
      <c r="S56" s="177">
        <f>'IS Dec KSA'!S56+'IS Dec USA'!S56</f>
        <v>2500</v>
      </c>
      <c r="T56" s="180"/>
    </row>
    <row r="57" spans="1:23" outlineLevel="1" x14ac:dyDescent="0.45">
      <c r="B57" s="194" t="s">
        <v>53</v>
      </c>
      <c r="C57" s="177">
        <f t="shared" si="33"/>
        <v>168634.61000000002</v>
      </c>
      <c r="D57" s="177">
        <f t="shared" si="22"/>
        <v>37229.03</v>
      </c>
      <c r="E57" s="177">
        <f>'IS Dec KSA'!E57+'IS Dec USA'!E57</f>
        <v>22339.49</v>
      </c>
      <c r="F57" s="177">
        <f>'IS Dec KSA'!F57+'IS Dec USA'!F57</f>
        <v>5739.5400000000009</v>
      </c>
      <c r="G57" s="177">
        <f>'IS Dec KSA'!G57+'IS Dec USA'!G57</f>
        <v>9150</v>
      </c>
      <c r="H57" s="177">
        <f t="shared" si="34"/>
        <v>71666.75</v>
      </c>
      <c r="I57" s="177">
        <f>'IS Dec KSA'!I57+'IS Dec USA'!I57</f>
        <v>19950</v>
      </c>
      <c r="J57" s="177">
        <f>'IS Dec KSA'!J57+'IS Dec USA'!J57</f>
        <v>19250</v>
      </c>
      <c r="K57" s="177">
        <f>'IS Dec KSA'!K57+'IS Dec USA'!K57</f>
        <v>32466.75</v>
      </c>
      <c r="L57" s="177">
        <f t="shared" si="35"/>
        <v>42651.83</v>
      </c>
      <c r="M57" s="177">
        <f>'IS Dec KSA'!M57+'IS Dec USA'!M57</f>
        <v>17938</v>
      </c>
      <c r="N57" s="177">
        <f>'IS Dec KSA'!N57+'IS Dec USA'!N57</f>
        <v>18013</v>
      </c>
      <c r="O57" s="177">
        <f>'IS Dec KSA'!O57+'IS Dec USA'!O57</f>
        <v>6700.83</v>
      </c>
      <c r="P57" s="177">
        <f t="shared" si="17"/>
        <v>17087</v>
      </c>
      <c r="Q57" s="177">
        <f>'IS Dec KSA'!Q57+'IS Dec USA'!Q57</f>
        <v>17087</v>
      </c>
      <c r="R57" s="177">
        <f>'IS Dec KSA'!R57+'IS Dec USA'!R57</f>
        <v>0</v>
      </c>
      <c r="S57" s="177">
        <f>'IS Dec KSA'!S57+'IS Dec USA'!S57</f>
        <v>0</v>
      </c>
      <c r="T57" s="180"/>
      <c r="U57" s="180"/>
    </row>
    <row r="58" spans="1:23" outlineLevel="1" x14ac:dyDescent="0.45">
      <c r="B58" s="194" t="s">
        <v>180</v>
      </c>
      <c r="C58" s="177">
        <f t="shared" si="33"/>
        <v>16448.46</v>
      </c>
      <c r="D58" s="177">
        <f t="shared" si="22"/>
        <v>6787.9</v>
      </c>
      <c r="E58" s="177">
        <f>'IS Dec KSA'!E58+'IS Dec USA'!E58</f>
        <v>3400</v>
      </c>
      <c r="F58" s="177">
        <f>'IS Dec KSA'!F58+'IS Dec USA'!F58</f>
        <v>1493.95</v>
      </c>
      <c r="G58" s="177">
        <f>'IS Dec KSA'!G58+'IS Dec USA'!G58</f>
        <v>1893.95</v>
      </c>
      <c r="H58" s="177">
        <f t="shared" si="34"/>
        <v>3081.8500000000004</v>
      </c>
      <c r="I58" s="177">
        <f>'IS Dec KSA'!I58+'IS Dec USA'!I58</f>
        <v>1293.95</v>
      </c>
      <c r="J58" s="177">
        <f>'IS Dec KSA'!J58+'IS Dec USA'!J58</f>
        <v>93.95</v>
      </c>
      <c r="K58" s="177">
        <f>'IS Dec KSA'!K58+'IS Dec USA'!K58</f>
        <v>1693.95</v>
      </c>
      <c r="L58" s="177">
        <f t="shared" si="35"/>
        <v>3578.13</v>
      </c>
      <c r="M58" s="177">
        <f>'IS Dec KSA'!M58+'IS Dec USA'!M58</f>
        <v>1093.95</v>
      </c>
      <c r="N58" s="177">
        <f>'IS Dec KSA'!N58+'IS Dec USA'!N58</f>
        <v>1284.18</v>
      </c>
      <c r="O58" s="177">
        <f>'IS Dec KSA'!O58+'IS Dec USA'!O58</f>
        <v>1200</v>
      </c>
      <c r="P58" s="177">
        <f t="shared" si="17"/>
        <v>3000.58</v>
      </c>
      <c r="Q58" s="177">
        <f>'IS Dec KSA'!Q58+'IS Dec USA'!Q58</f>
        <v>1400</v>
      </c>
      <c r="R58" s="177">
        <f>'IS Dec KSA'!R58+'IS Dec USA'!R58</f>
        <v>800.58</v>
      </c>
      <c r="S58" s="177">
        <f>'IS Dec KSA'!S58+'IS Dec USA'!S58</f>
        <v>800</v>
      </c>
      <c r="T58" s="180"/>
    </row>
    <row r="59" spans="1:23" outlineLevel="1" x14ac:dyDescent="0.45">
      <c r="B59" s="194" t="s">
        <v>55</v>
      </c>
      <c r="C59" s="177">
        <f t="shared" si="33"/>
        <v>35255.31</v>
      </c>
      <c r="D59" s="177">
        <f t="shared" si="22"/>
        <v>12383.439999999999</v>
      </c>
      <c r="E59" s="177">
        <f>'IS Dec KSA'!E59+'IS Dec USA'!E59</f>
        <v>3054.31</v>
      </c>
      <c r="F59" s="177">
        <f>'IS Dec KSA'!F59+'IS Dec USA'!F59</f>
        <v>3445.67</v>
      </c>
      <c r="G59" s="177">
        <f>'IS Dec KSA'!G59+'IS Dec USA'!G59</f>
        <v>5883.46</v>
      </c>
      <c r="H59" s="177">
        <f t="shared" si="34"/>
        <v>14128.5</v>
      </c>
      <c r="I59" s="177">
        <f>'IS Dec KSA'!I59+'IS Dec USA'!I59</f>
        <v>4584.32</v>
      </c>
      <c r="J59" s="177">
        <f>'IS Dec KSA'!J59+'IS Dec USA'!J59</f>
        <v>4830.8100000000004</v>
      </c>
      <c r="K59" s="177">
        <f>'IS Dec KSA'!K59+'IS Dec USA'!K59</f>
        <v>4713.37</v>
      </c>
      <c r="L59" s="177">
        <f t="shared" si="35"/>
        <v>8743.369999999999</v>
      </c>
      <c r="M59" s="177">
        <f>'IS Dec KSA'!M59+'IS Dec USA'!M59</f>
        <v>4247.67</v>
      </c>
      <c r="N59" s="177">
        <f>'IS Dec KSA'!N59+'IS Dec USA'!N59</f>
        <v>4495.7</v>
      </c>
      <c r="O59" s="177">
        <f>'IS Dec KSA'!O59+'IS Dec USA'!O59</f>
        <v>0</v>
      </c>
      <c r="P59" s="177">
        <f t="shared" si="17"/>
        <v>0</v>
      </c>
      <c r="Q59" s="177">
        <f>'IS Dec KSA'!Q59+'IS Dec USA'!Q59</f>
        <v>0</v>
      </c>
      <c r="R59" s="177">
        <f>'IS Dec KSA'!R59+'IS Dec USA'!R59</f>
        <v>0</v>
      </c>
      <c r="S59" s="177">
        <f>'IS Dec KSA'!S59+'IS Dec USA'!S59</f>
        <v>0</v>
      </c>
      <c r="T59" s="180"/>
    </row>
    <row r="60" spans="1:23" outlineLevel="1" x14ac:dyDescent="0.45">
      <c r="B60" s="194" t="s">
        <v>56</v>
      </c>
      <c r="C60" s="177">
        <f t="shared" si="33"/>
        <v>167751.58000000002</v>
      </c>
      <c r="D60" s="177">
        <f t="shared" si="22"/>
        <v>51066.619999999995</v>
      </c>
      <c r="E60" s="177">
        <f>'IS Dec KSA'!E60+'IS Dec USA'!E60</f>
        <v>17220.560000000001</v>
      </c>
      <c r="F60" s="177">
        <f>'IS Dec KSA'!F60+'IS Dec USA'!F60</f>
        <v>17776.14</v>
      </c>
      <c r="G60" s="177">
        <f>'IS Dec KSA'!G60+'IS Dec USA'!G60</f>
        <v>16069.92</v>
      </c>
      <c r="H60" s="177">
        <f t="shared" si="34"/>
        <v>47360.020000000004</v>
      </c>
      <c r="I60" s="177">
        <f>'IS Dec KSA'!I60+'IS Dec USA'!I60</f>
        <v>15944.87</v>
      </c>
      <c r="J60" s="177">
        <f>'IS Dec KSA'!J60+'IS Dec USA'!J60</f>
        <v>15669.64</v>
      </c>
      <c r="K60" s="177">
        <f>'IS Dec KSA'!K60+'IS Dec USA'!K60</f>
        <v>15745.51</v>
      </c>
      <c r="L60" s="177">
        <f t="shared" si="35"/>
        <v>42946.210000000006</v>
      </c>
      <c r="M60" s="177">
        <f>'IS Dec KSA'!M60+'IS Dec USA'!M60</f>
        <v>14900.91</v>
      </c>
      <c r="N60" s="177">
        <f>'IS Dec KSA'!N60+'IS Dec USA'!N60</f>
        <v>14377.1</v>
      </c>
      <c r="O60" s="177">
        <f>'IS Dec KSA'!O60+'IS Dec USA'!O60</f>
        <v>13668.2</v>
      </c>
      <c r="P60" s="177">
        <f t="shared" si="17"/>
        <v>26378.730000000003</v>
      </c>
      <c r="Q60" s="177">
        <f>'IS Dec KSA'!Q60+'IS Dec USA'!Q60</f>
        <v>13429.24</v>
      </c>
      <c r="R60" s="177">
        <f>'IS Dec KSA'!R60+'IS Dec USA'!R60</f>
        <v>8948.41</v>
      </c>
      <c r="S60" s="177">
        <f>'IS Dec KSA'!S60+'IS Dec USA'!S60</f>
        <v>4001.08</v>
      </c>
      <c r="T60" s="180"/>
    </row>
    <row r="61" spans="1:23" outlineLevel="1" x14ac:dyDescent="0.45">
      <c r="B61" s="194" t="s">
        <v>57</v>
      </c>
      <c r="C61" s="177">
        <f t="shared" si="33"/>
        <v>-81000</v>
      </c>
      <c r="D61" s="177">
        <f t="shared" si="22"/>
        <v>-30000</v>
      </c>
      <c r="E61" s="177">
        <f>'IS Dec KSA'!E61+'IS Dec USA'!E61</f>
        <v>-15000</v>
      </c>
      <c r="F61" s="177">
        <f>'IS Dec KSA'!F61+'IS Dec USA'!F61</f>
        <v>0</v>
      </c>
      <c r="G61" s="177">
        <f>'IS Dec KSA'!G61+'IS Dec USA'!G61</f>
        <v>-15000</v>
      </c>
      <c r="H61" s="177">
        <f t="shared" si="34"/>
        <v>-15000</v>
      </c>
      <c r="I61" s="177">
        <f>'IS Dec KSA'!I61+'IS Dec USA'!I61</f>
        <v>-3000</v>
      </c>
      <c r="J61" s="177">
        <f>'IS Dec KSA'!J61+'IS Dec USA'!J61</f>
        <v>-6000</v>
      </c>
      <c r="K61" s="177">
        <f>'IS Dec KSA'!K61+'IS Dec USA'!K61</f>
        <v>-6000</v>
      </c>
      <c r="L61" s="177">
        <f t="shared" si="35"/>
        <v>-12000</v>
      </c>
      <c r="M61" s="177">
        <f>'IS Dec KSA'!M61+'IS Dec USA'!M61</f>
        <v>0</v>
      </c>
      <c r="N61" s="177">
        <f>'IS Dec KSA'!N61+'IS Dec USA'!N61</f>
        <v>-6000</v>
      </c>
      <c r="O61" s="177">
        <f>'IS Dec KSA'!O61+'IS Dec USA'!O61</f>
        <v>-6000</v>
      </c>
      <c r="P61" s="177">
        <f t="shared" si="17"/>
        <v>-24000</v>
      </c>
      <c r="Q61" s="177">
        <f>'IS Dec KSA'!Q61+'IS Dec USA'!Q61</f>
        <v>-6000</v>
      </c>
      <c r="R61" s="177">
        <f>'IS Dec KSA'!R61+'IS Dec USA'!R61</f>
        <v>-6000</v>
      </c>
      <c r="S61" s="177">
        <f>'IS Dec KSA'!S61+'IS Dec USA'!S61</f>
        <v>-12000</v>
      </c>
      <c r="T61" s="180"/>
    </row>
    <row r="62" spans="1:23" outlineLevel="1" x14ac:dyDescent="0.45">
      <c r="B62" s="194" t="s">
        <v>58</v>
      </c>
      <c r="C62" s="177">
        <f t="shared" si="33"/>
        <v>55227.62</v>
      </c>
      <c r="D62" s="177">
        <f t="shared" si="22"/>
        <v>5853.29</v>
      </c>
      <c r="E62" s="177">
        <f>'IS Dec KSA'!E62+'IS Dec USA'!E62</f>
        <v>0</v>
      </c>
      <c r="F62" s="177">
        <f>'IS Dec KSA'!F62+'IS Dec USA'!F62</f>
        <v>0</v>
      </c>
      <c r="G62" s="177">
        <f>'IS Dec KSA'!G62+'IS Dec USA'!G62</f>
        <v>5853.29</v>
      </c>
      <c r="H62" s="177">
        <f t="shared" si="34"/>
        <v>44447.040000000001</v>
      </c>
      <c r="I62" s="177">
        <f>'IS Dec KSA'!I62+'IS Dec USA'!I62</f>
        <v>950.37</v>
      </c>
      <c r="J62" s="177">
        <f>'IS Dec KSA'!J62+'IS Dec USA'!J62</f>
        <v>43496.67</v>
      </c>
      <c r="K62" s="177">
        <f>'IS Dec KSA'!K62+'IS Dec USA'!K62</f>
        <v>0</v>
      </c>
      <c r="L62" s="177">
        <f t="shared" si="35"/>
        <v>0</v>
      </c>
      <c r="M62" s="177">
        <f>'IS Dec KSA'!M62+'IS Dec USA'!M62</f>
        <v>0</v>
      </c>
      <c r="N62" s="177">
        <f>'IS Dec KSA'!N62+'IS Dec USA'!N62</f>
        <v>0</v>
      </c>
      <c r="O62" s="177">
        <f>'IS Dec KSA'!O62+'IS Dec USA'!O62</f>
        <v>0</v>
      </c>
      <c r="P62" s="177">
        <f t="shared" si="17"/>
        <v>4927.29</v>
      </c>
      <c r="Q62" s="177">
        <f>'IS Dec KSA'!Q62+'IS Dec USA'!Q62</f>
        <v>0</v>
      </c>
      <c r="R62" s="177">
        <f>'IS Dec KSA'!R62+'IS Dec USA'!R62</f>
        <v>0</v>
      </c>
      <c r="S62" s="177">
        <f>'IS Dec KSA'!S62+'IS Dec USA'!S62</f>
        <v>4927.29</v>
      </c>
      <c r="T62" s="180"/>
    </row>
    <row r="63" spans="1:23" outlineLevel="1" x14ac:dyDescent="0.45">
      <c r="B63" s="194" t="s">
        <v>59</v>
      </c>
      <c r="C63" s="177">
        <f t="shared" si="33"/>
        <v>98517.64</v>
      </c>
      <c r="D63" s="177">
        <f t="shared" si="22"/>
        <v>5839.23</v>
      </c>
      <c r="E63" s="177">
        <f>'IS Dec KSA'!E63+'IS Dec USA'!E63</f>
        <v>2739</v>
      </c>
      <c r="F63" s="177">
        <f>'IS Dec KSA'!F63+'IS Dec USA'!F63</f>
        <v>0</v>
      </c>
      <c r="G63" s="177">
        <f>'IS Dec KSA'!G63+'IS Dec USA'!G63</f>
        <v>3100.23</v>
      </c>
      <c r="H63" s="177">
        <f t="shared" si="34"/>
        <v>18380.97</v>
      </c>
      <c r="I63" s="177">
        <f>'IS Dec KSA'!I63+'IS Dec USA'!I63</f>
        <v>1000</v>
      </c>
      <c r="J63" s="177">
        <f>'IS Dec KSA'!J63+'IS Dec USA'!J63</f>
        <v>14750.37</v>
      </c>
      <c r="K63" s="177">
        <f>'IS Dec KSA'!K63+'IS Dec USA'!K63</f>
        <v>2630.6</v>
      </c>
      <c r="L63" s="177">
        <f t="shared" si="35"/>
        <v>26020.39</v>
      </c>
      <c r="M63" s="177">
        <f>'IS Dec KSA'!M63+'IS Dec USA'!M63</f>
        <v>82.68</v>
      </c>
      <c r="N63" s="177">
        <f>'IS Dec KSA'!N63+'IS Dec USA'!N63</f>
        <v>25937.71</v>
      </c>
      <c r="O63" s="177">
        <f>'IS Dec KSA'!O63+'IS Dec USA'!O63</f>
        <v>0</v>
      </c>
      <c r="P63" s="177">
        <f t="shared" si="17"/>
        <v>48277.05</v>
      </c>
      <c r="Q63" s="177">
        <f>'IS Dec KSA'!Q63+'IS Dec USA'!Q63</f>
        <v>48277.05</v>
      </c>
      <c r="R63" s="177">
        <f>'IS Dec KSA'!R63+'IS Dec USA'!R63</f>
        <v>0</v>
      </c>
      <c r="S63" s="177">
        <f>'IS Dec KSA'!S63+'IS Dec USA'!S63</f>
        <v>0</v>
      </c>
      <c r="T63" s="180"/>
    </row>
    <row r="64" spans="1:23" s="255" customFormat="1" outlineLevel="1" x14ac:dyDescent="0.45">
      <c r="A64" s="252"/>
      <c r="B64" s="253" t="s">
        <v>60</v>
      </c>
      <c r="C64" s="245">
        <f t="shared" si="33"/>
        <v>4141100.92</v>
      </c>
      <c r="D64" s="245">
        <f t="shared" si="22"/>
        <v>1220657.1499999999</v>
      </c>
      <c r="E64" s="245">
        <f>'IS Dec KSA'!E64+'IS Dec USA'!E64</f>
        <v>414829.56</v>
      </c>
      <c r="F64" s="245">
        <f>'IS Dec KSA'!F64+'IS Dec USA'!F64</f>
        <v>392289.44</v>
      </c>
      <c r="G64" s="245">
        <f>'IS Dec KSA'!G64+'IS Dec USA'!G64</f>
        <v>413538.15</v>
      </c>
      <c r="H64" s="245">
        <f t="shared" si="34"/>
        <v>1150987.56</v>
      </c>
      <c r="I64" s="245">
        <f>'IS Dec KSA'!I64+'IS Dec USA'!I64</f>
        <v>399852.05000000005</v>
      </c>
      <c r="J64" s="245">
        <f>'IS Dec KSA'!J64+'IS Dec USA'!J64</f>
        <v>395538.62</v>
      </c>
      <c r="K64" s="245">
        <f>'IS Dec KSA'!K64+'IS Dec USA'!K64</f>
        <v>355596.89</v>
      </c>
      <c r="L64" s="245">
        <f t="shared" si="35"/>
        <v>1024570.3399999999</v>
      </c>
      <c r="M64" s="245">
        <f>'IS Dec KSA'!M64+'IS Dec USA'!M64</f>
        <v>353787.79</v>
      </c>
      <c r="N64" s="245">
        <f>'IS Dec KSA'!N64+'IS Dec USA'!N64</f>
        <v>355254.11</v>
      </c>
      <c r="O64" s="245">
        <f>'IS Dec KSA'!O64+'IS Dec USA'!O64</f>
        <v>315528.44</v>
      </c>
      <c r="P64" s="245">
        <f t="shared" si="17"/>
        <v>744885.87</v>
      </c>
      <c r="Q64" s="245">
        <f>'IS Dec KSA'!Q64+'IS Dec USA'!Q64</f>
        <v>304075.06999999995</v>
      </c>
      <c r="R64" s="245">
        <f>'IS Dec KSA'!R64+'IS Dec USA'!R64</f>
        <v>231802.68</v>
      </c>
      <c r="S64" s="245">
        <f>'IS Dec KSA'!S64+'IS Dec USA'!S64</f>
        <v>209008.12</v>
      </c>
      <c r="T64" s="254"/>
      <c r="V64" s="256"/>
    </row>
    <row r="65" spans="1:24" s="255" customFormat="1" outlineLevel="1" x14ac:dyDescent="0.45">
      <c r="A65" s="252"/>
      <c r="B65" s="253" t="s">
        <v>61</v>
      </c>
      <c r="C65" s="245">
        <f t="shared" si="33"/>
        <v>495183.73000000004</v>
      </c>
      <c r="D65" s="245">
        <f t="shared" si="22"/>
        <v>168553.53</v>
      </c>
      <c r="E65" s="245">
        <f>'IS Dec KSA'!E65+'IS Dec USA'!E65</f>
        <v>58989.69</v>
      </c>
      <c r="F65" s="245">
        <f>'IS Dec KSA'!F65+'IS Dec USA'!F65</f>
        <v>55452.72</v>
      </c>
      <c r="G65" s="245">
        <f>'IS Dec KSA'!G65+'IS Dec USA'!G65</f>
        <v>54111.12</v>
      </c>
      <c r="H65" s="245">
        <f t="shared" si="34"/>
        <v>144565.78</v>
      </c>
      <c r="I65" s="245">
        <f>'IS Dec KSA'!I65+'IS Dec USA'!I65</f>
        <v>55492.1</v>
      </c>
      <c r="J65" s="245">
        <f>'IS Dec KSA'!J65+'IS Dec USA'!J65</f>
        <v>50338.14</v>
      </c>
      <c r="K65" s="245">
        <f>'IS Dec KSA'!K65+'IS Dec USA'!K65</f>
        <v>38735.54</v>
      </c>
      <c r="L65" s="245">
        <f t="shared" si="35"/>
        <v>112634.6</v>
      </c>
      <c r="M65" s="245">
        <f>'IS Dec KSA'!M65+'IS Dec USA'!M65</f>
        <v>39705.230000000003</v>
      </c>
      <c r="N65" s="245">
        <f>'IS Dec KSA'!N65+'IS Dec USA'!N65</f>
        <v>38594.22</v>
      </c>
      <c r="O65" s="245">
        <f>'IS Dec KSA'!O65+'IS Dec USA'!O65</f>
        <v>34335.15</v>
      </c>
      <c r="P65" s="245">
        <f t="shared" si="17"/>
        <v>69429.820000000007</v>
      </c>
      <c r="Q65" s="245">
        <f>'IS Dec KSA'!Q65+'IS Dec USA'!Q65</f>
        <v>34335.15</v>
      </c>
      <c r="R65" s="245">
        <f>'IS Dec KSA'!R65+'IS Dec USA'!R65</f>
        <v>24519.67</v>
      </c>
      <c r="S65" s="245">
        <f>'IS Dec KSA'!S65+'IS Dec USA'!S65</f>
        <v>10575</v>
      </c>
      <c r="T65" s="254"/>
      <c r="V65" s="256"/>
    </row>
    <row r="66" spans="1:24" s="255" customFormat="1" outlineLevel="1" x14ac:dyDescent="0.45">
      <c r="A66" s="252"/>
      <c r="B66" s="253" t="s">
        <v>62</v>
      </c>
      <c r="C66" s="245">
        <f t="shared" si="33"/>
        <v>52758.849999999991</v>
      </c>
      <c r="D66" s="245">
        <f t="shared" si="22"/>
        <v>20359.09</v>
      </c>
      <c r="E66" s="245">
        <f>'IS Dec KSA'!E66+'IS Dec USA'!E66</f>
        <v>0</v>
      </c>
      <c r="F66" s="245">
        <f>'IS Dec KSA'!F66+'IS Dec USA'!F66</f>
        <v>17511.12</v>
      </c>
      <c r="G66" s="245">
        <f>'IS Dec KSA'!G66+'IS Dec USA'!G66</f>
        <v>2847.97</v>
      </c>
      <c r="H66" s="245">
        <f t="shared" si="34"/>
        <v>3249.59</v>
      </c>
      <c r="I66" s="245">
        <f>'IS Dec KSA'!I66+'IS Dec USA'!I66</f>
        <v>1200</v>
      </c>
      <c r="J66" s="245">
        <f>'IS Dec KSA'!J66+'IS Dec USA'!J66</f>
        <v>563.70000000000005</v>
      </c>
      <c r="K66" s="245">
        <f>'IS Dec KSA'!K66+'IS Dec USA'!K66</f>
        <v>1485.89</v>
      </c>
      <c r="L66" s="245">
        <f t="shared" si="35"/>
        <v>-99.76</v>
      </c>
      <c r="M66" s="245">
        <f>'IS Dec KSA'!M66+'IS Dec USA'!M66</f>
        <v>0</v>
      </c>
      <c r="N66" s="245">
        <f>'IS Dec KSA'!N66+'IS Dec USA'!N66</f>
        <v>0</v>
      </c>
      <c r="O66" s="245">
        <f>'IS Dec KSA'!O66+'IS Dec USA'!O66</f>
        <v>-99.76</v>
      </c>
      <c r="P66" s="245">
        <f t="shared" si="17"/>
        <v>29249.93</v>
      </c>
      <c r="Q66" s="245">
        <f>'IS Dec KSA'!Q66+'IS Dec USA'!Q66</f>
        <v>3926.6800000000003</v>
      </c>
      <c r="R66" s="245">
        <f>'IS Dec KSA'!R66+'IS Dec USA'!R66</f>
        <v>402.86</v>
      </c>
      <c r="S66" s="245">
        <f>'IS Dec KSA'!S66+'IS Dec USA'!S66</f>
        <v>24920.39</v>
      </c>
      <c r="T66" s="254"/>
      <c r="V66" s="256"/>
    </row>
    <row r="67" spans="1:24" s="255" customFormat="1" outlineLevel="1" x14ac:dyDescent="0.45">
      <c r="A67" s="252"/>
      <c r="B67" s="253" t="s">
        <v>63</v>
      </c>
      <c r="C67" s="245">
        <f t="shared" si="33"/>
        <v>207649.09</v>
      </c>
      <c r="D67" s="245">
        <f t="shared" si="22"/>
        <v>67447.710000000006</v>
      </c>
      <c r="E67" s="245">
        <f>'IS Dec KSA'!E67+'IS Dec USA'!E67</f>
        <v>23601.29</v>
      </c>
      <c r="F67" s="245">
        <f>'IS Dec KSA'!F67+'IS Dec USA'!F67</f>
        <v>22186.93</v>
      </c>
      <c r="G67" s="245">
        <f>'IS Dec KSA'!G67+'IS Dec USA'!G67</f>
        <v>21659.49</v>
      </c>
      <c r="H67" s="245">
        <f t="shared" si="34"/>
        <v>59573.7</v>
      </c>
      <c r="I67" s="245">
        <f>'IS Dec KSA'!I67+'IS Dec USA'!I67</f>
        <v>22929.24</v>
      </c>
      <c r="J67" s="245">
        <f>'IS Dec KSA'!J67+'IS Dec USA'!J67</f>
        <v>21149.05</v>
      </c>
      <c r="K67" s="245">
        <f>'IS Dec KSA'!K67+'IS Dec USA'!K67</f>
        <v>15495.41</v>
      </c>
      <c r="L67" s="245">
        <f t="shared" si="35"/>
        <v>45053.02</v>
      </c>
      <c r="M67" s="245">
        <f>'IS Dec KSA'!M67+'IS Dec USA'!M67</f>
        <v>15882.08</v>
      </c>
      <c r="N67" s="245">
        <f>'IS Dec KSA'!N67+'IS Dec USA'!N67</f>
        <v>15437.48</v>
      </c>
      <c r="O67" s="245">
        <f>'IS Dec KSA'!O67+'IS Dec USA'!O67</f>
        <v>13733.46</v>
      </c>
      <c r="P67" s="245">
        <f t="shared" si="17"/>
        <v>35574.660000000003</v>
      </c>
      <c r="Q67" s="245">
        <f>'IS Dec KSA'!Q67+'IS Dec USA'!Q67</f>
        <v>13733.46</v>
      </c>
      <c r="R67" s="245">
        <f>'IS Dec KSA'!R67+'IS Dec USA'!R67</f>
        <v>9807.8700000000008</v>
      </c>
      <c r="S67" s="245">
        <f>'IS Dec KSA'!S67+'IS Dec USA'!S67</f>
        <v>12033.33</v>
      </c>
      <c r="T67" s="254"/>
    </row>
    <row r="68" spans="1:24" outlineLevel="1" x14ac:dyDescent="0.45">
      <c r="B68" s="194" t="s">
        <v>64</v>
      </c>
      <c r="C68" s="177">
        <f t="shared" si="33"/>
        <v>130235.93</v>
      </c>
      <c r="D68" s="177">
        <f t="shared" si="22"/>
        <v>118106.84999999998</v>
      </c>
      <c r="E68" s="177">
        <f>'IS Dec KSA'!E68+'IS Dec USA'!E68</f>
        <v>108401.43999999999</v>
      </c>
      <c r="F68" s="177">
        <f>'IS Dec KSA'!F68+'IS Dec USA'!F68</f>
        <v>3648.15</v>
      </c>
      <c r="G68" s="177">
        <f>'IS Dec KSA'!G68+'IS Dec USA'!G68</f>
        <v>6057.26</v>
      </c>
      <c r="H68" s="177">
        <f t="shared" si="34"/>
        <v>12129.08</v>
      </c>
      <c r="I68" s="177">
        <f>'IS Dec KSA'!I68+'IS Dec USA'!I68</f>
        <v>5167.25</v>
      </c>
      <c r="J68" s="177">
        <f>'IS Dec KSA'!J68+'IS Dec USA'!J68</f>
        <v>6961.83</v>
      </c>
      <c r="K68" s="177">
        <f>'IS Dec KSA'!K68+'IS Dec USA'!K68</f>
        <v>0</v>
      </c>
      <c r="L68" s="177">
        <f t="shared" si="35"/>
        <v>0</v>
      </c>
      <c r="M68" s="177">
        <f>'IS Dec KSA'!M68+'IS Dec USA'!M68</f>
        <v>0</v>
      </c>
      <c r="N68" s="177">
        <f>'IS Dec KSA'!N68+'IS Dec USA'!N68</f>
        <v>0</v>
      </c>
      <c r="O68" s="177">
        <f>'IS Dec KSA'!O68+'IS Dec USA'!O68</f>
        <v>0</v>
      </c>
      <c r="P68" s="177">
        <f t="shared" si="17"/>
        <v>0</v>
      </c>
      <c r="Q68" s="177">
        <f>'IS Dec KSA'!Q68+'IS Dec USA'!Q68</f>
        <v>0</v>
      </c>
      <c r="R68" s="177">
        <f>'IS Dec KSA'!R68+'IS Dec USA'!R68</f>
        <v>0</v>
      </c>
      <c r="S68" s="177">
        <f>'IS Dec KSA'!S68+'IS Dec USA'!S68</f>
        <v>0</v>
      </c>
      <c r="T68" s="180"/>
    </row>
    <row r="69" spans="1:24" outlineLevel="1" x14ac:dyDescent="0.45">
      <c r="B69" s="194" t="s">
        <v>65</v>
      </c>
      <c r="C69" s="177">
        <f t="shared" si="33"/>
        <v>3571.25</v>
      </c>
      <c r="D69" s="177">
        <f t="shared" si="22"/>
        <v>37.54</v>
      </c>
      <c r="E69" s="177">
        <f>'IS Dec KSA'!E69+'IS Dec USA'!E69</f>
        <v>0</v>
      </c>
      <c r="F69" s="177">
        <f>'IS Dec KSA'!F69+'IS Dec USA'!F69</f>
        <v>37.54</v>
      </c>
      <c r="G69" s="177">
        <f>'IS Dec KSA'!G69+'IS Dec USA'!G69</f>
        <v>0</v>
      </c>
      <c r="H69" s="177">
        <f t="shared" si="34"/>
        <v>956.93999999999994</v>
      </c>
      <c r="I69" s="177">
        <f>'IS Dec KSA'!I69+'IS Dec USA'!I69</f>
        <v>0</v>
      </c>
      <c r="J69" s="177">
        <f>'IS Dec KSA'!J69+'IS Dec USA'!J69</f>
        <v>1126.05</v>
      </c>
      <c r="K69" s="177">
        <f>'IS Dec KSA'!K69+'IS Dec USA'!K69</f>
        <v>-169.11</v>
      </c>
      <c r="L69" s="177">
        <f t="shared" si="35"/>
        <v>2576.77</v>
      </c>
      <c r="M69" s="177">
        <f>'IS Dec KSA'!M69+'IS Dec USA'!M69</f>
        <v>735.35</v>
      </c>
      <c r="N69" s="177">
        <f>'IS Dec KSA'!N69+'IS Dec USA'!N69</f>
        <v>0</v>
      </c>
      <c r="O69" s="177">
        <f>'IS Dec KSA'!O69+'IS Dec USA'!O69</f>
        <v>1841.42</v>
      </c>
      <c r="P69" s="177">
        <f t="shared" si="17"/>
        <v>0</v>
      </c>
      <c r="Q69" s="177">
        <f>'IS Dec KSA'!Q69+'IS Dec USA'!Q69</f>
        <v>0</v>
      </c>
      <c r="R69" s="177">
        <f>'IS Dec KSA'!R69+'IS Dec USA'!R69</f>
        <v>0</v>
      </c>
      <c r="S69" s="177">
        <f>'IS Dec KSA'!S69+'IS Dec USA'!S69</f>
        <v>0</v>
      </c>
      <c r="T69" s="180"/>
    </row>
    <row r="70" spans="1:24" s="186" customFormat="1" x14ac:dyDescent="0.45">
      <c r="A70" s="182"/>
      <c r="B70" s="183" t="s">
        <v>66</v>
      </c>
      <c r="C70" s="184">
        <f>+C52+C48+C44+C34+C17</f>
        <v>8738025.2999999989</v>
      </c>
      <c r="D70" s="184">
        <f>SUM(E70:G70)</f>
        <v>3118816.4000000004</v>
      </c>
      <c r="E70" s="184">
        <f t="shared" ref="E70:S70" si="36">+E52+E48+E44+E34+E17</f>
        <v>1379932.59</v>
      </c>
      <c r="F70" s="184">
        <f t="shared" si="36"/>
        <v>825183.01000000013</v>
      </c>
      <c r="G70" s="184">
        <f t="shared" si="36"/>
        <v>913700.8</v>
      </c>
      <c r="H70" s="184">
        <f t="shared" si="36"/>
        <v>2299137.11</v>
      </c>
      <c r="I70" s="184">
        <f t="shared" si="36"/>
        <v>822235.57</v>
      </c>
      <c r="J70" s="184">
        <f t="shared" si="36"/>
        <v>805758.24</v>
      </c>
      <c r="K70" s="184">
        <f t="shared" si="36"/>
        <v>671143.3</v>
      </c>
      <c r="L70" s="184">
        <f t="shared" si="36"/>
        <v>1856528.2100000002</v>
      </c>
      <c r="M70" s="184">
        <f t="shared" si="36"/>
        <v>620524.5</v>
      </c>
      <c r="N70" s="184">
        <f t="shared" si="36"/>
        <v>671295.99999999988</v>
      </c>
      <c r="O70" s="184">
        <f t="shared" si="36"/>
        <v>564707.71000000008</v>
      </c>
      <c r="P70" s="184">
        <f t="shared" si="36"/>
        <v>1463543.58</v>
      </c>
      <c r="Q70" s="184">
        <f t="shared" si="36"/>
        <v>580208.44999999995</v>
      </c>
      <c r="R70" s="184">
        <f t="shared" si="36"/>
        <v>464938.05999999994</v>
      </c>
      <c r="S70" s="184">
        <f t="shared" si="36"/>
        <v>418397.07000000007</v>
      </c>
      <c r="T70" s="185"/>
      <c r="V70" s="196"/>
      <c r="W70" s="196"/>
      <c r="X70" s="193"/>
    </row>
    <row r="71" spans="1:24" x14ac:dyDescent="0.45">
      <c r="B71" s="197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98"/>
      <c r="Q71" s="180"/>
      <c r="R71" s="180"/>
      <c r="S71" s="180"/>
      <c r="T71" s="180"/>
      <c r="V71" s="158"/>
    </row>
    <row r="72" spans="1:24" x14ac:dyDescent="0.45">
      <c r="B72" s="197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V72" s="199"/>
    </row>
    <row r="73" spans="1:24" x14ac:dyDescent="0.45">
      <c r="B73" s="176" t="s">
        <v>67</v>
      </c>
      <c r="C73" s="177">
        <f>G73+H73+L73+P73+F73+E73</f>
        <v>-1058242.6500000018</v>
      </c>
      <c r="D73" s="184">
        <f>SUM(E73:G73)</f>
        <v>-806452.83000000042</v>
      </c>
      <c r="E73" s="177">
        <f>SUM(E13+E14)-E70</f>
        <v>-338792.37000000034</v>
      </c>
      <c r="F73" s="177">
        <f>SUM(F13+F14)-F70</f>
        <v>10203.619999999763</v>
      </c>
      <c r="G73" s="177">
        <f>SUM(G13+G14)-G70</f>
        <v>-477864.07999999984</v>
      </c>
      <c r="H73" s="177">
        <f t="shared" ref="H73:S73" si="37">H15-H70</f>
        <v>-453923.89999999967</v>
      </c>
      <c r="I73" s="177">
        <f t="shared" si="37"/>
        <v>-407493.02000000014</v>
      </c>
      <c r="J73" s="177">
        <f t="shared" si="37"/>
        <v>-293566.7899999998</v>
      </c>
      <c r="K73" s="177">
        <f t="shared" si="37"/>
        <v>247135.91000000015</v>
      </c>
      <c r="L73" s="177">
        <f t="shared" si="37"/>
        <v>-16582.139999999898</v>
      </c>
      <c r="M73" s="177">
        <f t="shared" si="37"/>
        <v>125154.65000000037</v>
      </c>
      <c r="N73" s="177">
        <f t="shared" si="37"/>
        <v>36772.269999999669</v>
      </c>
      <c r="O73" s="177">
        <f t="shared" si="37"/>
        <v>-178509.05999999971</v>
      </c>
      <c r="P73" s="177">
        <f t="shared" si="37"/>
        <v>218716.21999999811</v>
      </c>
      <c r="Q73" s="177">
        <f t="shared" si="37"/>
        <v>306674.34999999823</v>
      </c>
      <c r="R73" s="177">
        <f t="shared" si="37"/>
        <v>46497.69</v>
      </c>
      <c r="S73" s="177">
        <f t="shared" si="37"/>
        <v>-134455.82000000007</v>
      </c>
      <c r="T73" s="178"/>
      <c r="U73" s="200"/>
      <c r="V73" s="158"/>
    </row>
    <row r="74" spans="1:24" x14ac:dyDescent="0.45">
      <c r="B74" s="197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55"/>
      <c r="V74" s="199"/>
    </row>
    <row r="75" spans="1:24" x14ac:dyDescent="0.45">
      <c r="B75" s="197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55"/>
      <c r="V75" s="199"/>
    </row>
    <row r="76" spans="1:24" x14ac:dyDescent="0.45">
      <c r="B76" s="176" t="s">
        <v>69</v>
      </c>
      <c r="C76" s="177">
        <f>G76+H76+L76+P76+F76+E76</f>
        <v>-52218.42</v>
      </c>
      <c r="D76" s="177">
        <f t="shared" ref="D76" si="38">SUM(E76:G76)</f>
        <v>-50256.23</v>
      </c>
      <c r="E76" s="177">
        <f>'IS Dec KSA'!E76+'IS Dec USA'!E76</f>
        <v>-49317.86</v>
      </c>
      <c r="F76" s="177">
        <f>'IS Dec KSA'!F76+'IS Dec USA'!F76</f>
        <v>-1238.18</v>
      </c>
      <c r="G76" s="177">
        <f>'IS Dec KSA'!G76+'IS Dec USA'!G76</f>
        <v>299.81</v>
      </c>
      <c r="H76" s="177">
        <f>I76+J76+K76</f>
        <v>-1737.49</v>
      </c>
      <c r="I76" s="177">
        <f>'IS Dec KSA'!I76+'IS Dec USA'!I76</f>
        <v>0.02</v>
      </c>
      <c r="J76" s="177">
        <f>'IS Dec KSA'!J76+'IS Dec USA'!J76</f>
        <v>-1737.46</v>
      </c>
      <c r="K76" s="177">
        <f>'IS Dec KSA'!K76+'IS Dec USA'!K76</f>
        <v>-0.05</v>
      </c>
      <c r="L76" s="177">
        <f>SUM(M76:O76)</f>
        <v>-224.71</v>
      </c>
      <c r="M76" s="177">
        <f>'IS Dec KSA'!M76+'IS Dec USA'!M76</f>
        <v>0.03</v>
      </c>
      <c r="N76" s="177">
        <f>'IS Dec KSA'!N76+'IS Dec USA'!N76</f>
        <v>0</v>
      </c>
      <c r="O76" s="177">
        <f>'IS Dec KSA'!O76+'IS Dec USA'!O76</f>
        <v>-224.74</v>
      </c>
      <c r="P76" s="177">
        <f t="shared" ref="P76:P95" si="39">SUM(Q76:S76)</f>
        <v>0.01</v>
      </c>
      <c r="Q76" s="177">
        <f>'IS Dec KSA'!Q76+'IS Dec USA'!Q76</f>
        <v>0</v>
      </c>
      <c r="R76" s="177">
        <f>'IS Dec KSA'!R76+'IS Dec USA'!R76</f>
        <v>0.01</v>
      </c>
      <c r="S76" s="177">
        <f>'IS Dec KSA'!S76+'IS Dec USA'!S76</f>
        <v>0</v>
      </c>
      <c r="T76" s="180"/>
      <c r="U76" s="158"/>
      <c r="V76" s="158"/>
    </row>
    <row r="77" spans="1:24" x14ac:dyDescent="0.45">
      <c r="B77" s="197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58"/>
      <c r="V77" s="158"/>
    </row>
    <row r="78" spans="1:24" x14ac:dyDescent="0.45">
      <c r="B78" s="176" t="s">
        <v>295</v>
      </c>
      <c r="C78" s="177">
        <f>G78+H78+L78+P78+F78+E78</f>
        <v>6362.26</v>
      </c>
      <c r="D78" s="177">
        <f t="shared" ref="D78" si="40">SUM(E78:G78)</f>
        <v>6362.26</v>
      </c>
      <c r="E78" s="177">
        <f>'IS Dec KSA'!E78+'IS Dec USA'!E78</f>
        <v>6362.26</v>
      </c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80"/>
      <c r="U78" s="158"/>
      <c r="V78" s="158"/>
    </row>
    <row r="79" spans="1:24" x14ac:dyDescent="0.45">
      <c r="B79" s="197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58"/>
      <c r="V79" s="158"/>
    </row>
    <row r="80" spans="1:24" x14ac:dyDescent="0.45">
      <c r="B80" s="197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58"/>
      <c r="V80" s="158"/>
    </row>
    <row r="81" spans="2:22" x14ac:dyDescent="0.45">
      <c r="B81" s="176" t="s">
        <v>71</v>
      </c>
      <c r="C81" s="177">
        <f>G81+H81+L81+P81+F81+E81</f>
        <v>-706164.6100000001</v>
      </c>
      <c r="D81" s="177">
        <f t="shared" ref="D81" si="41">SUM(E81:G81)</f>
        <v>440000</v>
      </c>
      <c r="E81" s="177">
        <f>'IS Dec KSA'!E81+'IS Dec USA'!E81</f>
        <v>475000</v>
      </c>
      <c r="F81" s="177">
        <f>'IS Dec KSA'!F81+'IS Dec USA'!F81</f>
        <v>-20000</v>
      </c>
      <c r="G81" s="177">
        <f>'IS Dec KSA'!G81+'IS Dec USA'!G81</f>
        <v>-15000</v>
      </c>
      <c r="H81" s="177">
        <f>I81+J81+K81</f>
        <v>-369927.06</v>
      </c>
      <c r="I81" s="177">
        <f>'IS Dec KSA'!I81+'IS Dec USA'!I81</f>
        <v>-90000</v>
      </c>
      <c r="J81" s="177">
        <f>'IS Dec KSA'!J81+'IS Dec USA'!J81</f>
        <v>-108312.47</v>
      </c>
      <c r="K81" s="177">
        <f>'IS Dec KSA'!K81+'IS Dec USA'!K81</f>
        <v>-171614.59</v>
      </c>
      <c r="L81" s="177">
        <f>SUM(M81:O81)</f>
        <v>-430787.54000000004</v>
      </c>
      <c r="M81" s="177">
        <f>'IS Dec KSA'!M81+'IS Dec USA'!M81</f>
        <v>-164188.26</v>
      </c>
      <c r="N81" s="177">
        <f>'IS Dec KSA'!N81+'IS Dec USA'!N81</f>
        <v>-170587.62</v>
      </c>
      <c r="O81" s="177">
        <f>'IS Dec KSA'!O81+'IS Dec USA'!O81</f>
        <v>-96011.66</v>
      </c>
      <c r="P81" s="177">
        <f t="shared" si="39"/>
        <v>-345450.01</v>
      </c>
      <c r="Q81" s="177">
        <f>'IS Dec KSA'!Q81+'IS Dec USA'!Q81</f>
        <v>-184731.71</v>
      </c>
      <c r="R81" s="177">
        <f>'IS Dec KSA'!R81+'IS Dec USA'!R81</f>
        <v>-92622.21</v>
      </c>
      <c r="S81" s="177">
        <f>'IS Dec KSA'!S81+'IS Dec USA'!S81</f>
        <v>-68096.09</v>
      </c>
      <c r="T81" s="178"/>
      <c r="U81" s="158"/>
    </row>
    <row r="82" spans="2:22" x14ac:dyDescent="0.45">
      <c r="B82" s="197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V82" s="158"/>
    </row>
    <row r="83" spans="2:22" x14ac:dyDescent="0.45">
      <c r="B83" s="176" t="s">
        <v>72</v>
      </c>
      <c r="C83" s="177">
        <f>G83+H83+L83+P83+F83+E83</f>
        <v>-365252.64</v>
      </c>
      <c r="D83" s="177">
        <f t="shared" ref="D83" si="42">SUM(E83:G83)</f>
        <v>-90849.99</v>
      </c>
      <c r="E83" s="177">
        <f>'IS Dec KSA'!E83+'IS Dec USA'!E83</f>
        <v>-30283.33</v>
      </c>
      <c r="F83" s="177">
        <f>'IS Dec KSA'!F83+'IS Dec USA'!F83</f>
        <v>-30283.33</v>
      </c>
      <c r="G83" s="177">
        <f>'IS Dec KSA'!G83+'IS Dec USA'!G83</f>
        <v>-30283.33</v>
      </c>
      <c r="H83" s="177">
        <f>I83+J83+K83</f>
        <v>-90849.99</v>
      </c>
      <c r="I83" s="177">
        <f>'IS Dec KSA'!I83+'IS Dec USA'!I83</f>
        <v>-30283.33</v>
      </c>
      <c r="J83" s="177">
        <f>'IS Dec KSA'!J83+'IS Dec USA'!J83</f>
        <v>-30283.33</v>
      </c>
      <c r="K83" s="177">
        <f>'IS Dec KSA'!K83+'IS Dec USA'!K83</f>
        <v>-30283.33</v>
      </c>
      <c r="L83" s="177">
        <f>SUM(M83:O83)</f>
        <v>-90849.99</v>
      </c>
      <c r="M83" s="177">
        <f>'IS Dec KSA'!M83+'IS Dec USA'!M83</f>
        <v>-30283.33</v>
      </c>
      <c r="N83" s="177">
        <f>'IS Dec KSA'!N83+'IS Dec USA'!N83</f>
        <v>-30283.33</v>
      </c>
      <c r="O83" s="177">
        <f>'IS Dec KSA'!O83+'IS Dec USA'!O83</f>
        <v>-30283.33</v>
      </c>
      <c r="P83" s="177">
        <f t="shared" si="39"/>
        <v>-92702.67</v>
      </c>
      <c r="Q83" s="177">
        <f>'IS Dec KSA'!Q83+'IS Dec USA'!Q83</f>
        <v>-30283.33</v>
      </c>
      <c r="R83" s="177">
        <f>'IS Dec KSA'!R83+'IS Dec USA'!R83</f>
        <v>-30283.33</v>
      </c>
      <c r="S83" s="177">
        <f>'IS Dec KSA'!S83+'IS Dec USA'!S83</f>
        <v>-32136.01</v>
      </c>
      <c r="T83" s="178"/>
      <c r="V83" s="158"/>
    </row>
    <row r="84" spans="2:22" x14ac:dyDescent="0.45">
      <c r="B84" s="197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V84" s="158"/>
    </row>
    <row r="85" spans="2:22" x14ac:dyDescent="0.45">
      <c r="B85" s="211" t="s">
        <v>73</v>
      </c>
      <c r="C85" s="177">
        <f>G85+H85+L85+P85+F85+E85</f>
        <v>-497027.78</v>
      </c>
      <c r="D85" s="177">
        <f t="shared" ref="D85" si="43">SUM(E85:G85)</f>
        <v>-497027.78</v>
      </c>
      <c r="E85" s="177">
        <f>'IS Dec KSA'!E85+'IS Dec USA'!E85</f>
        <v>-255965.28</v>
      </c>
      <c r="F85" s="177">
        <f>'IS Dec KSA'!F85+'IS Dec USA'!F85</f>
        <v>-118416.67</v>
      </c>
      <c r="G85" s="177">
        <f>'IS Dec KSA'!G85+'IS Dec USA'!G85</f>
        <v>-122645.83</v>
      </c>
      <c r="H85" s="201"/>
      <c r="I85" s="201"/>
      <c r="J85" s="201"/>
      <c r="K85" s="202"/>
      <c r="L85" s="201"/>
      <c r="M85" s="201"/>
      <c r="N85" s="201"/>
      <c r="O85" s="201"/>
      <c r="P85" s="201"/>
      <c r="Q85" s="201"/>
      <c r="R85" s="201"/>
      <c r="S85" s="201"/>
    </row>
    <row r="86" spans="2:22" x14ac:dyDescent="0.45">
      <c r="B86" s="197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201"/>
      <c r="P86" s="201"/>
      <c r="Q86" s="201"/>
      <c r="R86" s="201"/>
      <c r="S86" s="201"/>
      <c r="T86" s="180"/>
      <c r="V86" s="158"/>
    </row>
    <row r="87" spans="2:22" x14ac:dyDescent="0.45">
      <c r="B87" s="176" t="s">
        <v>74</v>
      </c>
      <c r="C87" s="177">
        <f>G87+H87+L87+P87+F87+E87</f>
        <v>-69147.199999999997</v>
      </c>
      <c r="D87" s="177">
        <f t="shared" ref="D87" si="44">SUM(E87:G87)</f>
        <v>-69147.199999999997</v>
      </c>
      <c r="E87" s="212">
        <f>'IS Dec KSA'!E87+'IS Dec USA'!E87</f>
        <v>-17850.5</v>
      </c>
      <c r="F87" s="212">
        <f>'IS Dec KSA'!F87+'IS Dec USA'!F87</f>
        <v>-51296.7</v>
      </c>
      <c r="G87" s="177"/>
      <c r="H87" s="201"/>
      <c r="I87" s="201"/>
      <c r="J87" s="201"/>
      <c r="K87" s="202"/>
      <c r="L87" s="201"/>
      <c r="M87" s="201"/>
      <c r="N87" s="201"/>
      <c r="O87" s="201"/>
      <c r="P87" s="201"/>
      <c r="Q87" s="201"/>
      <c r="R87" s="201"/>
      <c r="S87" s="201"/>
    </row>
    <row r="88" spans="2:22" x14ac:dyDescent="0.45">
      <c r="B88" s="197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201"/>
      <c r="P88" s="201"/>
      <c r="Q88" s="201"/>
      <c r="R88" s="201"/>
      <c r="S88" s="201"/>
      <c r="T88" s="180"/>
      <c r="V88" s="158"/>
    </row>
    <row r="89" spans="2:22" x14ac:dyDescent="0.45">
      <c r="B89" s="211" t="s">
        <v>75</v>
      </c>
      <c r="C89" s="177">
        <f>G89+H89+L89+P89+F89+E89</f>
        <v>-102500</v>
      </c>
      <c r="D89" s="177">
        <f t="shared" ref="D89" si="45">SUM(E89:G89)</f>
        <v>-102500</v>
      </c>
      <c r="E89" s="212">
        <f>'IS Dec KSA'!E89+'IS Dec USA'!E89</f>
        <v>0</v>
      </c>
      <c r="F89" s="212">
        <f>'IS Dec KSA'!F89+'IS Dec USA'!F89</f>
        <v>-50000</v>
      </c>
      <c r="G89" s="177">
        <f>'IS Dec KSA'!G89+'IS Dec USA'!G89</f>
        <v>-52500</v>
      </c>
      <c r="H89" s="201"/>
      <c r="I89" s="201"/>
      <c r="J89" s="201"/>
      <c r="K89" s="202"/>
      <c r="L89" s="201"/>
      <c r="M89" s="201"/>
      <c r="N89" s="201"/>
      <c r="O89" s="201"/>
      <c r="P89" s="201"/>
      <c r="Q89" s="201"/>
      <c r="R89" s="201"/>
      <c r="S89" s="201"/>
    </row>
    <row r="90" spans="2:22" x14ac:dyDescent="0.45">
      <c r="B90" s="197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V90" s="158"/>
    </row>
    <row r="91" spans="2:22" x14ac:dyDescent="0.45">
      <c r="B91" s="176" t="s">
        <v>76</v>
      </c>
      <c r="C91" s="177">
        <f>G91+H91+L91+P91+F91+E91</f>
        <v>-9313.5</v>
      </c>
      <c r="D91" s="177">
        <f t="shared" ref="D91" si="46">SUM(E91:G91)</f>
        <v>-7091.2800000000007</v>
      </c>
      <c r="E91" s="212">
        <f>'IS Dec KSA'!E91+'IS Dec USA'!E91</f>
        <v>-2363.7600000000002</v>
      </c>
      <c r="F91" s="212">
        <f>'IS Dec KSA'!F91+'IS Dec USA'!F91</f>
        <v>-2363.7600000000002</v>
      </c>
      <c r="G91" s="212">
        <f>'IS Dec KSA'!G91+'IS Dec USA'!G91</f>
        <v>-2363.7600000000002</v>
      </c>
      <c r="H91" s="177">
        <f>I91+J91+K91</f>
        <v>-2222.2199999999998</v>
      </c>
      <c r="I91" s="177">
        <f>'IS Dec KSA'!I91+'IS Dec USA'!I91</f>
        <v>-1111.1099999999999</v>
      </c>
      <c r="J91" s="177">
        <f>'IS Dec KSA'!J91+'IS Dec USA'!J91</f>
        <v>-1111.1099999999999</v>
      </c>
      <c r="K91" s="177">
        <f>'IS Dec KSA'!K91+'IS Dec USA'!K91</f>
        <v>0</v>
      </c>
      <c r="L91" s="177">
        <f>SUM(M91:O91)</f>
        <v>0</v>
      </c>
      <c r="M91" s="177">
        <f>'IS Dec KSA'!M91+'IS Dec USA'!M91</f>
        <v>0</v>
      </c>
      <c r="N91" s="177">
        <f>'IS Dec KSA'!N91+'IS Dec USA'!N91</f>
        <v>0</v>
      </c>
      <c r="O91" s="177">
        <f>'IS Dec KSA'!O91+'IS Dec USA'!O91</f>
        <v>0</v>
      </c>
      <c r="P91" s="177">
        <f t="shared" si="39"/>
        <v>0</v>
      </c>
      <c r="Q91" s="177">
        <f>'IS Dec KSA'!Q91+'IS Dec USA'!Q91</f>
        <v>0</v>
      </c>
      <c r="R91" s="177">
        <f>'IS Dec KSA'!R91+'IS Dec USA'!R91</f>
        <v>0</v>
      </c>
      <c r="S91" s="177">
        <f>'IS Dec KSA'!S91+'IS Dec USA'!S91</f>
        <v>0</v>
      </c>
      <c r="T91" s="178"/>
      <c r="V91" s="158"/>
    </row>
    <row r="92" spans="2:22" x14ac:dyDescent="0.45">
      <c r="B92" s="197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V92" s="158"/>
    </row>
    <row r="93" spans="2:22" x14ac:dyDescent="0.45">
      <c r="B93" s="176" t="s">
        <v>77</v>
      </c>
      <c r="C93" s="177">
        <f>G93+H93+L93+P93+F93+E93</f>
        <v>0</v>
      </c>
      <c r="D93" s="177">
        <f t="shared" ref="D93" si="47">SUM(E93:G93)</f>
        <v>0</v>
      </c>
      <c r="E93" s="177">
        <v>0</v>
      </c>
      <c r="F93" s="177">
        <v>0</v>
      </c>
      <c r="G93" s="177">
        <v>0</v>
      </c>
      <c r="H93" s="177">
        <f>I93+J93+K93</f>
        <v>0</v>
      </c>
      <c r="I93" s="177">
        <f>'IS Dec KSA'!I93+'IS Dec USA'!I93</f>
        <v>0</v>
      </c>
      <c r="J93" s="177">
        <f>'IS Dec KSA'!J93+'IS Dec USA'!J93</f>
        <v>0</v>
      </c>
      <c r="K93" s="177">
        <f>'IS Dec KSA'!K93+'IS Dec USA'!K93</f>
        <v>0</v>
      </c>
      <c r="L93" s="177">
        <f>SUM(M93:O93)</f>
        <v>0</v>
      </c>
      <c r="M93" s="177">
        <f>'IS Dec KSA'!M93+'IS Dec USA'!M93</f>
        <v>0</v>
      </c>
      <c r="N93" s="177">
        <f>'IS Dec KSA'!N93+'IS Dec USA'!N93</f>
        <v>0</v>
      </c>
      <c r="O93" s="177">
        <f>'IS Dec KSA'!O93+'IS Dec USA'!O93</f>
        <v>0</v>
      </c>
      <c r="P93" s="177">
        <f t="shared" si="39"/>
        <v>0</v>
      </c>
      <c r="Q93" s="177">
        <f>'IS Dec KSA'!Q93+'IS Dec USA'!Q93</f>
        <v>0</v>
      </c>
      <c r="R93" s="177">
        <f>'IS Dec KSA'!R93+'IS Dec USA'!R93</f>
        <v>0</v>
      </c>
      <c r="S93" s="177">
        <f>'IS Dec KSA'!S93+'IS Dec USA'!S93</f>
        <v>0</v>
      </c>
      <c r="T93" s="178"/>
    </row>
    <row r="94" spans="2:22" x14ac:dyDescent="0.45">
      <c r="B94" s="197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</row>
    <row r="95" spans="2:22" x14ac:dyDescent="0.45">
      <c r="B95" s="176" t="s">
        <v>78</v>
      </c>
      <c r="C95" s="177">
        <f>G95+H95+L95+P95+F95+E95</f>
        <v>5910.49</v>
      </c>
      <c r="D95" s="177">
        <f t="shared" ref="D95" si="48">SUM(E95:G95)</f>
        <v>0</v>
      </c>
      <c r="E95" s="177">
        <v>0</v>
      </c>
      <c r="F95" s="177">
        <v>0</v>
      </c>
      <c r="G95" s="177">
        <v>0</v>
      </c>
      <c r="H95" s="177">
        <f>I95+J95+K95</f>
        <v>0</v>
      </c>
      <c r="I95" s="177">
        <f>'IS Dec KSA'!I95+'IS Dec USA'!I95</f>
        <v>0</v>
      </c>
      <c r="J95" s="177">
        <f>'IS Dec KSA'!J95+'IS Dec USA'!J95</f>
        <v>0</v>
      </c>
      <c r="K95" s="177">
        <f>'IS Dec KSA'!K95+'IS Dec USA'!K95</f>
        <v>0</v>
      </c>
      <c r="L95" s="177">
        <f>SUM(M95:O95)</f>
        <v>5910.49</v>
      </c>
      <c r="M95" s="177">
        <f>'IS Dec KSA'!M95+'IS Dec USA'!M95</f>
        <v>0</v>
      </c>
      <c r="N95" s="177">
        <f>'IS Dec KSA'!N95+'IS Dec USA'!N95</f>
        <v>5910.49</v>
      </c>
      <c r="O95" s="177">
        <f>'IS Dec KSA'!O95+'IS Dec USA'!O95</f>
        <v>0</v>
      </c>
      <c r="P95" s="177">
        <f t="shared" si="39"/>
        <v>0</v>
      </c>
      <c r="Q95" s="177">
        <f>'IS Dec KSA'!Q95+'IS Dec USA'!Q95</f>
        <v>0</v>
      </c>
      <c r="R95" s="177">
        <f>'IS Dec KSA'!R95+'IS Dec USA'!R95</f>
        <v>0</v>
      </c>
      <c r="S95" s="177">
        <f>'IS Dec KSA'!S95+'IS Dec USA'!S95</f>
        <v>0</v>
      </c>
      <c r="T95" s="178"/>
    </row>
    <row r="96" spans="2:22" x14ac:dyDescent="0.45">
      <c r="B96" s="197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</row>
    <row r="97" spans="2:21" x14ac:dyDescent="0.45">
      <c r="B97" s="183" t="s">
        <v>79</v>
      </c>
      <c r="C97" s="184">
        <f>+C73+C81+C83+C93+C95+C76+C85+C89+C91+C87+C78</f>
        <v>-2847594.0500000017</v>
      </c>
      <c r="D97" s="184">
        <f t="shared" ref="D97:S97" si="49">+D73+D81+D83+D93+D95+D76+D85+D89+D91+D87+D78</f>
        <v>-1176963.0500000005</v>
      </c>
      <c r="E97" s="184">
        <f t="shared" si="49"/>
        <v>-213210.84000000035</v>
      </c>
      <c r="F97" s="184">
        <f t="shared" si="49"/>
        <v>-263395.02000000025</v>
      </c>
      <c r="G97" s="184">
        <f t="shared" si="49"/>
        <v>-700357.18999999983</v>
      </c>
      <c r="H97" s="184">
        <f t="shared" si="49"/>
        <v>-918660.65999999968</v>
      </c>
      <c r="I97" s="184">
        <f t="shared" si="49"/>
        <v>-528887.44000000006</v>
      </c>
      <c r="J97" s="184">
        <f t="shared" si="49"/>
        <v>-435011.1599999998</v>
      </c>
      <c r="K97" s="184">
        <f t="shared" si="49"/>
        <v>45237.940000000148</v>
      </c>
      <c r="L97" s="184">
        <f t="shared" si="49"/>
        <v>-532533.8899999999</v>
      </c>
      <c r="M97" s="184">
        <f t="shared" si="49"/>
        <v>-69316.90999999964</v>
      </c>
      <c r="N97" s="184">
        <f t="shared" si="49"/>
        <v>-158188.19000000035</v>
      </c>
      <c r="O97" s="184">
        <f t="shared" si="49"/>
        <v>-305028.78999999975</v>
      </c>
      <c r="P97" s="184">
        <f t="shared" si="49"/>
        <v>-219436.45000000187</v>
      </c>
      <c r="Q97" s="184">
        <f t="shared" si="49"/>
        <v>91659.309999998237</v>
      </c>
      <c r="R97" s="184">
        <f t="shared" si="49"/>
        <v>-76407.840000000011</v>
      </c>
      <c r="S97" s="184">
        <f t="shared" si="49"/>
        <v>-234687.92000000007</v>
      </c>
      <c r="T97" s="185"/>
    </row>
    <row r="98" spans="2:21" ht="15.75" x14ac:dyDescent="0.45">
      <c r="B98" s="203"/>
      <c r="C98" s="159"/>
      <c r="D98" s="204"/>
      <c r="E98" s="205"/>
      <c r="F98" s="205"/>
      <c r="G98" s="205"/>
      <c r="H98" s="205"/>
      <c r="I98" s="204"/>
      <c r="J98" s="204"/>
      <c r="K98" s="204"/>
      <c r="L98" s="204"/>
      <c r="M98" s="204"/>
      <c r="N98" s="204"/>
      <c r="O98" s="204"/>
      <c r="P98" s="204"/>
      <c r="Q98" s="204"/>
      <c r="R98" s="205"/>
      <c r="S98" s="205"/>
      <c r="T98" s="205"/>
      <c r="U98" s="205"/>
    </row>
    <row r="99" spans="2:21" x14ac:dyDescent="0.45">
      <c r="D99" s="159"/>
      <c r="E99" s="158"/>
      <c r="F99" s="158"/>
      <c r="G99" s="158"/>
      <c r="H99" s="206"/>
      <c r="J99" s="206"/>
      <c r="K99" s="206"/>
    </row>
    <row r="100" spans="2:21" x14ac:dyDescent="0.45">
      <c r="C100" s="159"/>
      <c r="D100" s="159"/>
      <c r="E100" s="231"/>
      <c r="F100" s="155"/>
      <c r="G100" s="155"/>
      <c r="H100" s="155"/>
      <c r="I100" s="155"/>
      <c r="J100" s="155"/>
      <c r="K100" s="155"/>
      <c r="L100" s="207"/>
      <c r="M100" s="155"/>
      <c r="N100" s="155"/>
      <c r="O100" s="155"/>
      <c r="P100" s="207"/>
      <c r="Q100" s="231"/>
      <c r="R100" s="155"/>
      <c r="S100" s="155"/>
      <c r="T100" s="207"/>
    </row>
    <row r="101" spans="2:21" x14ac:dyDescent="0.45">
      <c r="C101" s="210"/>
      <c r="D101" s="159"/>
      <c r="E101" s="155"/>
      <c r="F101" s="155"/>
      <c r="G101" s="155"/>
      <c r="H101" s="155"/>
      <c r="P101" s="159"/>
      <c r="Q101" s="159"/>
      <c r="R101" s="159"/>
      <c r="S101" s="159"/>
    </row>
    <row r="102" spans="2:21" x14ac:dyDescent="0.45">
      <c r="C102" s="159"/>
      <c r="D102" s="159"/>
      <c r="F102" s="158"/>
    </row>
    <row r="103" spans="2:21" x14ac:dyDescent="0.45">
      <c r="C103" s="159"/>
      <c r="D103" s="159"/>
    </row>
    <row r="104" spans="2:21" x14ac:dyDescent="0.45">
      <c r="C104" s="159"/>
      <c r="D104" s="159"/>
    </row>
    <row r="105" spans="2:21" x14ac:dyDescent="0.45">
      <c r="C105" s="159"/>
      <c r="D105" s="159"/>
    </row>
    <row r="106" spans="2:21" x14ac:dyDescent="0.45">
      <c r="C106" s="159"/>
      <c r="D106" s="159"/>
    </row>
    <row r="107" spans="2:21" x14ac:dyDescent="0.45">
      <c r="C107" s="159"/>
      <c r="D107" s="159"/>
    </row>
    <row r="108" spans="2:21" x14ac:dyDescent="0.45">
      <c r="C108" s="159"/>
      <c r="D108" s="159"/>
    </row>
    <row r="109" spans="2:21" x14ac:dyDescent="0.45">
      <c r="C109" s="159"/>
      <c r="D109" s="159"/>
    </row>
    <row r="110" spans="2:21" x14ac:dyDescent="0.45">
      <c r="C110" s="159"/>
      <c r="D110" s="159"/>
    </row>
    <row r="111" spans="2:21" x14ac:dyDescent="0.45">
      <c r="C111" s="159"/>
      <c r="D111" s="159"/>
    </row>
    <row r="112" spans="2:21" x14ac:dyDescent="0.45">
      <c r="C112" s="159"/>
      <c r="D112" s="159"/>
    </row>
    <row r="113" spans="3:4" x14ac:dyDescent="0.45">
      <c r="C113" s="159"/>
      <c r="D113" s="159"/>
    </row>
    <row r="114" spans="3:4" x14ac:dyDescent="0.45">
      <c r="C114" s="159"/>
      <c r="D114" s="159"/>
    </row>
    <row r="115" spans="3:4" x14ac:dyDescent="0.45">
      <c r="C115" s="159"/>
      <c r="D115" s="159"/>
    </row>
    <row r="116" spans="3:4" x14ac:dyDescent="0.45">
      <c r="C116" s="159"/>
      <c r="D116" s="159"/>
    </row>
    <row r="117" spans="3:4" x14ac:dyDescent="0.45">
      <c r="C117" s="159"/>
      <c r="D117" s="159"/>
    </row>
    <row r="118" spans="3:4" x14ac:dyDescent="0.45">
      <c r="C118" s="159"/>
      <c r="D118" s="159"/>
    </row>
    <row r="119" spans="3:4" x14ac:dyDescent="0.45">
      <c r="C119" s="159"/>
      <c r="D119" s="159"/>
    </row>
    <row r="120" spans="3:4" x14ac:dyDescent="0.45">
      <c r="C120" s="159"/>
      <c r="D120" s="159"/>
    </row>
    <row r="121" spans="3:4" x14ac:dyDescent="0.45">
      <c r="C121" s="159"/>
      <c r="D121" s="159"/>
    </row>
    <row r="122" spans="3:4" x14ac:dyDescent="0.45">
      <c r="C122" s="159"/>
      <c r="D122" s="159"/>
    </row>
    <row r="123" spans="3:4" x14ac:dyDescent="0.45">
      <c r="C123" s="159"/>
      <c r="D123" s="159"/>
    </row>
    <row r="124" spans="3:4" x14ac:dyDescent="0.45">
      <c r="C124" s="159"/>
      <c r="D124" s="159"/>
    </row>
    <row r="125" spans="3:4" x14ac:dyDescent="0.45">
      <c r="C125" s="159"/>
      <c r="D125" s="159"/>
    </row>
    <row r="126" spans="3:4" x14ac:dyDescent="0.45">
      <c r="C126" s="159"/>
      <c r="D126" s="159"/>
    </row>
    <row r="127" spans="3:4" x14ac:dyDescent="0.45">
      <c r="C127" s="159"/>
      <c r="D127" s="159"/>
    </row>
    <row r="128" spans="3:4" x14ac:dyDescent="0.45">
      <c r="C128" s="159"/>
      <c r="D128" s="159"/>
    </row>
    <row r="129" spans="3:4" x14ac:dyDescent="0.45">
      <c r="C129" s="159"/>
      <c r="D129" s="159"/>
    </row>
    <row r="130" spans="3:4" x14ac:dyDescent="0.45">
      <c r="C130" s="159"/>
      <c r="D130" s="159"/>
    </row>
    <row r="131" spans="3:4" x14ac:dyDescent="0.45">
      <c r="C131" s="159"/>
      <c r="D131" s="159"/>
    </row>
    <row r="132" spans="3:4" x14ac:dyDescent="0.45">
      <c r="C132" s="159"/>
      <c r="D132" s="159"/>
    </row>
    <row r="133" spans="3:4" x14ac:dyDescent="0.45">
      <c r="C133" s="159"/>
      <c r="D133" s="159"/>
    </row>
    <row r="134" spans="3:4" x14ac:dyDescent="0.45">
      <c r="C134" s="159"/>
      <c r="D134" s="159"/>
    </row>
    <row r="135" spans="3:4" x14ac:dyDescent="0.45">
      <c r="C135" s="159"/>
      <c r="D135" s="159"/>
    </row>
    <row r="136" spans="3:4" x14ac:dyDescent="0.45">
      <c r="C136" s="159"/>
      <c r="D136" s="159"/>
    </row>
    <row r="137" spans="3:4" x14ac:dyDescent="0.45">
      <c r="C137" s="159"/>
      <c r="D137" s="159"/>
    </row>
    <row r="138" spans="3:4" x14ac:dyDescent="0.45">
      <c r="C138" s="159"/>
      <c r="D138" s="159"/>
    </row>
    <row r="139" spans="3:4" x14ac:dyDescent="0.45">
      <c r="C139" s="159"/>
      <c r="D139" s="159"/>
    </row>
    <row r="140" spans="3:4" x14ac:dyDescent="0.45">
      <c r="C140" s="159"/>
      <c r="D140" s="159"/>
    </row>
    <row r="141" spans="3:4" x14ac:dyDescent="0.45">
      <c r="C141" s="159"/>
      <c r="D141" s="159"/>
    </row>
    <row r="142" spans="3:4" x14ac:dyDescent="0.45">
      <c r="C142" s="159"/>
      <c r="D142" s="159"/>
    </row>
    <row r="143" spans="3:4" x14ac:dyDescent="0.45">
      <c r="C143" s="159"/>
      <c r="D143" s="159"/>
    </row>
    <row r="144" spans="3:4" x14ac:dyDescent="0.45">
      <c r="C144" s="159"/>
      <c r="D144" s="159"/>
    </row>
    <row r="145" spans="3:4" x14ac:dyDescent="0.45">
      <c r="C145" s="159"/>
      <c r="D145" s="159"/>
    </row>
    <row r="146" spans="3:4" x14ac:dyDescent="0.45">
      <c r="C146" s="159"/>
      <c r="D146" s="159"/>
    </row>
    <row r="147" spans="3:4" x14ac:dyDescent="0.45">
      <c r="C147" s="159"/>
      <c r="D147" s="159"/>
    </row>
    <row r="148" spans="3:4" x14ac:dyDescent="0.45">
      <c r="C148" s="159"/>
      <c r="D148" s="159"/>
    </row>
    <row r="149" spans="3:4" x14ac:dyDescent="0.45">
      <c r="C149" s="159"/>
      <c r="D149" s="159"/>
    </row>
    <row r="150" spans="3:4" x14ac:dyDescent="0.45">
      <c r="C150" s="159"/>
      <c r="D150" s="159"/>
    </row>
    <row r="151" spans="3:4" x14ac:dyDescent="0.45">
      <c r="C151" s="159"/>
      <c r="D151" s="159"/>
    </row>
    <row r="152" spans="3:4" x14ac:dyDescent="0.45">
      <c r="C152" s="159"/>
      <c r="D152" s="159"/>
    </row>
  </sheetData>
  <autoFilter ref="A7:Y97" xr:uid="{0B9D8580-E5F1-4DD1-8580-B9D507D288C5}"/>
  <mergeCells count="2">
    <mergeCell ref="H1:I1"/>
    <mergeCell ref="E1:G1"/>
  </mergeCells>
  <conditionalFormatting sqref="C98:U98">
    <cfRule type="cellIs" dxfId="0" priority="347" operator="equal">
      <formula>0</formula>
    </cfRule>
  </conditionalFormatting>
  <pageMargins left="0.7" right="0.7" top="0.75" bottom="0.75" header="0.3" footer="0.3"/>
  <pageSetup orientation="portrait" r:id="rId1"/>
  <ignoredErrors>
    <ignoredError sqref="K98:T98 S52 H102:H122 K102:K122 L102:T122 G10:G14 G18:G27 G28:G30 G54:G69 G75:G76 G83 G80:G81 G89 G91:G92 F98 D101 C102:D122 C98:D98 G31 G85:G86 F103:F122 C100:D100" unlockedFormula="1"/>
    <ignoredError sqref="S44 S34 J94:S94 S48 J74:S74 J16:S16 S70 J71:S72 J77:S77 J82:S82 J84:S84 J96:S96 G70:G72 F15:F16 F71:F74 F93:F96 G16 G34:G40 F34 G41:G53 G84 G77 G82 G93:G96 D94 D82 D77 D71:D72 G74 F44 F48 D16 D74 D84 D96" formula="1" unlockedFormula="1"/>
    <ignoredError sqref="P8 C9" numberStoredAsText="1"/>
    <ignoredError sqref="T93:T97 T34:T56 T13:T21 T81:T84 T23:T30 T59:T67 T69:T74 T76:T77" formula="1"/>
    <ignoredError sqref="C71:C72 C16 C34 C48 C44 C52 C70 C96 C84 C77 C82 C94 C74" numberStoredAsText="1" formula="1" unlockedFormula="1"/>
    <ignoredError sqref="C75 C80 C90 C86 C92" numberStoredAsText="1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48" id="{1F894E2D-AB20-489E-B50E-3F5372CCDFE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E3:E6 E4:P4 E6:P6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E7CC-9E07-436C-8DD0-00AF14B4E1BE}">
  <sheetPr codeName="Sheet6"/>
  <dimension ref="A1:X133"/>
  <sheetViews>
    <sheetView showGridLines="0" zoomScale="70" zoomScaleNormal="70" workbookViewId="0">
      <pane xSplit="2" ySplit="10" topLeftCell="C89" activePane="bottomRight" state="frozen"/>
      <selection pane="topRight" activeCell="L14" sqref="L14"/>
      <selection pane="bottomLeft" activeCell="L14" sqref="L14"/>
      <selection pane="bottomRight" activeCell="G103" sqref="G103"/>
    </sheetView>
  </sheetViews>
  <sheetFormatPr defaultRowHeight="14.25" outlineLevelRow="1" x14ac:dyDescent="0.45"/>
  <cols>
    <col min="1" max="1" width="5.53125" style="1" customWidth="1"/>
    <col min="2" max="2" width="60" bestFit="1" customWidth="1"/>
    <col min="3" max="13" width="20.59765625" style="30" customWidth="1"/>
    <col min="14" max="14" width="20.59765625" style="143" customWidth="1"/>
    <col min="15" max="15" width="3" style="30" customWidth="1"/>
    <col min="16" max="16" width="1.46484375" bestFit="1" customWidth="1"/>
    <col min="17" max="17" width="9.46484375" hidden="1" customWidth="1"/>
    <col min="18" max="18" width="14.53125" hidden="1" customWidth="1"/>
    <col min="19" max="19" width="15.46484375" hidden="1" customWidth="1"/>
    <col min="20" max="20" width="11.53125" bestFit="1" customWidth="1"/>
    <col min="22" max="22" width="11.53125" bestFit="1" customWidth="1"/>
    <col min="23" max="23" width="11.46484375" customWidth="1"/>
    <col min="24" max="24" width="11.46484375" bestFit="1" customWidth="1"/>
  </cols>
  <sheetData>
    <row r="1" spans="1:15" x14ac:dyDescent="0.45">
      <c r="C1" s="242">
        <v>45321</v>
      </c>
      <c r="D1" s="242">
        <f>EDATE(C1,1)</f>
        <v>45351</v>
      </c>
      <c r="E1" s="242">
        <f t="shared" ref="E1:N1" si="0">EDATE(D1,1)</f>
        <v>45380</v>
      </c>
      <c r="F1" s="242">
        <f t="shared" si="0"/>
        <v>45411</v>
      </c>
      <c r="G1" s="242">
        <f t="shared" si="0"/>
        <v>45441</v>
      </c>
      <c r="H1" s="242">
        <f t="shared" si="0"/>
        <v>45472</v>
      </c>
      <c r="I1" s="242">
        <f t="shared" si="0"/>
        <v>45502</v>
      </c>
      <c r="J1" s="242">
        <f t="shared" si="0"/>
        <v>45533</v>
      </c>
      <c r="K1" s="242">
        <f t="shared" si="0"/>
        <v>45564</v>
      </c>
      <c r="L1" s="242">
        <f t="shared" si="0"/>
        <v>45594</v>
      </c>
      <c r="M1" s="242">
        <f t="shared" si="0"/>
        <v>45625</v>
      </c>
      <c r="N1" s="242">
        <f t="shared" si="0"/>
        <v>45655</v>
      </c>
    </row>
    <row r="2" spans="1:15" x14ac:dyDescent="0.45">
      <c r="C2">
        <v>12</v>
      </c>
      <c r="D2">
        <f>C2-1</f>
        <v>11</v>
      </c>
      <c r="E2">
        <f t="shared" ref="E2:N2" si="1">D2-1</f>
        <v>10</v>
      </c>
      <c r="F2">
        <f t="shared" si="1"/>
        <v>9</v>
      </c>
      <c r="G2">
        <f t="shared" si="1"/>
        <v>8</v>
      </c>
      <c r="H2">
        <f t="shared" si="1"/>
        <v>7</v>
      </c>
      <c r="I2">
        <f t="shared" si="1"/>
        <v>6</v>
      </c>
      <c r="J2">
        <f t="shared" si="1"/>
        <v>5</v>
      </c>
      <c r="K2">
        <f t="shared" si="1"/>
        <v>4</v>
      </c>
      <c r="L2">
        <f t="shared" si="1"/>
        <v>3</v>
      </c>
      <c r="M2">
        <f t="shared" si="1"/>
        <v>2</v>
      </c>
      <c r="N2">
        <f t="shared" si="1"/>
        <v>1</v>
      </c>
    </row>
    <row r="3" spans="1:15" x14ac:dyDescent="0.45">
      <c r="C3" s="18" cm="1">
        <f t="array" ref="C3">INDEX($C$5:$N$5,,MATCH(C2,$C$4:$N$4,FALSE))</f>
        <v>33406.83</v>
      </c>
      <c r="D3" s="18" cm="1">
        <f t="array" ref="D3">INDEX($C$5:$N$5,,MATCH(D2,$C$4:$N$4,FALSE))</f>
        <v>33406.83</v>
      </c>
      <c r="E3" s="18" cm="1">
        <f t="array" ref="E3">INDEX($C$5:$N$5,,MATCH(E2,$C$4:$N$4,FALSE))</f>
        <v>33406.83</v>
      </c>
      <c r="F3" s="18" cm="1">
        <f t="array" ref="F3">INDEX($C$5:$N$5,,MATCH(F2,$C$4:$N$4,FALSE))</f>
        <v>33406.83</v>
      </c>
      <c r="G3" s="18" cm="1">
        <f t="array" ref="G3">INDEX($C$5:$N$5,,MATCH(G2,$C$4:$N$4,FALSE))</f>
        <v>33406.83</v>
      </c>
      <c r="H3" s="18" cm="1">
        <f t="array" ref="H3">INDEX($C$5:$N$5,,MATCH(H2,$C$4:$N$4,FALSE))</f>
        <v>33406.83</v>
      </c>
      <c r="I3" s="18" cm="1">
        <f t="array" ref="I3">INDEX($C$5:$N$5,,MATCH(I2,$C$4:$N$4,FALSE))</f>
        <v>33406.83</v>
      </c>
      <c r="J3" s="18" cm="1">
        <f t="array" ref="J3">INDEX($C$5:$N$5,,MATCH(J2,$C$4:$N$4,FALSE))</f>
        <v>33406.83</v>
      </c>
      <c r="K3" s="18" cm="1">
        <f t="array" ref="K3">INDEX($C$5:$N$5,,MATCH(K2,$C$4:$N$4,FALSE))</f>
        <v>33406.83</v>
      </c>
      <c r="L3" s="18" cm="1">
        <f t="array" ref="L3">INDEX($C$5:$N$5,,MATCH(L2,$C$4:$N$4,FALSE))</f>
        <v>33406.83</v>
      </c>
      <c r="M3" s="18" cm="1">
        <f t="array" ref="M3">INDEX($C$5:$N$5,,MATCH(M2,$C$4:$N$4,FALSE))</f>
        <v>33406.83</v>
      </c>
      <c r="N3" s="18" cm="1">
        <f t="array" ref="N3">INDEX($C$5:$N$5,,MATCH(N2,$C$4:$N$4,FALSE))</f>
        <v>-406009</v>
      </c>
    </row>
    <row r="4" spans="1:15" x14ac:dyDescent="0.45">
      <c r="C4" s="243">
        <v>1</v>
      </c>
      <c r="D4" s="243">
        <v>2</v>
      </c>
      <c r="E4" s="243">
        <v>3</v>
      </c>
      <c r="F4" s="243">
        <v>4</v>
      </c>
      <c r="G4" s="243">
        <v>5</v>
      </c>
      <c r="H4" s="243">
        <v>6</v>
      </c>
      <c r="I4" s="243">
        <v>7</v>
      </c>
      <c r="J4" s="243">
        <v>8</v>
      </c>
      <c r="K4" s="243">
        <v>9</v>
      </c>
      <c r="L4" s="243">
        <v>10</v>
      </c>
      <c r="M4" s="243">
        <v>11</v>
      </c>
      <c r="N4" s="243">
        <v>12</v>
      </c>
    </row>
    <row r="5" spans="1:15" s="6" customFormat="1" ht="15.75" thickBot="1" x14ac:dyDescent="0.5">
      <c r="A5" s="3"/>
      <c r="B5" s="23"/>
      <c r="C5" s="244">
        <f>C29</f>
        <v>-406009</v>
      </c>
      <c r="D5" s="244">
        <f t="shared" ref="D5:N5" si="2">D109</f>
        <v>33406.83</v>
      </c>
      <c r="E5" s="244">
        <f t="shared" si="2"/>
        <v>33406.83</v>
      </c>
      <c r="F5" s="244">
        <f t="shared" si="2"/>
        <v>33406.83</v>
      </c>
      <c r="G5" s="244">
        <f t="shared" si="2"/>
        <v>33406.83</v>
      </c>
      <c r="H5" s="244">
        <f t="shared" si="2"/>
        <v>33406.83</v>
      </c>
      <c r="I5" s="244">
        <f t="shared" si="2"/>
        <v>33406.83</v>
      </c>
      <c r="J5" s="244">
        <f t="shared" si="2"/>
        <v>33406.83</v>
      </c>
      <c r="K5" s="244">
        <f t="shared" si="2"/>
        <v>33406.83</v>
      </c>
      <c r="L5" s="244">
        <f t="shared" si="2"/>
        <v>33406.83</v>
      </c>
      <c r="M5" s="244">
        <f t="shared" si="2"/>
        <v>33406.83</v>
      </c>
      <c r="N5" s="244">
        <f t="shared" si="2"/>
        <v>33406.83</v>
      </c>
      <c r="O5" s="9"/>
    </row>
    <row r="6" spans="1:15" ht="15.4" thickBot="1" x14ac:dyDescent="0.5">
      <c r="B6" s="48" t="s">
        <v>165</v>
      </c>
      <c r="C6" s="49">
        <v>45657</v>
      </c>
      <c r="D6" s="49">
        <v>45626</v>
      </c>
      <c r="E6" s="49">
        <v>45596</v>
      </c>
      <c r="F6" s="49">
        <v>45565</v>
      </c>
      <c r="G6" s="49">
        <v>45535</v>
      </c>
      <c r="H6" s="49">
        <v>45504</v>
      </c>
      <c r="I6" s="49">
        <v>45473</v>
      </c>
      <c r="J6" s="49">
        <v>45443</v>
      </c>
      <c r="K6" s="49">
        <v>45412</v>
      </c>
      <c r="L6" s="49">
        <v>45382</v>
      </c>
      <c r="M6" s="49">
        <v>45350</v>
      </c>
      <c r="N6" s="49">
        <v>45322</v>
      </c>
      <c r="O6" s="36"/>
    </row>
    <row r="7" spans="1:15" ht="15" x14ac:dyDescent="0.45">
      <c r="B7" s="7" t="s">
        <v>181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thickBot="1" x14ac:dyDescent="0.5">
      <c r="B8" s="24" t="s">
        <v>82</v>
      </c>
      <c r="C8" s="116">
        <f>C29-D29</f>
        <v>-203009</v>
      </c>
      <c r="D8" s="25"/>
      <c r="E8" s="44"/>
      <c r="F8" s="25"/>
      <c r="G8" s="25"/>
      <c r="H8" s="25"/>
      <c r="I8" s="25"/>
      <c r="J8" s="25"/>
      <c r="K8" s="25"/>
      <c r="L8" s="25"/>
      <c r="M8" s="25"/>
      <c r="N8" s="25"/>
      <c r="O8" s="10"/>
    </row>
    <row r="9" spans="1:15" ht="15.4" x14ac:dyDescent="0.45">
      <c r="B9" s="9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5" s="95" customFormat="1" x14ac:dyDescent="0.45">
      <c r="A10" s="94"/>
      <c r="B10" s="19" t="s">
        <v>83</v>
      </c>
      <c r="C10" s="54">
        <f>SUM(C11:C25)</f>
        <v>12456987.33</v>
      </c>
      <c r="D10" s="54">
        <f t="shared" ref="D10:M10" si="3">SUM(D11:D25)</f>
        <v>15983086.730000002</v>
      </c>
      <c r="E10" s="54">
        <f t="shared" si="3"/>
        <v>17152411.400000002</v>
      </c>
      <c r="F10" s="139">
        <f t="shared" si="3"/>
        <v>7073737.0200000005</v>
      </c>
      <c r="G10" s="139">
        <f t="shared" si="3"/>
        <v>5011742.37</v>
      </c>
      <c r="H10" s="139">
        <f>SUM(H11:H25)</f>
        <v>8545313.1400000006</v>
      </c>
      <c r="I10" s="139">
        <f t="shared" si="3"/>
        <v>10870209.370000001</v>
      </c>
      <c r="J10" s="139">
        <f t="shared" si="3"/>
        <v>4780224.53</v>
      </c>
      <c r="K10" s="139">
        <f t="shared" si="3"/>
        <v>4214016.68</v>
      </c>
      <c r="L10" s="139">
        <f t="shared" si="3"/>
        <v>7488416.4900000002</v>
      </c>
      <c r="M10" s="139">
        <f t="shared" si="3"/>
        <v>10286185.110000001</v>
      </c>
      <c r="N10" s="139">
        <f>SUM(N11:N25)</f>
        <v>9223746.7100000009</v>
      </c>
      <c r="O10" s="55"/>
    </row>
    <row r="11" spans="1:15" hidden="1" outlineLevel="1" x14ac:dyDescent="0.45">
      <c r="B11" s="16" t="s">
        <v>167</v>
      </c>
      <c r="C11" s="137">
        <f>'BS Dec KSA'!C11+'BS Dec USA'!C11</f>
        <v>0</v>
      </c>
      <c r="D11" s="137">
        <f>'BS Dec KSA'!D11+'BS Dec USA'!D11</f>
        <v>0</v>
      </c>
      <c r="E11" s="137">
        <f>'BS Dec KSA'!E11+'BS Dec USA'!E11</f>
        <v>0</v>
      </c>
      <c r="F11" s="137">
        <f>'BS Dec KSA'!F11+'BS Dec USA'!F11</f>
        <v>0</v>
      </c>
      <c r="G11" s="137">
        <f>'BS Dec KSA'!G11+'BS Dec USA'!G11</f>
        <v>0</v>
      </c>
      <c r="H11" s="137">
        <f>'BS Dec KSA'!H11+'BS Dec USA'!H11</f>
        <v>75.7</v>
      </c>
      <c r="I11" s="137">
        <f>'BS Dec KSA'!I11+'BS Dec USA'!I11</f>
        <v>75.7</v>
      </c>
      <c r="J11" s="137">
        <f>'BS Dec KSA'!J11+'BS Dec USA'!J11</f>
        <v>75.7</v>
      </c>
      <c r="K11" s="137">
        <f>'BS Dec KSA'!K11+'BS Dec USA'!K11</f>
        <v>75.7</v>
      </c>
      <c r="L11" s="137">
        <f>'BS Dec KSA'!L11+'BS Dec USA'!L11</f>
        <v>0</v>
      </c>
      <c r="M11" s="137">
        <f>'BS Dec KSA'!M11+'BS Dec USA'!M11</f>
        <v>37036.550000000003</v>
      </c>
      <c r="N11" s="137">
        <f>'BS Dec KSA'!N11+'BS Dec USA'!N11</f>
        <v>26646.61</v>
      </c>
      <c r="O11" s="51"/>
    </row>
    <row r="12" spans="1:15" hidden="1" outlineLevel="1" x14ac:dyDescent="0.45">
      <c r="B12" s="16" t="s">
        <v>168</v>
      </c>
      <c r="C12" s="137">
        <f>'BS Dec KSA'!C12+'BS Dec USA'!C12</f>
        <v>140103.67000000001</v>
      </c>
      <c r="D12" s="137">
        <f>'BS Dec KSA'!D12+'BS Dec USA'!D12</f>
        <v>140103.67000000001</v>
      </c>
      <c r="E12" s="137">
        <f>'BS Dec KSA'!E12+'BS Dec USA'!E12</f>
        <v>140103.67000000001</v>
      </c>
      <c r="F12" s="137">
        <f>'BS Dec KSA'!F12+'BS Dec USA'!F12</f>
        <v>0</v>
      </c>
      <c r="G12" s="137">
        <f>'BS Dec KSA'!G12+'BS Dec USA'!G12</f>
        <v>0</v>
      </c>
      <c r="H12" s="137">
        <f>'BS Dec KSA'!H12+'BS Dec USA'!H12</f>
        <v>569757.94999999995</v>
      </c>
      <c r="I12" s="137">
        <f>'BS Dec KSA'!I12+'BS Dec USA'!I12</f>
        <v>0</v>
      </c>
      <c r="J12" s="137">
        <f>'BS Dec KSA'!J12+'BS Dec USA'!J12</f>
        <v>0</v>
      </c>
      <c r="K12" s="137">
        <f>'BS Dec KSA'!K12+'BS Dec USA'!K12</f>
        <v>0</v>
      </c>
      <c r="L12" s="137">
        <f>'BS Dec KSA'!L12+'BS Dec USA'!L12</f>
        <v>0</v>
      </c>
      <c r="M12" s="137">
        <f>'BS Dec KSA'!M12+'BS Dec USA'!M12</f>
        <v>428055.73</v>
      </c>
      <c r="N12" s="137">
        <f>'BS Dec KSA'!N12+'BS Dec USA'!N12</f>
        <v>408472.76</v>
      </c>
      <c r="O12" s="51"/>
    </row>
    <row r="13" spans="1:15" hidden="1" outlineLevel="1" x14ac:dyDescent="0.45">
      <c r="B13" s="16" t="s">
        <v>169</v>
      </c>
      <c r="C13" s="137">
        <f>'BS Dec KSA'!C13+'BS Dec USA'!C13</f>
        <v>166842.98000000001</v>
      </c>
      <c r="D13" s="137">
        <f>'BS Dec KSA'!D13+'BS Dec USA'!D13</f>
        <v>166834.93</v>
      </c>
      <c r="E13" s="137">
        <f>'BS Dec KSA'!E13+'BS Dec USA'!E13</f>
        <v>166834.93</v>
      </c>
      <c r="F13" s="137">
        <f>'BS Dec KSA'!F13+'BS Dec USA'!F13</f>
        <v>339620.94</v>
      </c>
      <c r="G13" s="137">
        <f>'BS Dec KSA'!G13+'BS Dec USA'!G13</f>
        <v>339620.94</v>
      </c>
      <c r="H13" s="137">
        <f>'BS Dec KSA'!H13+'BS Dec USA'!H13</f>
        <v>-8.0500000000000007</v>
      </c>
      <c r="I13" s="137">
        <f>'BS Dec KSA'!I13+'BS Dec USA'!I13</f>
        <v>1708.15</v>
      </c>
      <c r="J13" s="137">
        <f>'BS Dec KSA'!J13+'BS Dec USA'!J13</f>
        <v>1708.15</v>
      </c>
      <c r="K13" s="137">
        <f>'BS Dec KSA'!K13+'BS Dec USA'!K13</f>
        <v>1708.15</v>
      </c>
      <c r="L13" s="137">
        <f>'BS Dec KSA'!L13+'BS Dec USA'!L13</f>
        <v>729157.71</v>
      </c>
      <c r="M13" s="137">
        <f>'BS Dec KSA'!M13+'BS Dec USA'!M13</f>
        <v>266776.95</v>
      </c>
      <c r="N13" s="137">
        <f>'BS Dec KSA'!N13+'BS Dec USA'!N13</f>
        <v>188464.65</v>
      </c>
      <c r="O13" s="51"/>
    </row>
    <row r="14" spans="1:15" hidden="1" outlineLevel="1" x14ac:dyDescent="0.45">
      <c r="B14" s="16" t="s">
        <v>87</v>
      </c>
      <c r="C14" s="137">
        <f>'BS Dec KSA'!C14+'BS Dec USA'!C14</f>
        <v>30000</v>
      </c>
      <c r="D14" s="137">
        <f>'BS Dec KSA'!D14+'BS Dec USA'!D14</f>
        <v>0</v>
      </c>
      <c r="E14" s="137">
        <f>'BS Dec KSA'!E14+'BS Dec USA'!E14</f>
        <v>0</v>
      </c>
      <c r="F14" s="137">
        <f>'BS Dec KSA'!F14+'BS Dec USA'!F14</f>
        <v>0</v>
      </c>
      <c r="G14" s="137">
        <f>'BS Dec KSA'!G14+'BS Dec USA'!G14</f>
        <v>0</v>
      </c>
      <c r="H14" s="137">
        <f>'BS Dec KSA'!H14+'BS Dec USA'!H14</f>
        <v>165000</v>
      </c>
      <c r="I14" s="137">
        <f>'BS Dec KSA'!I14+'BS Dec USA'!I14</f>
        <v>0</v>
      </c>
      <c r="J14" s="137">
        <f>'BS Dec KSA'!J14+'BS Dec USA'!J14</f>
        <v>0</v>
      </c>
      <c r="K14" s="137">
        <f>'BS Dec KSA'!K14+'BS Dec USA'!K14</f>
        <v>0</v>
      </c>
      <c r="L14" s="137">
        <f>'BS Dec KSA'!L14+'BS Dec USA'!L14</f>
        <v>0</v>
      </c>
      <c r="M14" s="137">
        <f>'BS Dec KSA'!M14+'BS Dec USA'!M14</f>
        <v>15000</v>
      </c>
      <c r="N14" s="137">
        <f>'BS Dec KSA'!N14+'BS Dec USA'!N14</f>
        <v>0</v>
      </c>
      <c r="O14" s="51"/>
    </row>
    <row r="15" spans="1:15" hidden="1" outlineLevel="1" x14ac:dyDescent="0.45">
      <c r="B15" s="16" t="s">
        <v>88</v>
      </c>
      <c r="C15" s="137">
        <f>'BS Dec KSA'!C15+'BS Dec USA'!C15</f>
        <v>0</v>
      </c>
      <c r="D15" s="137">
        <f>'BS Dec KSA'!D15+'BS Dec USA'!D15</f>
        <v>0</v>
      </c>
      <c r="E15" s="137">
        <f>'BS Dec KSA'!E15+'BS Dec USA'!E15</f>
        <v>0</v>
      </c>
      <c r="F15" s="137">
        <f>'BS Dec KSA'!F15+'BS Dec USA'!F15</f>
        <v>0</v>
      </c>
      <c r="G15" s="137">
        <f>'BS Dec KSA'!G15+'BS Dec USA'!G15</f>
        <v>0</v>
      </c>
      <c r="H15" s="137">
        <f>'BS Dec KSA'!H15+'BS Dec USA'!H15</f>
        <v>0</v>
      </c>
      <c r="I15" s="137">
        <f>'BS Dec KSA'!I15+'BS Dec USA'!I15</f>
        <v>0</v>
      </c>
      <c r="J15" s="137">
        <f>'BS Dec KSA'!J15+'BS Dec USA'!J15</f>
        <v>0</v>
      </c>
      <c r="K15" s="137">
        <f>'BS Dec KSA'!K15+'BS Dec USA'!K15</f>
        <v>0</v>
      </c>
      <c r="L15" s="137">
        <f>'BS Dec KSA'!L15+'BS Dec USA'!L15</f>
        <v>2934.78</v>
      </c>
      <c r="M15" s="137">
        <f>'BS Dec KSA'!M15+'BS Dec USA'!M15</f>
        <v>0</v>
      </c>
      <c r="N15" s="137">
        <f>'BS Dec KSA'!N15+'BS Dec USA'!N15</f>
        <v>0</v>
      </c>
      <c r="O15" s="51"/>
    </row>
    <row r="16" spans="1:15" hidden="1" outlineLevel="1" x14ac:dyDescent="0.45">
      <c r="B16" s="16" t="s">
        <v>89</v>
      </c>
      <c r="C16" s="137">
        <f>'BS Dec KSA'!C16+'BS Dec USA'!C16</f>
        <v>1315636.8600000001</v>
      </c>
      <c r="D16" s="137">
        <f>'BS Dec KSA'!D16+'BS Dec USA'!D16</f>
        <v>2292020.2200000002</v>
      </c>
      <c r="E16" s="137">
        <f>'BS Dec KSA'!E16+'BS Dec USA'!E16</f>
        <v>1849786.1</v>
      </c>
      <c r="F16" s="137">
        <f>'BS Dec KSA'!F16+'BS Dec USA'!F16</f>
        <v>88790.6</v>
      </c>
      <c r="G16" s="137">
        <f>'BS Dec KSA'!G16+'BS Dec USA'!G16</f>
        <v>1257082.18</v>
      </c>
      <c r="H16" s="137">
        <f>'BS Dec KSA'!H16+'BS Dec USA'!H16</f>
        <v>46543.89</v>
      </c>
      <c r="I16" s="137">
        <f>'BS Dec KSA'!I16+'BS Dec USA'!I16</f>
        <v>168320.11</v>
      </c>
      <c r="J16" s="137">
        <f>'BS Dec KSA'!J16+'BS Dec USA'!J16</f>
        <v>23714.23</v>
      </c>
      <c r="K16" s="137">
        <f>'BS Dec KSA'!K16+'BS Dec USA'!K16</f>
        <v>465178.53</v>
      </c>
      <c r="L16" s="137">
        <f>'BS Dec KSA'!L16+'BS Dec USA'!L16</f>
        <v>2339786.4300000002</v>
      </c>
      <c r="M16" s="137">
        <f>'BS Dec KSA'!M16+'BS Dec USA'!M16</f>
        <v>3910745.95</v>
      </c>
      <c r="N16" s="137">
        <f>'BS Dec KSA'!N16+'BS Dec USA'!N16</f>
        <v>1030009.54</v>
      </c>
      <c r="O16" s="51"/>
    </row>
    <row r="17" spans="1:22" hidden="1" outlineLevel="1" x14ac:dyDescent="0.45">
      <c r="B17" s="16" t="s">
        <v>90</v>
      </c>
      <c r="C17" s="137">
        <f>'BS Dec KSA'!C17+'BS Dec USA'!C17</f>
        <v>0</v>
      </c>
      <c r="D17" s="137">
        <f>'BS Dec KSA'!D17+'BS Dec USA'!D17</f>
        <v>0</v>
      </c>
      <c r="E17" s="137">
        <f>'BS Dec KSA'!E17+'BS Dec USA'!E17</f>
        <v>0</v>
      </c>
      <c r="F17" s="137">
        <f>'BS Dec KSA'!F17+'BS Dec USA'!F17</f>
        <v>0</v>
      </c>
      <c r="G17" s="137">
        <f>'BS Dec KSA'!G17+'BS Dec USA'!G17</f>
        <v>0</v>
      </c>
      <c r="H17" s="137">
        <f>'BS Dec KSA'!H17+'BS Dec USA'!H17</f>
        <v>356567.64</v>
      </c>
      <c r="I17" s="137">
        <f>'BS Dec KSA'!I17+'BS Dec USA'!I17</f>
        <v>686567.64</v>
      </c>
      <c r="J17" s="137">
        <f>'BS Dec KSA'!J17+'BS Dec USA'!J17</f>
        <v>1186567.6399999999</v>
      </c>
      <c r="K17" s="137">
        <f>'BS Dec KSA'!K17+'BS Dec USA'!K17</f>
        <v>1186567.6399999999</v>
      </c>
      <c r="L17" s="137">
        <f>'BS Dec KSA'!L17+'BS Dec USA'!L17</f>
        <v>1232245.3400000001</v>
      </c>
      <c r="M17" s="137">
        <f>'BS Dec KSA'!M17+'BS Dec USA'!M17</f>
        <v>0.44</v>
      </c>
      <c r="N17" s="137">
        <f>'BS Dec KSA'!N17+'BS Dec USA'!N17</f>
        <v>0.44</v>
      </c>
      <c r="O17" s="51"/>
    </row>
    <row r="18" spans="1:22" hidden="1" outlineLevel="1" x14ac:dyDescent="0.45">
      <c r="B18" s="16" t="s">
        <v>91</v>
      </c>
      <c r="C18" s="137">
        <f>'BS Dec KSA'!C18+'BS Dec USA'!C18</f>
        <v>131821.9</v>
      </c>
      <c r="D18" s="137">
        <f>'BS Dec KSA'!D18+'BS Dec USA'!D18</f>
        <v>100685.09</v>
      </c>
      <c r="E18" s="137">
        <f>'BS Dec KSA'!E18+'BS Dec USA'!E18</f>
        <v>88071.43</v>
      </c>
      <c r="F18" s="137">
        <f>'BS Dec KSA'!F18+'BS Dec USA'!F18</f>
        <v>67480.41</v>
      </c>
      <c r="G18" s="137">
        <f>'BS Dec KSA'!G18+'BS Dec USA'!G18</f>
        <v>29428.080000000002</v>
      </c>
      <c r="H18" s="137">
        <f>'BS Dec KSA'!H18+'BS Dec USA'!H18</f>
        <v>29383.75</v>
      </c>
      <c r="I18" s="137">
        <f>'BS Dec KSA'!I18+'BS Dec USA'!I18</f>
        <v>29383.75</v>
      </c>
      <c r="J18" s="137">
        <f>'BS Dec KSA'!J18+'BS Dec USA'!J18</f>
        <v>39479.279999999999</v>
      </c>
      <c r="K18" s="137">
        <f>'BS Dec KSA'!K18+'BS Dec USA'!K18</f>
        <v>39465.339999999997</v>
      </c>
      <c r="L18" s="137">
        <f>'BS Dec KSA'!L18+'BS Dec USA'!L18</f>
        <v>54326.84</v>
      </c>
      <c r="M18" s="137">
        <f>'BS Dec KSA'!M18+'BS Dec USA'!M18</f>
        <v>34284.089999999997</v>
      </c>
      <c r="N18" s="137">
        <f>'BS Dec KSA'!N18+'BS Dec USA'!N18</f>
        <v>19246.150000000001</v>
      </c>
      <c r="O18" s="51"/>
    </row>
    <row r="19" spans="1:22" hidden="1" outlineLevel="1" x14ac:dyDescent="0.45">
      <c r="B19" s="16" t="s">
        <v>92</v>
      </c>
      <c r="C19" s="137">
        <f>'BS Dec KSA'!C19+'BS Dec USA'!C19</f>
        <v>8593232.0800000001</v>
      </c>
      <c r="D19" s="137">
        <f>'BS Dec KSA'!D19+'BS Dec USA'!D19</f>
        <v>10906869.630000001</v>
      </c>
      <c r="E19" s="137">
        <f>'BS Dec KSA'!E19+'BS Dec USA'!E19</f>
        <v>12317444.25</v>
      </c>
      <c r="F19" s="137">
        <f>'BS Dec KSA'!F19+'BS Dec USA'!F19</f>
        <v>3467929.96</v>
      </c>
      <c r="G19" s="137">
        <f>'BS Dec KSA'!G19+'BS Dec USA'!G19</f>
        <v>135882.26</v>
      </c>
      <c r="H19" s="137">
        <f>'BS Dec KSA'!H19+'BS Dec USA'!H19</f>
        <v>3806484.84</v>
      </c>
      <c r="I19" s="137">
        <f>'BS Dec KSA'!I19+'BS Dec USA'!I19</f>
        <v>7042461.0700000003</v>
      </c>
      <c r="J19" s="137">
        <f>'BS Dec KSA'!J19+'BS Dec USA'!J19</f>
        <v>1958900.24</v>
      </c>
      <c r="K19" s="137">
        <f>'BS Dec KSA'!K19+'BS Dec USA'!K19</f>
        <v>606214.56000000006</v>
      </c>
      <c r="L19" s="137">
        <f>'BS Dec KSA'!L19+'BS Dec USA'!L19</f>
        <v>991645.23</v>
      </c>
      <c r="M19" s="137">
        <f>'BS Dec KSA'!M19+'BS Dec USA'!M19</f>
        <v>3300295.31</v>
      </c>
      <c r="N19" s="137">
        <f>'BS Dec KSA'!N19+'BS Dec USA'!N19</f>
        <v>2883475.29</v>
      </c>
      <c r="O19" s="51"/>
      <c r="S19" s="2"/>
    </row>
    <row r="20" spans="1:22" hidden="1" outlineLevel="1" x14ac:dyDescent="0.45">
      <c r="B20" s="16" t="s">
        <v>93</v>
      </c>
      <c r="C20" s="137">
        <f>'BS Dec KSA'!C20+'BS Dec USA'!C20</f>
        <v>6</v>
      </c>
      <c r="D20" s="137">
        <f>'BS Dec KSA'!D20+'BS Dec USA'!D20</f>
        <v>6</v>
      </c>
      <c r="E20" s="137">
        <f>'BS Dec KSA'!E20+'BS Dec USA'!E20</f>
        <v>6</v>
      </c>
      <c r="F20" s="137">
        <f>'BS Dec KSA'!F20+'BS Dec USA'!F20</f>
        <v>6</v>
      </c>
      <c r="G20" s="137">
        <f>'BS Dec KSA'!G20+'BS Dec USA'!G20</f>
        <v>6</v>
      </c>
      <c r="H20" s="137">
        <f>'BS Dec KSA'!H20+'BS Dec USA'!H20</f>
        <v>6</v>
      </c>
      <c r="I20" s="137">
        <f>'BS Dec KSA'!I20+'BS Dec USA'!I20</f>
        <v>6</v>
      </c>
      <c r="J20" s="137">
        <f>'BS Dec KSA'!J20+'BS Dec USA'!J20</f>
        <v>6</v>
      </c>
      <c r="K20" s="137">
        <f>'BS Dec KSA'!K20+'BS Dec USA'!K20</f>
        <v>6</v>
      </c>
      <c r="L20" s="137">
        <f>'BS Dec KSA'!L20+'BS Dec USA'!L20</f>
        <v>6</v>
      </c>
      <c r="M20" s="137">
        <f>'BS Dec KSA'!M20+'BS Dec USA'!M20</f>
        <v>6</v>
      </c>
      <c r="N20" s="137">
        <f>'BS Dec KSA'!N20+'BS Dec USA'!N20</f>
        <v>6</v>
      </c>
      <c r="O20" s="51"/>
      <c r="S20" s="2"/>
    </row>
    <row r="21" spans="1:22" hidden="1" outlineLevel="1" x14ac:dyDescent="0.45">
      <c r="B21" s="16" t="s">
        <v>170</v>
      </c>
      <c r="C21" s="137">
        <f>'BS Dec KSA'!C21+'BS Dec USA'!C21</f>
        <v>30.48</v>
      </c>
      <c r="D21" s="137">
        <f>'BS Dec KSA'!D21+'BS Dec USA'!D21</f>
        <v>30.48</v>
      </c>
      <c r="E21" s="137">
        <f>'BS Dec KSA'!E21+'BS Dec USA'!E21</f>
        <v>30.48</v>
      </c>
      <c r="F21" s="137">
        <f>'BS Dec KSA'!F21+'BS Dec USA'!F21</f>
        <v>30.48</v>
      </c>
      <c r="G21" s="137">
        <f>'BS Dec KSA'!G21+'BS Dec USA'!G21</f>
        <v>30.48</v>
      </c>
      <c r="H21" s="137">
        <f>'BS Dec KSA'!H21+'BS Dec USA'!H21</f>
        <v>30.48</v>
      </c>
      <c r="I21" s="137">
        <f>'BS Dec KSA'!I21+'BS Dec USA'!I21</f>
        <v>30.48</v>
      </c>
      <c r="J21" s="137">
        <f>'BS Dec KSA'!J21+'BS Dec USA'!J21</f>
        <v>30.48</v>
      </c>
      <c r="K21" s="137">
        <f>'BS Dec KSA'!K21+'BS Dec USA'!K21</f>
        <v>30.48</v>
      </c>
      <c r="L21" s="137">
        <f>'BS Dec KSA'!L21+'BS Dec USA'!L21</f>
        <v>30.48</v>
      </c>
      <c r="M21" s="137">
        <f>'BS Dec KSA'!M21+'BS Dec USA'!M21</f>
        <v>30.48</v>
      </c>
      <c r="N21" s="137">
        <f>'BS Dec KSA'!N21+'BS Dec USA'!N21</f>
        <v>30.48</v>
      </c>
      <c r="O21" s="51"/>
      <c r="S21" s="2"/>
    </row>
    <row r="22" spans="1:22" hidden="1" outlineLevel="1" x14ac:dyDescent="0.45">
      <c r="B22" s="16" t="s">
        <v>95</v>
      </c>
      <c r="C22" s="137">
        <f>'BS Dec KSA'!C22+'BS Dec USA'!C22</f>
        <v>2008252.44</v>
      </c>
      <c r="D22" s="137">
        <f>'BS Dec KSA'!D22+'BS Dec USA'!D22</f>
        <v>2359619.79</v>
      </c>
      <c r="E22" s="137">
        <f>'BS Dec KSA'!E22+'BS Dec USA'!E22</f>
        <v>2572070.2400000002</v>
      </c>
      <c r="F22" s="137">
        <f>'BS Dec KSA'!F22+'BS Dec USA'!F22</f>
        <v>2993836.83</v>
      </c>
      <c r="G22" s="137">
        <f>'BS Dec KSA'!G22+'BS Dec USA'!G22</f>
        <v>3243627.63</v>
      </c>
      <c r="H22" s="137">
        <f>'BS Dec KSA'!H22+'BS Dec USA'!H22</f>
        <v>3565406.14</v>
      </c>
      <c r="I22" s="137">
        <f>'BS Dec KSA'!I22+'BS Dec USA'!I22</f>
        <v>2938541.67</v>
      </c>
      <c r="J22" s="137">
        <f>'BS Dec KSA'!J22+'BS Dec USA'!J22</f>
        <v>1566648.01</v>
      </c>
      <c r="K22" s="137">
        <f>'BS Dec KSA'!K22+'BS Dec USA'!K22</f>
        <v>1911675.48</v>
      </c>
      <c r="L22" s="137">
        <f>'BS Dec KSA'!L22+'BS Dec USA'!L22</f>
        <v>2135188.88</v>
      </c>
      <c r="M22" s="137">
        <f>'BS Dec KSA'!M22+'BS Dec USA'!M22</f>
        <v>2290858.81</v>
      </c>
      <c r="N22" s="137">
        <f>'BS Dec KSA'!N22+'BS Dec USA'!N22</f>
        <v>4663541.99</v>
      </c>
      <c r="O22" s="51"/>
      <c r="S22" s="2"/>
    </row>
    <row r="23" spans="1:22" hidden="1" outlineLevel="1" x14ac:dyDescent="0.45">
      <c r="B23" s="16" t="s">
        <v>182</v>
      </c>
      <c r="C23" s="137">
        <f>'BS Dec KSA'!C23+'BS Dec USA'!C23</f>
        <v>37094.800000000003</v>
      </c>
      <c r="D23" s="137">
        <f>'BS Dec KSA'!D23+'BS Dec USA'!D23</f>
        <v>94.8</v>
      </c>
      <c r="E23" s="137">
        <f>'BS Dec KSA'!E23+'BS Dec USA'!E23</f>
        <v>94.8</v>
      </c>
      <c r="F23" s="137">
        <f>'BS Dec KSA'!F23+'BS Dec USA'!F23</f>
        <v>94.8</v>
      </c>
      <c r="G23" s="137">
        <f>'BS Dec KSA'!G23+'BS Dec USA'!G23</f>
        <v>94.8</v>
      </c>
      <c r="H23" s="137">
        <f>'BS Dec KSA'!H23+'BS Dec USA'!H23</f>
        <v>94.8</v>
      </c>
      <c r="I23" s="137">
        <f>'BS Dec KSA'!I23+'BS Dec USA'!I23</f>
        <v>94.8</v>
      </c>
      <c r="J23" s="137">
        <f>'BS Dec KSA'!J23+'BS Dec USA'!J23</f>
        <v>94.8</v>
      </c>
      <c r="K23" s="137">
        <f>'BS Dec KSA'!K23+'BS Dec USA'!K23</f>
        <v>94.8</v>
      </c>
      <c r="L23" s="137">
        <f>'BS Dec KSA'!L23+'BS Dec USA'!L23</f>
        <v>94.8</v>
      </c>
      <c r="M23" s="137">
        <f>'BS Dec KSA'!M23+'BS Dec USA'!M23</f>
        <v>94.8</v>
      </c>
      <c r="N23" s="137">
        <f>'BS Dec KSA'!N23+'BS Dec USA'!N23</f>
        <v>94.8</v>
      </c>
      <c r="O23" s="51"/>
      <c r="S23" s="2"/>
    </row>
    <row r="24" spans="1:22" hidden="1" outlineLevel="1" x14ac:dyDescent="0.45">
      <c r="B24" s="16" t="s">
        <v>97</v>
      </c>
      <c r="C24" s="137">
        <f>'BS Dec KSA'!C24+'BS Dec USA'!C24</f>
        <v>7822.62</v>
      </c>
      <c r="D24" s="137">
        <f>'BS Dec KSA'!D24+'BS Dec USA'!D24</f>
        <v>7822.62</v>
      </c>
      <c r="E24" s="137">
        <f>'BS Dec KSA'!E24+'BS Dec USA'!E24</f>
        <v>12970</v>
      </c>
      <c r="F24" s="137">
        <f>'BS Dec KSA'!F24+'BS Dec USA'!F24</f>
        <v>12970</v>
      </c>
      <c r="G24" s="137">
        <f>'BS Dec KSA'!G24+'BS Dec USA'!G24</f>
        <v>2970</v>
      </c>
      <c r="H24" s="137">
        <f>'BS Dec KSA'!H24+'BS Dec USA'!H24</f>
        <v>2970</v>
      </c>
      <c r="I24" s="137">
        <f>'BS Dec KSA'!I24+'BS Dec USA'!I24</f>
        <v>20</v>
      </c>
      <c r="J24" s="137">
        <f>'BS Dec KSA'!J24+'BS Dec USA'!J24</f>
        <v>0</v>
      </c>
      <c r="K24" s="137">
        <f>'BS Dec KSA'!K24+'BS Dec USA'!K24</f>
        <v>0</v>
      </c>
      <c r="L24" s="137">
        <f>'BS Dec KSA'!L24+'BS Dec USA'!L24</f>
        <v>0</v>
      </c>
      <c r="M24" s="137">
        <f>'BS Dec KSA'!M24+'BS Dec USA'!M24</f>
        <v>0</v>
      </c>
      <c r="N24" s="137">
        <f>'BS Dec KSA'!N24+'BS Dec USA'!N24</f>
        <v>0</v>
      </c>
      <c r="O24" s="51"/>
      <c r="S24" s="2"/>
    </row>
    <row r="25" spans="1:22" hidden="1" outlineLevel="1" x14ac:dyDescent="0.45">
      <c r="B25" s="16" t="s">
        <v>98</v>
      </c>
      <c r="C25" s="137">
        <f>'BS Dec KSA'!C25+'BS Dec USA'!C25</f>
        <v>26143.5</v>
      </c>
      <c r="D25" s="137">
        <f>'BS Dec KSA'!D25+'BS Dec USA'!D25</f>
        <v>8999.5</v>
      </c>
      <c r="E25" s="137">
        <f>'BS Dec KSA'!E25+'BS Dec USA'!E25</f>
        <v>4999.5</v>
      </c>
      <c r="F25" s="137">
        <f>'BS Dec KSA'!F25+'BS Dec USA'!F25</f>
        <v>102977</v>
      </c>
      <c r="G25" s="137">
        <f>'BS Dec KSA'!G25+'BS Dec USA'!G25</f>
        <v>3000</v>
      </c>
      <c r="H25" s="137">
        <f>'BS Dec KSA'!H25+'BS Dec USA'!H25</f>
        <v>3000</v>
      </c>
      <c r="I25" s="137">
        <f>'BS Dec KSA'!I25+'BS Dec USA'!I25</f>
        <v>3000</v>
      </c>
      <c r="J25" s="137">
        <f>'BS Dec KSA'!J25+'BS Dec USA'!J25</f>
        <v>3000</v>
      </c>
      <c r="K25" s="137">
        <f>'BS Dec KSA'!K25+'BS Dec USA'!K25</f>
        <v>3000</v>
      </c>
      <c r="L25" s="137">
        <f>'BS Dec KSA'!L25+'BS Dec USA'!L25</f>
        <v>3000</v>
      </c>
      <c r="M25" s="137">
        <f>'BS Dec KSA'!M25+'BS Dec USA'!M25</f>
        <v>3000</v>
      </c>
      <c r="N25" s="137">
        <f>'BS Dec KSA'!N25+'BS Dec USA'!N25</f>
        <v>3758</v>
      </c>
      <c r="O25" s="51"/>
      <c r="S25" s="2"/>
    </row>
    <row r="26" spans="1:22" ht="15" collapsed="1" x14ac:dyDescent="0.45">
      <c r="B26" s="28"/>
      <c r="C26" s="52"/>
      <c r="D26" s="52"/>
      <c r="E26" s="52"/>
      <c r="F26" s="52"/>
      <c r="G26" s="52"/>
      <c r="H26" s="52"/>
      <c r="I26" s="52"/>
      <c r="J26" s="52"/>
      <c r="K26" s="51"/>
      <c r="L26" s="52"/>
      <c r="M26" s="52"/>
      <c r="N26" s="138"/>
      <c r="O26" s="52"/>
    </row>
    <row r="27" spans="1:22" s="95" customFormat="1" x14ac:dyDescent="0.45">
      <c r="A27" s="94"/>
      <c r="B27" s="19" t="s">
        <v>99</v>
      </c>
      <c r="C27" s="54">
        <f>SUM(C28:C29)</f>
        <v>39178410.07</v>
      </c>
      <c r="D27" s="54">
        <f>SUM(D28:D29)</f>
        <v>35535924.020000003</v>
      </c>
      <c r="E27" s="54">
        <f t="shared" ref="E27:N27" si="4">SUM(E28:E29)</f>
        <v>33632759.450000003</v>
      </c>
      <c r="F27" s="54">
        <f t="shared" si="4"/>
        <v>34548085.380000003</v>
      </c>
      <c r="G27" s="54">
        <f t="shared" si="4"/>
        <v>37084007.810000002</v>
      </c>
      <c r="H27" s="54">
        <f t="shared" si="4"/>
        <v>34268040.310000002</v>
      </c>
      <c r="I27" s="54">
        <f t="shared" si="4"/>
        <v>31927622.91</v>
      </c>
      <c r="J27" s="54">
        <f t="shared" si="4"/>
        <v>31054504.390000001</v>
      </c>
      <c r="K27" s="54">
        <f t="shared" si="4"/>
        <v>31749970.210000001</v>
      </c>
      <c r="L27" s="54">
        <f t="shared" si="4"/>
        <v>29151142.329999998</v>
      </c>
      <c r="M27" s="54">
        <f t="shared" si="4"/>
        <v>24754358.359999999</v>
      </c>
      <c r="N27" s="139">
        <f t="shared" si="4"/>
        <v>25019981.780000001</v>
      </c>
      <c r="O27" s="55"/>
      <c r="V27" s="99"/>
    </row>
    <row r="28" spans="1:22" outlineLevel="1" x14ac:dyDescent="0.45">
      <c r="B28" s="16" t="s">
        <v>100</v>
      </c>
      <c r="C28" s="137">
        <f>'BS Dec KSA'!C28+'BS Dec USA'!C28</f>
        <v>39584419.07</v>
      </c>
      <c r="D28" s="137">
        <f>'BS Dec KSA'!D28+'BS Dec USA'!D28</f>
        <v>35738924.020000003</v>
      </c>
      <c r="E28" s="137">
        <f>'BS Dec KSA'!E28+'BS Dec USA'!E28</f>
        <v>33835759.450000003</v>
      </c>
      <c r="F28" s="137">
        <f>'BS Dec KSA'!F28+'BS Dec USA'!F28</f>
        <v>34751085.380000003</v>
      </c>
      <c r="G28" s="137">
        <f>'BS Dec KSA'!G28+'BS Dec USA'!G28</f>
        <v>37287007.810000002</v>
      </c>
      <c r="H28" s="137">
        <f>'BS Dec KSA'!H28+'BS Dec USA'!H28</f>
        <v>34471040.310000002</v>
      </c>
      <c r="I28" s="137">
        <f>'BS Dec KSA'!I28+'BS Dec USA'!I28</f>
        <v>32130622.91</v>
      </c>
      <c r="J28" s="137">
        <f>'BS Dec KSA'!J28+'BS Dec USA'!J28</f>
        <v>31257504.390000001</v>
      </c>
      <c r="K28" s="137">
        <f>'BS Dec KSA'!K28+'BS Dec USA'!K28</f>
        <v>31952970.210000001</v>
      </c>
      <c r="L28" s="137">
        <f>'BS Dec KSA'!L28+'BS Dec USA'!L28</f>
        <v>29354142.329999998</v>
      </c>
      <c r="M28" s="137">
        <f>'BS Dec KSA'!M28+'BS Dec USA'!M28</f>
        <v>24957358.359999999</v>
      </c>
      <c r="N28" s="137">
        <f>'BS Dec KSA'!N28+'BS Dec USA'!N28</f>
        <v>25222981.780000001</v>
      </c>
      <c r="O28" s="51"/>
    </row>
    <row r="29" spans="1:22" outlineLevel="1" x14ac:dyDescent="0.45">
      <c r="B29" s="16" t="s">
        <v>309</v>
      </c>
      <c r="C29" s="137">
        <f>'BS Dec KSA'!C29+'BS Dec USA'!C29</f>
        <v>-406009</v>
      </c>
      <c r="D29" s="137">
        <f>'BS Dec KSA'!D29+'BS Dec USA'!D29</f>
        <v>-203000</v>
      </c>
      <c r="E29" s="137">
        <f>'BS Dec KSA'!E29+'BS Dec USA'!E29</f>
        <v>-203000</v>
      </c>
      <c r="F29" s="137">
        <f>'BS Dec KSA'!F29+'BS Dec USA'!F29</f>
        <v>-203000</v>
      </c>
      <c r="G29" s="137">
        <f>'BS Dec KSA'!G29+'BS Dec USA'!G29</f>
        <v>-203000</v>
      </c>
      <c r="H29" s="137">
        <f>'BS Dec KSA'!H29+'BS Dec USA'!H29</f>
        <v>-203000</v>
      </c>
      <c r="I29" s="137">
        <f>'BS Dec KSA'!I29+'BS Dec USA'!I29</f>
        <v>-203000</v>
      </c>
      <c r="J29" s="137">
        <f>'BS Dec KSA'!J29+'BS Dec USA'!J29</f>
        <v>-203000</v>
      </c>
      <c r="K29" s="137">
        <f>'BS Dec KSA'!K29+'BS Dec USA'!K29</f>
        <v>-203000</v>
      </c>
      <c r="L29" s="137">
        <f>'BS Dec KSA'!L29+'BS Dec USA'!L29</f>
        <v>-203000</v>
      </c>
      <c r="M29" s="137">
        <f>'BS Dec KSA'!M29+'BS Dec USA'!M29</f>
        <v>-203000</v>
      </c>
      <c r="N29" s="137">
        <f>'BS Dec KSA'!N29+'BS Dec USA'!N29</f>
        <v>-203000</v>
      </c>
      <c r="O29" s="51"/>
    </row>
    <row r="30" spans="1:22" ht="15" x14ac:dyDescent="0.45">
      <c r="B30" s="28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138"/>
      <c r="O30" s="52"/>
      <c r="V30" s="35"/>
    </row>
    <row r="31" spans="1:22" s="95" customFormat="1" x14ac:dyDescent="0.45">
      <c r="A31" s="94"/>
      <c r="B31" s="19" t="s">
        <v>101</v>
      </c>
      <c r="C31" s="54">
        <f>SUM(C32:C44)</f>
        <v>1394850.19</v>
      </c>
      <c r="D31" s="54">
        <f>SUM(D32:D44)</f>
        <v>1370961.05</v>
      </c>
      <c r="E31" s="54">
        <f>SUM(E32:E44)</f>
        <v>887519.67</v>
      </c>
      <c r="F31" s="54">
        <f t="shared" ref="F31:N31" si="5">SUM(F32:F43)</f>
        <v>489615.78999999992</v>
      </c>
      <c r="G31" s="54">
        <f t="shared" si="5"/>
        <v>502238.68</v>
      </c>
      <c r="H31" s="54">
        <f>SUM(H32:H43)</f>
        <v>354588.47000000009</v>
      </c>
      <c r="I31" s="54">
        <f t="shared" si="5"/>
        <v>318307.75</v>
      </c>
      <c r="J31" s="54">
        <f t="shared" si="5"/>
        <v>362968.6</v>
      </c>
      <c r="K31" s="54">
        <f t="shared" si="5"/>
        <v>333037.43000000005</v>
      </c>
      <c r="L31" s="54">
        <f t="shared" si="5"/>
        <v>-1232590.02</v>
      </c>
      <c r="M31" s="54">
        <f t="shared" si="5"/>
        <v>279587.24</v>
      </c>
      <c r="N31" s="139">
        <f t="shared" si="5"/>
        <v>202111.25</v>
      </c>
      <c r="O31" s="55"/>
      <c r="V31" s="99"/>
    </row>
    <row r="32" spans="1:22" outlineLevel="1" x14ac:dyDescent="0.45">
      <c r="A32" s="29"/>
      <c r="B32" s="16" t="s">
        <v>102</v>
      </c>
      <c r="C32" s="137">
        <f>'BS Dec KSA'!C32+'BS Dec USA'!C32</f>
        <v>0</v>
      </c>
      <c r="D32" s="137">
        <f>'BS Dec KSA'!D32+'BS Dec USA'!D32</f>
        <v>-8.0500000000000007</v>
      </c>
      <c r="E32" s="137">
        <f>'BS Dec KSA'!E32+'BS Dec USA'!E32</f>
        <v>-8.0500000000000007</v>
      </c>
      <c r="F32" s="137">
        <f>'BS Dec KSA'!F32+'BS Dec USA'!F32</f>
        <v>-18293.05</v>
      </c>
      <c r="G32" s="137">
        <f>'BS Dec KSA'!G32+'BS Dec USA'!G32</f>
        <v>17091.95</v>
      </c>
      <c r="H32" s="137">
        <f>'BS Dec KSA'!H32+'BS Dec USA'!H32</f>
        <v>17091.95</v>
      </c>
      <c r="I32" s="137">
        <f>'BS Dec KSA'!I32+'BS Dec USA'!I32</f>
        <v>-8.0500000000000007</v>
      </c>
      <c r="J32" s="137">
        <f>'BS Dec KSA'!J32+'BS Dec USA'!J32</f>
        <v>-8.0500000000000007</v>
      </c>
      <c r="K32" s="137">
        <f>'BS Dec KSA'!K32+'BS Dec USA'!K32</f>
        <v>-8.0500000000000007</v>
      </c>
      <c r="L32" s="137">
        <f>'BS Dec KSA'!L32+'BS Dec USA'!L32</f>
        <v>-8.0500000000000007</v>
      </c>
      <c r="M32" s="137">
        <f>'BS Dec KSA'!M32+'BS Dec USA'!M32</f>
        <v>-8.0500000000000007</v>
      </c>
      <c r="N32" s="137">
        <f>'BS Dec KSA'!N32+'BS Dec USA'!N32</f>
        <v>-8.0500000000000007</v>
      </c>
      <c r="O32" s="51"/>
    </row>
    <row r="33" spans="1:15" outlineLevel="1" x14ac:dyDescent="0.45">
      <c r="A33" s="29"/>
      <c r="B33" s="16" t="s">
        <v>103</v>
      </c>
      <c r="C33" s="137">
        <f>'BS Dec KSA'!C33+'BS Dec USA'!C33</f>
        <v>0</v>
      </c>
      <c r="D33" s="137">
        <f>'BS Dec KSA'!D33+'BS Dec USA'!D33</f>
        <v>-10666.63</v>
      </c>
      <c r="E33" s="137">
        <f>'BS Dec KSA'!E33+'BS Dec USA'!E33</f>
        <v>-8533.2999999999993</v>
      </c>
      <c r="F33" s="137">
        <f>'BS Dec KSA'!F33+'BS Dec USA'!F33</f>
        <v>-6399.97</v>
      </c>
      <c r="G33" s="137">
        <f>'BS Dec KSA'!G33+'BS Dec USA'!G33</f>
        <v>-4266.6400000000003</v>
      </c>
      <c r="H33" s="137">
        <f>'BS Dec KSA'!H33+'BS Dec USA'!H33</f>
        <v>-2133.31</v>
      </c>
      <c r="I33" s="137">
        <f>'BS Dec KSA'!I33+'BS Dec USA'!I33</f>
        <v>0.02</v>
      </c>
      <c r="J33" s="137">
        <f>'BS Dec KSA'!J33+'BS Dec USA'!J33</f>
        <v>2133.35</v>
      </c>
      <c r="K33" s="137">
        <f>'BS Dec KSA'!K33+'BS Dec USA'!K33</f>
        <v>-8533.32</v>
      </c>
      <c r="L33" s="137">
        <f>'BS Dec KSA'!L33+'BS Dec USA'!L33</f>
        <v>-6399.99</v>
      </c>
      <c r="M33" s="137">
        <f>'BS Dec KSA'!M33+'BS Dec USA'!M33</f>
        <v>-2070.66</v>
      </c>
      <c r="N33" s="137">
        <f>'BS Dec KSA'!N33+'BS Dec USA'!N33</f>
        <v>2258.67</v>
      </c>
      <c r="O33" s="51"/>
    </row>
    <row r="34" spans="1:15" outlineLevel="1" x14ac:dyDescent="0.45">
      <c r="A34" s="29"/>
      <c r="B34" s="16" t="s">
        <v>104</v>
      </c>
      <c r="C34" s="137">
        <f>'BS Dec KSA'!C34+'BS Dec USA'!C34</f>
        <v>105846.5</v>
      </c>
      <c r="D34" s="137">
        <f>'BS Dec KSA'!D34+'BS Dec USA'!D34</f>
        <v>108210.26</v>
      </c>
      <c r="E34" s="137">
        <f>'BS Dec KSA'!E34+'BS Dec USA'!E34</f>
        <v>110574.02</v>
      </c>
      <c r="F34" s="137">
        <f>'BS Dec KSA'!F34+'BS Dec USA'!F34</f>
        <v>112937.78</v>
      </c>
      <c r="G34" s="137">
        <f>'BS Dec KSA'!G34+'BS Dec USA'!G34</f>
        <v>38888.89</v>
      </c>
      <c r="H34" s="137">
        <f>'BS Dec KSA'!H34+'BS Dec USA'!H34</f>
        <v>0</v>
      </c>
      <c r="I34" s="137">
        <f>'BS Dec KSA'!I34+'BS Dec USA'!I34</f>
        <v>0</v>
      </c>
      <c r="J34" s="137">
        <f>'BS Dec KSA'!J34+'BS Dec USA'!J34</f>
        <v>0</v>
      </c>
      <c r="K34" s="137">
        <f>'BS Dec KSA'!K34+'BS Dec USA'!K34</f>
        <v>0</v>
      </c>
      <c r="L34" s="137">
        <f>'BS Dec KSA'!L34+'BS Dec USA'!L34</f>
        <v>0</v>
      </c>
      <c r="M34" s="137">
        <f>'BS Dec KSA'!M34+'BS Dec USA'!M34</f>
        <v>0</v>
      </c>
      <c r="N34" s="137">
        <f>'BS Dec KSA'!N34+'BS Dec USA'!N34</f>
        <v>0</v>
      </c>
      <c r="O34" s="51"/>
    </row>
    <row r="35" spans="1:15" outlineLevel="1" x14ac:dyDescent="0.45">
      <c r="A35" s="29"/>
      <c r="B35" s="16" t="s">
        <v>105</v>
      </c>
      <c r="C35" s="137">
        <f>'BS Dec KSA'!C35+'BS Dec USA'!C35</f>
        <v>32500</v>
      </c>
      <c r="D35" s="137">
        <f>'BS Dec KSA'!D35+'BS Dec USA'!D35</f>
        <v>37916.67</v>
      </c>
      <c r="E35" s="137">
        <f>'BS Dec KSA'!E35+'BS Dec USA'!E35</f>
        <v>43333.34</v>
      </c>
      <c r="F35" s="137">
        <f>'BS Dec KSA'!F35+'BS Dec USA'!F35</f>
        <v>48750.01</v>
      </c>
      <c r="G35" s="137">
        <f>'BS Dec KSA'!G35+'BS Dec USA'!G35</f>
        <v>54166.68</v>
      </c>
      <c r="H35" s="137">
        <f>'BS Dec KSA'!H35+'BS Dec USA'!H35</f>
        <v>45.84</v>
      </c>
      <c r="I35" s="137">
        <f>'BS Dec KSA'!I35+'BS Dec USA'!I35</f>
        <v>91.67</v>
      </c>
      <c r="J35" s="137">
        <f>'BS Dec KSA'!J35+'BS Dec USA'!J35</f>
        <v>5554.17</v>
      </c>
      <c r="K35" s="137">
        <f>'BS Dec KSA'!K35+'BS Dec USA'!K35</f>
        <v>11016.67</v>
      </c>
      <c r="L35" s="137">
        <f>'BS Dec KSA'!L35+'BS Dec USA'!L35</f>
        <v>16479.169999999998</v>
      </c>
      <c r="M35" s="137">
        <f>'BS Dec KSA'!M35+'BS Dec USA'!M35</f>
        <v>21941.67</v>
      </c>
      <c r="N35" s="137">
        <f>'BS Dec KSA'!N35+'BS Dec USA'!N35</f>
        <v>27404.17</v>
      </c>
      <c r="O35" s="51"/>
    </row>
    <row r="36" spans="1:15" outlineLevel="1" x14ac:dyDescent="0.45">
      <c r="A36" s="29"/>
      <c r="B36" s="16" t="s">
        <v>106</v>
      </c>
      <c r="C36" s="137">
        <f>'BS Dec KSA'!C36+'BS Dec USA'!C36</f>
        <v>86253.890000000014</v>
      </c>
      <c r="D36" s="137">
        <f>'BS Dec KSA'!D36+'BS Dec USA'!D36</f>
        <v>17646.8</v>
      </c>
      <c r="E36" s="137">
        <f>'BS Dec KSA'!E36+'BS Dec USA'!E36</f>
        <v>22497.489999999998</v>
      </c>
      <c r="F36" s="137">
        <f>'BS Dec KSA'!F36+'BS Dec USA'!F36</f>
        <v>11165.72</v>
      </c>
      <c r="G36" s="137">
        <f>'BS Dec KSA'!G36+'BS Dec USA'!G36</f>
        <v>13924.12</v>
      </c>
      <c r="H36" s="137">
        <f>'BS Dec KSA'!H36+'BS Dec USA'!H36</f>
        <v>7232.52</v>
      </c>
      <c r="I36" s="137">
        <f>'BS Dec KSA'!I36+'BS Dec USA'!I36</f>
        <v>9203.42</v>
      </c>
      <c r="J36" s="137">
        <f>'BS Dec KSA'!J36+'BS Dec USA'!J36</f>
        <v>11174.32</v>
      </c>
      <c r="K36" s="137">
        <f>'BS Dec KSA'!K36+'BS Dec USA'!K36</f>
        <v>10743.59</v>
      </c>
      <c r="L36" s="137">
        <f>'BS Dec KSA'!L36+'BS Dec USA'!L36</f>
        <v>12932.86</v>
      </c>
      <c r="M36" s="137">
        <f>'BS Dec KSA'!M36+'BS Dec USA'!M36</f>
        <v>15122.13</v>
      </c>
      <c r="N36" s="137">
        <f>'BS Dec KSA'!N36+'BS Dec USA'!N36</f>
        <v>17311.400000000001</v>
      </c>
      <c r="O36" s="51"/>
    </row>
    <row r="37" spans="1:15" outlineLevel="1" x14ac:dyDescent="0.45">
      <c r="A37" s="29"/>
      <c r="B37" s="16" t="s">
        <v>107</v>
      </c>
      <c r="C37" s="137">
        <f>'BS Dec KSA'!C37+'BS Dec USA'!C37</f>
        <v>126562.51</v>
      </c>
      <c r="D37" s="137">
        <f>'BS Dec KSA'!D37+'BS Dec USA'!D37</f>
        <v>156525.23000000001</v>
      </c>
      <c r="E37" s="137">
        <f>'BS Dec KSA'!E37+'BS Dec USA'!E37</f>
        <v>11730.45</v>
      </c>
      <c r="F37" s="137">
        <f>'BS Dec KSA'!F37+'BS Dec USA'!F37</f>
        <v>17595.669999999998</v>
      </c>
      <c r="G37" s="137">
        <f>'BS Dec KSA'!G37+'BS Dec USA'!G37</f>
        <v>23460.89</v>
      </c>
      <c r="H37" s="137">
        <f>'BS Dec KSA'!H37+'BS Dec USA'!H37</f>
        <v>-5865.19</v>
      </c>
      <c r="I37" s="137">
        <f>'BS Dec KSA'!I37+'BS Dec USA'!I37</f>
        <v>0.02</v>
      </c>
      <c r="J37" s="137">
        <f>'BS Dec KSA'!J37+'BS Dec USA'!J37</f>
        <v>5833.35</v>
      </c>
      <c r="K37" s="137">
        <f>'BS Dec KSA'!K37+'BS Dec USA'!K37</f>
        <v>11666.68</v>
      </c>
      <c r="L37" s="137">
        <f>'BS Dec KSA'!L37+'BS Dec USA'!L37</f>
        <v>17500.009999999998</v>
      </c>
      <c r="M37" s="137">
        <f>'BS Dec KSA'!M37+'BS Dec USA'!M37</f>
        <v>23333.34</v>
      </c>
      <c r="N37" s="137">
        <f>'BS Dec KSA'!N37+'BS Dec USA'!N37</f>
        <v>29166.67</v>
      </c>
      <c r="O37" s="51"/>
    </row>
    <row r="38" spans="1:15" outlineLevel="1" x14ac:dyDescent="0.45">
      <c r="A38" s="29"/>
      <c r="B38" s="16" t="s">
        <v>108</v>
      </c>
      <c r="C38" s="137">
        <f>'BS Dec KSA'!C38+'BS Dec USA'!C38</f>
        <v>81571.679999999993</v>
      </c>
      <c r="D38" s="137">
        <f>'BS Dec KSA'!D38+'BS Dec USA'!D38</f>
        <v>119029.72</v>
      </c>
      <c r="E38" s="137">
        <f>'BS Dec KSA'!E38+'BS Dec USA'!E38</f>
        <v>104858.01</v>
      </c>
      <c r="F38" s="137">
        <f>'BS Dec KSA'!F38+'BS Dec USA'!F38</f>
        <v>127693.98999999999</v>
      </c>
      <c r="G38" s="137">
        <f>'BS Dec KSA'!G38+'BS Dec USA'!G38</f>
        <v>157481.75</v>
      </c>
      <c r="H38" s="137">
        <f>'BS Dec KSA'!H38+'BS Dec USA'!H38</f>
        <v>175591.40000000002</v>
      </c>
      <c r="I38" s="137">
        <f>'BS Dec KSA'!I38+'BS Dec USA'!I38</f>
        <v>116712.16</v>
      </c>
      <c r="J38" s="137">
        <f>'BS Dec KSA'!J38+'BS Dec USA'!J38</f>
        <v>133215.13999999998</v>
      </c>
      <c r="K38" s="137">
        <f>'BS Dec KSA'!K38+'BS Dec USA'!K38</f>
        <v>136484.79</v>
      </c>
      <c r="L38" s="137">
        <f>'BS Dec KSA'!L38+'BS Dec USA'!L38</f>
        <v>-4367.8999999999996</v>
      </c>
      <c r="M38" s="137">
        <f>'BS Dec KSA'!M38+'BS Dec USA'!M38</f>
        <v>95373.67</v>
      </c>
      <c r="N38" s="137">
        <f>'BS Dec KSA'!N38+'BS Dec USA'!N38</f>
        <v>7289.16</v>
      </c>
      <c r="O38" s="51"/>
    </row>
    <row r="39" spans="1:15" outlineLevel="1" x14ac:dyDescent="0.45">
      <c r="A39" s="29"/>
      <c r="B39" s="16" t="s">
        <v>301</v>
      </c>
      <c r="C39" s="137">
        <f>'BS Dec KSA'!C39+'BS Dec USA'!C39</f>
        <v>37580</v>
      </c>
      <c r="D39" s="137">
        <f>'BS Dec KSA'!D39+'BS Dec USA'!D39</f>
        <v>37580</v>
      </c>
      <c r="E39" s="137">
        <f>'BS Dec KSA'!E39+'BS Dec USA'!E39</f>
        <v>37580</v>
      </c>
      <c r="F39" s="137">
        <f>'BS Dec KSA'!F39+'BS Dec USA'!F39</f>
        <v>37580</v>
      </c>
      <c r="G39" s="137">
        <f>'BS Dec KSA'!G39+'BS Dec USA'!G39</f>
        <v>37580</v>
      </c>
      <c r="H39" s="137">
        <f>'BS Dec KSA'!H39+'BS Dec USA'!H39</f>
        <v>0</v>
      </c>
      <c r="I39" s="137">
        <f>'BS Dec KSA'!I39+'BS Dec USA'!I39</f>
        <v>0</v>
      </c>
      <c r="J39" s="137">
        <f>'BS Dec KSA'!J39+'BS Dec USA'!J39</f>
        <v>0</v>
      </c>
      <c r="K39" s="137">
        <f>'BS Dec KSA'!K39+'BS Dec USA'!K39</f>
        <v>0</v>
      </c>
      <c r="L39" s="137">
        <f>'BS Dec KSA'!L39+'BS Dec USA'!L39</f>
        <v>0</v>
      </c>
      <c r="M39" s="137">
        <f>'BS Dec KSA'!M39+'BS Dec USA'!M39</f>
        <v>0</v>
      </c>
      <c r="N39" s="137">
        <f>'BS Dec KSA'!N39+'BS Dec USA'!N39</f>
        <v>0</v>
      </c>
      <c r="O39" s="51"/>
    </row>
    <row r="40" spans="1:15" outlineLevel="1" x14ac:dyDescent="0.45">
      <c r="A40" s="29"/>
      <c r="B40" s="16" t="s">
        <v>109</v>
      </c>
      <c r="C40" s="137">
        <f>'BS Dec KSA'!C40+'BS Dec USA'!C40</f>
        <v>150941.43</v>
      </c>
      <c r="D40" s="137">
        <f>'BS Dec KSA'!D40+'BS Dec USA'!D40</f>
        <v>131132.87</v>
      </c>
      <c r="E40" s="137">
        <f>'BS Dec KSA'!E40+'BS Dec USA'!E40</f>
        <v>128909.83</v>
      </c>
      <c r="F40" s="137">
        <f>'BS Dec KSA'!F40+'BS Dec USA'!F40</f>
        <v>103152.9</v>
      </c>
      <c r="G40" s="137">
        <f>'BS Dec KSA'!G40+'BS Dec USA'!G40</f>
        <v>108416.5</v>
      </c>
      <c r="H40" s="137">
        <f>'BS Dec KSA'!H40+'BS Dec USA'!H40</f>
        <v>107216.1</v>
      </c>
      <c r="I40" s="137">
        <f>'BS Dec KSA'!I40+'BS Dec USA'!I40</f>
        <v>138558.16</v>
      </c>
      <c r="J40" s="137">
        <f>'BS Dec KSA'!J40+'BS Dec USA'!J40</f>
        <v>152088.92000000001</v>
      </c>
      <c r="K40" s="137">
        <f>'BS Dec KSA'!K40+'BS Dec USA'!K40</f>
        <v>119559.81</v>
      </c>
      <c r="L40" s="137">
        <f>'BS Dec KSA'!L40+'BS Dec USA'!L40</f>
        <v>92393.14</v>
      </c>
      <c r="M40" s="137">
        <f>'BS Dec KSA'!M40+'BS Dec USA'!M40</f>
        <v>76092.47</v>
      </c>
      <c r="N40" s="137">
        <f>'BS Dec KSA'!N40+'BS Dec USA'!N40</f>
        <v>70092.47</v>
      </c>
      <c r="O40" s="51"/>
    </row>
    <row r="41" spans="1:15" outlineLevel="1" x14ac:dyDescent="0.45">
      <c r="A41" s="29"/>
      <c r="B41" s="16" t="s">
        <v>110</v>
      </c>
      <c r="C41" s="137">
        <f>'BS Dec KSA'!C41+'BS Dec USA'!C41</f>
        <v>2000</v>
      </c>
      <c r="D41" s="137">
        <f>'BS Dec KSA'!D41+'BS Dec USA'!D41</f>
        <v>2000</v>
      </c>
      <c r="E41" s="137">
        <f>'BS Dec KSA'!E41+'BS Dec USA'!E41</f>
        <v>2000</v>
      </c>
      <c r="F41" s="137">
        <f>'BS Dec KSA'!F41+'BS Dec USA'!F41</f>
        <v>2000</v>
      </c>
      <c r="G41" s="137">
        <f>'BS Dec KSA'!G41+'BS Dec USA'!G41</f>
        <v>2000</v>
      </c>
      <c r="H41" s="137">
        <f>'BS Dec KSA'!H41+'BS Dec USA'!H41</f>
        <v>1500</v>
      </c>
      <c r="I41" s="137">
        <f>'BS Dec KSA'!I41+'BS Dec USA'!I41</f>
        <v>1500</v>
      </c>
      <c r="J41" s="137">
        <f>'BS Dec KSA'!J41+'BS Dec USA'!J41</f>
        <v>1500</v>
      </c>
      <c r="K41" s="137">
        <f>'BS Dec KSA'!K41+'BS Dec USA'!K41</f>
        <v>1500</v>
      </c>
      <c r="L41" s="137">
        <f>'BS Dec KSA'!L41+'BS Dec USA'!L41</f>
        <v>1500</v>
      </c>
      <c r="M41" s="137">
        <f>'BS Dec KSA'!M41+'BS Dec USA'!M41</f>
        <v>1500</v>
      </c>
      <c r="N41" s="137">
        <f>'BS Dec KSA'!N41+'BS Dec USA'!N41</f>
        <v>1500</v>
      </c>
      <c r="O41" s="51"/>
    </row>
    <row r="42" spans="1:15" outlineLevel="1" x14ac:dyDescent="0.45">
      <c r="A42" s="29"/>
      <c r="B42" s="16" t="s">
        <v>172</v>
      </c>
      <c r="C42" s="137">
        <f>'BS Dec KSA'!C42+'BS Dec USA'!C42</f>
        <v>0</v>
      </c>
      <c r="D42" s="137">
        <f>'BS Dec KSA'!D42+'BS Dec USA'!D42</f>
        <v>0</v>
      </c>
      <c r="E42" s="137">
        <f>'BS Dec KSA'!E42+'BS Dec USA'!E42</f>
        <v>0</v>
      </c>
      <c r="F42" s="137">
        <f>'BS Dec KSA'!F42+'BS Dec USA'!F42</f>
        <v>0</v>
      </c>
      <c r="G42" s="137">
        <f>'BS Dec KSA'!G42+'BS Dec USA'!G42</f>
        <v>0</v>
      </c>
      <c r="H42" s="137">
        <f>'BS Dec KSA'!H42+'BS Dec USA'!H42</f>
        <v>500</v>
      </c>
      <c r="I42" s="137">
        <f>'BS Dec KSA'!I42+'BS Dec USA'!I42</f>
        <v>0</v>
      </c>
      <c r="J42" s="137">
        <f>'BS Dec KSA'!J42+'BS Dec USA'!J42</f>
        <v>0</v>
      </c>
      <c r="K42" s="137">
        <f>'BS Dec KSA'!K42+'BS Dec USA'!K42</f>
        <v>0</v>
      </c>
      <c r="L42" s="137">
        <f>'BS Dec KSA'!L42+'BS Dec USA'!L42</f>
        <v>0</v>
      </c>
      <c r="M42" s="137">
        <f>'BS Dec KSA'!M42+'BS Dec USA'!M42</f>
        <v>0</v>
      </c>
      <c r="N42" s="137">
        <f>'BS Dec KSA'!N42+'BS Dec USA'!N42</f>
        <v>0</v>
      </c>
      <c r="O42" s="51"/>
    </row>
    <row r="43" spans="1:15" outlineLevel="1" x14ac:dyDescent="0.45">
      <c r="A43" s="29"/>
      <c r="B43" s="16" t="s">
        <v>173</v>
      </c>
      <c r="C43" s="137">
        <f>'BS Dec KSA'!C43+'BS Dec USA'!C43</f>
        <v>28469.18</v>
      </c>
      <c r="D43" s="137">
        <f>'BS Dec KSA'!D43+'BS Dec USA'!D43</f>
        <v>28469.18</v>
      </c>
      <c r="E43" s="137">
        <f>'BS Dec KSA'!E43+'BS Dec USA'!E43</f>
        <v>53952.88</v>
      </c>
      <c r="F43" s="137">
        <f>'BS Dec KSA'!F43+'BS Dec USA'!F43</f>
        <v>53432.74</v>
      </c>
      <c r="G43" s="137">
        <f>'BS Dec KSA'!G43+'BS Dec USA'!G43</f>
        <v>53494.54</v>
      </c>
      <c r="H43" s="137">
        <f>'BS Dec KSA'!H43+'BS Dec USA'!H43</f>
        <v>53409.16</v>
      </c>
      <c r="I43" s="137">
        <f>'BS Dec KSA'!I43+'BS Dec USA'!I43</f>
        <v>52250.35</v>
      </c>
      <c r="J43" s="137">
        <f>'BS Dec KSA'!J43+'BS Dec USA'!J43</f>
        <v>51477.4</v>
      </c>
      <c r="K43" s="137">
        <f>'BS Dec KSA'!K43+'BS Dec USA'!K43</f>
        <v>50607.26</v>
      </c>
      <c r="L43" s="137">
        <f>'BS Dec KSA'!L43+'BS Dec USA'!L43</f>
        <v>-1362619.26</v>
      </c>
      <c r="M43" s="137">
        <f>'BS Dec KSA'!M43+'BS Dec USA'!M43</f>
        <v>48302.67</v>
      </c>
      <c r="N43" s="137">
        <f>'BS Dec KSA'!N43+'BS Dec USA'!N43</f>
        <v>47096.76</v>
      </c>
      <c r="O43" s="51"/>
    </row>
    <row r="44" spans="1:15" outlineLevel="1" x14ac:dyDescent="0.45">
      <c r="A44" s="29"/>
      <c r="B44" s="16" t="s">
        <v>113</v>
      </c>
      <c r="C44" s="137">
        <f>'BS Dec KSA'!C44+'BS Dec USA'!C44</f>
        <v>743125</v>
      </c>
      <c r="D44" s="137">
        <f>'BS Dec KSA'!D44+'BS Dec USA'!D44</f>
        <v>743125</v>
      </c>
      <c r="E44" s="137">
        <f>'BS Dec KSA'!E44+'BS Dec USA'!E44</f>
        <v>380625</v>
      </c>
      <c r="F44" s="137"/>
      <c r="G44" s="137"/>
      <c r="H44" s="137"/>
      <c r="I44" s="137"/>
      <c r="J44" s="137"/>
      <c r="K44" s="137"/>
      <c r="L44" s="137"/>
      <c r="M44" s="137"/>
      <c r="N44" s="137"/>
      <c r="O44" s="51"/>
    </row>
    <row r="45" spans="1:15" ht="15" x14ac:dyDescent="0.45">
      <c r="B45" s="28"/>
      <c r="C45" s="52"/>
      <c r="D45" s="52"/>
      <c r="E45" s="52"/>
      <c r="F45" s="52"/>
      <c r="G45" s="52"/>
      <c r="H45" s="52"/>
      <c r="I45" s="52"/>
      <c r="J45" s="52"/>
      <c r="K45" s="51">
        <f>'BS Dec KSA'!K45+'BS Dec USA'!K45</f>
        <v>0</v>
      </c>
      <c r="L45" s="52"/>
      <c r="M45" s="52"/>
      <c r="N45" s="138"/>
      <c r="O45" s="52"/>
    </row>
    <row r="46" spans="1:15" x14ac:dyDescent="0.45">
      <c r="B46" s="19" t="s">
        <v>114</v>
      </c>
      <c r="C46" s="54">
        <f t="shared" ref="C46" si="6">+C31+C10+C27</f>
        <v>53030247.590000004</v>
      </c>
      <c r="D46" s="54">
        <f t="shared" ref="D46:N46" si="7">+D31+D10+D27</f>
        <v>52889971.800000004</v>
      </c>
      <c r="E46" s="54">
        <f t="shared" si="7"/>
        <v>51672690.520000011</v>
      </c>
      <c r="F46" s="54">
        <f t="shared" si="7"/>
        <v>42111438.190000005</v>
      </c>
      <c r="G46" s="54">
        <f t="shared" si="7"/>
        <v>42597988.859999999</v>
      </c>
      <c r="H46" s="54">
        <f t="shared" si="7"/>
        <v>43167941.920000002</v>
      </c>
      <c r="I46" s="54">
        <f t="shared" si="7"/>
        <v>43116140.030000001</v>
      </c>
      <c r="J46" s="54">
        <f t="shared" si="7"/>
        <v>36197697.520000003</v>
      </c>
      <c r="K46" s="54">
        <f t="shared" si="7"/>
        <v>36297024.32</v>
      </c>
      <c r="L46" s="54">
        <f t="shared" si="7"/>
        <v>35406968.799999997</v>
      </c>
      <c r="M46" s="54">
        <f t="shared" si="7"/>
        <v>35320130.710000001</v>
      </c>
      <c r="N46" s="139">
        <f t="shared" si="7"/>
        <v>34445839.740000002</v>
      </c>
      <c r="O46" s="55"/>
    </row>
    <row r="47" spans="1:15" ht="15" x14ac:dyDescent="0.45">
      <c r="B47" s="28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138"/>
      <c r="O47" s="52"/>
    </row>
    <row r="48" spans="1:15" ht="15" x14ac:dyDescent="0.45">
      <c r="B48" s="28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138"/>
      <c r="O48" s="52"/>
    </row>
    <row r="49" spans="1:24" s="95" customFormat="1" x14ac:dyDescent="0.45">
      <c r="A49" s="94"/>
      <c r="B49" s="19" t="s">
        <v>115</v>
      </c>
      <c r="C49" s="54">
        <f>SUM(C50:C57)</f>
        <v>219131.08000000002</v>
      </c>
      <c r="D49" s="54">
        <f>SUM(D50:D57)</f>
        <v>172967.58</v>
      </c>
      <c r="E49" s="54">
        <f t="shared" ref="E49:N49" si="8">SUM(E50:E57)</f>
        <v>157374.09</v>
      </c>
      <c r="F49" s="54">
        <f t="shared" si="8"/>
        <v>165997.69999999998</v>
      </c>
      <c r="G49" s="54">
        <f t="shared" si="8"/>
        <v>172270.04</v>
      </c>
      <c r="H49" s="54">
        <f t="shared" si="8"/>
        <v>122718.59000000003</v>
      </c>
      <c r="I49" s="54">
        <f t="shared" si="8"/>
        <v>113097.31</v>
      </c>
      <c r="J49" s="54">
        <f t="shared" si="8"/>
        <v>119833.95999999999</v>
      </c>
      <c r="K49" s="54">
        <f t="shared" si="8"/>
        <v>126570.61000000002</v>
      </c>
      <c r="L49" s="54">
        <f t="shared" si="8"/>
        <v>133307.26</v>
      </c>
      <c r="M49" s="54">
        <f t="shared" si="8"/>
        <v>130695.98999999999</v>
      </c>
      <c r="N49" s="54">
        <f t="shared" si="8"/>
        <v>128719.66999999998</v>
      </c>
      <c r="O49" s="55"/>
      <c r="V49" s="97"/>
    </row>
    <row r="50" spans="1:24" outlineLevel="1" x14ac:dyDescent="0.45">
      <c r="B50" s="16" t="s">
        <v>116</v>
      </c>
      <c r="C50" s="137">
        <f>'BS Dec KSA'!C50+'BS Dec USA'!C50</f>
        <v>-23841.55</v>
      </c>
      <c r="D50" s="137">
        <f>'BS Dec KSA'!D50+'BS Dec USA'!D50</f>
        <v>-22527.08</v>
      </c>
      <c r="E50" s="137">
        <f>'BS Dec KSA'!E50+'BS Dec USA'!E50</f>
        <v>-21212.61</v>
      </c>
      <c r="F50" s="137">
        <f>'BS Dec KSA'!F50+'BS Dec USA'!F50</f>
        <v>-19898.14</v>
      </c>
      <c r="G50" s="137">
        <f>'BS Dec KSA'!G50+'BS Dec USA'!G50</f>
        <v>-18583.669999999998</v>
      </c>
      <c r="H50" s="137">
        <f>'BS Dec KSA'!H50+'BS Dec USA'!H50</f>
        <v>-17269.2</v>
      </c>
      <c r="I50" s="137">
        <f>'BS Dec KSA'!I50+'BS Dec USA'!I50</f>
        <v>-16033.57</v>
      </c>
      <c r="J50" s="137">
        <f>'BS Dec KSA'!J50+'BS Dec USA'!J50</f>
        <v>-14797.94</v>
      </c>
      <c r="K50" s="137">
        <f>'BS Dec KSA'!K50+'BS Dec USA'!K50</f>
        <v>-13562.31</v>
      </c>
      <c r="L50" s="137">
        <f>'BS Dec KSA'!L50+'BS Dec USA'!L50</f>
        <v>-12326.68</v>
      </c>
      <c r="M50" s="137">
        <f>'BS Dec KSA'!M50+'BS Dec USA'!M50</f>
        <v>-11091.05</v>
      </c>
      <c r="N50" s="137">
        <f>'BS Dec KSA'!N50+'BS Dec USA'!N50</f>
        <v>-9855.42</v>
      </c>
      <c r="O50" s="51"/>
      <c r="T50" s="35"/>
      <c r="U50" s="35"/>
      <c r="V50" s="35"/>
      <c r="W50" s="35"/>
      <c r="X50" s="35"/>
    </row>
    <row r="51" spans="1:24" outlineLevel="1" x14ac:dyDescent="0.45">
      <c r="B51" s="16" t="s">
        <v>117</v>
      </c>
      <c r="C51" s="137">
        <f>'BS Dec KSA'!C51+'BS Dec USA'!C51</f>
        <v>-4022.45</v>
      </c>
      <c r="D51" s="137">
        <f>'BS Dec KSA'!D51+'BS Dec USA'!D51</f>
        <v>-24226.6</v>
      </c>
      <c r="E51" s="137">
        <f>'BS Dec KSA'!E51+'BS Dec USA'!E51</f>
        <v>-22546.75</v>
      </c>
      <c r="F51" s="137">
        <f>'BS Dec KSA'!F51+'BS Dec USA'!F51</f>
        <v>-20866.900000000001</v>
      </c>
      <c r="G51" s="137">
        <f>'BS Dec KSA'!G51+'BS Dec USA'!G51</f>
        <v>-19187.05</v>
      </c>
      <c r="H51" s="137">
        <f>'BS Dec KSA'!H51+'BS Dec USA'!H51</f>
        <v>-17507.2</v>
      </c>
      <c r="I51" s="137">
        <f>'BS Dec KSA'!I51+'BS Dec USA'!I51</f>
        <v>-16631.84</v>
      </c>
      <c r="J51" s="137">
        <f>'BS Dec KSA'!J51+'BS Dec USA'!J51</f>
        <v>-15756.48</v>
      </c>
      <c r="K51" s="137">
        <f>'BS Dec KSA'!K51+'BS Dec USA'!K51</f>
        <v>-14881.12</v>
      </c>
      <c r="L51" s="137">
        <f>'BS Dec KSA'!L51+'BS Dec USA'!L51</f>
        <v>-14005.76</v>
      </c>
      <c r="M51" s="137">
        <f>'BS Dec KSA'!M51+'BS Dec USA'!M51</f>
        <v>-13130.4</v>
      </c>
      <c r="N51" s="137">
        <f>'BS Dec KSA'!N51+'BS Dec USA'!N51</f>
        <v>-12255.04</v>
      </c>
      <c r="O51" s="51"/>
      <c r="T51" s="35"/>
      <c r="U51" s="35"/>
      <c r="V51" s="35"/>
      <c r="W51" s="35"/>
      <c r="X51" s="35"/>
    </row>
    <row r="52" spans="1:24" outlineLevel="1" x14ac:dyDescent="0.45">
      <c r="B52" s="16" t="s">
        <v>118</v>
      </c>
      <c r="C52" s="137">
        <f>'BS Dec KSA'!C52+'BS Dec USA'!C52</f>
        <v>-94657.76</v>
      </c>
      <c r="D52" s="137">
        <f>'BS Dec KSA'!D52+'BS Dec USA'!D52</f>
        <v>-89173.52</v>
      </c>
      <c r="E52" s="137">
        <f>'BS Dec KSA'!E52+'BS Dec USA'!E52</f>
        <v>-84278.39</v>
      </c>
      <c r="F52" s="137">
        <f>'BS Dec KSA'!F52+'BS Dec USA'!F52</f>
        <v>-78649.100000000006</v>
      </c>
      <c r="G52" s="137">
        <f>'BS Dec KSA'!G52+'BS Dec USA'!G52</f>
        <v>-73110.209999999992</v>
      </c>
      <c r="H52" s="137">
        <f>'BS Dec KSA'!H52+'BS Dec USA'!H52</f>
        <v>-67481.429999999993</v>
      </c>
      <c r="I52" s="137">
        <f>'BS Dec KSA'!I52+'BS Dec USA'!I52</f>
        <v>-62257.57</v>
      </c>
      <c r="J52" s="137">
        <f>'BS Dec KSA'!J52+'BS Dec USA'!J52</f>
        <v>-57631.91</v>
      </c>
      <c r="K52" s="137">
        <f>'BS Dec KSA'!K52+'BS Dec USA'!K52</f>
        <v>-53006.25</v>
      </c>
      <c r="L52" s="137">
        <f>'BS Dec KSA'!L52+'BS Dec USA'!L52</f>
        <v>-48380.59</v>
      </c>
      <c r="M52" s="137">
        <f>'BS Dec KSA'!M52+'BS Dec USA'!M52</f>
        <v>-43754.93</v>
      </c>
      <c r="N52" s="137">
        <f>'BS Dec KSA'!N52+'BS Dec USA'!N52</f>
        <v>-39518.76</v>
      </c>
      <c r="O52" s="51"/>
      <c r="T52" s="35"/>
      <c r="U52" s="35"/>
      <c r="V52" s="35"/>
      <c r="W52" s="35"/>
      <c r="X52" s="35"/>
    </row>
    <row r="53" spans="1:24" outlineLevel="1" x14ac:dyDescent="0.45">
      <c r="B53" s="16" t="s">
        <v>183</v>
      </c>
      <c r="C53" s="137">
        <f>'BS Dec KSA'!C53+'BS Dec USA'!C53</f>
        <v>0</v>
      </c>
      <c r="D53" s="137">
        <f>'BS Dec KSA'!D53+'BS Dec USA'!D53</f>
        <v>0</v>
      </c>
      <c r="E53" s="137">
        <f>'BS Dec KSA'!E53+'BS Dec USA'!E53</f>
        <v>0</v>
      </c>
      <c r="F53" s="137">
        <f>'BS Dec KSA'!F53+'BS Dec USA'!F53</f>
        <v>0</v>
      </c>
      <c r="G53" s="137">
        <f>'BS Dec KSA'!G53+'BS Dec USA'!G53</f>
        <v>0</v>
      </c>
      <c r="H53" s="137">
        <f>'BS Dec KSA'!H53+'BS Dec USA'!H53</f>
        <v>0.1</v>
      </c>
      <c r="I53" s="137">
        <f>'BS Dec KSA'!I53+'BS Dec USA'!I53</f>
        <v>0</v>
      </c>
      <c r="J53" s="137">
        <f>'BS Dec KSA'!J53+'BS Dec USA'!J53</f>
        <v>0</v>
      </c>
      <c r="K53" s="137">
        <f>'BS Dec KSA'!K53+'BS Dec USA'!K53</f>
        <v>0</v>
      </c>
      <c r="L53" s="137">
        <f>'BS Dec KSA'!L53+'BS Dec USA'!L53</f>
        <v>0</v>
      </c>
      <c r="M53" s="137">
        <f>'BS Dec KSA'!M53+'BS Dec USA'!M53</f>
        <v>0</v>
      </c>
      <c r="N53" s="137">
        <f>'BS Dec KSA'!N53+'BS Dec USA'!N53</f>
        <v>0</v>
      </c>
      <c r="O53" s="51"/>
      <c r="T53" s="35"/>
      <c r="U53" s="35"/>
      <c r="V53" s="35"/>
      <c r="W53" s="35"/>
      <c r="X53" s="35"/>
    </row>
    <row r="54" spans="1:24" outlineLevel="1" x14ac:dyDescent="0.45">
      <c r="B54" s="16" t="s">
        <v>120</v>
      </c>
      <c r="C54" s="137">
        <f>'BS Dec KSA'!C54+'BS Dec USA'!C54</f>
        <v>47320.87</v>
      </c>
      <c r="D54" s="137">
        <f>'BS Dec KSA'!D54+'BS Dec USA'!D54</f>
        <v>47320.87</v>
      </c>
      <c r="E54" s="137">
        <f>'BS Dec KSA'!E54+'BS Dec USA'!E54</f>
        <v>47320.87</v>
      </c>
      <c r="F54" s="137">
        <f>'BS Dec KSA'!F54+'BS Dec USA'!F54</f>
        <v>47320.87</v>
      </c>
      <c r="G54" s="137">
        <f>'BS Dec KSA'!G54+'BS Dec USA'!G54</f>
        <v>47320.87</v>
      </c>
      <c r="H54" s="137">
        <f>'BS Dec KSA'!H54+'BS Dec USA'!H54</f>
        <v>44482.61</v>
      </c>
      <c r="I54" s="137">
        <f>'BS Dec KSA'!I54+'BS Dec USA'!I54</f>
        <v>44482.61</v>
      </c>
      <c r="J54" s="137">
        <f>'BS Dec KSA'!J54+'BS Dec USA'!J54</f>
        <v>44482.61</v>
      </c>
      <c r="K54" s="137">
        <f>'BS Dec KSA'!K54+'BS Dec USA'!K54</f>
        <v>44482.61</v>
      </c>
      <c r="L54" s="137">
        <f>'BS Dec KSA'!L54+'BS Dec USA'!L54</f>
        <v>44482.61</v>
      </c>
      <c r="M54" s="137">
        <f>'BS Dec KSA'!M54+'BS Dec USA'!M54</f>
        <v>44482.61</v>
      </c>
      <c r="N54" s="137">
        <f>'BS Dec KSA'!N54+'BS Dec USA'!N54</f>
        <v>44482.61</v>
      </c>
      <c r="O54" s="51"/>
      <c r="T54" s="35"/>
      <c r="U54" s="35"/>
      <c r="V54" s="35"/>
      <c r="W54" s="35"/>
      <c r="X54" s="35"/>
    </row>
    <row r="55" spans="1:24" outlineLevel="1" x14ac:dyDescent="0.45">
      <c r="B55" s="16" t="s">
        <v>121</v>
      </c>
      <c r="C55" s="137">
        <f>'BS Dec KSA'!C55+'BS Dec USA'!C55</f>
        <v>48217.39</v>
      </c>
      <c r="D55" s="137">
        <f>'BS Dec KSA'!D55+'BS Dec USA'!D55</f>
        <v>100739.13</v>
      </c>
      <c r="E55" s="137">
        <f>'BS Dec KSA'!E55+'BS Dec USA'!E55</f>
        <v>100739.13</v>
      </c>
      <c r="F55" s="137">
        <f>'BS Dec KSA'!F55+'BS Dec USA'!F55</f>
        <v>100739.13</v>
      </c>
      <c r="G55" s="137">
        <f>'BS Dec KSA'!G55+'BS Dec USA'!G55</f>
        <v>100739.13</v>
      </c>
      <c r="H55" s="137">
        <f>'BS Dec KSA'!H55+'BS Dec USA'!H55</f>
        <v>52521.74</v>
      </c>
      <c r="I55" s="137">
        <f>'BS Dec KSA'!I55+'BS Dec USA'!I55</f>
        <v>52521.74</v>
      </c>
      <c r="J55" s="137">
        <f>'BS Dec KSA'!J55+'BS Dec USA'!J55</f>
        <v>52521.74</v>
      </c>
      <c r="K55" s="137">
        <f>'BS Dec KSA'!K55+'BS Dec USA'!K55</f>
        <v>52521.74</v>
      </c>
      <c r="L55" s="137">
        <f>'BS Dec KSA'!L55+'BS Dec USA'!L55</f>
        <v>52521.74</v>
      </c>
      <c r="M55" s="137">
        <f>'BS Dec KSA'!M55+'BS Dec USA'!M55</f>
        <v>52521.74</v>
      </c>
      <c r="N55" s="137">
        <f>'BS Dec KSA'!N55+'BS Dec USA'!N55</f>
        <v>52521.74</v>
      </c>
      <c r="O55" s="51"/>
      <c r="T55" s="35"/>
      <c r="U55" s="35"/>
      <c r="V55" s="35"/>
      <c r="W55" s="35"/>
      <c r="X55" s="35"/>
    </row>
    <row r="56" spans="1:24" ht="15" x14ac:dyDescent="0.45">
      <c r="B56" s="16" t="s">
        <v>122</v>
      </c>
      <c r="C56" s="137">
        <f>'BS Dec KSA'!C56+'BS Dec USA'!C56</f>
        <v>154746.26</v>
      </c>
      <c r="D56" s="137">
        <f>'BS Dec KSA'!D56+'BS Dec USA'!D56</f>
        <v>147317.57</v>
      </c>
      <c r="E56" s="137">
        <f>'BS Dec KSA'!E56+'BS Dec USA'!E56</f>
        <v>137351.84</v>
      </c>
      <c r="F56" s="137">
        <f>'BS Dec KSA'!F56+'BS Dec USA'!F56</f>
        <v>137351.84</v>
      </c>
      <c r="G56" s="137">
        <f>'BS Dec KSA'!G56+'BS Dec USA'!G56</f>
        <v>135090.97</v>
      </c>
      <c r="H56" s="137">
        <f>'BS Dec KSA'!H56+'BS Dec USA'!H56</f>
        <v>127971.97</v>
      </c>
      <c r="I56" s="137">
        <f>'BS Dec KSA'!I56+'BS Dec USA'!I56</f>
        <v>111015.94</v>
      </c>
      <c r="J56" s="137">
        <f>'BS Dec KSA'!J56+'BS Dec USA'!J56</f>
        <v>111015.94</v>
      </c>
      <c r="K56" s="137">
        <f>'BS Dec KSA'!K56+'BS Dec USA'!K56</f>
        <v>111015.94</v>
      </c>
      <c r="L56" s="137">
        <f>'BS Dec KSA'!L56+'BS Dec USA'!L56</f>
        <v>111015.94</v>
      </c>
      <c r="M56" s="137">
        <f>'BS Dec KSA'!M56+'BS Dec USA'!M56</f>
        <v>101668.02</v>
      </c>
      <c r="N56" s="137">
        <f>'BS Dec KSA'!N56+'BS Dec USA'!N56</f>
        <v>93344.54</v>
      </c>
      <c r="O56" s="52"/>
      <c r="T56" s="35"/>
      <c r="U56" s="35"/>
      <c r="V56" s="110"/>
      <c r="W56" s="35"/>
      <c r="X56" s="35"/>
    </row>
    <row r="57" spans="1:24" ht="15" x14ac:dyDescent="0.45">
      <c r="B57" s="16" t="s">
        <v>123</v>
      </c>
      <c r="C57" s="137">
        <f>'BS Dec KSA'!C57+'BS Dec USA'!C57</f>
        <v>91368.320000000007</v>
      </c>
      <c r="D57" s="137">
        <f>'BS Dec KSA'!D57+'BS Dec USA'!D57</f>
        <v>13517.21</v>
      </c>
      <c r="E57" s="137">
        <f>'BS Dec KSA'!E57+'BS Dec USA'!E57</f>
        <v>0</v>
      </c>
      <c r="F57" s="137">
        <f>'BS Dec KSA'!F57+'BS Dec USA'!F57</f>
        <v>0</v>
      </c>
      <c r="G57" s="137">
        <f>'BS Dec KSA'!G57+'BS Dec USA'!G57</f>
        <v>0</v>
      </c>
      <c r="H57" s="137">
        <f>'BS Dec KSA'!H57+'BS Dec USA'!H57</f>
        <v>0</v>
      </c>
      <c r="I57" s="137">
        <f>'BS Dec KSA'!I57+'BS Dec USA'!I57</f>
        <v>0</v>
      </c>
      <c r="J57" s="137">
        <f>'BS Dec KSA'!J57+'BS Dec USA'!J57</f>
        <v>0</v>
      </c>
      <c r="K57" s="137">
        <f>'BS Dec KSA'!K57+'BS Dec USA'!K57</f>
        <v>0</v>
      </c>
      <c r="L57" s="137">
        <f>'BS Dec KSA'!L57+'BS Dec USA'!L57</f>
        <v>0</v>
      </c>
      <c r="M57" s="137">
        <f>'BS Dec KSA'!M57+'BS Dec USA'!M57</f>
        <v>0</v>
      </c>
      <c r="N57" s="137">
        <f>'BS Dec KSA'!N57+'BS Dec USA'!N57</f>
        <v>0</v>
      </c>
      <c r="O57" s="52"/>
    </row>
    <row r="58" spans="1:24" ht="15" x14ac:dyDescent="0.45">
      <c r="B58" s="1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52"/>
    </row>
    <row r="59" spans="1:24" s="95" customFormat="1" x14ac:dyDescent="0.45">
      <c r="A59" s="94"/>
      <c r="B59" s="19" t="s">
        <v>124</v>
      </c>
      <c r="C59" s="54">
        <f>SUM(C60:C63)</f>
        <v>8378.32</v>
      </c>
      <c r="D59" s="54">
        <f t="shared" ref="D59:N59" si="9">SUM(D60:D63)</f>
        <v>55711.809999994635</v>
      </c>
      <c r="E59" s="54">
        <f t="shared" si="9"/>
        <v>56927.809999994635</v>
      </c>
      <c r="F59" s="54">
        <f t="shared" si="9"/>
        <v>6378.32</v>
      </c>
      <c r="G59" s="54">
        <f t="shared" si="9"/>
        <v>6378.32</v>
      </c>
      <c r="H59" s="54">
        <f t="shared" si="9"/>
        <v>2878.3199999999997</v>
      </c>
      <c r="I59" s="54">
        <f t="shared" si="9"/>
        <v>758.81000000000006</v>
      </c>
      <c r="J59" s="54">
        <f t="shared" si="9"/>
        <v>758.81000000000006</v>
      </c>
      <c r="K59" s="54">
        <f t="shared" si="9"/>
        <v>758.81000000000006</v>
      </c>
      <c r="L59" s="54">
        <f t="shared" si="9"/>
        <v>758.81000000000006</v>
      </c>
      <c r="M59" s="54">
        <f t="shared" si="9"/>
        <v>758.81000000000006</v>
      </c>
      <c r="N59" s="54">
        <f t="shared" si="9"/>
        <v>758.81000000000006</v>
      </c>
      <c r="O59" s="55"/>
    </row>
    <row r="60" spans="1:24" hidden="1" x14ac:dyDescent="0.45">
      <c r="B60" s="232" t="s">
        <v>296</v>
      </c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51"/>
    </row>
    <row r="61" spans="1:24" x14ac:dyDescent="0.45">
      <c r="B61" s="16" t="s">
        <v>297</v>
      </c>
      <c r="C61" s="137">
        <f>'BS Dec KSA'!C61+'BS Dec USA'!C61</f>
        <v>2728.2999999999997</v>
      </c>
      <c r="D61" s="137">
        <f>'BS Dec KSA'!D61+'BS Dec USA'!D61</f>
        <v>2728.2999999999997</v>
      </c>
      <c r="E61" s="137">
        <f>'BS Dec KSA'!E61+'BS Dec USA'!E61</f>
        <v>2728.2999999999997</v>
      </c>
      <c r="F61" s="137">
        <f>'BS Dec KSA'!F61+'BS Dec USA'!F61</f>
        <v>2728.2999999999997</v>
      </c>
      <c r="G61" s="137">
        <f>'BS Dec KSA'!G61+'BS Dec USA'!G61</f>
        <v>2728.2999999999997</v>
      </c>
      <c r="H61" s="137">
        <f>'BS Dec KSA'!H61+'BS Dec USA'!H61</f>
        <v>2728.2999999999997</v>
      </c>
      <c r="I61" s="137">
        <f>'BS Dec KSA'!I61+'BS Dec USA'!I61</f>
        <v>608.79000000000008</v>
      </c>
      <c r="J61" s="137">
        <f>'BS Dec KSA'!J61+'BS Dec USA'!J61</f>
        <v>608.79000000000008</v>
      </c>
      <c r="K61" s="137">
        <f>'BS Dec KSA'!K61+'BS Dec USA'!K61</f>
        <v>608.79000000000008</v>
      </c>
      <c r="L61" s="137">
        <f>'BS Dec KSA'!L61+'BS Dec USA'!L61</f>
        <v>608.79000000000008</v>
      </c>
      <c r="M61" s="137">
        <f>'BS Dec KSA'!M61+'BS Dec USA'!M61</f>
        <v>608.79000000000008</v>
      </c>
      <c r="N61" s="137">
        <f>'BS Dec KSA'!N61+'BS Dec USA'!N61</f>
        <v>608.79000000000008</v>
      </c>
      <c r="O61" s="56"/>
    </row>
    <row r="62" spans="1:24" x14ac:dyDescent="0.45">
      <c r="B62" s="16" t="s">
        <v>298</v>
      </c>
      <c r="C62" s="137">
        <v>0</v>
      </c>
      <c r="D62" s="137">
        <v>49333.489999994636</v>
      </c>
      <c r="E62" s="137">
        <v>50549.489999994636</v>
      </c>
      <c r="F62" s="137">
        <v>0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  <c r="N62" s="137">
        <v>0</v>
      </c>
      <c r="O62" s="56"/>
    </row>
    <row r="63" spans="1:24" ht="15" x14ac:dyDescent="0.45">
      <c r="B63" s="16" t="s">
        <v>299</v>
      </c>
      <c r="C63" s="137">
        <f>'BS Dec KSA'!C63+'BS Dec USA'!C63</f>
        <v>5650.02</v>
      </c>
      <c r="D63" s="137">
        <f>'BS Dec KSA'!D63+'BS Dec USA'!D63</f>
        <v>3650.02</v>
      </c>
      <c r="E63" s="137">
        <f>'BS Dec KSA'!E63+'BS Dec USA'!E63</f>
        <v>3650.02</v>
      </c>
      <c r="F63" s="137">
        <f>'BS Dec KSA'!F63+'BS Dec USA'!F63</f>
        <v>3650.02</v>
      </c>
      <c r="G63" s="137">
        <f>'BS Dec KSA'!G63+'BS Dec USA'!G63</f>
        <v>3650.02</v>
      </c>
      <c r="H63" s="137">
        <f>'BS Dec KSA'!H63+'BS Dec USA'!H63</f>
        <v>150.02000000000001</v>
      </c>
      <c r="I63" s="137">
        <f>'BS Dec KSA'!I63+'BS Dec USA'!I63</f>
        <v>150.02000000000001</v>
      </c>
      <c r="J63" s="137">
        <f>'BS Dec KSA'!J63+'BS Dec USA'!J63</f>
        <v>150.02000000000001</v>
      </c>
      <c r="K63" s="137">
        <f>'BS Dec KSA'!K63+'BS Dec USA'!K63</f>
        <v>150.02000000000001</v>
      </c>
      <c r="L63" s="137">
        <f>'BS Dec KSA'!L63+'BS Dec USA'!L63</f>
        <v>150.02000000000001</v>
      </c>
      <c r="M63" s="137">
        <f>'BS Dec KSA'!M63+'BS Dec USA'!M63</f>
        <v>150.02000000000001</v>
      </c>
      <c r="N63" s="137">
        <f>'BS Dec KSA'!N63+'BS Dec USA'!N63</f>
        <v>150.02000000000001</v>
      </c>
      <c r="O63" s="52"/>
    </row>
    <row r="64" spans="1:24" ht="15" x14ac:dyDescent="0.45">
      <c r="B64" s="28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138"/>
      <c r="O64" s="52"/>
    </row>
    <row r="65" spans="1:20" s="95" customFormat="1" x14ac:dyDescent="0.45">
      <c r="A65" s="94"/>
      <c r="B65" s="19" t="s">
        <v>304</v>
      </c>
      <c r="C65" s="54">
        <f>SUM(C66:C67)</f>
        <v>3720.42</v>
      </c>
      <c r="D65" s="54">
        <f t="shared" ref="D65:N65" si="10">SUM(D66:D67)</f>
        <v>3720.42</v>
      </c>
      <c r="E65" s="54">
        <f t="shared" si="10"/>
        <v>3720.42</v>
      </c>
      <c r="F65" s="54">
        <f t="shared" si="10"/>
        <v>3720.42</v>
      </c>
      <c r="G65" s="54">
        <f t="shared" si="10"/>
        <v>3720.42</v>
      </c>
      <c r="H65" s="54">
        <f t="shared" si="10"/>
        <v>3720.42</v>
      </c>
      <c r="I65" s="54">
        <f t="shared" si="10"/>
        <v>3720.42</v>
      </c>
      <c r="J65" s="54">
        <f t="shared" si="10"/>
        <v>3720.42</v>
      </c>
      <c r="K65" s="54">
        <f t="shared" si="10"/>
        <v>3720.42</v>
      </c>
      <c r="L65" s="54">
        <f t="shared" si="10"/>
        <v>3720.42</v>
      </c>
      <c r="M65" s="54">
        <f t="shared" si="10"/>
        <v>3720.42</v>
      </c>
      <c r="N65" s="54">
        <f t="shared" si="10"/>
        <v>3720.42</v>
      </c>
      <c r="O65" s="55"/>
    </row>
    <row r="66" spans="1:20" ht="15" x14ac:dyDescent="0.45">
      <c r="B66" s="16" t="s">
        <v>303</v>
      </c>
      <c r="C66" s="137">
        <f>'BS Dec KSA'!C66+'BS Dec USA'!C66</f>
        <v>3720.42</v>
      </c>
      <c r="D66" s="137">
        <f>'BS Dec KSA'!D66+'BS Dec USA'!D66</f>
        <v>3720.42</v>
      </c>
      <c r="E66" s="137">
        <f>'BS Dec KSA'!E66+'BS Dec USA'!E66</f>
        <v>3720.42</v>
      </c>
      <c r="F66" s="137">
        <f>'BS Dec KSA'!F66+'BS Dec USA'!F66</f>
        <v>3720.42</v>
      </c>
      <c r="G66" s="137">
        <f>'BS Dec KSA'!G66+'BS Dec USA'!G66</f>
        <v>3720.42</v>
      </c>
      <c r="H66" s="137">
        <f>'BS Dec KSA'!H66+'BS Dec USA'!H66</f>
        <v>3720.42</v>
      </c>
      <c r="I66" s="137">
        <f>'BS Dec KSA'!I66+'BS Dec USA'!I66</f>
        <v>3720.42</v>
      </c>
      <c r="J66" s="137">
        <f>'BS Dec KSA'!J66+'BS Dec USA'!J66</f>
        <v>3720.42</v>
      </c>
      <c r="K66" s="137">
        <f>'BS Dec KSA'!K66+'BS Dec USA'!K66</f>
        <v>3720.42</v>
      </c>
      <c r="L66" s="137">
        <f>'BS Dec KSA'!L66+'BS Dec USA'!L66</f>
        <v>3720.42</v>
      </c>
      <c r="M66" s="137">
        <f>'BS Dec KSA'!M66+'BS Dec USA'!M66</f>
        <v>3720.42</v>
      </c>
      <c r="N66" s="137">
        <f>'BS Dec KSA'!N66+'BS Dec USA'!N66</f>
        <v>3720.42</v>
      </c>
      <c r="O66" s="52"/>
    </row>
    <row r="67" spans="1:20" ht="15" x14ac:dyDescent="0.45">
      <c r="B67" s="28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</row>
    <row r="68" spans="1:20" ht="15" x14ac:dyDescent="0.45">
      <c r="B68" s="28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</row>
    <row r="69" spans="1:20" x14ac:dyDescent="0.45">
      <c r="B69" s="19" t="s">
        <v>125</v>
      </c>
      <c r="C69" s="54">
        <f>+C59+C49+C65</f>
        <v>231229.82000000004</v>
      </c>
      <c r="D69" s="54">
        <f t="shared" ref="D69:N69" si="11">+D59+D49+D65</f>
        <v>232399.80999999464</v>
      </c>
      <c r="E69" s="54">
        <f t="shared" si="11"/>
        <v>218022.31999999465</v>
      </c>
      <c r="F69" s="54">
        <f t="shared" si="11"/>
        <v>176096.44</v>
      </c>
      <c r="G69" s="54">
        <f t="shared" si="11"/>
        <v>182368.78000000003</v>
      </c>
      <c r="H69" s="54">
        <f t="shared" si="11"/>
        <v>129317.33000000003</v>
      </c>
      <c r="I69" s="54">
        <f t="shared" si="11"/>
        <v>117576.54</v>
      </c>
      <c r="J69" s="54">
        <f t="shared" si="11"/>
        <v>124313.18999999999</v>
      </c>
      <c r="K69" s="54">
        <f t="shared" si="11"/>
        <v>131049.84000000001</v>
      </c>
      <c r="L69" s="54">
        <f t="shared" si="11"/>
        <v>137786.49000000002</v>
      </c>
      <c r="M69" s="54">
        <f t="shared" si="11"/>
        <v>135175.22</v>
      </c>
      <c r="N69" s="54">
        <f t="shared" si="11"/>
        <v>133198.9</v>
      </c>
      <c r="O69" s="55"/>
      <c r="T69" s="61"/>
    </row>
    <row r="70" spans="1:20" ht="15" x14ac:dyDescent="0.45">
      <c r="B70" s="28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138"/>
      <c r="O70" s="52"/>
    </row>
    <row r="71" spans="1:20" ht="15" x14ac:dyDescent="0.45">
      <c r="B71" s="28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138"/>
      <c r="O71" s="52"/>
    </row>
    <row r="72" spans="1:20" x14ac:dyDescent="0.45">
      <c r="B72" s="19" t="s">
        <v>126</v>
      </c>
      <c r="C72" s="54">
        <f t="shared" ref="C72:N72" si="12">+C69+C46</f>
        <v>53261477.410000004</v>
      </c>
      <c r="D72" s="54">
        <f t="shared" si="12"/>
        <v>53122371.609999999</v>
      </c>
      <c r="E72" s="54">
        <f t="shared" si="12"/>
        <v>51890712.840000004</v>
      </c>
      <c r="F72" s="54">
        <f t="shared" si="12"/>
        <v>42287534.630000003</v>
      </c>
      <c r="G72" s="54">
        <f t="shared" si="12"/>
        <v>42780357.640000001</v>
      </c>
      <c r="H72" s="54">
        <f t="shared" si="12"/>
        <v>43297259.25</v>
      </c>
      <c r="I72" s="54">
        <f t="shared" si="12"/>
        <v>43233716.57</v>
      </c>
      <c r="J72" s="54">
        <f t="shared" si="12"/>
        <v>36322010.710000001</v>
      </c>
      <c r="K72" s="54">
        <f t="shared" si="12"/>
        <v>36428074.160000004</v>
      </c>
      <c r="L72" s="54">
        <f t="shared" si="12"/>
        <v>35544755.289999999</v>
      </c>
      <c r="M72" s="54">
        <f t="shared" si="12"/>
        <v>35455305.93</v>
      </c>
      <c r="N72" s="139">
        <f t="shared" si="12"/>
        <v>34579038.640000001</v>
      </c>
      <c r="O72" s="55"/>
    </row>
    <row r="73" spans="1:20" ht="15" x14ac:dyDescent="0.45">
      <c r="B73" s="28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138"/>
      <c r="O73" s="52"/>
    </row>
    <row r="74" spans="1:20" ht="15" x14ac:dyDescent="0.45">
      <c r="B74" s="28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138"/>
      <c r="O74" s="52"/>
    </row>
    <row r="75" spans="1:20" ht="15.75" thickBot="1" x14ac:dyDescent="0.5">
      <c r="B75" s="31" t="s">
        <v>127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141"/>
      <c r="O75" s="52"/>
    </row>
    <row r="76" spans="1:20" ht="15.4" x14ac:dyDescent="0.45">
      <c r="B76" s="3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138"/>
      <c r="O76" s="52"/>
    </row>
    <row r="77" spans="1:20" s="95" customFormat="1" x14ac:dyDescent="0.45">
      <c r="A77" s="94"/>
      <c r="B77" s="19" t="s">
        <v>128</v>
      </c>
      <c r="C77" s="54">
        <f>SUM(C78:C94)</f>
        <v>1683798.0599999998</v>
      </c>
      <c r="D77" s="54">
        <f>SUM(D78:D94)</f>
        <v>1438053.07</v>
      </c>
      <c r="E77" s="54">
        <f>SUM(E78:E94)</f>
        <v>9379299.2799999993</v>
      </c>
      <c r="F77" s="54">
        <f t="shared" ref="F77:N77" si="13">SUM(F78:F93)</f>
        <v>1626345.37</v>
      </c>
      <c r="G77" s="54">
        <f t="shared" si="13"/>
        <v>1590287.3399999999</v>
      </c>
      <c r="H77" s="54">
        <f t="shared" si="13"/>
        <v>1672255.3899999997</v>
      </c>
      <c r="I77" s="54">
        <f t="shared" si="13"/>
        <v>2656046.38</v>
      </c>
      <c r="J77" s="54">
        <f t="shared" si="13"/>
        <v>1294748.7799999998</v>
      </c>
      <c r="K77" s="54">
        <f t="shared" si="13"/>
        <v>1242624.0399999998</v>
      </c>
      <c r="L77" s="54">
        <f t="shared" si="13"/>
        <v>54276.380000000063</v>
      </c>
      <c r="M77" s="54">
        <f t="shared" si="13"/>
        <v>1243053.53</v>
      </c>
      <c r="N77" s="139">
        <f t="shared" si="13"/>
        <v>1031185.6000000001</v>
      </c>
      <c r="O77" s="55"/>
      <c r="R77" s="97"/>
    </row>
    <row r="78" spans="1:20" outlineLevel="1" x14ac:dyDescent="0.45">
      <c r="B78" s="16" t="s">
        <v>129</v>
      </c>
      <c r="C78" s="137">
        <f>'BS Dec KSA'!C78+'BS Dec USA'!C78</f>
        <v>0</v>
      </c>
      <c r="D78" s="137">
        <f>'BS Dec KSA'!D78+'BS Dec USA'!D78</f>
        <v>0</v>
      </c>
      <c r="E78" s="137">
        <f>'BS Dec KSA'!E78+'BS Dec USA'!E78</f>
        <v>0</v>
      </c>
      <c r="F78" s="137">
        <f>'BS Dec KSA'!F78+'BS Dec USA'!F78</f>
        <v>0</v>
      </c>
      <c r="G78" s="137">
        <f>'BS Dec KSA'!G78+'BS Dec USA'!G78</f>
        <v>0</v>
      </c>
      <c r="H78" s="137">
        <f>'BS Dec KSA'!H78+'BS Dec USA'!H78</f>
        <v>0</v>
      </c>
      <c r="I78" s="137">
        <f>'BS Dec KSA'!I78+'BS Dec USA'!I78</f>
        <v>0</v>
      </c>
      <c r="J78" s="137">
        <f>'BS Dec KSA'!J78+'BS Dec USA'!J78</f>
        <v>0</v>
      </c>
      <c r="K78" s="137">
        <f>'BS Dec KSA'!K78+'BS Dec USA'!K78</f>
        <v>39481</v>
      </c>
      <c r="L78" s="137">
        <f>'BS Dec KSA'!L78+'BS Dec USA'!L78</f>
        <v>39481</v>
      </c>
      <c r="M78" s="137">
        <f>'BS Dec KSA'!M78+'BS Dec USA'!M78</f>
        <v>39481</v>
      </c>
      <c r="N78" s="137">
        <f>'BS Dec KSA'!N78+'BS Dec USA'!N78</f>
        <v>39481</v>
      </c>
      <c r="O78" s="51"/>
      <c r="R78" s="2"/>
    </row>
    <row r="79" spans="1:20" outlineLevel="1" x14ac:dyDescent="0.45">
      <c r="B79" s="16" t="s">
        <v>130</v>
      </c>
      <c r="C79" s="137">
        <f>'BS Dec KSA'!C79+'BS Dec USA'!C79</f>
        <v>158987.5</v>
      </c>
      <c r="D79" s="137">
        <f>'BS Dec KSA'!D79+'BS Dec USA'!D79</f>
        <v>158987.5</v>
      </c>
      <c r="E79" s="137">
        <f>'BS Dec KSA'!E79+'BS Dec USA'!E79</f>
        <v>158987.5</v>
      </c>
      <c r="F79" s="137">
        <f>'BS Dec KSA'!F79+'BS Dec USA'!F79</f>
        <v>158987.5</v>
      </c>
      <c r="G79" s="137">
        <f>'BS Dec KSA'!G79+'BS Dec USA'!G79</f>
        <v>158987.5</v>
      </c>
      <c r="H79" s="137">
        <f>'BS Dec KSA'!H79+'BS Dec USA'!H79</f>
        <v>158987.5</v>
      </c>
      <c r="I79" s="137">
        <f>'BS Dec KSA'!I79+'BS Dec USA'!I79</f>
        <v>158987.5</v>
      </c>
      <c r="J79" s="137">
        <f>'BS Dec KSA'!J79+'BS Dec USA'!J79</f>
        <v>158987.5</v>
      </c>
      <c r="K79" s="137">
        <f>'BS Dec KSA'!K79+'BS Dec USA'!K79</f>
        <v>158987.5</v>
      </c>
      <c r="L79" s="137">
        <f>'BS Dec KSA'!L79+'BS Dec USA'!L79</f>
        <v>158987.5</v>
      </c>
      <c r="M79" s="137">
        <f>'BS Dec KSA'!M79+'BS Dec USA'!M79</f>
        <v>158987.5</v>
      </c>
      <c r="N79" s="137">
        <f>'BS Dec KSA'!N79+'BS Dec USA'!N79</f>
        <v>158987.5</v>
      </c>
      <c r="O79" s="51"/>
      <c r="R79" s="2"/>
    </row>
    <row r="80" spans="1:20" outlineLevel="1" x14ac:dyDescent="0.45">
      <c r="B80" s="16" t="s">
        <v>131</v>
      </c>
      <c r="C80" s="137">
        <f>'BS Dec KSA'!C80+'BS Dec USA'!C80</f>
        <v>139840</v>
      </c>
      <c r="D80" s="137">
        <f>'BS Dec KSA'!D80+'BS Dec USA'!D80</f>
        <v>-3255.65</v>
      </c>
      <c r="E80" s="137">
        <f>'BS Dec KSA'!E80+'BS Dec USA'!E80</f>
        <v>81853.05</v>
      </c>
      <c r="F80" s="137">
        <f>'BS Dec KSA'!F80+'BS Dec USA'!F80</f>
        <v>85108.7</v>
      </c>
      <c r="G80" s="137">
        <f>'BS Dec KSA'!G80+'BS Dec USA'!G80</f>
        <v>143804.35</v>
      </c>
      <c r="H80" s="137">
        <f>'BS Dec KSA'!H80+'BS Dec USA'!H80</f>
        <v>143804.35</v>
      </c>
      <c r="I80" s="137">
        <f>'BS Dec KSA'!I80+'BS Dec USA'!I80</f>
        <v>143804.35</v>
      </c>
      <c r="J80" s="137">
        <f>'BS Dec KSA'!J80+'BS Dec USA'!J80</f>
        <v>143804.35</v>
      </c>
      <c r="K80" s="137">
        <f>'BS Dec KSA'!K80+'BS Dec USA'!K80</f>
        <v>202500</v>
      </c>
      <c r="L80" s="137">
        <f>'BS Dec KSA'!L80+'BS Dec USA'!L80</f>
        <v>202500</v>
      </c>
      <c r="M80" s="137">
        <f>'BS Dec KSA'!M80+'BS Dec USA'!M80</f>
        <v>0</v>
      </c>
      <c r="N80" s="137">
        <f>'BS Dec KSA'!N80+'BS Dec USA'!N80</f>
        <v>0</v>
      </c>
      <c r="O80" s="51"/>
      <c r="R80" s="2"/>
    </row>
    <row r="81" spans="1:18" outlineLevel="1" x14ac:dyDescent="0.45">
      <c r="B81" s="16" t="s">
        <v>132</v>
      </c>
      <c r="C81" s="137">
        <f>'BS Dec KSA'!C81+'BS Dec USA'!C81</f>
        <v>1373.79</v>
      </c>
      <c r="D81" s="137">
        <f>'BS Dec KSA'!D81+'BS Dec USA'!D81</f>
        <v>1372.92</v>
      </c>
      <c r="E81" s="137">
        <f>'BS Dec KSA'!E81+'BS Dec USA'!E81</f>
        <v>1371.15</v>
      </c>
      <c r="F81" s="137">
        <f>'BS Dec KSA'!F81+'BS Dec USA'!F81</f>
        <v>1370.24</v>
      </c>
      <c r="G81" s="137">
        <f>'BS Dec KSA'!G81+'BS Dec USA'!G81</f>
        <v>0</v>
      </c>
      <c r="H81" s="137">
        <f>'BS Dec KSA'!H81+'BS Dec USA'!H81</f>
        <v>104.1</v>
      </c>
      <c r="I81" s="137">
        <f>'BS Dec KSA'!I81+'BS Dec USA'!I81</f>
        <v>103.24</v>
      </c>
      <c r="J81" s="137">
        <f>'BS Dec KSA'!J81+'BS Dec USA'!J81</f>
        <v>103.24</v>
      </c>
      <c r="K81" s="137">
        <f>'BS Dec KSA'!K81+'BS Dec USA'!K81</f>
        <v>103.24</v>
      </c>
      <c r="L81" s="137">
        <f>'BS Dec KSA'!L81+'BS Dec USA'!L81</f>
        <v>45780.52</v>
      </c>
      <c r="M81" s="137">
        <f>'BS Dec KSA'!M81+'BS Dec USA'!M81</f>
        <v>102.82</v>
      </c>
      <c r="N81" s="137">
        <f>'BS Dec KSA'!N81+'BS Dec USA'!N81</f>
        <v>102.82</v>
      </c>
      <c r="O81" s="51"/>
      <c r="R81" s="2"/>
    </row>
    <row r="82" spans="1:18" outlineLevel="1" x14ac:dyDescent="0.45">
      <c r="B82" s="16" t="s">
        <v>133</v>
      </c>
      <c r="C82" s="137">
        <f>'BS Dec KSA'!C82+'BS Dec USA'!C82</f>
        <v>0</v>
      </c>
      <c r="D82" s="137">
        <f>'BS Dec KSA'!D82+'BS Dec USA'!D82</f>
        <v>716.48</v>
      </c>
      <c r="E82" s="137">
        <f>'BS Dec KSA'!E82+'BS Dec USA'!E82</f>
        <v>716.48</v>
      </c>
      <c r="F82" s="137">
        <f>'BS Dec KSA'!F82+'BS Dec USA'!F82</f>
        <v>716.48</v>
      </c>
      <c r="G82" s="137">
        <f>'BS Dec KSA'!G82+'BS Dec USA'!G82</f>
        <v>716.48</v>
      </c>
      <c r="H82" s="137">
        <f>'BS Dec KSA'!H82+'BS Dec USA'!H82</f>
        <v>716.48</v>
      </c>
      <c r="I82" s="137">
        <f>'BS Dec KSA'!I82+'BS Dec USA'!I82</f>
        <v>716.48</v>
      </c>
      <c r="J82" s="137">
        <f>'BS Dec KSA'!J82+'BS Dec USA'!J82</f>
        <v>716.48</v>
      </c>
      <c r="K82" s="137">
        <f>'BS Dec KSA'!K82+'BS Dec USA'!K82</f>
        <v>716.48</v>
      </c>
      <c r="L82" s="137">
        <f>'BS Dec KSA'!L82+'BS Dec USA'!L82</f>
        <v>716.48</v>
      </c>
      <c r="M82" s="137">
        <f>'BS Dec KSA'!M82+'BS Dec USA'!M82</f>
        <v>716.48</v>
      </c>
      <c r="N82" s="137">
        <f>'BS Dec KSA'!N82+'BS Dec USA'!N82</f>
        <v>716.48</v>
      </c>
      <c r="O82" s="51"/>
    </row>
    <row r="83" spans="1:18" outlineLevel="1" x14ac:dyDescent="0.45">
      <c r="B83" s="16" t="s">
        <v>134</v>
      </c>
      <c r="C83" s="137">
        <f>'BS Dec KSA'!C83+'BS Dec USA'!C83</f>
        <v>877017.06</v>
      </c>
      <c r="D83" s="137">
        <f>'BS Dec KSA'!D83+'BS Dec USA'!D83</f>
        <v>393994.53</v>
      </c>
      <c r="E83" s="137">
        <f>'BS Dec KSA'!E83+'BS Dec USA'!E83</f>
        <v>109792.73</v>
      </c>
      <c r="F83" s="137">
        <f>'BS Dec KSA'!F83+'BS Dec USA'!F83</f>
        <v>63875.59</v>
      </c>
      <c r="G83" s="137">
        <f>'BS Dec KSA'!G83+'BS Dec USA'!G83</f>
        <v>188753.42</v>
      </c>
      <c r="H83" s="137">
        <f>'BS Dec KSA'!H83+'BS Dec USA'!H83</f>
        <v>207570.12</v>
      </c>
      <c r="I83" s="137">
        <f>'BS Dec KSA'!I83+'BS Dec USA'!I83</f>
        <v>1074112.6399999999</v>
      </c>
      <c r="J83" s="137">
        <f>'BS Dec KSA'!J83+'BS Dec USA'!J83</f>
        <v>0.56999999999999995</v>
      </c>
      <c r="K83" s="137">
        <f>'BS Dec KSA'!K83+'BS Dec USA'!K83</f>
        <v>0.56999999999999995</v>
      </c>
      <c r="L83" s="137">
        <f>'BS Dec KSA'!L83+'BS Dec USA'!L83</f>
        <v>0.56999999999999995</v>
      </c>
      <c r="M83" s="137">
        <f>'BS Dec KSA'!M83+'BS Dec USA'!M83</f>
        <v>46713.57</v>
      </c>
      <c r="N83" s="137">
        <f>'BS Dec KSA'!N83+'BS Dec USA'!N83</f>
        <v>46713.57</v>
      </c>
      <c r="O83" s="51"/>
    </row>
    <row r="84" spans="1:18" outlineLevel="1" x14ac:dyDescent="0.45">
      <c r="B84" s="16" t="s">
        <v>135</v>
      </c>
      <c r="C84" s="137">
        <f>'BS Dec KSA'!C84+'BS Dec USA'!C84</f>
        <v>25866.83</v>
      </c>
      <c r="D84" s="137">
        <f>'BS Dec KSA'!D84+'BS Dec USA'!D84</f>
        <v>-1030.1500000000001</v>
      </c>
      <c r="E84" s="137">
        <f>'BS Dec KSA'!E84+'BS Dec USA'!E84</f>
        <v>-27927.13</v>
      </c>
      <c r="F84" s="137">
        <f>'BS Dec KSA'!F84+'BS Dec USA'!F84</f>
        <v>-54824.11</v>
      </c>
      <c r="G84" s="137">
        <f>'BS Dec KSA'!G84+'BS Dec USA'!G84</f>
        <v>-81721.09</v>
      </c>
      <c r="H84" s="137">
        <f>'BS Dec KSA'!H84+'BS Dec USA'!H84</f>
        <v>-108618.09</v>
      </c>
      <c r="I84" s="137">
        <f>'BS Dec KSA'!I84+'BS Dec USA'!I84</f>
        <v>-135515.09</v>
      </c>
      <c r="J84" s="137">
        <f>'BS Dec KSA'!J84+'BS Dec USA'!J84</f>
        <v>-162412.07999999999</v>
      </c>
      <c r="K84" s="137">
        <f>'BS Dec KSA'!K84+'BS Dec USA'!K84</f>
        <v>-189309.06</v>
      </c>
      <c r="L84" s="137">
        <f>'BS Dec KSA'!L84+'BS Dec USA'!L84</f>
        <v>-216206.04</v>
      </c>
      <c r="M84" s="137">
        <f>'BS Dec KSA'!M84+'BS Dec USA'!M84</f>
        <v>26896.98</v>
      </c>
      <c r="N84" s="137">
        <f>'BS Dec KSA'!N84+'BS Dec USA'!N84</f>
        <v>0</v>
      </c>
      <c r="O84" s="51"/>
    </row>
    <row r="85" spans="1:18" outlineLevel="1" x14ac:dyDescent="0.45">
      <c r="B85" s="16" t="s">
        <v>136</v>
      </c>
      <c r="C85" s="137">
        <f>'BS Dec KSA'!C85+'BS Dec USA'!C85</f>
        <v>129870.78</v>
      </c>
      <c r="D85" s="137">
        <f>'BS Dec KSA'!D85+'BS Dec USA'!D85</f>
        <v>87148.86</v>
      </c>
      <c r="E85" s="137">
        <f>'BS Dec KSA'!E85+'BS Dec USA'!E85</f>
        <v>137073.20000000001</v>
      </c>
      <c r="F85" s="137">
        <f>'BS Dec KSA'!F85+'BS Dec USA'!F85</f>
        <v>40260.019999999997</v>
      </c>
      <c r="G85" s="137">
        <f>'BS Dec KSA'!G85+'BS Dec USA'!G85</f>
        <v>36509.21</v>
      </c>
      <c r="H85" s="137">
        <f>'BS Dec KSA'!H85+'BS Dec USA'!H85</f>
        <v>223097.27</v>
      </c>
      <c r="I85" s="137">
        <f>'BS Dec KSA'!I85+'BS Dec USA'!I85</f>
        <v>108021.91</v>
      </c>
      <c r="J85" s="137">
        <f>'BS Dec KSA'!J85+'BS Dec USA'!J85</f>
        <v>88598.41</v>
      </c>
      <c r="K85" s="137">
        <f>'BS Dec KSA'!K85+'BS Dec USA'!K85</f>
        <v>33431.760000000002</v>
      </c>
      <c r="L85" s="137">
        <f>'BS Dec KSA'!L85+'BS Dec USA'!L85</f>
        <v>247341.03</v>
      </c>
      <c r="M85" s="137">
        <f>'BS Dec KSA'!M85+'BS Dec USA'!M85</f>
        <v>56633.7</v>
      </c>
      <c r="N85" s="137">
        <f>'BS Dec KSA'!N85+'BS Dec USA'!N85</f>
        <v>34553.58</v>
      </c>
      <c r="O85" s="51"/>
    </row>
    <row r="86" spans="1:18" outlineLevel="1" x14ac:dyDescent="0.45">
      <c r="B86" s="16" t="s">
        <v>137</v>
      </c>
      <c r="C86" s="137">
        <f>'BS Dec KSA'!C86+'BS Dec USA'!C86</f>
        <v>137644.4</v>
      </c>
      <c r="D86" s="137">
        <f>'BS Dec KSA'!D86+'BS Dec USA'!D86</f>
        <v>595802.74</v>
      </c>
      <c r="E86" s="137">
        <f>'BS Dec KSA'!E86+'BS Dec USA'!E86</f>
        <v>576811.57999999996</v>
      </c>
      <c r="F86" s="137">
        <f>'BS Dec KSA'!F86+'BS Dec USA'!F86</f>
        <v>766015.92</v>
      </c>
      <c r="G86" s="137">
        <f>'BS Dec KSA'!G86+'BS Dec USA'!G86</f>
        <v>940141.87</v>
      </c>
      <c r="H86" s="137">
        <f>'BS Dec KSA'!H86+'BS Dec USA'!H86</f>
        <v>840108.03</v>
      </c>
      <c r="I86" s="137">
        <f>'BS Dec KSA'!I86+'BS Dec USA'!I86</f>
        <v>676772.07</v>
      </c>
      <c r="J86" s="137">
        <f>'BS Dec KSA'!J86+'BS Dec USA'!J86</f>
        <v>866837.73</v>
      </c>
      <c r="K86" s="137">
        <f>'BS Dec KSA'!K86+'BS Dec USA'!K86</f>
        <v>706338.11</v>
      </c>
      <c r="L86" s="137">
        <f>'BS Dec KSA'!L86+'BS Dec USA'!L86</f>
        <v>620400.88</v>
      </c>
      <c r="M86" s="137">
        <f>'BS Dec KSA'!M86+'BS Dec USA'!M86</f>
        <v>687558.97</v>
      </c>
      <c r="N86" s="137">
        <f>'BS Dec KSA'!N86+'BS Dec USA'!N86</f>
        <v>603768.9</v>
      </c>
      <c r="O86" s="51"/>
      <c r="P86" s="2"/>
    </row>
    <row r="87" spans="1:18" outlineLevel="1" x14ac:dyDescent="0.45">
      <c r="B87" s="16" t="s">
        <v>138</v>
      </c>
      <c r="C87" s="137">
        <f>'BS Dec KSA'!C87+'BS Dec USA'!C87</f>
        <v>0</v>
      </c>
      <c r="D87" s="137">
        <f>'BS Dec KSA'!D87+'BS Dec USA'!D87</f>
        <v>0</v>
      </c>
      <c r="E87" s="137">
        <f>'BS Dec KSA'!E87+'BS Dec USA'!E87</f>
        <v>0</v>
      </c>
      <c r="F87" s="137">
        <f>'BS Dec KSA'!F87+'BS Dec USA'!F87</f>
        <v>0</v>
      </c>
      <c r="G87" s="137">
        <f>'BS Dec KSA'!G87+'BS Dec USA'!G87</f>
        <v>0</v>
      </c>
      <c r="H87" s="137">
        <f>'BS Dec KSA'!H87+'BS Dec USA'!H87</f>
        <v>0</v>
      </c>
      <c r="I87" s="137">
        <f>'BS Dec KSA'!I87+'BS Dec USA'!I87</f>
        <v>0</v>
      </c>
      <c r="J87" s="137">
        <f>'BS Dec KSA'!J87+'BS Dec USA'!J87</f>
        <v>0</v>
      </c>
      <c r="K87" s="137">
        <f>'BS Dec KSA'!K87+'BS Dec USA'!K87</f>
        <v>0</v>
      </c>
      <c r="L87" s="137">
        <f>'BS Dec KSA'!L87+'BS Dec USA'!L87</f>
        <v>0</v>
      </c>
      <c r="M87" s="137">
        <f>'BS Dec KSA'!M87+'BS Dec USA'!M87</f>
        <v>0</v>
      </c>
      <c r="N87" s="137">
        <f>'BS Dec KSA'!N87+'BS Dec USA'!N87</f>
        <v>0</v>
      </c>
      <c r="O87" s="51"/>
      <c r="P87" s="2"/>
    </row>
    <row r="88" spans="1:18" outlineLevel="1" x14ac:dyDescent="0.45">
      <c r="B88" s="16" t="s">
        <v>139</v>
      </c>
      <c r="C88" s="137">
        <f>'BS Dec KSA'!C88+'BS Dec USA'!C88</f>
        <v>47874.96</v>
      </c>
      <c r="D88" s="137">
        <f>'BS Dec KSA'!D88+'BS Dec USA'!D88</f>
        <v>0</v>
      </c>
      <c r="E88" s="137">
        <f>'BS Dec KSA'!E88+'BS Dec USA'!E88</f>
        <v>0</v>
      </c>
      <c r="F88" s="137">
        <f>'BS Dec KSA'!F88+'BS Dec USA'!F88</f>
        <v>0</v>
      </c>
      <c r="G88" s="137">
        <f>'BS Dec KSA'!G88+'BS Dec USA'!G88</f>
        <v>0</v>
      </c>
      <c r="H88" s="137">
        <f>'BS Dec KSA'!H88+'BS Dec USA'!H88</f>
        <v>0</v>
      </c>
      <c r="I88" s="137">
        <f>'BS Dec KSA'!I88+'BS Dec USA'!I88</f>
        <v>0</v>
      </c>
      <c r="J88" s="137">
        <f>'BS Dec KSA'!J88+'BS Dec USA'!J88</f>
        <v>0</v>
      </c>
      <c r="K88" s="137">
        <f>'BS Dec KSA'!K88+'BS Dec USA'!K88</f>
        <v>0</v>
      </c>
      <c r="L88" s="137">
        <f>'BS Dec KSA'!L88+'BS Dec USA'!L88</f>
        <v>0</v>
      </c>
      <c r="M88" s="137">
        <f>'BS Dec KSA'!M88+'BS Dec USA'!M88</f>
        <v>0</v>
      </c>
      <c r="N88" s="137">
        <f>'BS Dec KSA'!N88+'BS Dec USA'!N88</f>
        <v>0</v>
      </c>
      <c r="O88" s="51"/>
      <c r="P88" s="2"/>
    </row>
    <row r="89" spans="1:18" outlineLevel="1" x14ac:dyDescent="0.45">
      <c r="B89" s="16" t="s">
        <v>140</v>
      </c>
      <c r="C89" s="137">
        <f>'BS Dec KSA'!C89+'BS Dec USA'!C89</f>
        <v>31872.44</v>
      </c>
      <c r="D89" s="137">
        <f>'BS Dec KSA'!D89+'BS Dec USA'!D89</f>
        <v>70460.19</v>
      </c>
      <c r="E89" s="137">
        <f>'BS Dec KSA'!E89+'BS Dec USA'!E89</f>
        <v>9601.2800000000007</v>
      </c>
      <c r="F89" s="137">
        <f>'BS Dec KSA'!F89+'BS Dec USA'!F89</f>
        <v>209632.96000000002</v>
      </c>
      <c r="G89" s="137">
        <f>'BS Dec KSA'!G89+'BS Dec USA'!G89</f>
        <v>104539.66</v>
      </c>
      <c r="H89" s="137">
        <f>'BS Dec KSA'!H89+'BS Dec USA'!H89</f>
        <v>73371.37</v>
      </c>
      <c r="I89" s="137">
        <f>'BS Dec KSA'!I89+'BS Dec USA'!I89</f>
        <v>151557.58000000002</v>
      </c>
      <c r="J89" s="137">
        <f>'BS Dec KSA'!J89+'BS Dec USA'!J89</f>
        <v>66406.87</v>
      </c>
      <c r="K89" s="137">
        <f>'BS Dec KSA'!K89+'BS Dec USA'!K89</f>
        <v>160909.89000000001</v>
      </c>
      <c r="L89" s="137">
        <f>'BS Dec KSA'!L89+'BS Dec USA'!L89</f>
        <v>146047.08000000002</v>
      </c>
      <c r="M89" s="137">
        <f>'BS Dec KSA'!M89+'BS Dec USA'!M89</f>
        <v>109126.8</v>
      </c>
      <c r="N89" s="137">
        <f>'BS Dec KSA'!N89+'BS Dec USA'!N89</f>
        <v>36851.26</v>
      </c>
      <c r="O89" s="51"/>
    </row>
    <row r="90" spans="1:18" outlineLevel="1" x14ac:dyDescent="0.45">
      <c r="B90" s="16" t="s">
        <v>141</v>
      </c>
      <c r="C90" s="137">
        <f>'BS Dec KSA'!C90+'BS Dec USA'!C90</f>
        <v>0</v>
      </c>
      <c r="D90" s="137">
        <f>'BS Dec KSA'!D90+'BS Dec USA'!D90</f>
        <v>0</v>
      </c>
      <c r="E90" s="137">
        <f>'BS Dec KSA'!E90+'BS Dec USA'!E90</f>
        <v>0</v>
      </c>
      <c r="F90" s="137">
        <f>'BS Dec KSA'!F90+'BS Dec USA'!F90</f>
        <v>0</v>
      </c>
      <c r="G90" s="137">
        <f>'BS Dec KSA'!G90+'BS Dec USA'!G90</f>
        <v>0</v>
      </c>
      <c r="H90" s="137">
        <f>'BS Dec KSA'!H90+'BS Dec USA'!H90</f>
        <v>34513.449999999997</v>
      </c>
      <c r="I90" s="137">
        <f>'BS Dec KSA'!I90+'BS Dec USA'!I90</f>
        <v>34513.449999999997</v>
      </c>
      <c r="J90" s="137">
        <f>'BS Dec KSA'!J90+'BS Dec USA'!J90</f>
        <v>34513.449999999997</v>
      </c>
      <c r="K90" s="137">
        <f>'BS Dec KSA'!K90+'BS Dec USA'!K90</f>
        <v>34513.449999999997</v>
      </c>
      <c r="L90" s="137">
        <f>'BS Dec KSA'!L90+'BS Dec USA'!L90</f>
        <v>34513.449999999997</v>
      </c>
      <c r="M90" s="137">
        <f>'BS Dec KSA'!M90+'BS Dec USA'!M90</f>
        <v>34513.449999999997</v>
      </c>
      <c r="N90" s="137">
        <f>'BS Dec KSA'!N90+'BS Dec USA'!N90</f>
        <v>34513.449999999997</v>
      </c>
      <c r="O90" s="51"/>
    </row>
    <row r="91" spans="1:18" outlineLevel="1" x14ac:dyDescent="0.45">
      <c r="B91" s="16" t="s">
        <v>142</v>
      </c>
      <c r="C91" s="137">
        <f>'BS Dec KSA'!C91+'BS Dec USA'!C91</f>
        <v>73342.41</v>
      </c>
      <c r="D91" s="137">
        <f>'BS Dec KSA'!D91+'BS Dec USA'!D91</f>
        <v>73342.34</v>
      </c>
      <c r="E91" s="137">
        <f>'BS Dec KSA'!E91+'BS Dec USA'!E91</f>
        <v>73342.289999999994</v>
      </c>
      <c r="F91" s="137">
        <f>'BS Dec KSA'!F91+'BS Dec USA'!F91</f>
        <v>72333.570000000007</v>
      </c>
      <c r="G91" s="137">
        <f>'BS Dec KSA'!G91+'BS Dec USA'!G91</f>
        <v>72245.31</v>
      </c>
      <c r="H91" s="137">
        <f>'BS Dec KSA'!H91+'BS Dec USA'!H91</f>
        <v>72159.679999999993</v>
      </c>
      <c r="I91" s="137">
        <f>'BS Dec KSA'!I91+'BS Dec USA'!I91</f>
        <v>71010.649999999994</v>
      </c>
      <c r="J91" s="137">
        <f>'BS Dec KSA'!J91+'BS Dec USA'!J91</f>
        <v>70237.7</v>
      </c>
      <c r="K91" s="137">
        <f>'BS Dec KSA'!K91+'BS Dec USA'!K91</f>
        <v>69367.48</v>
      </c>
      <c r="L91" s="137">
        <f>'BS Dec KSA'!L91+'BS Dec USA'!L91</f>
        <v>-1490723.65</v>
      </c>
      <c r="M91" s="137">
        <f>'BS Dec KSA'!M91+'BS Dec USA'!M91</f>
        <v>67062.87</v>
      </c>
      <c r="N91" s="137">
        <f>'BS Dec KSA'!N91+'BS Dec USA'!N91</f>
        <v>65857.67</v>
      </c>
      <c r="O91" s="51"/>
    </row>
    <row r="92" spans="1:18" outlineLevel="1" x14ac:dyDescent="0.45">
      <c r="B92" s="16" t="s">
        <v>143</v>
      </c>
      <c r="C92" s="137">
        <f>'BS Dec KSA'!C92+'BS Dec USA'!C92</f>
        <v>29169.43</v>
      </c>
      <c r="D92" s="137">
        <f>'BS Dec KSA'!D92+'BS Dec USA'!D92</f>
        <v>29574.85</v>
      </c>
      <c r="E92" s="137">
        <f>'BS Dec KSA'!E92+'BS Dec USA'!E92</f>
        <v>27004.01</v>
      </c>
      <c r="F92" s="137">
        <f>'BS Dec KSA'!F92+'BS Dec USA'!F92</f>
        <v>27047.43</v>
      </c>
      <c r="G92" s="137">
        <f>'BS Dec KSA'!G92+'BS Dec USA'!G92</f>
        <v>26310.63</v>
      </c>
      <c r="H92" s="137">
        <f>'BS Dec KSA'!H92+'BS Dec USA'!H92</f>
        <v>26441.13</v>
      </c>
      <c r="I92" s="137">
        <f>'BS Dec KSA'!I92+'BS Dec USA'!I92</f>
        <v>26086.92</v>
      </c>
      <c r="J92" s="137">
        <f>'BS Dec KSA'!J92+'BS Dec USA'!J92</f>
        <v>25232.09</v>
      </c>
      <c r="K92" s="137">
        <f>'BS Dec KSA'!K92+'BS Dec USA'!K92</f>
        <v>23861.15</v>
      </c>
      <c r="L92" s="137">
        <f>'BS Dec KSA'!L92+'BS Dec USA'!L92</f>
        <v>23622.19</v>
      </c>
      <c r="M92" s="137">
        <f>'BS Dec KSA'!M92+'BS Dec USA'!M92</f>
        <v>15259.39</v>
      </c>
      <c r="N92" s="137">
        <f>'BS Dec KSA'!N92+'BS Dec USA'!N92</f>
        <v>9639.3700000000008</v>
      </c>
      <c r="O92" s="51"/>
    </row>
    <row r="93" spans="1:18" outlineLevel="1" x14ac:dyDescent="0.45">
      <c r="B93" s="16" t="s">
        <v>144</v>
      </c>
      <c r="C93" s="137">
        <f>'BS Dec KSA'!C93+'BS Dec USA'!C93</f>
        <v>30938.46</v>
      </c>
      <c r="D93" s="137">
        <f>'BS Dec KSA'!D93+'BS Dec USA'!D93</f>
        <v>30938.46</v>
      </c>
      <c r="E93" s="137">
        <f>'BS Dec KSA'!E93+'BS Dec USA'!E93</f>
        <v>30938.46</v>
      </c>
      <c r="F93" s="137">
        <f>'BS Dec KSA'!F93+'BS Dec USA'!F93</f>
        <v>255821.06999999998</v>
      </c>
      <c r="G93" s="137">
        <f>'BS Dec KSA'!G93+'BS Dec USA'!G93</f>
        <v>0</v>
      </c>
      <c r="H93" s="137">
        <f>'BS Dec KSA'!H93+'BS Dec USA'!H93</f>
        <v>0</v>
      </c>
      <c r="I93" s="137">
        <f>'BS Dec KSA'!I93+'BS Dec USA'!I93</f>
        <v>345874.68000000005</v>
      </c>
      <c r="J93" s="137">
        <f>'BS Dec KSA'!J93+'BS Dec USA'!J93</f>
        <v>1722.4699999999998</v>
      </c>
      <c r="K93" s="137">
        <f>'BS Dec KSA'!K93+'BS Dec USA'!K93</f>
        <v>1722.4699999999998</v>
      </c>
      <c r="L93" s="137">
        <f>'BS Dec KSA'!L93+'BS Dec USA'!L93</f>
        <v>241815.37</v>
      </c>
      <c r="M93" s="137">
        <f>'BS Dec KSA'!M93+'BS Dec USA'!M93</f>
        <v>0</v>
      </c>
      <c r="N93" s="137">
        <f>'BS Dec KSA'!N93+'BS Dec USA'!N93</f>
        <v>0</v>
      </c>
      <c r="O93" s="51"/>
    </row>
    <row r="94" spans="1:18" x14ac:dyDescent="0.45">
      <c r="B94" s="16" t="s">
        <v>146</v>
      </c>
      <c r="C94" s="137">
        <f>'BS Dec KSA'!C94+'BS Dec USA'!C94</f>
        <v>0</v>
      </c>
      <c r="D94" s="137">
        <f>'BS Dec KSA'!D94+'BS Dec USA'!D94</f>
        <v>0</v>
      </c>
      <c r="E94" s="137">
        <f>'BS Dec KSA'!E94+'BS Dec USA'!E94</f>
        <v>8199734.6799999997</v>
      </c>
      <c r="F94" s="137"/>
      <c r="G94" s="137"/>
      <c r="H94" s="137"/>
      <c r="I94" s="137"/>
      <c r="J94" s="137"/>
      <c r="K94" s="137"/>
      <c r="L94" s="137"/>
      <c r="M94" s="137"/>
      <c r="N94" s="137"/>
      <c r="O94" s="51"/>
    </row>
    <row r="95" spans="1:18" x14ac:dyDescent="0.45">
      <c r="B95" s="14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137"/>
      <c r="O95" s="51"/>
    </row>
    <row r="96" spans="1:18" s="95" customFormat="1" x14ac:dyDescent="0.45">
      <c r="A96" s="94"/>
      <c r="B96" s="19" t="s">
        <v>147</v>
      </c>
      <c r="C96" s="54">
        <f>SUM(C97:C99)</f>
        <v>22530283.309999999</v>
      </c>
      <c r="D96" s="54">
        <f>SUM(D97:D99)</f>
        <v>22530283.309999999</v>
      </c>
      <c r="E96" s="54">
        <f>SUM(E97:E99)</f>
        <v>12530283.310000001</v>
      </c>
      <c r="F96" s="54">
        <f t="shared" ref="F96:M96" si="14">SUM(F97:F98)</f>
        <v>2030283.31</v>
      </c>
      <c r="G96" s="54">
        <f t="shared" si="14"/>
        <v>2030283.31</v>
      </c>
      <c r="H96" s="54">
        <f t="shared" si="14"/>
        <v>2030283.31</v>
      </c>
      <c r="I96" s="54">
        <f t="shared" si="14"/>
        <v>2030283.31</v>
      </c>
      <c r="J96" s="54">
        <f t="shared" si="14"/>
        <v>2030283.31</v>
      </c>
      <c r="K96" s="54">
        <f t="shared" si="14"/>
        <v>2030283.31</v>
      </c>
      <c r="L96" s="54">
        <f t="shared" si="14"/>
        <v>2030283.31</v>
      </c>
      <c r="M96" s="54">
        <f t="shared" si="14"/>
        <v>2030283.31</v>
      </c>
      <c r="N96" s="139">
        <f>+N98+N97</f>
        <v>2030283.31</v>
      </c>
      <c r="O96" s="55"/>
    </row>
    <row r="97" spans="2:15" outlineLevel="1" x14ac:dyDescent="0.45">
      <c r="B97" s="16" t="s">
        <v>148</v>
      </c>
      <c r="C97" s="137">
        <f>'BS Dec KSA'!C97+'BS Dec USA'!C97</f>
        <v>30283.31</v>
      </c>
      <c r="D97" s="137">
        <f>'BS Dec KSA'!D97+'BS Dec USA'!D97</f>
        <v>30283.31</v>
      </c>
      <c r="E97" s="137">
        <f>'BS Dec KSA'!E97+'BS Dec USA'!E97</f>
        <v>30283.31</v>
      </c>
      <c r="F97" s="137">
        <f>'BS Dec KSA'!F97+'BS Dec USA'!F97</f>
        <v>30283.31</v>
      </c>
      <c r="G97" s="137">
        <f>'BS Dec KSA'!G97+'BS Dec USA'!G97</f>
        <v>30283.31</v>
      </c>
      <c r="H97" s="137">
        <f>'BS Dec KSA'!H97+'BS Dec USA'!H97</f>
        <v>30283.31</v>
      </c>
      <c r="I97" s="137">
        <f>'BS Dec KSA'!I97+'BS Dec USA'!I97</f>
        <v>30283.31</v>
      </c>
      <c r="J97" s="137">
        <f>'BS Dec KSA'!J97+'BS Dec USA'!J97</f>
        <v>30283.31</v>
      </c>
      <c r="K97" s="137">
        <f>'BS Dec KSA'!K97+'BS Dec USA'!K97</f>
        <v>30283.31</v>
      </c>
      <c r="L97" s="137">
        <f>'BS Dec KSA'!L97+'BS Dec USA'!L97</f>
        <v>30283.31</v>
      </c>
      <c r="M97" s="137">
        <f>'BS Dec KSA'!M97+'BS Dec USA'!M97</f>
        <v>30283.31</v>
      </c>
      <c r="N97" s="137">
        <f>'BS Dec KSA'!N97+'BS Dec USA'!N97</f>
        <v>30283.31</v>
      </c>
      <c r="O97" s="51"/>
    </row>
    <row r="98" spans="2:15" outlineLevel="1" x14ac:dyDescent="0.45">
      <c r="B98" s="16" t="s">
        <v>149</v>
      </c>
      <c r="C98" s="137">
        <f>'BS Dec KSA'!C98+'BS Dec USA'!C98</f>
        <v>2000000</v>
      </c>
      <c r="D98" s="137">
        <f>'BS Dec KSA'!D98+'BS Dec USA'!D98</f>
        <v>2000000</v>
      </c>
      <c r="E98" s="137">
        <f>'BS Dec KSA'!E98+'BS Dec USA'!E98</f>
        <v>2000000</v>
      </c>
      <c r="F98" s="137">
        <f>'BS Dec KSA'!F98+'BS Dec USA'!F98</f>
        <v>2000000</v>
      </c>
      <c r="G98" s="137">
        <f>'BS Dec KSA'!G98+'BS Dec USA'!G98</f>
        <v>2000000</v>
      </c>
      <c r="H98" s="137">
        <f>'BS Dec KSA'!H98+'BS Dec USA'!H98</f>
        <v>2000000</v>
      </c>
      <c r="I98" s="137">
        <f>'BS Dec KSA'!I98+'BS Dec USA'!I98</f>
        <v>2000000</v>
      </c>
      <c r="J98" s="137">
        <f>'BS Dec KSA'!J98+'BS Dec USA'!J98</f>
        <v>2000000</v>
      </c>
      <c r="K98" s="137">
        <f>'BS Dec KSA'!K98+'BS Dec USA'!K98</f>
        <v>2000000</v>
      </c>
      <c r="L98" s="137">
        <f>'BS Dec KSA'!L98+'BS Dec USA'!L98</f>
        <v>2000000</v>
      </c>
      <c r="M98" s="137">
        <f>'BS Dec KSA'!M98+'BS Dec USA'!M98</f>
        <v>2000000</v>
      </c>
      <c r="N98" s="137">
        <f>'BS Dec KSA'!N98+'BS Dec USA'!N98</f>
        <v>2000000</v>
      </c>
      <c r="O98" s="51"/>
    </row>
    <row r="99" spans="2:15" outlineLevel="1" x14ac:dyDescent="0.45">
      <c r="B99" s="16" t="s">
        <v>150</v>
      </c>
      <c r="C99" s="137">
        <f>'BS Dec KSA'!C99+'BS Dec USA'!C99</f>
        <v>20500000</v>
      </c>
      <c r="D99" s="137">
        <f>'BS Dec KSA'!D99+'BS Dec USA'!D99</f>
        <v>20500000</v>
      </c>
      <c r="E99" s="137">
        <f>'BS Dec KSA'!E99+'BS Dec USA'!E99</f>
        <v>10500000</v>
      </c>
      <c r="F99" s="137"/>
      <c r="G99" s="137"/>
      <c r="H99" s="137"/>
      <c r="I99" s="137"/>
      <c r="J99" s="137"/>
      <c r="K99" s="137"/>
      <c r="L99" s="137"/>
      <c r="M99" s="137"/>
      <c r="N99" s="137"/>
      <c r="O99" s="51"/>
    </row>
    <row r="100" spans="2:15" x14ac:dyDescent="0.45">
      <c r="B100" s="14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137"/>
      <c r="O100" s="51"/>
    </row>
    <row r="101" spans="2:15" x14ac:dyDescent="0.45">
      <c r="B101" s="14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137"/>
      <c r="O101" s="51"/>
    </row>
    <row r="102" spans="2:15" x14ac:dyDescent="0.45">
      <c r="B102" s="19" t="s">
        <v>151</v>
      </c>
      <c r="C102" s="54">
        <f t="shared" ref="C102:N102" si="15">+C96+C77</f>
        <v>24214081.369999997</v>
      </c>
      <c r="D102" s="54">
        <f t="shared" si="15"/>
        <v>23968336.379999999</v>
      </c>
      <c r="E102" s="54">
        <f t="shared" si="15"/>
        <v>21909582.59</v>
      </c>
      <c r="F102" s="54">
        <f t="shared" si="15"/>
        <v>3656628.68</v>
      </c>
      <c r="G102" s="54">
        <f t="shared" si="15"/>
        <v>3620570.65</v>
      </c>
      <c r="H102" s="54">
        <f t="shared" si="15"/>
        <v>3702538.6999999997</v>
      </c>
      <c r="I102" s="54">
        <f t="shared" si="15"/>
        <v>4686329.6899999995</v>
      </c>
      <c r="J102" s="54">
        <f t="shared" si="15"/>
        <v>3325032.09</v>
      </c>
      <c r="K102" s="54">
        <f t="shared" si="15"/>
        <v>3272907.3499999996</v>
      </c>
      <c r="L102" s="54">
        <f t="shared" si="15"/>
        <v>2084559.6900000002</v>
      </c>
      <c r="M102" s="54">
        <f t="shared" si="15"/>
        <v>3273336.84</v>
      </c>
      <c r="N102" s="139">
        <f t="shared" si="15"/>
        <v>3061468.91</v>
      </c>
      <c r="O102" s="55"/>
    </row>
    <row r="103" spans="2:15" x14ac:dyDescent="0.45">
      <c r="B103" s="14" t="s">
        <v>152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137"/>
      <c r="O103" s="51"/>
    </row>
    <row r="104" spans="2:15" x14ac:dyDescent="0.45">
      <c r="B104" s="14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137"/>
      <c r="O104" s="51"/>
    </row>
    <row r="105" spans="2:15" x14ac:dyDescent="0.45">
      <c r="B105" s="213" t="s">
        <v>310</v>
      </c>
      <c r="C105" s="214">
        <v>0</v>
      </c>
      <c r="D105" s="214">
        <v>0</v>
      </c>
      <c r="E105" s="214">
        <v>0</v>
      </c>
      <c r="F105" s="214">
        <v>7949418.5099999998</v>
      </c>
      <c r="G105" s="214">
        <v>7949412.1100000003</v>
      </c>
      <c r="H105" s="214">
        <v>7949334.5099999998</v>
      </c>
      <c r="I105" s="214">
        <v>7949334.5099999998</v>
      </c>
      <c r="J105" s="214">
        <v>7950109.3399999999</v>
      </c>
      <c r="K105" s="214">
        <v>7950109.3399999999</v>
      </c>
      <c r="L105" s="214">
        <v>7950109.3399999896</v>
      </c>
      <c r="M105" s="214">
        <v>7950109.3399999999</v>
      </c>
      <c r="N105" s="214">
        <v>7209302.1399999997</v>
      </c>
      <c r="O105" s="51"/>
    </row>
    <row r="106" spans="2:15" ht="15" x14ac:dyDescent="0.45">
      <c r="B106" s="28"/>
      <c r="C106" s="58"/>
      <c r="D106" s="58"/>
      <c r="E106" s="58"/>
      <c r="F106" s="58"/>
      <c r="G106" s="58"/>
      <c r="H106" s="58"/>
      <c r="I106" s="58"/>
      <c r="J106" s="59"/>
      <c r="K106" s="58"/>
      <c r="L106" s="58"/>
      <c r="M106" s="58"/>
      <c r="N106" s="58"/>
      <c r="O106" s="59"/>
    </row>
    <row r="107" spans="2:15" x14ac:dyDescent="0.45">
      <c r="B107" s="213" t="s">
        <v>153</v>
      </c>
      <c r="C107" s="214">
        <f>'BS Dec KSA'!C107+'BS Dec USA'!C107</f>
        <v>6243367.2000000002</v>
      </c>
      <c r="D107" s="214">
        <f>'BS Dec KSA'!D107+'BS Dec USA'!D107</f>
        <v>6243367.2000000002</v>
      </c>
      <c r="E107" s="214">
        <f>'BS Dec KSA'!E107+'BS Dec USA'!E107</f>
        <v>6807067.2000000002</v>
      </c>
      <c r="F107" s="214">
        <f>'BS Dec KSA'!F107+'BS Dec USA'!F107</f>
        <v>6807067.2000000002</v>
      </c>
      <c r="G107" s="214">
        <f>'BS Dec KSA'!G107+'BS Dec USA'!G107</f>
        <v>6807067.2000000002</v>
      </c>
      <c r="H107" s="214">
        <f>'BS Dec KSA'!H107+'BS Dec USA'!H107</f>
        <v>6807067.2000000002</v>
      </c>
      <c r="I107" s="214">
        <f>'BS Dec KSA'!I107+'BS Dec USA'!I107</f>
        <v>6807067.2000000002</v>
      </c>
      <c r="J107" s="214">
        <f>'BS Dec KSA'!J107+'BS Dec USA'!J107</f>
        <v>1186567.2</v>
      </c>
      <c r="K107" s="214">
        <f>'BS Dec KSA'!K107+'BS Dec USA'!K107</f>
        <v>1186567.2</v>
      </c>
      <c r="L107" s="214">
        <f>'BS Dec KSA'!L107+'BS Dec USA'!L107</f>
        <v>1186567.2</v>
      </c>
      <c r="M107" s="214">
        <f>'BS Dec KSA'!M107+'BS Dec USA'!M107</f>
        <v>0</v>
      </c>
      <c r="N107" s="214">
        <f>'BS Dec KSA'!N107+'BS Dec USA'!N107</f>
        <v>0</v>
      </c>
      <c r="O107" s="51"/>
    </row>
    <row r="108" spans="2:15" ht="15" x14ac:dyDescent="0.45">
      <c r="B108" s="28"/>
      <c r="C108" s="58"/>
      <c r="D108" s="58"/>
      <c r="E108" s="58"/>
      <c r="F108" s="58"/>
      <c r="G108" s="58"/>
      <c r="H108" s="58"/>
      <c r="I108" s="58"/>
      <c r="J108" s="59"/>
      <c r="K108" s="58"/>
      <c r="L108" s="58"/>
      <c r="M108" s="58"/>
      <c r="N108" s="58"/>
      <c r="O108" s="59"/>
    </row>
    <row r="109" spans="2:15" x14ac:dyDescent="0.45">
      <c r="B109" s="13" t="s">
        <v>154</v>
      </c>
      <c r="C109" s="214">
        <f>'BS Dec KSA'!C109+'BS Dec USA'!C109</f>
        <v>139978.12</v>
      </c>
      <c r="D109" s="214">
        <f>'BS Dec KSA'!D109+'BS Dec USA'!D109</f>
        <v>33406.83</v>
      </c>
      <c r="E109" s="214">
        <f>'BS Dec KSA'!E109+'BS Dec USA'!E109</f>
        <v>33406.83</v>
      </c>
      <c r="F109" s="214">
        <f>'BS Dec KSA'!F109+'BS Dec USA'!F109</f>
        <v>33406.83</v>
      </c>
      <c r="G109" s="214">
        <f>'BS Dec KSA'!G109+'BS Dec USA'!G109</f>
        <v>33406.83</v>
      </c>
      <c r="H109" s="214">
        <f>'BS Dec KSA'!H109+'BS Dec USA'!H109</f>
        <v>33406.83</v>
      </c>
      <c r="I109" s="214">
        <f>'BS Dec KSA'!I109+'BS Dec USA'!I109</f>
        <v>33406.83</v>
      </c>
      <c r="J109" s="214">
        <f>'BS Dec KSA'!J109+'BS Dec USA'!J109</f>
        <v>33406.83</v>
      </c>
      <c r="K109" s="214">
        <f>'BS Dec KSA'!K109+'BS Dec USA'!K109</f>
        <v>33406.83</v>
      </c>
      <c r="L109" s="214">
        <f>'BS Dec KSA'!L109+'BS Dec USA'!L109</f>
        <v>33406.83</v>
      </c>
      <c r="M109" s="214">
        <f>'BS Dec KSA'!M109+'BS Dec USA'!M109</f>
        <v>33406.83</v>
      </c>
      <c r="N109" s="214">
        <f>'BS Dec KSA'!N109+'BS Dec USA'!N109</f>
        <v>33406.83</v>
      </c>
      <c r="O109" s="51"/>
    </row>
    <row r="110" spans="2:15" ht="15" x14ac:dyDescent="0.45">
      <c r="B110" s="28"/>
      <c r="C110" s="58"/>
      <c r="D110" s="58"/>
      <c r="E110" s="58"/>
      <c r="F110" s="58"/>
      <c r="G110" s="58"/>
      <c r="H110" s="58"/>
      <c r="I110" s="58"/>
      <c r="J110" s="59"/>
      <c r="K110" s="58"/>
      <c r="L110" s="58"/>
      <c r="M110" s="58"/>
      <c r="N110" s="58"/>
      <c r="O110" s="59"/>
    </row>
    <row r="111" spans="2:15" x14ac:dyDescent="0.45">
      <c r="B111" s="19" t="s">
        <v>155</v>
      </c>
      <c r="C111" s="54">
        <f>+C109+C105+C107</f>
        <v>6383345.3200000003</v>
      </c>
      <c r="D111" s="54">
        <f>+D109+D105+D107</f>
        <v>6276774.0300000003</v>
      </c>
      <c r="E111" s="54">
        <f>+E109+E105+E107</f>
        <v>6840474.0300000003</v>
      </c>
      <c r="F111" s="54">
        <f t="shared" ref="F111:M111" si="16">+F109+F105+F107</f>
        <v>14789892.539999999</v>
      </c>
      <c r="G111" s="54">
        <f t="shared" si="16"/>
        <v>14789886.140000001</v>
      </c>
      <c r="H111" s="54">
        <f t="shared" si="16"/>
        <v>14789808.539999999</v>
      </c>
      <c r="I111" s="54">
        <f t="shared" si="16"/>
        <v>14789808.539999999</v>
      </c>
      <c r="J111" s="54">
        <f t="shared" si="16"/>
        <v>9170083.3699999992</v>
      </c>
      <c r="K111" s="54">
        <f t="shared" si="16"/>
        <v>9170083.3699999992</v>
      </c>
      <c r="L111" s="54">
        <f t="shared" si="16"/>
        <v>9170083.3699999899</v>
      </c>
      <c r="M111" s="54">
        <f t="shared" si="16"/>
        <v>7983516.1699999999</v>
      </c>
      <c r="N111" s="139">
        <f>+N109+N105</f>
        <v>7242708.9699999997</v>
      </c>
      <c r="O111" s="55"/>
    </row>
    <row r="112" spans="2:15" x14ac:dyDescent="0.45">
      <c r="B112" s="14" t="s">
        <v>152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137"/>
      <c r="O112" s="51"/>
    </row>
    <row r="113" spans="1:22" x14ac:dyDescent="0.45">
      <c r="B113" s="14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137"/>
      <c r="O113" s="51"/>
    </row>
    <row r="114" spans="1:22" x14ac:dyDescent="0.45">
      <c r="B114" s="13" t="s">
        <v>156</v>
      </c>
      <c r="C114" s="214">
        <f>'BS Dec KSA'!C114+'BS Dec USA'!C114</f>
        <v>25257006.130000003</v>
      </c>
      <c r="D114" s="214">
        <f>'BS Dec KSA'!D114+'BS Dec USA'!D114</f>
        <v>25257006.130000003</v>
      </c>
      <c r="E114" s="214">
        <f>'BS Dec KSA'!E114+'BS Dec USA'!E114</f>
        <v>25257006.130000003</v>
      </c>
      <c r="F114" s="214">
        <f>'BS Dec KSA'!F114+'BS Dec USA'!F114</f>
        <v>25257006.130000003</v>
      </c>
      <c r="G114" s="214">
        <f>'BS Dec KSA'!G114+'BS Dec USA'!G114</f>
        <v>25257006.130000003</v>
      </c>
      <c r="H114" s="214">
        <f>'BS Dec KSA'!H114+'BS Dec USA'!H114</f>
        <v>25257006.130000003</v>
      </c>
      <c r="I114" s="214">
        <f>'BS Dec KSA'!I114+'BS Dec USA'!I114</f>
        <v>24254910.400000002</v>
      </c>
      <c r="J114" s="214">
        <f>'BS Dec KSA'!J114+'BS Dec USA'!J114</f>
        <v>24254910.400000002</v>
      </c>
      <c r="K114" s="214">
        <f>'BS Dec KSA'!K114+'BS Dec USA'!K114</f>
        <v>24254910.400000002</v>
      </c>
      <c r="L114" s="214">
        <f>'BS Dec KSA'!L114+'BS Dec USA'!L114</f>
        <v>24254910.400000002</v>
      </c>
      <c r="M114" s="214">
        <f>'BS Dec KSA'!M114+'BS Dec USA'!M114</f>
        <v>24254910.400000002</v>
      </c>
      <c r="N114" s="214">
        <f>'BS Dec KSA'!N114+'BS Dec USA'!N114</f>
        <v>24254910.400000002</v>
      </c>
      <c r="O114" s="51"/>
      <c r="V114" s="61"/>
    </row>
    <row r="115" spans="1:22" ht="15" x14ac:dyDescent="0.45">
      <c r="B115" s="28"/>
      <c r="C115" s="58"/>
      <c r="D115" s="58"/>
      <c r="E115" s="58"/>
      <c r="F115" s="58"/>
      <c r="G115" s="58"/>
      <c r="H115" s="51"/>
      <c r="I115" s="51"/>
      <c r="J115" s="51"/>
      <c r="K115" s="51"/>
      <c r="L115" s="51"/>
      <c r="M115" s="51"/>
      <c r="N115" s="58"/>
      <c r="O115" s="59"/>
    </row>
    <row r="116" spans="1:22" x14ac:dyDescent="0.45">
      <c r="B116" s="13" t="s">
        <v>157</v>
      </c>
      <c r="C116" s="219">
        <f>'BS Dec KSA'!C116+'BS Dec USA'!C116</f>
        <v>25000</v>
      </c>
      <c r="D116" s="219">
        <f>'BS Dec KSA'!D116+'BS Dec USA'!D116</f>
        <v>25000</v>
      </c>
      <c r="E116" s="219">
        <f>'BS Dec KSA'!E116+'BS Dec USA'!E116</f>
        <v>25000</v>
      </c>
      <c r="F116" s="219">
        <f>'BS Dec KSA'!F116+'BS Dec USA'!F116</f>
        <v>25000</v>
      </c>
      <c r="G116" s="219">
        <f>'BS Dec KSA'!G116+'BS Dec USA'!G116</f>
        <v>25000</v>
      </c>
      <c r="H116" s="219">
        <f>'BS Dec KSA'!H116+'BS Dec USA'!H116</f>
        <v>25000</v>
      </c>
      <c r="I116" s="219">
        <f>'BS Dec KSA'!I116+'BS Dec USA'!I116</f>
        <v>25000</v>
      </c>
      <c r="J116" s="219">
        <f>'BS Dec KSA'!J116+'BS Dec USA'!J116</f>
        <v>25000</v>
      </c>
      <c r="K116" s="219">
        <f>'BS Dec KSA'!K116+'BS Dec USA'!K116</f>
        <v>25000</v>
      </c>
      <c r="L116" s="219">
        <f>'BS Dec KSA'!L116+'BS Dec USA'!L116</f>
        <v>25000</v>
      </c>
      <c r="M116" s="219">
        <f>'BS Dec KSA'!M116+'BS Dec USA'!M116</f>
        <v>25000</v>
      </c>
      <c r="N116" s="219">
        <f>'BS Dec KSA'!N116+'BS Dec USA'!N116</f>
        <v>25000</v>
      </c>
      <c r="O116" s="51"/>
    </row>
    <row r="117" spans="1:22" ht="15" x14ac:dyDescent="0.45">
      <c r="B117" s="28"/>
      <c r="C117" s="216"/>
      <c r="D117" s="216"/>
      <c r="E117" s="216"/>
      <c r="F117" s="216"/>
      <c r="G117" s="216"/>
      <c r="H117" s="216"/>
      <c r="I117" s="216"/>
      <c r="J117" s="215"/>
      <c r="K117" s="216"/>
      <c r="L117" s="216"/>
      <c r="M117" s="216"/>
      <c r="N117" s="216"/>
      <c r="O117" s="59"/>
    </row>
    <row r="118" spans="1:22" x14ac:dyDescent="0.45">
      <c r="B118" s="13" t="s">
        <v>158</v>
      </c>
      <c r="C118" s="214">
        <f>'BS Dec KSA'!C118+'BS Dec USA'!C118</f>
        <v>7500</v>
      </c>
      <c r="D118" s="214">
        <f>'BS Dec KSA'!D118+'BS Dec USA'!D118</f>
        <v>7500</v>
      </c>
      <c r="E118" s="214">
        <f>'BS Dec KSA'!E118+'BS Dec USA'!E118</f>
        <v>7500</v>
      </c>
      <c r="F118" s="214">
        <f>'BS Dec KSA'!F118+'BS Dec USA'!F118</f>
        <v>7500</v>
      </c>
      <c r="G118" s="214">
        <f>'BS Dec KSA'!G118+'BS Dec USA'!G118</f>
        <v>7500</v>
      </c>
      <c r="H118" s="214">
        <f>'BS Dec KSA'!H118+'BS Dec USA'!H118</f>
        <v>7500</v>
      </c>
      <c r="I118" s="214">
        <f>'BS Dec KSA'!I118+'BS Dec USA'!I118</f>
        <v>7500</v>
      </c>
      <c r="J118" s="214">
        <f>'BS Dec KSA'!J118+'BS Dec USA'!J118</f>
        <v>7500</v>
      </c>
      <c r="K118" s="214">
        <f>'BS Dec KSA'!K118+'BS Dec USA'!K118</f>
        <v>7500</v>
      </c>
      <c r="L118" s="214">
        <f>'BS Dec KSA'!L118+'BS Dec USA'!L118</f>
        <v>7500</v>
      </c>
      <c r="M118" s="214">
        <f>'BS Dec KSA'!M118+'BS Dec USA'!M118</f>
        <v>7500</v>
      </c>
      <c r="N118" s="214">
        <f>'BS Dec KSA'!N118+'BS Dec USA'!N118</f>
        <v>7500</v>
      </c>
      <c r="O118" s="51"/>
    </row>
    <row r="119" spans="1:22" ht="15" x14ac:dyDescent="0.45">
      <c r="B119" s="28"/>
      <c r="C119" s="58"/>
      <c r="D119" s="58"/>
      <c r="E119" s="58"/>
      <c r="F119" s="58"/>
      <c r="G119" s="58"/>
      <c r="H119" s="58"/>
      <c r="I119" s="58"/>
      <c r="J119" s="59"/>
      <c r="K119" s="58"/>
      <c r="L119" s="58"/>
      <c r="M119" s="58"/>
      <c r="N119" s="58"/>
      <c r="O119" s="59"/>
    </row>
    <row r="120" spans="1:22" x14ac:dyDescent="0.45">
      <c r="B120" s="13" t="s">
        <v>159</v>
      </c>
      <c r="C120" s="214">
        <f>'BS Dec KSA'!C120+'BS Dec USA'!C120</f>
        <v>-2847594.05</v>
      </c>
      <c r="D120" s="214">
        <f>'BS Dec KSA'!D120+'BS Dec USA'!D120</f>
        <v>-2634383.21</v>
      </c>
      <c r="E120" s="214">
        <f>'BS Dec KSA'!E120+'BS Dec USA'!E120</f>
        <v>-2370988.1900000004</v>
      </c>
      <c r="F120" s="214">
        <f>'BS Dec KSA'!F120+'BS Dec USA'!F120</f>
        <v>-1670631</v>
      </c>
      <c r="G120" s="214">
        <f>'BS Dec KSA'!G120+'BS Dec USA'!G120</f>
        <v>-1141743.56</v>
      </c>
      <c r="H120" s="214">
        <f>'BS Dec KSA'!H120+'BS Dec USA'!H120</f>
        <v>-706732.4</v>
      </c>
      <c r="I120" s="214">
        <f>'BS Dec KSA'!I120+'BS Dec USA'!I120</f>
        <v>-751970.34</v>
      </c>
      <c r="J120" s="214">
        <f>'BS Dec KSA'!J120+'BS Dec USA'!J120</f>
        <v>-682653.42999999993</v>
      </c>
      <c r="K120" s="214">
        <f>'BS Dec KSA'!K120+'BS Dec USA'!K120</f>
        <v>-524465.24</v>
      </c>
      <c r="L120" s="214">
        <f>'BS Dec KSA'!L120+'BS Dec USA'!L120</f>
        <v>-219436.44999999995</v>
      </c>
      <c r="M120" s="214">
        <f>'BS Dec KSA'!M120+'BS Dec USA'!M120</f>
        <v>-311095.76</v>
      </c>
      <c r="N120" s="214">
        <f>'BS Dec KSA'!N120+'BS Dec USA'!N120</f>
        <v>-234687.91999999998</v>
      </c>
      <c r="O120" s="51"/>
    </row>
    <row r="121" spans="1:22" ht="15" x14ac:dyDescent="0.45">
      <c r="B121" s="28"/>
      <c r="C121" s="58"/>
      <c r="D121" s="58"/>
      <c r="E121" s="58"/>
      <c r="F121" s="58"/>
      <c r="G121" s="58"/>
      <c r="H121" s="58"/>
      <c r="I121" s="58"/>
      <c r="J121" s="59"/>
      <c r="K121" s="58"/>
      <c r="L121" s="58"/>
      <c r="M121" s="58"/>
      <c r="N121" s="58"/>
      <c r="O121" s="59"/>
    </row>
    <row r="122" spans="1:22" x14ac:dyDescent="0.45">
      <c r="B122" s="13" t="s">
        <v>160</v>
      </c>
      <c r="C122" s="214">
        <f>'BS Dec KSA'!C122+'BS Dec USA'!C122</f>
        <v>222138.28000000003</v>
      </c>
      <c r="D122" s="214">
        <f>'BS Dec KSA'!D122+'BS Dec USA'!D122</f>
        <v>222138.28000000003</v>
      </c>
      <c r="E122" s="214">
        <f>'BS Dec KSA'!E122+'BS Dec USA'!E122</f>
        <v>222138.28000000003</v>
      </c>
      <c r="F122" s="214">
        <f>'BS Dec KSA'!F122+'BS Dec USA'!F122</f>
        <v>222138.28000000003</v>
      </c>
      <c r="G122" s="214">
        <f>'BS Dec KSA'!G122+'BS Dec USA'!G122</f>
        <v>222138.28000000003</v>
      </c>
      <c r="H122" s="214">
        <f>'BS Dec KSA'!H122+'BS Dec USA'!H122</f>
        <v>222138.28000000003</v>
      </c>
      <c r="I122" s="214">
        <f>'BS Dec KSA'!I122+'BS Dec USA'!I122</f>
        <v>222138.28000000003</v>
      </c>
      <c r="J122" s="214">
        <f>'BS Dec KSA'!J122+'BS Dec USA'!J122</f>
        <v>222138.28000000003</v>
      </c>
      <c r="K122" s="214">
        <f>'BS Dec KSA'!K122+'BS Dec USA'!K122</f>
        <v>222138.28000000003</v>
      </c>
      <c r="L122" s="214">
        <f>'BS Dec KSA'!L122+'BS Dec USA'!L122</f>
        <v>222138.28000000003</v>
      </c>
      <c r="M122" s="214">
        <f>'BS Dec KSA'!M122+'BS Dec USA'!M122</f>
        <v>222138.28000000003</v>
      </c>
      <c r="N122" s="214">
        <f>'BS Dec KSA'!N122+'BS Dec USA'!N122</f>
        <v>222138.28000000003</v>
      </c>
      <c r="O122" s="51"/>
    </row>
    <row r="123" spans="1:22" ht="15" x14ac:dyDescent="0.45">
      <c r="B123" s="28"/>
      <c r="C123" s="218"/>
      <c r="D123" s="218"/>
      <c r="E123" s="218"/>
      <c r="F123" s="218"/>
      <c r="G123" s="218"/>
      <c r="H123" s="218"/>
      <c r="I123" s="218"/>
      <c r="J123" s="217"/>
      <c r="K123" s="218"/>
      <c r="L123" s="218"/>
      <c r="M123" s="218"/>
      <c r="N123" s="218"/>
      <c r="O123" s="59"/>
    </row>
    <row r="124" spans="1:22" x14ac:dyDescent="0.45">
      <c r="B124" s="19" t="s">
        <v>161</v>
      </c>
      <c r="C124" s="98">
        <f t="shared" ref="C124:H124" si="17">+C114+C118+C120+C122+C116</f>
        <v>22664050.360000003</v>
      </c>
      <c r="D124" s="98">
        <f t="shared" si="17"/>
        <v>22877261.200000003</v>
      </c>
      <c r="E124" s="98">
        <f t="shared" si="17"/>
        <v>23140656.220000003</v>
      </c>
      <c r="F124" s="98">
        <f t="shared" si="17"/>
        <v>23841013.410000004</v>
      </c>
      <c r="G124" s="98">
        <f t="shared" si="17"/>
        <v>24369900.850000005</v>
      </c>
      <c r="H124" s="98">
        <f t="shared" si="17"/>
        <v>24804912.010000005</v>
      </c>
      <c r="I124" s="98">
        <f t="shared" ref="I124:M124" si="18">+I114+I118+I120+I122+I116</f>
        <v>23757578.340000004</v>
      </c>
      <c r="J124" s="98">
        <f t="shared" si="18"/>
        <v>23826895.250000004</v>
      </c>
      <c r="K124" s="98">
        <f t="shared" si="18"/>
        <v>23985083.440000005</v>
      </c>
      <c r="L124" s="98">
        <f t="shared" si="18"/>
        <v>24290112.230000004</v>
      </c>
      <c r="M124" s="98">
        <f t="shared" si="18"/>
        <v>24198452.920000002</v>
      </c>
      <c r="N124" s="220">
        <f>+N114+N118+N120+N122+N116</f>
        <v>24274860.760000002</v>
      </c>
      <c r="O124" s="55"/>
    </row>
    <row r="125" spans="1:22" ht="15" x14ac:dyDescent="0.45">
      <c r="B125" s="2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9"/>
    </row>
    <row r="126" spans="1:22" ht="15" x14ac:dyDescent="0.45">
      <c r="B126" s="2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9"/>
      <c r="P126" t="s">
        <v>152</v>
      </c>
    </row>
    <row r="127" spans="1:22" x14ac:dyDescent="0.45">
      <c r="B127" s="19" t="s">
        <v>162</v>
      </c>
      <c r="C127" s="54">
        <f>+C124+C102+C111</f>
        <v>53261477.050000004</v>
      </c>
      <c r="D127" s="54">
        <f>+D124+D102+D111</f>
        <v>53122371.609999999</v>
      </c>
      <c r="E127" s="54">
        <f>+E124+E102+E111</f>
        <v>51890712.840000004</v>
      </c>
      <c r="F127" s="54">
        <f>+F124+F102+F111</f>
        <v>42287534.630000003</v>
      </c>
      <c r="G127" s="54">
        <f t="shared" ref="G127:M127" si="19">+G124+G102+G111</f>
        <v>42780357.640000001</v>
      </c>
      <c r="H127" s="54">
        <f t="shared" si="19"/>
        <v>43297259.25</v>
      </c>
      <c r="I127" s="54">
        <f t="shared" si="19"/>
        <v>43233716.57</v>
      </c>
      <c r="J127" s="54">
        <f t="shared" si="19"/>
        <v>36322010.710000001</v>
      </c>
      <c r="K127" s="54">
        <f t="shared" si="19"/>
        <v>36428074.160000004</v>
      </c>
      <c r="L127" s="54">
        <f t="shared" si="19"/>
        <v>35544755.289999992</v>
      </c>
      <c r="M127" s="54">
        <f t="shared" si="19"/>
        <v>35455305.93</v>
      </c>
      <c r="N127" s="139">
        <f>+N124+N102+N111</f>
        <v>34579038.640000001</v>
      </c>
      <c r="O127" s="55"/>
    </row>
    <row r="128" spans="1:22" s="240" customFormat="1" ht="15" x14ac:dyDescent="0.45">
      <c r="A128" s="237"/>
      <c r="B128" s="238"/>
      <c r="C128" s="238">
        <f t="shared" ref="C128:N128" si="20">+C127-C72</f>
        <v>-0.35999999940395355</v>
      </c>
      <c r="D128" s="238">
        <f t="shared" si="20"/>
        <v>0</v>
      </c>
      <c r="E128" s="238">
        <f t="shared" si="20"/>
        <v>0</v>
      </c>
      <c r="F128" s="238">
        <f t="shared" si="20"/>
        <v>0</v>
      </c>
      <c r="G128" s="238">
        <f t="shared" si="20"/>
        <v>0</v>
      </c>
      <c r="H128" s="238">
        <f t="shared" si="20"/>
        <v>0</v>
      </c>
      <c r="I128" s="238">
        <f t="shared" si="20"/>
        <v>0</v>
      </c>
      <c r="J128" s="238">
        <f t="shared" si="20"/>
        <v>0</v>
      </c>
      <c r="K128" s="238">
        <f t="shared" si="20"/>
        <v>0</v>
      </c>
      <c r="L128" s="238">
        <f t="shared" si="20"/>
        <v>0</v>
      </c>
      <c r="M128" s="238">
        <f t="shared" si="20"/>
        <v>0</v>
      </c>
      <c r="N128" s="238">
        <f t="shared" si="20"/>
        <v>0</v>
      </c>
      <c r="O128" s="239"/>
    </row>
    <row r="129" spans="2:15" ht="15" x14ac:dyDescent="0.45">
      <c r="B129" s="22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37"/>
    </row>
    <row r="130" spans="2:15" x14ac:dyDescent="0.45">
      <c r="C130" s="41"/>
      <c r="D130" s="41"/>
      <c r="F130" s="39"/>
      <c r="G130" s="39"/>
      <c r="H130" s="39"/>
    </row>
    <row r="131" spans="2:15" x14ac:dyDescent="0.45">
      <c r="C131" s="41"/>
      <c r="D131" s="41"/>
    </row>
    <row r="132" spans="2:15" x14ac:dyDescent="0.45">
      <c r="D132" s="221"/>
    </row>
    <row r="133" spans="2:15" x14ac:dyDescent="0.45">
      <c r="F133" s="41"/>
    </row>
  </sheetData>
  <pageMargins left="0.7" right="0.7" top="0.75" bottom="0.75" header="0.3" footer="0.3"/>
  <pageSetup orientation="portrait" r:id="rId1"/>
  <ignoredErrors>
    <ignoredError sqref="J30:N31 J46:N48 J70:N76 J95:N95 J100:N101 J106:N106 J108:N108 J110:N110 J115:N115 J117:N117 J119:N119 J121:N121 J123:N123 J128:K128 M128:N128 J45 L45:N45 J26:N27 J77:M77 J96:M96 J103:N104 J102:M102 J112:N113 J111:M111 J125:N126 J124:M124 J127:M127 J64:N6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C24A-DC85-458A-B62B-EC7D2AF3F25A}">
  <sheetPr codeName="Sheet7"/>
  <dimension ref="A1:D62"/>
  <sheetViews>
    <sheetView topLeftCell="A11" workbookViewId="0">
      <selection activeCell="B11" sqref="B11"/>
    </sheetView>
  </sheetViews>
  <sheetFormatPr defaultColWidth="9.46484375" defaultRowHeight="13.15" outlineLevelRow="1" x14ac:dyDescent="0.4"/>
  <cols>
    <col min="1" max="1" width="55.46484375" style="68" bestFit="1" customWidth="1"/>
    <col min="2" max="2" width="15" style="69" bestFit="1" customWidth="1"/>
    <col min="3" max="3" width="10.53125" style="68" bestFit="1" customWidth="1"/>
    <col min="4" max="4" width="10.265625" style="68" bestFit="1" customWidth="1"/>
    <col min="5" max="16384" width="9.46484375" style="68"/>
  </cols>
  <sheetData>
    <row r="1" spans="1:2" s="75" customFormat="1" ht="14.25" x14ac:dyDescent="0.45">
      <c r="A1" s="85" t="s">
        <v>184</v>
      </c>
      <c r="B1" s="84" t="s">
        <v>185</v>
      </c>
    </row>
    <row r="2" spans="1:2" s="67" customFormat="1" ht="14.25" x14ac:dyDescent="0.45">
      <c r="A2" s="74" t="s">
        <v>186</v>
      </c>
      <c r="B2" s="73">
        <f>'BS Dec Consolidated'!D10</f>
        <v>15983086.730000002</v>
      </c>
    </row>
    <row r="3" spans="1:2" s="67" customFormat="1" ht="14.25" x14ac:dyDescent="0.45">
      <c r="A3" s="80"/>
      <c r="B3" s="79"/>
    </row>
    <row r="4" spans="1:2" s="67" customFormat="1" ht="14.25" x14ac:dyDescent="0.45">
      <c r="A4" s="74" t="s">
        <v>187</v>
      </c>
      <c r="B4" s="83" t="s">
        <v>188</v>
      </c>
    </row>
    <row r="5" spans="1:2" outlineLevel="1" x14ac:dyDescent="0.4">
      <c r="A5" s="82" t="s">
        <v>134</v>
      </c>
      <c r="B5" s="81">
        <v>483022.53</v>
      </c>
    </row>
    <row r="6" spans="1:2" outlineLevel="1" x14ac:dyDescent="0.4">
      <c r="A6" s="82" t="s">
        <v>189</v>
      </c>
      <c r="B6" s="81">
        <v>-3845495.05</v>
      </c>
    </row>
    <row r="7" spans="1:2" outlineLevel="1" x14ac:dyDescent="0.4">
      <c r="A7" s="82" t="s">
        <v>135</v>
      </c>
      <c r="B7" s="81">
        <v>26896.98</v>
      </c>
    </row>
    <row r="8" spans="1:2" outlineLevel="1" x14ac:dyDescent="0.4">
      <c r="A8" s="82" t="s">
        <v>143</v>
      </c>
      <c r="B8" s="81">
        <v>-405.42</v>
      </c>
    </row>
    <row r="9" spans="1:2" outlineLevel="1" x14ac:dyDescent="0.4">
      <c r="A9" s="82" t="s">
        <v>190</v>
      </c>
      <c r="B9" s="81">
        <v>-38587.75</v>
      </c>
    </row>
    <row r="10" spans="1:2" outlineLevel="1" x14ac:dyDescent="0.4">
      <c r="A10" s="82" t="s">
        <v>137</v>
      </c>
      <c r="B10" s="81">
        <v>-476008.84</v>
      </c>
    </row>
    <row r="11" spans="1:2" outlineLevel="1" x14ac:dyDescent="0.4">
      <c r="A11" s="82" t="s">
        <v>191</v>
      </c>
      <c r="B11" s="81">
        <v>-19808.560000000001</v>
      </c>
    </row>
    <row r="12" spans="1:2" outlineLevel="1" x14ac:dyDescent="0.4">
      <c r="A12" s="82" t="s">
        <v>307</v>
      </c>
      <c r="B12" s="81">
        <v>-716.48</v>
      </c>
    </row>
    <row r="13" spans="1:2" outlineLevel="1" x14ac:dyDescent="0.4">
      <c r="A13" s="82" t="s">
        <v>192</v>
      </c>
      <c r="B13" s="81">
        <v>106571.29</v>
      </c>
    </row>
    <row r="14" spans="1:2" outlineLevel="1" x14ac:dyDescent="0.4">
      <c r="A14" s="82" t="s">
        <v>193</v>
      </c>
      <c r="B14" s="81">
        <v>42721.919999999998</v>
      </c>
    </row>
    <row r="15" spans="1:2" outlineLevel="1" x14ac:dyDescent="0.4">
      <c r="A15" s="82" t="s">
        <v>112</v>
      </c>
      <c r="B15" s="81">
        <v>0</v>
      </c>
    </row>
    <row r="16" spans="1:2" outlineLevel="1" x14ac:dyDescent="0.4">
      <c r="A16" s="82" t="s">
        <v>194</v>
      </c>
      <c r="B16" s="81">
        <v>-213210.84</v>
      </c>
    </row>
    <row r="17" spans="1:2" outlineLevel="1" x14ac:dyDescent="0.4">
      <c r="A17" s="82" t="s">
        <v>131</v>
      </c>
      <c r="B17" s="81">
        <v>143095.65</v>
      </c>
    </row>
    <row r="18" spans="1:2" outlineLevel="1" x14ac:dyDescent="0.4">
      <c r="A18" s="82" t="s">
        <v>113</v>
      </c>
      <c r="B18" s="81">
        <v>0</v>
      </c>
    </row>
    <row r="19" spans="1:2" outlineLevel="1" x14ac:dyDescent="0.4">
      <c r="A19" s="82" t="s">
        <v>142</v>
      </c>
      <c r="B19" s="81">
        <v>7.0000000000000007E-2</v>
      </c>
    </row>
    <row r="20" spans="1:2" outlineLevel="1" x14ac:dyDescent="0.4">
      <c r="A20" s="82" t="s">
        <v>103</v>
      </c>
      <c r="B20" s="81">
        <v>-10666.63</v>
      </c>
    </row>
    <row r="21" spans="1:2" outlineLevel="1" x14ac:dyDescent="0.4">
      <c r="A21" s="82" t="s">
        <v>104</v>
      </c>
      <c r="B21" s="81">
        <v>2363.7600000000002</v>
      </c>
    </row>
    <row r="22" spans="1:2" outlineLevel="1" x14ac:dyDescent="0.4">
      <c r="A22" s="82" t="s">
        <v>105</v>
      </c>
      <c r="B22" s="81">
        <v>5416.67</v>
      </c>
    </row>
    <row r="23" spans="1:2" outlineLevel="1" x14ac:dyDescent="0.4">
      <c r="A23" s="82" t="s">
        <v>106</v>
      </c>
      <c r="B23" s="81">
        <v>-68607.09</v>
      </c>
    </row>
    <row r="24" spans="1:2" outlineLevel="1" x14ac:dyDescent="0.4">
      <c r="A24" s="82" t="s">
        <v>107</v>
      </c>
      <c r="B24" s="81">
        <v>29962.720000000001</v>
      </c>
    </row>
    <row r="25" spans="1:2" outlineLevel="1" x14ac:dyDescent="0.4">
      <c r="A25" s="82" t="s">
        <v>108</v>
      </c>
      <c r="B25" s="81">
        <v>37458.04</v>
      </c>
    </row>
    <row r="26" spans="1:2" outlineLevel="1" x14ac:dyDescent="0.4">
      <c r="A26" s="82" t="s">
        <v>102</v>
      </c>
      <c r="B26" s="81">
        <v>-8.0500000000000007</v>
      </c>
    </row>
    <row r="27" spans="1:2" outlineLevel="1" x14ac:dyDescent="0.4">
      <c r="A27" s="82" t="s">
        <v>132</v>
      </c>
      <c r="B27" s="81">
        <v>0.87</v>
      </c>
    </row>
    <row r="28" spans="1:2" outlineLevel="1" x14ac:dyDescent="0.4">
      <c r="A28" s="82" t="s">
        <v>145</v>
      </c>
      <c r="B28" s="81">
        <v>203009</v>
      </c>
    </row>
    <row r="29" spans="1:2" outlineLevel="1" x14ac:dyDescent="0.4">
      <c r="A29" s="82" t="s">
        <v>306</v>
      </c>
      <c r="B29" s="81">
        <v>47874.96</v>
      </c>
    </row>
    <row r="30" spans="1:2" outlineLevel="1" x14ac:dyDescent="0.4">
      <c r="A30" s="82" t="s">
        <v>201</v>
      </c>
      <c r="B30" s="235">
        <v>17850.509999999998</v>
      </c>
    </row>
    <row r="31" spans="1:2" outlineLevel="1" x14ac:dyDescent="0.4">
      <c r="A31" s="82"/>
      <c r="B31" s="81"/>
    </row>
    <row r="32" spans="1:2" outlineLevel="1" x14ac:dyDescent="0.4">
      <c r="A32" s="82"/>
      <c r="B32" s="81"/>
    </row>
    <row r="33" spans="1:3" ht="14.25" outlineLevel="1" x14ac:dyDescent="0.45">
      <c r="A33" s="74" t="s">
        <v>195</v>
      </c>
      <c r="B33" s="73">
        <f>SUM(B4:B32)</f>
        <v>-3527269.7399999993</v>
      </c>
      <c r="C33" s="234">
        <f>B33-[14]CF!$C$56</f>
        <v>0</v>
      </c>
    </row>
    <row r="34" spans="1:3" outlineLevel="1" x14ac:dyDescent="0.4">
      <c r="A34" s="82"/>
      <c r="B34" s="81"/>
    </row>
    <row r="35" spans="1:3" x14ac:dyDescent="0.4">
      <c r="A35" s="78"/>
      <c r="B35" s="77"/>
    </row>
    <row r="36" spans="1:3" s="67" customFormat="1" ht="14.25" x14ac:dyDescent="0.45">
      <c r="A36" s="74" t="s">
        <v>196</v>
      </c>
      <c r="B36" s="83"/>
    </row>
    <row r="37" spans="1:3" outlineLevel="1" x14ac:dyDescent="0.4">
      <c r="A37" s="82" t="s">
        <v>116</v>
      </c>
      <c r="B37" s="81">
        <v>1314.47</v>
      </c>
    </row>
    <row r="38" spans="1:3" outlineLevel="1" x14ac:dyDescent="0.4">
      <c r="A38" s="82" t="s">
        <v>117</v>
      </c>
      <c r="B38" s="81">
        <v>-20204.150000000001</v>
      </c>
    </row>
    <row r="39" spans="1:3" outlineLevel="1" x14ac:dyDescent="0.4">
      <c r="A39" s="82" t="s">
        <v>118</v>
      </c>
      <c r="B39" s="81">
        <v>5484.24</v>
      </c>
    </row>
    <row r="40" spans="1:3" outlineLevel="1" x14ac:dyDescent="0.4">
      <c r="A40" s="82" t="s">
        <v>123</v>
      </c>
      <c r="B40" s="81">
        <v>-77851.11</v>
      </c>
    </row>
    <row r="41" spans="1:3" outlineLevel="1" x14ac:dyDescent="0.4">
      <c r="A41" s="82" t="s">
        <v>122</v>
      </c>
      <c r="B41" s="81">
        <v>-7428.69</v>
      </c>
      <c r="C41" s="234">
        <f>B41</f>
        <v>-7428.69</v>
      </c>
    </row>
    <row r="42" spans="1:3" outlineLevel="1" x14ac:dyDescent="0.4">
      <c r="A42" s="82" t="s">
        <v>121</v>
      </c>
      <c r="B42" s="81">
        <v>52521.74</v>
      </c>
    </row>
    <row r="43" spans="1:3" outlineLevel="1" x14ac:dyDescent="0.4">
      <c r="A43" s="82" t="s">
        <v>296</v>
      </c>
      <c r="B43" s="81">
        <v>-7500</v>
      </c>
    </row>
    <row r="44" spans="1:3" outlineLevel="1" x14ac:dyDescent="0.4">
      <c r="A44" s="82" t="s">
        <v>299</v>
      </c>
      <c r="B44" s="81">
        <v>-2000</v>
      </c>
    </row>
    <row r="45" spans="1:3" outlineLevel="1" x14ac:dyDescent="0.4">
      <c r="A45" s="82"/>
      <c r="B45" s="81"/>
    </row>
    <row r="46" spans="1:3" outlineLevel="1" x14ac:dyDescent="0.4">
      <c r="A46" s="82"/>
      <c r="B46" s="81"/>
    </row>
    <row r="47" spans="1:3" ht="14.25" outlineLevel="1" x14ac:dyDescent="0.45">
      <c r="A47" s="74" t="s">
        <v>197</v>
      </c>
      <c r="B47" s="147">
        <f>SUM(B37:B45)</f>
        <v>-55663.500000000007</v>
      </c>
    </row>
    <row r="48" spans="1:3" outlineLevel="1" x14ac:dyDescent="0.4">
      <c r="A48" s="82"/>
      <c r="B48" s="81"/>
    </row>
    <row r="49" spans="1:4" x14ac:dyDescent="0.4">
      <c r="A49" s="78"/>
      <c r="B49" s="77"/>
    </row>
    <row r="50" spans="1:4" s="67" customFormat="1" ht="14.25" x14ac:dyDescent="0.45">
      <c r="A50" s="74" t="s">
        <v>198</v>
      </c>
      <c r="B50" s="83" t="s">
        <v>188</v>
      </c>
    </row>
    <row r="51" spans="1:4" s="67" customFormat="1" ht="14.25" x14ac:dyDescent="0.45">
      <c r="A51" s="80" t="s">
        <v>199</v>
      </c>
      <c r="B51" s="81"/>
    </row>
    <row r="52" spans="1:4" s="67" customFormat="1" ht="14.25" x14ac:dyDescent="0.45">
      <c r="A52" s="80" t="s">
        <v>200</v>
      </c>
      <c r="B52" s="81">
        <v>49465.83</v>
      </c>
    </row>
    <row r="53" spans="1:4" s="67" customFormat="1" ht="14.25" x14ac:dyDescent="0.45">
      <c r="A53" s="80" t="s">
        <v>305</v>
      </c>
      <c r="B53" s="81">
        <v>7368.01</v>
      </c>
    </row>
    <row r="54" spans="1:4" outlineLevel="1" x14ac:dyDescent="0.4">
      <c r="A54" s="82" t="s">
        <v>150</v>
      </c>
      <c r="B54" s="81"/>
    </row>
    <row r="55" spans="1:4" outlineLevel="1" x14ac:dyDescent="0.4">
      <c r="A55" s="82"/>
      <c r="B55" s="81"/>
    </row>
    <row r="56" spans="1:4" outlineLevel="1" x14ac:dyDescent="0.4">
      <c r="A56" s="82"/>
      <c r="B56" s="81"/>
    </row>
    <row r="57" spans="1:4" s="67" customFormat="1" ht="14.25" x14ac:dyDescent="0.45">
      <c r="A57" s="74" t="s">
        <v>202</v>
      </c>
      <c r="B57" s="73">
        <f>SUM(B51:B55)</f>
        <v>56833.840000000004</v>
      </c>
    </row>
    <row r="58" spans="1:4" s="67" customFormat="1" ht="14.25" x14ac:dyDescent="0.45">
      <c r="A58" s="74"/>
      <c r="B58" s="73"/>
    </row>
    <row r="59" spans="1:4" s="67" customFormat="1" ht="14.25" x14ac:dyDescent="0.45">
      <c r="A59" s="74"/>
      <c r="B59" s="73"/>
    </row>
    <row r="60" spans="1:4" s="75" customFormat="1" ht="14.25" x14ac:dyDescent="0.45">
      <c r="A60" s="74" t="s">
        <v>203</v>
      </c>
      <c r="B60" s="76">
        <f>+B33+B47+B57</f>
        <v>-3526099.3999999994</v>
      </c>
    </row>
    <row r="61" spans="1:4" s="72" customFormat="1" ht="14.25" x14ac:dyDescent="0.45">
      <c r="A61" s="74" t="s">
        <v>204</v>
      </c>
      <c r="B61" s="73">
        <f>+B2+B60</f>
        <v>12456987.330000002</v>
      </c>
      <c r="D61" s="222"/>
    </row>
    <row r="62" spans="1:4" x14ac:dyDescent="0.4">
      <c r="A62" s="71" t="s">
        <v>188</v>
      </c>
      <c r="B62" s="70">
        <f>B61-'BS Dec Consolidated'!C10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4869-AAF9-430F-9725-3837CCC5D5DC}">
  <sheetPr codeName="Sheet8"/>
  <dimension ref="A1:L81"/>
  <sheetViews>
    <sheetView zoomScale="90" zoomScaleNormal="90" workbookViewId="0">
      <pane ySplit="1" topLeftCell="A35" activePane="bottomLeft" state="frozen"/>
      <selection pane="bottomLeft" activeCell="A66" sqref="A66"/>
    </sheetView>
  </sheetViews>
  <sheetFormatPr defaultColWidth="9.46484375" defaultRowHeight="14.25" x14ac:dyDescent="0.45"/>
  <cols>
    <col min="1" max="1" width="6.53125" style="67" bestFit="1" customWidth="1"/>
    <col min="2" max="2" width="53.46484375" style="67" bestFit="1" customWidth="1"/>
    <col min="3" max="3" width="14.46484375" style="86" bestFit="1" customWidth="1"/>
    <col min="4" max="4" width="16.46484375" style="86" bestFit="1" customWidth="1"/>
    <col min="5" max="5" width="15" style="86" customWidth="1"/>
    <col min="6" max="6" width="14.46484375" style="86" bestFit="1" customWidth="1"/>
    <col min="7" max="7" width="15.46484375" style="86" bestFit="1" customWidth="1"/>
    <col min="8" max="8" width="17.53125" style="86" bestFit="1" customWidth="1"/>
    <col min="9" max="9" width="14.46484375" style="86" bestFit="1" customWidth="1"/>
    <col min="10" max="10" width="9.46484375" style="67"/>
    <col min="11" max="11" width="14.46484375" style="106" bestFit="1" customWidth="1"/>
    <col min="12" max="12" width="9.46484375" style="106"/>
    <col min="13" max="16384" width="9.46484375" style="67"/>
  </cols>
  <sheetData>
    <row r="1" spans="1:12" s="88" customFormat="1" x14ac:dyDescent="0.45">
      <c r="A1" s="90" t="s">
        <v>205</v>
      </c>
      <c r="B1" s="90" t="s">
        <v>206</v>
      </c>
      <c r="C1" s="89" t="s">
        <v>207</v>
      </c>
      <c r="D1" s="89" t="s">
        <v>208</v>
      </c>
      <c r="E1" s="89" t="s">
        <v>209</v>
      </c>
      <c r="F1" s="89" t="s">
        <v>210</v>
      </c>
      <c r="G1" s="89" t="s">
        <v>211</v>
      </c>
      <c r="H1" s="89" t="s">
        <v>212</v>
      </c>
      <c r="I1" s="89" t="s">
        <v>213</v>
      </c>
      <c r="K1" s="105"/>
      <c r="L1" s="105"/>
    </row>
    <row r="2" spans="1:12" x14ac:dyDescent="0.45">
      <c r="A2" s="87">
        <v>1</v>
      </c>
      <c r="B2" s="87" t="s">
        <v>214</v>
      </c>
      <c r="C2" s="108">
        <v>0</v>
      </c>
      <c r="D2" s="108">
        <v>0</v>
      </c>
      <c r="E2" s="108">
        <v>0</v>
      </c>
      <c r="F2" s="108">
        <v>0</v>
      </c>
      <c r="G2" s="108">
        <v>0</v>
      </c>
      <c r="H2" s="108">
        <v>244984.2</v>
      </c>
      <c r="I2" s="108">
        <f>SUM(C2:H2)</f>
        <v>244984.2</v>
      </c>
    </row>
    <row r="3" spans="1:12" x14ac:dyDescent="0.45">
      <c r="A3" s="87">
        <f t="shared" ref="A3:A60" si="0">+A2+1</f>
        <v>2</v>
      </c>
      <c r="B3" s="87" t="s">
        <v>215</v>
      </c>
      <c r="C3" s="108">
        <v>351791.97</v>
      </c>
      <c r="D3" s="108">
        <v>0</v>
      </c>
      <c r="E3" s="108">
        <v>0</v>
      </c>
      <c r="F3" s="108">
        <v>0</v>
      </c>
      <c r="G3" s="108">
        <v>0</v>
      </c>
      <c r="H3" s="108">
        <v>0</v>
      </c>
      <c r="I3" s="108">
        <f t="shared" ref="I3:I50" si="1">SUM(C3:H3)</f>
        <v>351791.97</v>
      </c>
    </row>
    <row r="4" spans="1:12" x14ac:dyDescent="0.45">
      <c r="A4" s="87">
        <f t="shared" si="0"/>
        <v>3</v>
      </c>
      <c r="B4" s="87" t="s">
        <v>216</v>
      </c>
      <c r="C4" s="108">
        <v>0</v>
      </c>
      <c r="D4" s="108">
        <v>0</v>
      </c>
      <c r="E4" s="108">
        <v>0</v>
      </c>
      <c r="F4" s="108">
        <v>0</v>
      </c>
      <c r="G4" s="108">
        <v>0</v>
      </c>
      <c r="H4" s="108">
        <v>330605.84000000003</v>
      </c>
      <c r="I4" s="108">
        <f t="shared" si="1"/>
        <v>330605.84000000003</v>
      </c>
    </row>
    <row r="5" spans="1:12" x14ac:dyDescent="0.45">
      <c r="A5" s="87">
        <f t="shared" si="0"/>
        <v>4</v>
      </c>
      <c r="B5" s="87" t="s">
        <v>217</v>
      </c>
      <c r="C5" s="108">
        <v>272901.19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f t="shared" si="1"/>
        <v>272901.19</v>
      </c>
    </row>
    <row r="6" spans="1:12" x14ac:dyDescent="0.45">
      <c r="A6" s="87">
        <f t="shared" si="0"/>
        <v>5</v>
      </c>
      <c r="B6" s="87" t="s">
        <v>218</v>
      </c>
      <c r="C6" s="108">
        <v>0</v>
      </c>
      <c r="D6" s="108">
        <v>0</v>
      </c>
      <c r="E6" s="108">
        <v>0</v>
      </c>
      <c r="F6" s="108">
        <v>0</v>
      </c>
      <c r="G6" s="108">
        <v>307888.34999999998</v>
      </c>
      <c r="H6" s="108">
        <v>0</v>
      </c>
      <c r="I6" s="108">
        <f t="shared" si="1"/>
        <v>307888.34999999998</v>
      </c>
    </row>
    <row r="7" spans="1:12" x14ac:dyDescent="0.45">
      <c r="A7" s="87">
        <f t="shared" si="0"/>
        <v>6</v>
      </c>
      <c r="B7" s="87" t="s">
        <v>219</v>
      </c>
      <c r="C7" s="108">
        <v>1101666.6599999999</v>
      </c>
      <c r="D7" s="108">
        <v>0</v>
      </c>
      <c r="E7" s="108">
        <v>0</v>
      </c>
      <c r="F7" s="108">
        <v>0</v>
      </c>
      <c r="G7" s="108">
        <v>0</v>
      </c>
      <c r="H7" s="108">
        <v>0</v>
      </c>
      <c r="I7" s="108">
        <f t="shared" si="1"/>
        <v>1101666.6599999999</v>
      </c>
    </row>
    <row r="8" spans="1:12" x14ac:dyDescent="0.45">
      <c r="A8" s="87">
        <f t="shared" si="0"/>
        <v>7</v>
      </c>
      <c r="B8" s="87" t="s">
        <v>220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458771.84</v>
      </c>
      <c r="I8" s="108">
        <f t="shared" si="1"/>
        <v>458771.84</v>
      </c>
    </row>
    <row r="9" spans="1:12" x14ac:dyDescent="0.45">
      <c r="A9" s="87">
        <f t="shared" si="0"/>
        <v>8</v>
      </c>
      <c r="B9" s="87" t="s">
        <v>221</v>
      </c>
      <c r="C9" s="108">
        <v>0</v>
      </c>
      <c r="D9" s="108">
        <v>0</v>
      </c>
      <c r="E9" s="108">
        <v>0</v>
      </c>
      <c r="F9" s="108">
        <v>880187</v>
      </c>
      <c r="G9" s="108">
        <v>1093211.25</v>
      </c>
      <c r="H9" s="108">
        <v>0</v>
      </c>
      <c r="I9" s="108">
        <f t="shared" si="1"/>
        <v>1973398.25</v>
      </c>
    </row>
    <row r="10" spans="1:12" x14ac:dyDescent="0.45">
      <c r="A10" s="87">
        <f t="shared" si="0"/>
        <v>9</v>
      </c>
      <c r="B10" s="87" t="s">
        <v>222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111605.09</v>
      </c>
      <c r="I10" s="108">
        <f t="shared" si="1"/>
        <v>111605.09</v>
      </c>
    </row>
    <row r="11" spans="1:12" x14ac:dyDescent="0.45">
      <c r="A11" s="87">
        <f t="shared" si="0"/>
        <v>10</v>
      </c>
      <c r="B11" s="87" t="s">
        <v>223</v>
      </c>
      <c r="C11" s="108">
        <v>0</v>
      </c>
      <c r="D11" s="108">
        <v>0</v>
      </c>
      <c r="E11" s="108">
        <v>0</v>
      </c>
      <c r="F11" s="108">
        <v>0</v>
      </c>
      <c r="G11" s="108">
        <v>636601.91</v>
      </c>
      <c r="H11" s="108">
        <v>0</v>
      </c>
      <c r="I11" s="108">
        <f t="shared" si="1"/>
        <v>636601.91</v>
      </c>
    </row>
    <row r="12" spans="1:12" x14ac:dyDescent="0.45">
      <c r="A12" s="87">
        <f t="shared" si="0"/>
        <v>11</v>
      </c>
      <c r="B12" s="87" t="s">
        <v>224</v>
      </c>
      <c r="C12" s="108">
        <v>0</v>
      </c>
      <c r="D12" s="108">
        <v>139937.78</v>
      </c>
      <c r="E12" s="108">
        <v>0</v>
      </c>
      <c r="F12" s="108">
        <v>0</v>
      </c>
      <c r="G12" s="108">
        <v>0</v>
      </c>
      <c r="H12" s="108">
        <v>0</v>
      </c>
      <c r="I12" s="108">
        <f t="shared" si="1"/>
        <v>139937.78</v>
      </c>
    </row>
    <row r="13" spans="1:12" x14ac:dyDescent="0.45">
      <c r="A13" s="87">
        <f t="shared" si="0"/>
        <v>12</v>
      </c>
      <c r="B13" s="87" t="s">
        <v>225</v>
      </c>
      <c r="C13" s="108">
        <v>0</v>
      </c>
      <c r="D13" s="108">
        <v>0</v>
      </c>
      <c r="E13" s="108">
        <v>0</v>
      </c>
      <c r="F13" s="108">
        <v>0</v>
      </c>
      <c r="G13" s="108">
        <v>0</v>
      </c>
      <c r="H13" s="108">
        <v>1206185.23</v>
      </c>
      <c r="I13" s="108">
        <f t="shared" si="1"/>
        <v>1206185.23</v>
      </c>
    </row>
    <row r="14" spans="1:12" x14ac:dyDescent="0.45">
      <c r="A14" s="87">
        <f t="shared" si="0"/>
        <v>13</v>
      </c>
      <c r="B14" s="87" t="s">
        <v>226</v>
      </c>
      <c r="C14" s="108">
        <v>0</v>
      </c>
      <c r="D14" s="108">
        <v>0</v>
      </c>
      <c r="E14" s="108">
        <v>0</v>
      </c>
      <c r="F14" s="108">
        <v>0</v>
      </c>
      <c r="G14" s="108">
        <v>0</v>
      </c>
      <c r="H14" s="108">
        <v>12.65</v>
      </c>
      <c r="I14" s="108">
        <f t="shared" si="1"/>
        <v>12.65</v>
      </c>
    </row>
    <row r="15" spans="1:12" x14ac:dyDescent="0.45">
      <c r="A15" s="87">
        <f t="shared" si="0"/>
        <v>14</v>
      </c>
      <c r="B15" s="87" t="s">
        <v>227</v>
      </c>
      <c r="C15" s="108">
        <v>1059475.1200000001</v>
      </c>
      <c r="D15" s="108">
        <v>0</v>
      </c>
      <c r="E15" s="108">
        <v>0</v>
      </c>
      <c r="F15" s="108">
        <v>0</v>
      </c>
      <c r="G15" s="108">
        <v>0</v>
      </c>
      <c r="H15" s="108">
        <v>0</v>
      </c>
      <c r="I15" s="108">
        <f t="shared" si="1"/>
        <v>1059475.1200000001</v>
      </c>
    </row>
    <row r="16" spans="1:12" x14ac:dyDescent="0.45">
      <c r="A16" s="87">
        <f t="shared" si="0"/>
        <v>15</v>
      </c>
      <c r="B16" s="87" t="s">
        <v>228</v>
      </c>
      <c r="C16" s="108">
        <v>0</v>
      </c>
      <c r="D16" s="108">
        <v>0</v>
      </c>
      <c r="E16" s="108">
        <v>0</v>
      </c>
      <c r="F16" s="108">
        <v>0</v>
      </c>
      <c r="G16" s="108">
        <v>362582.27</v>
      </c>
      <c r="H16" s="108">
        <v>223636.02</v>
      </c>
      <c r="I16" s="108">
        <f t="shared" si="1"/>
        <v>586218.29</v>
      </c>
    </row>
    <row r="17" spans="1:9" x14ac:dyDescent="0.45">
      <c r="A17" s="87">
        <f t="shared" si="0"/>
        <v>16</v>
      </c>
      <c r="B17" s="87" t="s">
        <v>229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93141.9</v>
      </c>
      <c r="I17" s="108">
        <f t="shared" si="1"/>
        <v>93141.9</v>
      </c>
    </row>
    <row r="18" spans="1:9" x14ac:dyDescent="0.45">
      <c r="A18" s="87">
        <f t="shared" si="0"/>
        <v>17</v>
      </c>
      <c r="B18" s="87" t="s">
        <v>230</v>
      </c>
      <c r="C18" s="108">
        <v>0</v>
      </c>
      <c r="D18" s="108">
        <v>0</v>
      </c>
      <c r="E18" s="108">
        <v>199997</v>
      </c>
      <c r="F18" s="108">
        <v>0</v>
      </c>
      <c r="G18" s="108">
        <v>0</v>
      </c>
      <c r="H18" s="108">
        <v>0</v>
      </c>
      <c r="I18" s="108">
        <f t="shared" si="1"/>
        <v>199997</v>
      </c>
    </row>
    <row r="19" spans="1:9" x14ac:dyDescent="0.45">
      <c r="A19" s="87">
        <f t="shared" si="0"/>
        <v>18</v>
      </c>
      <c r="B19" s="87" t="s">
        <v>231</v>
      </c>
      <c r="C19" s="108">
        <v>547400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f t="shared" si="1"/>
        <v>547400</v>
      </c>
    </row>
    <row r="20" spans="1:9" x14ac:dyDescent="0.45">
      <c r="A20" s="87">
        <f t="shared" si="0"/>
        <v>19</v>
      </c>
      <c r="B20" s="87" t="s">
        <v>232</v>
      </c>
      <c r="C20" s="108">
        <v>0</v>
      </c>
      <c r="D20" s="108">
        <v>0</v>
      </c>
      <c r="E20" s="108">
        <v>0</v>
      </c>
      <c r="F20" s="108">
        <v>0</v>
      </c>
      <c r="G20" s="108">
        <v>88371.91</v>
      </c>
      <c r="H20" s="108">
        <v>0</v>
      </c>
      <c r="I20" s="108">
        <f t="shared" si="1"/>
        <v>88371.91</v>
      </c>
    </row>
    <row r="21" spans="1:9" x14ac:dyDescent="0.45">
      <c r="A21" s="87">
        <f t="shared" si="0"/>
        <v>20</v>
      </c>
      <c r="B21" s="87" t="s">
        <v>233</v>
      </c>
      <c r="C21" s="108">
        <v>828828</v>
      </c>
      <c r="D21" s="108">
        <v>1154211.3</v>
      </c>
      <c r="E21" s="108">
        <v>0</v>
      </c>
      <c r="F21" s="108">
        <v>0</v>
      </c>
      <c r="G21" s="108">
        <v>0</v>
      </c>
      <c r="H21" s="108">
        <v>0</v>
      </c>
      <c r="I21" s="108">
        <f t="shared" si="1"/>
        <v>1983039.3</v>
      </c>
    </row>
    <row r="22" spans="1:9" x14ac:dyDescent="0.45">
      <c r="A22" s="87">
        <f t="shared" si="0"/>
        <v>21</v>
      </c>
      <c r="B22" s="87" t="s">
        <v>234</v>
      </c>
      <c r="C22" s="108">
        <v>375027.49</v>
      </c>
      <c r="D22" s="108">
        <v>0</v>
      </c>
      <c r="E22" s="108">
        <v>0</v>
      </c>
      <c r="F22" s="108">
        <v>0</v>
      </c>
      <c r="G22" s="108">
        <v>0</v>
      </c>
      <c r="H22" s="108">
        <v>0</v>
      </c>
      <c r="I22" s="108">
        <f t="shared" si="1"/>
        <v>375027.49</v>
      </c>
    </row>
    <row r="23" spans="1:9" x14ac:dyDescent="0.45">
      <c r="A23" s="87">
        <f t="shared" si="0"/>
        <v>22</v>
      </c>
      <c r="B23" s="87" t="s">
        <v>235</v>
      </c>
      <c r="C23" s="108">
        <v>0</v>
      </c>
      <c r="D23" s="108">
        <v>0</v>
      </c>
      <c r="E23" s="108">
        <v>0</v>
      </c>
      <c r="F23" s="108">
        <v>0</v>
      </c>
      <c r="G23" s="108">
        <v>0</v>
      </c>
      <c r="H23" s="108">
        <v>465273.82</v>
      </c>
      <c r="I23" s="108">
        <f t="shared" si="1"/>
        <v>465273.82</v>
      </c>
    </row>
    <row r="24" spans="1:9" x14ac:dyDescent="0.45">
      <c r="A24" s="87">
        <f t="shared" si="0"/>
        <v>23</v>
      </c>
      <c r="B24" s="87" t="s">
        <v>236</v>
      </c>
      <c r="C24" s="108">
        <v>0</v>
      </c>
      <c r="D24" s="108">
        <v>0</v>
      </c>
      <c r="E24" s="108">
        <v>0</v>
      </c>
      <c r="F24" s="108">
        <v>0</v>
      </c>
      <c r="G24" s="108">
        <v>0</v>
      </c>
      <c r="H24" s="108">
        <v>516373</v>
      </c>
      <c r="I24" s="108">
        <f t="shared" si="1"/>
        <v>516373</v>
      </c>
    </row>
    <row r="25" spans="1:9" x14ac:dyDescent="0.45">
      <c r="A25" s="87">
        <f t="shared" si="0"/>
        <v>24</v>
      </c>
      <c r="B25" s="87" t="s">
        <v>237</v>
      </c>
      <c r="C25" s="108">
        <v>1549147.72</v>
      </c>
      <c r="D25" s="108">
        <v>0</v>
      </c>
      <c r="E25" s="108">
        <v>0</v>
      </c>
      <c r="F25" s="108">
        <v>0</v>
      </c>
      <c r="G25" s="108">
        <v>0</v>
      </c>
      <c r="H25" s="108">
        <v>0</v>
      </c>
      <c r="I25" s="108">
        <f t="shared" si="1"/>
        <v>1549147.72</v>
      </c>
    </row>
    <row r="26" spans="1:9" x14ac:dyDescent="0.45">
      <c r="A26" s="87">
        <f t="shared" si="0"/>
        <v>25</v>
      </c>
      <c r="B26" s="87" t="s">
        <v>238</v>
      </c>
      <c r="C26" s="108">
        <v>333787.5</v>
      </c>
      <c r="D26" s="108">
        <v>696393.33</v>
      </c>
      <c r="E26" s="108">
        <v>0</v>
      </c>
      <c r="F26" s="108">
        <v>0</v>
      </c>
      <c r="G26" s="108">
        <v>0</v>
      </c>
      <c r="H26" s="108">
        <v>0</v>
      </c>
      <c r="I26" s="108">
        <f t="shared" si="1"/>
        <v>1030180.83</v>
      </c>
    </row>
    <row r="27" spans="1:9" x14ac:dyDescent="0.45">
      <c r="A27" s="87">
        <f t="shared" si="0"/>
        <v>26</v>
      </c>
      <c r="B27" s="87" t="s">
        <v>239</v>
      </c>
      <c r="C27" s="108">
        <v>257237.76000000001</v>
      </c>
      <c r="D27" s="108">
        <v>0</v>
      </c>
      <c r="E27" s="108">
        <v>0</v>
      </c>
      <c r="F27" s="108">
        <v>0</v>
      </c>
      <c r="G27" s="108">
        <v>0</v>
      </c>
      <c r="H27" s="108">
        <v>0</v>
      </c>
      <c r="I27" s="108">
        <f t="shared" si="1"/>
        <v>257237.76000000001</v>
      </c>
    </row>
    <row r="28" spans="1:9" x14ac:dyDescent="0.45">
      <c r="A28" s="87">
        <f t="shared" si="0"/>
        <v>27</v>
      </c>
      <c r="B28" s="87" t="s">
        <v>240</v>
      </c>
      <c r="C28" s="108">
        <v>2260001.7599999998</v>
      </c>
      <c r="D28" s="108">
        <v>0</v>
      </c>
      <c r="E28" s="108">
        <v>0</v>
      </c>
      <c r="F28" s="108">
        <v>0</v>
      </c>
      <c r="G28" s="108">
        <v>0</v>
      </c>
      <c r="H28" s="108">
        <v>0</v>
      </c>
      <c r="I28" s="108">
        <f t="shared" si="1"/>
        <v>2260001.7599999998</v>
      </c>
    </row>
    <row r="29" spans="1:9" x14ac:dyDescent="0.45">
      <c r="A29" s="87">
        <f t="shared" si="0"/>
        <v>28</v>
      </c>
      <c r="B29" s="87" t="s">
        <v>241</v>
      </c>
      <c r="C29" s="108">
        <v>1174725</v>
      </c>
      <c r="D29" s="108">
        <v>0</v>
      </c>
      <c r="E29" s="108">
        <v>0</v>
      </c>
      <c r="F29" s="108">
        <v>0</v>
      </c>
      <c r="G29" s="108">
        <v>0</v>
      </c>
      <c r="H29" s="108">
        <v>0</v>
      </c>
      <c r="I29" s="108">
        <f t="shared" si="1"/>
        <v>1174725</v>
      </c>
    </row>
    <row r="30" spans="1:9" x14ac:dyDescent="0.45">
      <c r="A30" s="87">
        <f t="shared" si="0"/>
        <v>29</v>
      </c>
      <c r="B30" s="87" t="s">
        <v>242</v>
      </c>
      <c r="C30" s="108">
        <v>0</v>
      </c>
      <c r="D30" s="108">
        <v>0</v>
      </c>
      <c r="E30" s="108">
        <v>0</v>
      </c>
      <c r="F30" s="108">
        <v>0</v>
      </c>
      <c r="G30" s="108">
        <v>127582.9</v>
      </c>
      <c r="H30" s="108">
        <v>0</v>
      </c>
      <c r="I30" s="108">
        <f t="shared" si="1"/>
        <v>127582.9</v>
      </c>
    </row>
    <row r="31" spans="1:9" x14ac:dyDescent="0.45">
      <c r="A31" s="87">
        <f t="shared" si="0"/>
        <v>30</v>
      </c>
      <c r="B31" s="87" t="s">
        <v>243</v>
      </c>
      <c r="C31" s="108">
        <v>0</v>
      </c>
      <c r="D31" s="108">
        <v>224112</v>
      </c>
      <c r="E31" s="108">
        <v>0</v>
      </c>
      <c r="F31" s="108">
        <v>0</v>
      </c>
      <c r="G31" s="108">
        <v>0</v>
      </c>
      <c r="H31" s="108">
        <v>0</v>
      </c>
      <c r="I31" s="108">
        <f t="shared" si="1"/>
        <v>224112</v>
      </c>
    </row>
    <row r="32" spans="1:9" x14ac:dyDescent="0.45">
      <c r="A32" s="87">
        <f t="shared" si="0"/>
        <v>31</v>
      </c>
      <c r="B32" s="87" t="s">
        <v>244</v>
      </c>
      <c r="C32" s="108">
        <v>895467.03</v>
      </c>
      <c r="D32" s="108">
        <v>0</v>
      </c>
      <c r="E32" s="108">
        <v>0</v>
      </c>
      <c r="F32" s="108">
        <v>0</v>
      </c>
      <c r="G32" s="108">
        <v>0</v>
      </c>
      <c r="H32" s="108">
        <v>0</v>
      </c>
      <c r="I32" s="108">
        <f t="shared" si="1"/>
        <v>895467.03</v>
      </c>
    </row>
    <row r="33" spans="1:9" x14ac:dyDescent="0.45">
      <c r="A33" s="87">
        <f t="shared" si="0"/>
        <v>32</v>
      </c>
      <c r="B33" s="87" t="s">
        <v>245</v>
      </c>
      <c r="C33" s="108">
        <v>604972.34</v>
      </c>
      <c r="D33" s="108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f t="shared" si="1"/>
        <v>604972.34</v>
      </c>
    </row>
    <row r="34" spans="1:9" x14ac:dyDescent="0.45">
      <c r="A34" s="87">
        <f t="shared" si="0"/>
        <v>33</v>
      </c>
      <c r="B34" s="87" t="s">
        <v>246</v>
      </c>
      <c r="C34" s="108">
        <v>1314046.52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f t="shared" si="1"/>
        <v>1314046.52</v>
      </c>
    </row>
    <row r="35" spans="1:9" x14ac:dyDescent="0.45">
      <c r="A35" s="87">
        <f t="shared" si="0"/>
        <v>34</v>
      </c>
      <c r="B35" s="87" t="s">
        <v>247</v>
      </c>
      <c r="C35" s="108">
        <v>1964844</v>
      </c>
      <c r="D35" s="108">
        <v>0</v>
      </c>
      <c r="E35" s="108">
        <v>0</v>
      </c>
      <c r="F35" s="108">
        <v>0</v>
      </c>
      <c r="G35" s="108">
        <v>0</v>
      </c>
      <c r="H35" s="108">
        <v>0</v>
      </c>
      <c r="I35" s="108">
        <f t="shared" si="1"/>
        <v>1964844</v>
      </c>
    </row>
    <row r="36" spans="1:9" x14ac:dyDescent="0.45">
      <c r="A36" s="87">
        <f t="shared" si="0"/>
        <v>35</v>
      </c>
      <c r="B36" s="87" t="s">
        <v>248</v>
      </c>
      <c r="C36" s="108">
        <v>181957.88</v>
      </c>
      <c r="D36" s="108">
        <v>0</v>
      </c>
      <c r="E36" s="108">
        <v>0</v>
      </c>
      <c r="F36" s="108">
        <v>0</v>
      </c>
      <c r="G36" s="108">
        <v>0</v>
      </c>
      <c r="H36" s="108">
        <v>0</v>
      </c>
      <c r="I36" s="108">
        <f t="shared" si="1"/>
        <v>181957.88</v>
      </c>
    </row>
    <row r="37" spans="1:9" x14ac:dyDescent="0.45">
      <c r="A37" s="87">
        <f t="shared" si="0"/>
        <v>36</v>
      </c>
      <c r="B37" s="87" t="s">
        <v>249</v>
      </c>
      <c r="C37" s="108">
        <v>232584.63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f t="shared" si="1"/>
        <v>232584.63</v>
      </c>
    </row>
    <row r="38" spans="1:9" x14ac:dyDescent="0.45">
      <c r="A38" s="87">
        <f t="shared" si="0"/>
        <v>37</v>
      </c>
      <c r="B38" s="87" t="s">
        <v>250</v>
      </c>
      <c r="C38" s="108">
        <v>1020836.6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f t="shared" si="1"/>
        <v>1020836.6</v>
      </c>
    </row>
    <row r="39" spans="1:9" x14ac:dyDescent="0.45">
      <c r="A39" s="87">
        <f t="shared" si="0"/>
        <v>38</v>
      </c>
      <c r="B39" s="87" t="s">
        <v>251</v>
      </c>
      <c r="C39" s="108">
        <v>1211735.17</v>
      </c>
      <c r="D39" s="108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f t="shared" si="1"/>
        <v>1211735.17</v>
      </c>
    </row>
    <row r="40" spans="1:9" x14ac:dyDescent="0.45">
      <c r="A40" s="87">
        <f t="shared" si="0"/>
        <v>39</v>
      </c>
      <c r="B40" s="87" t="s">
        <v>252</v>
      </c>
      <c r="C40" s="108">
        <v>657269.42000000004</v>
      </c>
      <c r="D40" s="108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f t="shared" si="1"/>
        <v>657269.42000000004</v>
      </c>
    </row>
    <row r="41" spans="1:9" x14ac:dyDescent="0.45">
      <c r="A41" s="87">
        <f t="shared" si="0"/>
        <v>40</v>
      </c>
      <c r="B41" s="87" t="s">
        <v>253</v>
      </c>
      <c r="C41" s="108">
        <v>0</v>
      </c>
      <c r="D41" s="108">
        <v>232864.94</v>
      </c>
      <c r="E41" s="108">
        <v>0</v>
      </c>
      <c r="F41" s="108">
        <v>0</v>
      </c>
      <c r="G41" s="108">
        <v>0</v>
      </c>
      <c r="H41" s="108">
        <v>0</v>
      </c>
      <c r="I41" s="108">
        <f t="shared" si="1"/>
        <v>232864.94</v>
      </c>
    </row>
    <row r="42" spans="1:9" x14ac:dyDescent="0.45">
      <c r="A42" s="87">
        <f t="shared" si="0"/>
        <v>41</v>
      </c>
      <c r="B42" s="87" t="s">
        <v>254</v>
      </c>
      <c r="C42" s="108">
        <v>346230.5</v>
      </c>
      <c r="D42" s="108">
        <v>0</v>
      </c>
      <c r="E42" s="108">
        <v>0</v>
      </c>
      <c r="F42" s="108">
        <v>0</v>
      </c>
      <c r="G42" s="108">
        <v>0</v>
      </c>
      <c r="H42" s="108">
        <v>0</v>
      </c>
      <c r="I42" s="108">
        <f t="shared" si="1"/>
        <v>346230.5</v>
      </c>
    </row>
    <row r="43" spans="1:9" x14ac:dyDescent="0.45">
      <c r="A43" s="87">
        <f t="shared" si="0"/>
        <v>42</v>
      </c>
      <c r="B43" s="87" t="s">
        <v>308</v>
      </c>
      <c r="C43" s="108">
        <v>195837.54</v>
      </c>
      <c r="D43" s="108">
        <v>0</v>
      </c>
      <c r="E43" s="108">
        <v>0</v>
      </c>
      <c r="F43" s="108">
        <v>0</v>
      </c>
      <c r="G43" s="108">
        <v>0</v>
      </c>
      <c r="H43" s="108">
        <v>0</v>
      </c>
      <c r="I43" s="108">
        <f t="shared" si="1"/>
        <v>195837.54</v>
      </c>
    </row>
    <row r="44" spans="1:9" x14ac:dyDescent="0.45">
      <c r="A44" s="87">
        <f t="shared" si="0"/>
        <v>43</v>
      </c>
      <c r="B44" s="87" t="s">
        <v>255</v>
      </c>
      <c r="C44" s="108">
        <v>714220.15</v>
      </c>
      <c r="D44" s="108">
        <v>0</v>
      </c>
      <c r="E44" s="108">
        <v>0</v>
      </c>
      <c r="F44" s="108">
        <v>0</v>
      </c>
      <c r="G44" s="108">
        <v>0</v>
      </c>
      <c r="H44" s="108">
        <v>0</v>
      </c>
      <c r="I44" s="108">
        <f t="shared" si="1"/>
        <v>714220.15</v>
      </c>
    </row>
    <row r="45" spans="1:9" x14ac:dyDescent="0.45">
      <c r="A45" s="87">
        <f t="shared" si="0"/>
        <v>44</v>
      </c>
      <c r="B45" s="87" t="s">
        <v>256</v>
      </c>
      <c r="C45" s="108">
        <v>582501.18000000005</v>
      </c>
      <c r="D45" s="108">
        <v>0</v>
      </c>
      <c r="E45" s="108">
        <v>0</v>
      </c>
      <c r="F45" s="108">
        <v>0</v>
      </c>
      <c r="G45" s="108">
        <v>0</v>
      </c>
      <c r="H45" s="108">
        <v>0</v>
      </c>
      <c r="I45" s="108">
        <f t="shared" si="1"/>
        <v>582501.18000000005</v>
      </c>
    </row>
    <row r="46" spans="1:9" x14ac:dyDescent="0.45">
      <c r="A46" s="87">
        <f t="shared" si="0"/>
        <v>45</v>
      </c>
      <c r="B46" s="87" t="s">
        <v>257</v>
      </c>
      <c r="C46" s="108">
        <v>660512.49</v>
      </c>
      <c r="D46" s="108">
        <v>0</v>
      </c>
      <c r="E46" s="108">
        <v>0</v>
      </c>
      <c r="F46" s="108">
        <v>0</v>
      </c>
      <c r="G46" s="108">
        <v>0</v>
      </c>
      <c r="H46" s="108">
        <v>0</v>
      </c>
      <c r="I46" s="108">
        <f t="shared" si="1"/>
        <v>660512.49</v>
      </c>
    </row>
    <row r="47" spans="1:9" x14ac:dyDescent="0.45">
      <c r="A47" s="87">
        <f t="shared" si="0"/>
        <v>46</v>
      </c>
      <c r="B47" s="87" t="s">
        <v>258</v>
      </c>
      <c r="C47" s="108">
        <v>597500.03</v>
      </c>
      <c r="D47" s="108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f t="shared" si="1"/>
        <v>597500.03</v>
      </c>
    </row>
    <row r="48" spans="1:9" x14ac:dyDescent="0.45">
      <c r="A48" s="87">
        <f t="shared" si="0"/>
        <v>47</v>
      </c>
      <c r="B48" s="87" t="s">
        <v>259</v>
      </c>
      <c r="C48" s="108">
        <v>115517.5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f t="shared" si="1"/>
        <v>115517.5</v>
      </c>
    </row>
    <row r="49" spans="1:12" x14ac:dyDescent="0.45">
      <c r="A49" s="87">
        <f t="shared" si="0"/>
        <v>48</v>
      </c>
      <c r="B49" s="87" t="s">
        <v>260</v>
      </c>
      <c r="C49" s="108">
        <v>667957.68000000005</v>
      </c>
      <c r="D49" s="108">
        <v>0</v>
      </c>
      <c r="E49" s="108">
        <v>0</v>
      </c>
      <c r="F49" s="108">
        <v>0</v>
      </c>
      <c r="G49" s="108">
        <v>0</v>
      </c>
      <c r="H49" s="108">
        <v>0</v>
      </c>
      <c r="I49" s="108">
        <f t="shared" si="1"/>
        <v>667957.68000000005</v>
      </c>
    </row>
    <row r="50" spans="1:12" x14ac:dyDescent="0.45">
      <c r="A50" s="87">
        <f t="shared" si="0"/>
        <v>49</v>
      </c>
      <c r="B50" s="87" t="s">
        <v>261</v>
      </c>
      <c r="C50" s="108">
        <v>0</v>
      </c>
      <c r="D50" s="108">
        <v>0</v>
      </c>
      <c r="E50" s="108">
        <v>368190.9</v>
      </c>
      <c r="F50" s="108">
        <v>0</v>
      </c>
      <c r="G50" s="108">
        <v>0</v>
      </c>
      <c r="H50" s="108">
        <v>0</v>
      </c>
      <c r="I50" s="108">
        <f t="shared" si="1"/>
        <v>368190.9</v>
      </c>
    </row>
    <row r="51" spans="1:12" x14ac:dyDescent="0.45">
      <c r="A51" s="87">
        <f t="shared" si="0"/>
        <v>50</v>
      </c>
      <c r="B51" s="87" t="s">
        <v>262</v>
      </c>
      <c r="C51" s="108">
        <v>1494666.66</v>
      </c>
      <c r="D51" s="108">
        <v>0</v>
      </c>
      <c r="E51" s="108">
        <v>0</v>
      </c>
      <c r="F51" s="108">
        <v>0</v>
      </c>
      <c r="G51" s="108">
        <v>0</v>
      </c>
      <c r="H51" s="108">
        <v>0</v>
      </c>
      <c r="I51" s="108">
        <f>SUM(C51:H51)</f>
        <v>1494666.66</v>
      </c>
    </row>
    <row r="52" spans="1:12" x14ac:dyDescent="0.45">
      <c r="A52" s="87">
        <f t="shared" si="0"/>
        <v>51</v>
      </c>
      <c r="B52" s="87" t="s">
        <v>263</v>
      </c>
      <c r="C52" s="108">
        <v>0</v>
      </c>
      <c r="D52" s="108">
        <v>0</v>
      </c>
      <c r="E52" s="108">
        <v>0</v>
      </c>
      <c r="F52" s="108">
        <v>0</v>
      </c>
      <c r="G52" s="108">
        <v>140371.88</v>
      </c>
      <c r="H52" s="108">
        <v>0</v>
      </c>
      <c r="I52" s="108">
        <f>SUM(C52:H52)</f>
        <v>140371.88</v>
      </c>
    </row>
    <row r="53" spans="1:12" x14ac:dyDescent="0.45">
      <c r="A53" s="87">
        <f t="shared" si="0"/>
        <v>52</v>
      </c>
      <c r="B53" s="87" t="s">
        <v>264</v>
      </c>
      <c r="C53" s="108">
        <v>0</v>
      </c>
      <c r="D53" s="108">
        <v>189118.17</v>
      </c>
      <c r="E53" s="108">
        <v>0</v>
      </c>
      <c r="F53" s="108">
        <v>0</v>
      </c>
      <c r="G53" s="108">
        <v>0</v>
      </c>
      <c r="H53" s="108">
        <v>0</v>
      </c>
      <c r="I53" s="108">
        <f>SUM(C53:H53)</f>
        <v>189118.17</v>
      </c>
    </row>
    <row r="54" spans="1:12" x14ac:dyDescent="0.45">
      <c r="A54" s="87">
        <f t="shared" si="0"/>
        <v>53</v>
      </c>
      <c r="B54" s="87" t="s">
        <v>265</v>
      </c>
      <c r="C54" s="108">
        <v>1385064.05</v>
      </c>
      <c r="D54" s="108">
        <v>0</v>
      </c>
      <c r="E54" s="108">
        <v>0</v>
      </c>
      <c r="F54" s="108">
        <v>0</v>
      </c>
      <c r="G54" s="108">
        <v>0</v>
      </c>
      <c r="H54" s="108">
        <v>0</v>
      </c>
      <c r="I54" s="108">
        <f>SUM(C54:H54)</f>
        <v>1385064.05</v>
      </c>
    </row>
    <row r="55" spans="1:12" x14ac:dyDescent="0.45">
      <c r="A55" s="87">
        <f t="shared" si="0"/>
        <v>54</v>
      </c>
      <c r="B55" s="87" t="s">
        <v>266</v>
      </c>
      <c r="C55" s="108">
        <v>339071.62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f t="shared" ref="I55:I60" si="2">SUM(C55:H55)</f>
        <v>339071.62</v>
      </c>
    </row>
    <row r="56" spans="1:12" x14ac:dyDescent="0.45">
      <c r="A56" s="87">
        <f t="shared" si="0"/>
        <v>55</v>
      </c>
      <c r="B56" s="87" t="s">
        <v>267</v>
      </c>
      <c r="C56" s="108">
        <v>0</v>
      </c>
      <c r="D56" s="108">
        <v>0</v>
      </c>
      <c r="E56" s="108">
        <v>889525</v>
      </c>
      <c r="F56" s="108">
        <v>0</v>
      </c>
      <c r="G56" s="108">
        <v>601680</v>
      </c>
      <c r="H56" s="108">
        <v>0</v>
      </c>
      <c r="I56" s="108">
        <f t="shared" si="2"/>
        <v>1491205</v>
      </c>
    </row>
    <row r="57" spans="1:12" x14ac:dyDescent="0.45">
      <c r="A57" s="87">
        <f t="shared" si="0"/>
        <v>56</v>
      </c>
      <c r="B57" s="87" t="s">
        <v>268</v>
      </c>
      <c r="C57" s="108">
        <v>470706.95</v>
      </c>
      <c r="D57" s="108">
        <v>0</v>
      </c>
      <c r="E57" s="108">
        <v>0</v>
      </c>
      <c r="F57" s="108">
        <v>0</v>
      </c>
      <c r="G57" s="108">
        <v>0</v>
      </c>
      <c r="H57" s="108">
        <v>0</v>
      </c>
      <c r="I57" s="108">
        <f t="shared" si="2"/>
        <v>470706.95</v>
      </c>
    </row>
    <row r="58" spans="1:12" x14ac:dyDescent="0.45">
      <c r="A58" s="87">
        <f t="shared" si="0"/>
        <v>57</v>
      </c>
      <c r="B58" s="87" t="s">
        <v>269</v>
      </c>
      <c r="C58" s="108">
        <v>319361.84999999998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f t="shared" si="2"/>
        <v>319361.84999999998</v>
      </c>
    </row>
    <row r="59" spans="1:12" x14ac:dyDescent="0.45">
      <c r="A59" s="87">
        <f t="shared" si="0"/>
        <v>58</v>
      </c>
      <c r="B59" s="87" t="s">
        <v>270</v>
      </c>
      <c r="C59" s="108">
        <v>836251.26</v>
      </c>
      <c r="D59" s="108">
        <v>278750.42</v>
      </c>
      <c r="E59" s="108">
        <v>0</v>
      </c>
      <c r="F59" s="108">
        <v>0</v>
      </c>
      <c r="G59" s="108">
        <v>0</v>
      </c>
      <c r="H59" s="108">
        <v>0</v>
      </c>
      <c r="I59" s="108">
        <f t="shared" si="2"/>
        <v>1115001.68</v>
      </c>
    </row>
    <row r="60" spans="1:12" x14ac:dyDescent="0.45">
      <c r="A60" s="87">
        <f t="shared" si="0"/>
        <v>59</v>
      </c>
      <c r="B60" s="87" t="s">
        <v>271</v>
      </c>
      <c r="C60" s="108">
        <v>0</v>
      </c>
      <c r="D60" s="108">
        <v>0</v>
      </c>
      <c r="E60" s="108">
        <v>0</v>
      </c>
      <c r="F60" s="108">
        <v>0</v>
      </c>
      <c r="G60" s="108">
        <v>0</v>
      </c>
      <c r="H60" s="108">
        <v>409500.4</v>
      </c>
      <c r="I60" s="108">
        <f t="shared" si="2"/>
        <v>409500.4</v>
      </c>
    </row>
    <row r="61" spans="1:12" s="75" customFormat="1" x14ac:dyDescent="0.45">
      <c r="A61" s="225"/>
      <c r="B61" s="225"/>
      <c r="C61" s="226">
        <f>SUM(C2:C60)</f>
        <v>26921103.219999999</v>
      </c>
      <c r="D61" s="226">
        <f t="shared" ref="D61:G61" si="3">SUM(D2:D60)</f>
        <v>2915387.94</v>
      </c>
      <c r="E61" s="226">
        <f t="shared" si="3"/>
        <v>1457712.9</v>
      </c>
      <c r="F61" s="226">
        <f t="shared" si="3"/>
        <v>880187</v>
      </c>
      <c r="G61" s="226">
        <f t="shared" si="3"/>
        <v>3358290.47</v>
      </c>
      <c r="H61" s="226">
        <f>SUM(H2:H60)</f>
        <v>4060089.9899999998</v>
      </c>
      <c r="I61" s="226">
        <f>SUM(I2:I60)</f>
        <v>39592771.519999996</v>
      </c>
      <c r="K61" s="227"/>
      <c r="L61" s="227"/>
    </row>
    <row r="62" spans="1:12" x14ac:dyDescent="0.45">
      <c r="A62" s="223"/>
      <c r="B62" s="223"/>
      <c r="C62" s="224"/>
      <c r="D62" s="224"/>
      <c r="E62" s="224"/>
      <c r="F62" s="224"/>
      <c r="G62" s="224"/>
      <c r="H62" s="224"/>
      <c r="I62" s="224"/>
    </row>
    <row r="63" spans="1:12" x14ac:dyDescent="0.45">
      <c r="G63" s="86">
        <v>0</v>
      </c>
    </row>
    <row r="64" spans="1:12" x14ac:dyDescent="0.45">
      <c r="D64" s="208" t="s">
        <v>272</v>
      </c>
      <c r="E64" s="208" t="s">
        <v>273</v>
      </c>
      <c r="F64" s="208" t="s">
        <v>274</v>
      </c>
    </row>
    <row r="65" spans="4:8" x14ac:dyDescent="0.45">
      <c r="D65" s="119" t="s">
        <v>275</v>
      </c>
      <c r="E65" s="119">
        <f>C61/1000000</f>
        <v>26.921103219999999</v>
      </c>
      <c r="F65" s="151">
        <f>E65/$E$71</f>
        <v>0.67994995516797807</v>
      </c>
    </row>
    <row r="66" spans="4:8" x14ac:dyDescent="0.45">
      <c r="D66" s="119" t="str">
        <f>D1</f>
        <v>1-30 Days</v>
      </c>
      <c r="E66" s="119">
        <f>D61/1000000</f>
        <v>2.91538794</v>
      </c>
      <c r="F66" s="151">
        <f t="shared" ref="F66:F70" si="4">E66/$E$71</f>
        <v>7.3634348596367222E-2</v>
      </c>
    </row>
    <row r="67" spans="4:8" x14ac:dyDescent="0.45">
      <c r="D67" s="119" t="str">
        <f>E1</f>
        <v>31-60 Days</v>
      </c>
      <c r="E67" s="119">
        <f>E61/1000000</f>
        <v>1.4577129</v>
      </c>
      <c r="F67" s="151">
        <f t="shared" si="4"/>
        <v>3.6817652415760967E-2</v>
      </c>
    </row>
    <row r="68" spans="4:8" x14ac:dyDescent="0.45">
      <c r="D68" s="119" t="str">
        <f>F1</f>
        <v>61-90 Days</v>
      </c>
      <c r="E68" s="119">
        <f>F61/1000000</f>
        <v>0.88018700000000005</v>
      </c>
      <c r="F68" s="151">
        <f t="shared" si="4"/>
        <v>2.2231002433244159E-2</v>
      </c>
    </row>
    <row r="69" spans="4:8" x14ac:dyDescent="0.45">
      <c r="D69" s="119" t="str">
        <f>G1</f>
        <v>91-180 Days</v>
      </c>
      <c r="E69" s="119">
        <f>G61/1000000</f>
        <v>3.35829047</v>
      </c>
      <c r="F69" s="151">
        <f t="shared" si="4"/>
        <v>8.4820797864670422E-2</v>
      </c>
    </row>
    <row r="70" spans="4:8" x14ac:dyDescent="0.45">
      <c r="D70" s="119" t="str">
        <f>H1</f>
        <v>Above 180 Days</v>
      </c>
      <c r="E70" s="119">
        <f>H61/1000000</f>
        <v>4.0600899899999998</v>
      </c>
      <c r="F70" s="209">
        <f t="shared" si="4"/>
        <v>0.10254624352197914</v>
      </c>
    </row>
    <row r="71" spans="4:8" x14ac:dyDescent="0.45">
      <c r="D71" s="120" t="s">
        <v>276</v>
      </c>
      <c r="E71" s="120">
        <f>SUM(E65:E70)</f>
        <v>39.592771519999999</v>
      </c>
      <c r="F71" s="121">
        <f>E71/$E$71</f>
        <v>1</v>
      </c>
    </row>
    <row r="73" spans="4:8" x14ac:dyDescent="0.45">
      <c r="G73" s="145"/>
    </row>
    <row r="75" spans="4:8" x14ac:dyDescent="0.45">
      <c r="E75" s="148"/>
    </row>
    <row r="77" spans="4:8" x14ac:dyDescent="0.45">
      <c r="F77" s="149"/>
      <c r="G77" s="150"/>
    </row>
    <row r="78" spans="4:8" x14ac:dyDescent="0.45">
      <c r="F78" s="107"/>
      <c r="H78" s="107"/>
    </row>
    <row r="80" spans="4:8" x14ac:dyDescent="0.45">
      <c r="H80" s="107"/>
    </row>
    <row r="81" spans="7:7" x14ac:dyDescent="0.45">
      <c r="G81" s="107"/>
    </row>
  </sheetData>
  <autoFilter ref="A1:I45" xr:uid="{40264869-AAF9-430F-9725-3837CCC5D5DC}">
    <sortState xmlns:xlrd2="http://schemas.microsoft.com/office/spreadsheetml/2017/richdata2" ref="A2:I45">
      <sortCondition descending="1" ref="I1:I45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A210-D593-4CD5-858F-4A5235B355D8}">
  <dimension ref="C11:E12"/>
  <sheetViews>
    <sheetView workbookViewId="0">
      <selection activeCell="F18" sqref="F18"/>
    </sheetView>
  </sheetViews>
  <sheetFormatPr defaultRowHeight="14.25" x14ac:dyDescent="0.45"/>
  <cols>
    <col min="4" max="4" width="22" customWidth="1"/>
  </cols>
  <sheetData>
    <row r="11" spans="3:5" x14ac:dyDescent="0.45">
      <c r="C11" t="s">
        <v>292</v>
      </c>
      <c r="D11" s="228">
        <f>(37307067-8000000)/3.75</f>
        <v>7815217.8666666662</v>
      </c>
    </row>
    <row r="12" spans="3:5" x14ac:dyDescent="0.45">
      <c r="C12" t="s">
        <v>293</v>
      </c>
      <c r="D12" s="228">
        <v>6766656.6600000001</v>
      </c>
      <c r="E12" s="229">
        <f>D11/D12</f>
        <v>1.154960013394069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D823-7749-4340-B34F-29CD07655DD2}">
  <sheetPr codeName="Sheet9"/>
  <dimension ref="A1:AL29"/>
  <sheetViews>
    <sheetView workbookViewId="0">
      <selection activeCell="U12" sqref="H12:U16"/>
    </sheetView>
  </sheetViews>
  <sheetFormatPr defaultColWidth="8.53125" defaultRowHeight="13.15" x14ac:dyDescent="0.4"/>
  <cols>
    <col min="1" max="1" width="8.53125" style="125"/>
    <col min="2" max="2" width="23.53125" style="125" bestFit="1" customWidth="1"/>
    <col min="3" max="3" width="13.53125" style="125" bestFit="1" customWidth="1"/>
    <col min="4" max="6" width="12.53125" style="125" bestFit="1" customWidth="1"/>
    <col min="7" max="14" width="13.53125" style="125" bestFit="1" customWidth="1"/>
    <col min="15" max="16" width="14" style="125" bestFit="1" customWidth="1"/>
    <col min="17" max="17" width="15" style="125" bestFit="1" customWidth="1"/>
    <col min="18" max="18" width="12.53125" style="125" bestFit="1" customWidth="1"/>
    <col min="19" max="27" width="13.53125" style="125" bestFit="1" customWidth="1"/>
    <col min="28" max="30" width="12.53125" style="125" bestFit="1" customWidth="1"/>
    <col min="31" max="38" width="13.53125" style="125" bestFit="1" customWidth="1"/>
    <col min="39" max="16384" width="8.53125" style="125"/>
  </cols>
  <sheetData>
    <row r="1" spans="1:38" ht="14.65" thickBot="1" x14ac:dyDescent="0.45">
      <c r="A1" s="124" t="s">
        <v>277</v>
      </c>
    </row>
    <row r="2" spans="1:38" ht="15.75" x14ac:dyDescent="0.6">
      <c r="A2" s="126" t="s">
        <v>278</v>
      </c>
      <c r="B2" s="127" t="s">
        <v>279</v>
      </c>
      <c r="C2" s="127">
        <v>45292</v>
      </c>
      <c r="D2" s="127">
        <v>45323</v>
      </c>
      <c r="E2" s="127">
        <v>45352</v>
      </c>
      <c r="F2" s="127">
        <v>45383</v>
      </c>
      <c r="G2" s="127">
        <v>45413</v>
      </c>
      <c r="H2" s="127">
        <v>45444</v>
      </c>
      <c r="I2" s="127">
        <v>45474</v>
      </c>
      <c r="J2" s="127">
        <v>45505</v>
      </c>
      <c r="K2" s="127">
        <v>45536</v>
      </c>
      <c r="L2" s="127">
        <v>45566</v>
      </c>
      <c r="M2" s="127">
        <v>45597</v>
      </c>
      <c r="N2" s="127">
        <v>45627</v>
      </c>
      <c r="O2" s="127">
        <v>45658</v>
      </c>
      <c r="P2" s="127">
        <v>45689</v>
      </c>
      <c r="Q2" s="127">
        <v>45717</v>
      </c>
      <c r="R2" s="127">
        <v>45748</v>
      </c>
      <c r="S2" s="127">
        <v>45778</v>
      </c>
      <c r="T2" s="127">
        <v>45809</v>
      </c>
      <c r="U2" s="127">
        <v>45839</v>
      </c>
      <c r="V2" s="127">
        <v>45870</v>
      </c>
      <c r="W2" s="127">
        <v>45901</v>
      </c>
      <c r="X2" s="127">
        <v>45931</v>
      </c>
      <c r="Y2" s="127">
        <v>45962</v>
      </c>
      <c r="Z2" s="127">
        <v>45992</v>
      </c>
      <c r="AA2" s="127">
        <v>46023</v>
      </c>
      <c r="AB2" s="127">
        <v>46054</v>
      </c>
      <c r="AC2" s="127">
        <v>46082</v>
      </c>
      <c r="AD2" s="127">
        <v>46113</v>
      </c>
      <c r="AE2" s="127">
        <v>46143</v>
      </c>
      <c r="AF2" s="127">
        <v>46174</v>
      </c>
      <c r="AG2" s="127">
        <v>46204</v>
      </c>
      <c r="AH2" s="127">
        <v>46235</v>
      </c>
      <c r="AI2" s="127">
        <v>46266</v>
      </c>
      <c r="AJ2" s="127">
        <v>46296</v>
      </c>
      <c r="AK2" s="127">
        <v>46327</v>
      </c>
      <c r="AL2" s="128">
        <v>46357</v>
      </c>
    </row>
    <row r="3" spans="1:38" s="129" customFormat="1" x14ac:dyDescent="0.4">
      <c r="A3" s="129" t="s">
        <v>280</v>
      </c>
      <c r="B3" s="129" t="s">
        <v>281</v>
      </c>
      <c r="C3" s="129">
        <v>12000000</v>
      </c>
      <c r="D3" s="129">
        <v>9000000</v>
      </c>
      <c r="E3" s="129">
        <v>9000000</v>
      </c>
      <c r="F3" s="129">
        <v>9000000</v>
      </c>
      <c r="G3" s="129">
        <v>15000000</v>
      </c>
      <c r="H3" s="129">
        <v>15000000</v>
      </c>
      <c r="I3" s="129">
        <v>21000000</v>
      </c>
      <c r="J3" s="129">
        <v>21000000</v>
      </c>
      <c r="K3" s="129">
        <v>21000000</v>
      </c>
      <c r="L3" s="129">
        <v>21000000</v>
      </c>
      <c r="M3" s="129">
        <v>24000000</v>
      </c>
      <c r="N3" s="129">
        <v>24000000</v>
      </c>
      <c r="O3" s="129">
        <v>12000000</v>
      </c>
      <c r="P3" s="129">
        <v>9000000</v>
      </c>
      <c r="Q3" s="129">
        <v>9000000</v>
      </c>
      <c r="R3" s="129">
        <v>9000000</v>
      </c>
      <c r="S3" s="129">
        <v>15000000</v>
      </c>
      <c r="T3" s="129">
        <v>15000000</v>
      </c>
      <c r="U3" s="129">
        <v>21000000</v>
      </c>
      <c r="V3" s="129">
        <v>21000000</v>
      </c>
      <c r="W3" s="129">
        <v>21000000</v>
      </c>
      <c r="X3" s="129">
        <v>21000000</v>
      </c>
      <c r="Y3" s="129">
        <v>24000000</v>
      </c>
      <c r="Z3" s="129">
        <v>24000000</v>
      </c>
      <c r="AA3" s="129">
        <v>12000000</v>
      </c>
      <c r="AB3" s="129">
        <v>9000000</v>
      </c>
      <c r="AC3" s="129">
        <v>9000000</v>
      </c>
      <c r="AD3" s="129">
        <v>9000000</v>
      </c>
      <c r="AE3" s="129">
        <v>15000000</v>
      </c>
      <c r="AF3" s="129">
        <v>15000000</v>
      </c>
      <c r="AG3" s="129">
        <v>21000000</v>
      </c>
      <c r="AH3" s="129">
        <v>21000000</v>
      </c>
      <c r="AI3" s="129">
        <v>21000000</v>
      </c>
      <c r="AJ3" s="129">
        <v>21000000</v>
      </c>
      <c r="AK3" s="129">
        <v>24000000</v>
      </c>
      <c r="AL3" s="129">
        <v>24000000</v>
      </c>
    </row>
    <row r="4" spans="1:38" s="129" customFormat="1" x14ac:dyDescent="0.4">
      <c r="A4" s="129" t="s">
        <v>280</v>
      </c>
      <c r="B4" s="129" t="s">
        <v>282</v>
      </c>
      <c r="C4" s="129">
        <v>2000000</v>
      </c>
      <c r="D4" s="129">
        <v>3200000</v>
      </c>
      <c r="E4" s="129">
        <v>2800000</v>
      </c>
      <c r="F4" s="129">
        <v>2800000</v>
      </c>
      <c r="G4" s="129">
        <v>4000000</v>
      </c>
      <c r="H4" s="129">
        <v>8000000</v>
      </c>
      <c r="I4" s="129">
        <v>8000000</v>
      </c>
      <c r="J4" s="129">
        <v>12000000</v>
      </c>
      <c r="K4" s="129">
        <v>12000000</v>
      </c>
      <c r="L4" s="129">
        <v>12000000</v>
      </c>
      <c r="M4" s="129">
        <v>16000000</v>
      </c>
      <c r="N4" s="129">
        <v>16000000</v>
      </c>
      <c r="O4" s="129">
        <v>2000000</v>
      </c>
      <c r="P4" s="129">
        <v>3200000</v>
      </c>
      <c r="Q4" s="129">
        <v>2800000</v>
      </c>
      <c r="R4" s="129">
        <v>2800000</v>
      </c>
      <c r="S4" s="129">
        <v>4000000</v>
      </c>
      <c r="T4" s="129">
        <v>8000000</v>
      </c>
      <c r="U4" s="129">
        <v>8000000</v>
      </c>
      <c r="V4" s="129">
        <v>12000000</v>
      </c>
      <c r="W4" s="129">
        <v>12000000</v>
      </c>
      <c r="X4" s="129">
        <v>12000000</v>
      </c>
      <c r="Y4" s="129">
        <v>16000000</v>
      </c>
      <c r="Z4" s="129">
        <v>16000000</v>
      </c>
      <c r="AA4" s="129">
        <v>2000000</v>
      </c>
      <c r="AB4" s="129">
        <v>3200000</v>
      </c>
      <c r="AC4" s="129">
        <v>2800000</v>
      </c>
      <c r="AD4" s="129">
        <v>2800000</v>
      </c>
      <c r="AE4" s="129">
        <v>4000000</v>
      </c>
      <c r="AF4" s="129">
        <v>8000000</v>
      </c>
      <c r="AG4" s="129">
        <v>8000000</v>
      </c>
      <c r="AH4" s="129">
        <v>12000000</v>
      </c>
      <c r="AI4" s="129">
        <v>12000000</v>
      </c>
      <c r="AJ4" s="129">
        <v>12000000</v>
      </c>
      <c r="AK4" s="129">
        <v>16000000</v>
      </c>
      <c r="AL4" s="129">
        <v>16000000</v>
      </c>
    </row>
    <row r="5" spans="1:38" x14ac:dyDescent="0.4">
      <c r="A5" s="129" t="s">
        <v>283</v>
      </c>
      <c r="B5" s="129" t="s">
        <v>281</v>
      </c>
      <c r="C5" s="129">
        <f>C3/4</f>
        <v>3000000</v>
      </c>
      <c r="D5" s="129">
        <f t="shared" ref="D5:AL6" si="0">D3/4</f>
        <v>2250000</v>
      </c>
      <c r="E5" s="129">
        <f t="shared" si="0"/>
        <v>2250000</v>
      </c>
      <c r="F5" s="129">
        <f t="shared" si="0"/>
        <v>2250000</v>
      </c>
      <c r="G5" s="129">
        <f t="shared" si="0"/>
        <v>3750000</v>
      </c>
      <c r="H5" s="129">
        <f t="shared" si="0"/>
        <v>3750000</v>
      </c>
      <c r="I5" s="129">
        <f t="shared" si="0"/>
        <v>5250000</v>
      </c>
      <c r="J5" s="129">
        <f t="shared" si="0"/>
        <v>5250000</v>
      </c>
      <c r="K5" s="129">
        <f t="shared" si="0"/>
        <v>5250000</v>
      </c>
      <c r="L5" s="129">
        <f t="shared" si="0"/>
        <v>5250000</v>
      </c>
      <c r="M5" s="129">
        <f t="shared" si="0"/>
        <v>6000000</v>
      </c>
      <c r="N5" s="129">
        <f t="shared" si="0"/>
        <v>6000000</v>
      </c>
      <c r="O5" s="129">
        <f t="shared" si="0"/>
        <v>3000000</v>
      </c>
      <c r="P5" s="129">
        <f t="shared" si="0"/>
        <v>2250000</v>
      </c>
      <c r="Q5" s="129">
        <f t="shared" si="0"/>
        <v>2250000</v>
      </c>
      <c r="R5" s="129">
        <f t="shared" si="0"/>
        <v>2250000</v>
      </c>
      <c r="S5" s="129">
        <f t="shared" si="0"/>
        <v>3750000</v>
      </c>
      <c r="T5" s="129">
        <f t="shared" si="0"/>
        <v>3750000</v>
      </c>
      <c r="U5" s="129">
        <f t="shared" si="0"/>
        <v>5250000</v>
      </c>
      <c r="V5" s="129">
        <f t="shared" si="0"/>
        <v>5250000</v>
      </c>
      <c r="W5" s="129">
        <f t="shared" si="0"/>
        <v>5250000</v>
      </c>
      <c r="X5" s="129">
        <f t="shared" si="0"/>
        <v>5250000</v>
      </c>
      <c r="Y5" s="129">
        <f t="shared" si="0"/>
        <v>6000000</v>
      </c>
      <c r="Z5" s="129">
        <f t="shared" si="0"/>
        <v>6000000</v>
      </c>
      <c r="AA5" s="129">
        <f t="shared" si="0"/>
        <v>3000000</v>
      </c>
      <c r="AB5" s="129">
        <f t="shared" si="0"/>
        <v>2250000</v>
      </c>
      <c r="AC5" s="129">
        <f t="shared" si="0"/>
        <v>2250000</v>
      </c>
      <c r="AD5" s="129">
        <f t="shared" si="0"/>
        <v>2250000</v>
      </c>
      <c r="AE5" s="129">
        <f t="shared" si="0"/>
        <v>3750000</v>
      </c>
      <c r="AF5" s="129">
        <f t="shared" si="0"/>
        <v>3750000</v>
      </c>
      <c r="AG5" s="129">
        <f t="shared" si="0"/>
        <v>5250000</v>
      </c>
      <c r="AH5" s="129">
        <f t="shared" si="0"/>
        <v>5250000</v>
      </c>
      <c r="AI5" s="129">
        <f t="shared" si="0"/>
        <v>5250000</v>
      </c>
      <c r="AJ5" s="129">
        <f t="shared" si="0"/>
        <v>5250000</v>
      </c>
      <c r="AK5" s="129">
        <f t="shared" si="0"/>
        <v>6000000</v>
      </c>
      <c r="AL5" s="129">
        <f t="shared" si="0"/>
        <v>6000000</v>
      </c>
    </row>
    <row r="6" spans="1:38" x14ac:dyDescent="0.4">
      <c r="A6" s="129" t="s">
        <v>283</v>
      </c>
      <c r="B6" s="129" t="s">
        <v>282</v>
      </c>
      <c r="C6" s="129">
        <f>C4/4</f>
        <v>500000</v>
      </c>
      <c r="D6" s="129">
        <f t="shared" si="0"/>
        <v>800000</v>
      </c>
      <c r="E6" s="129">
        <f t="shared" si="0"/>
        <v>700000</v>
      </c>
      <c r="F6" s="129">
        <f t="shared" si="0"/>
        <v>700000</v>
      </c>
      <c r="G6" s="129">
        <f t="shared" si="0"/>
        <v>1000000</v>
      </c>
      <c r="H6" s="129">
        <f t="shared" si="0"/>
        <v>2000000</v>
      </c>
      <c r="I6" s="129">
        <f t="shared" si="0"/>
        <v>2000000</v>
      </c>
      <c r="J6" s="129">
        <f t="shared" si="0"/>
        <v>3000000</v>
      </c>
      <c r="K6" s="129">
        <f t="shared" si="0"/>
        <v>3000000</v>
      </c>
      <c r="L6" s="129">
        <f t="shared" si="0"/>
        <v>3000000</v>
      </c>
      <c r="M6" s="129">
        <f t="shared" si="0"/>
        <v>4000000</v>
      </c>
      <c r="N6" s="129">
        <f t="shared" si="0"/>
        <v>4000000</v>
      </c>
      <c r="O6" s="129">
        <f t="shared" si="0"/>
        <v>500000</v>
      </c>
      <c r="P6" s="129">
        <f t="shared" si="0"/>
        <v>800000</v>
      </c>
      <c r="Q6" s="129">
        <f t="shared" si="0"/>
        <v>700000</v>
      </c>
      <c r="R6" s="129">
        <f t="shared" si="0"/>
        <v>700000</v>
      </c>
      <c r="S6" s="129">
        <f t="shared" si="0"/>
        <v>1000000</v>
      </c>
      <c r="T6" s="129">
        <f t="shared" si="0"/>
        <v>2000000</v>
      </c>
      <c r="U6" s="129">
        <f t="shared" si="0"/>
        <v>2000000</v>
      </c>
      <c r="V6" s="129">
        <f t="shared" si="0"/>
        <v>3000000</v>
      </c>
      <c r="W6" s="129">
        <f t="shared" si="0"/>
        <v>3000000</v>
      </c>
      <c r="X6" s="129">
        <f t="shared" si="0"/>
        <v>3000000</v>
      </c>
      <c r="Y6" s="129">
        <f t="shared" si="0"/>
        <v>4000000</v>
      </c>
      <c r="Z6" s="129">
        <f t="shared" si="0"/>
        <v>4000000</v>
      </c>
      <c r="AA6" s="129">
        <f t="shared" si="0"/>
        <v>500000</v>
      </c>
      <c r="AB6" s="129">
        <f t="shared" si="0"/>
        <v>800000</v>
      </c>
      <c r="AC6" s="129">
        <f t="shared" si="0"/>
        <v>700000</v>
      </c>
      <c r="AD6" s="129">
        <f t="shared" si="0"/>
        <v>700000</v>
      </c>
      <c r="AE6" s="129">
        <f t="shared" si="0"/>
        <v>1000000</v>
      </c>
      <c r="AF6" s="129">
        <f t="shared" si="0"/>
        <v>2000000</v>
      </c>
      <c r="AG6" s="129">
        <f t="shared" si="0"/>
        <v>2000000</v>
      </c>
      <c r="AH6" s="129">
        <f t="shared" si="0"/>
        <v>3000000</v>
      </c>
      <c r="AI6" s="129">
        <f t="shared" si="0"/>
        <v>3000000</v>
      </c>
      <c r="AJ6" s="129">
        <f t="shared" si="0"/>
        <v>3000000</v>
      </c>
      <c r="AK6" s="129">
        <f t="shared" si="0"/>
        <v>4000000</v>
      </c>
      <c r="AL6" s="129">
        <f t="shared" si="0"/>
        <v>4000000</v>
      </c>
    </row>
    <row r="7" spans="1:38" x14ac:dyDescent="0.4">
      <c r="A7" s="129" t="s">
        <v>284</v>
      </c>
      <c r="B7" s="129" t="s">
        <v>281</v>
      </c>
      <c r="C7" s="129">
        <f>C3/2</f>
        <v>6000000</v>
      </c>
      <c r="D7" s="129">
        <f t="shared" ref="D7:AL8" si="1">D3/2</f>
        <v>4500000</v>
      </c>
      <c r="E7" s="129">
        <f t="shared" si="1"/>
        <v>4500000</v>
      </c>
      <c r="F7" s="129">
        <f t="shared" si="1"/>
        <v>4500000</v>
      </c>
      <c r="G7" s="129">
        <f t="shared" si="1"/>
        <v>7500000</v>
      </c>
      <c r="H7" s="129">
        <f t="shared" si="1"/>
        <v>7500000</v>
      </c>
      <c r="I7" s="129">
        <f t="shared" si="1"/>
        <v>10500000</v>
      </c>
      <c r="J7" s="129">
        <f t="shared" si="1"/>
        <v>10500000</v>
      </c>
      <c r="K7" s="129">
        <f t="shared" si="1"/>
        <v>10500000</v>
      </c>
      <c r="L7" s="129">
        <f t="shared" si="1"/>
        <v>10500000</v>
      </c>
      <c r="M7" s="129">
        <f t="shared" si="1"/>
        <v>12000000</v>
      </c>
      <c r="N7" s="129">
        <f t="shared" si="1"/>
        <v>12000000</v>
      </c>
      <c r="O7" s="129">
        <f t="shared" si="1"/>
        <v>6000000</v>
      </c>
      <c r="P7" s="129">
        <f t="shared" si="1"/>
        <v>4500000</v>
      </c>
      <c r="Q7" s="129">
        <f t="shared" si="1"/>
        <v>4500000</v>
      </c>
      <c r="R7" s="129">
        <f t="shared" si="1"/>
        <v>4500000</v>
      </c>
      <c r="S7" s="129">
        <f t="shared" si="1"/>
        <v>7500000</v>
      </c>
      <c r="T7" s="129">
        <f t="shared" si="1"/>
        <v>7500000</v>
      </c>
      <c r="U7" s="129">
        <f t="shared" si="1"/>
        <v>10500000</v>
      </c>
      <c r="V7" s="129">
        <f t="shared" si="1"/>
        <v>10500000</v>
      </c>
      <c r="W7" s="129">
        <f t="shared" si="1"/>
        <v>10500000</v>
      </c>
      <c r="X7" s="129">
        <f t="shared" si="1"/>
        <v>10500000</v>
      </c>
      <c r="Y7" s="129">
        <f t="shared" si="1"/>
        <v>12000000</v>
      </c>
      <c r="Z7" s="129">
        <f t="shared" si="1"/>
        <v>12000000</v>
      </c>
      <c r="AA7" s="129">
        <f t="shared" si="1"/>
        <v>6000000</v>
      </c>
      <c r="AB7" s="129">
        <f t="shared" si="1"/>
        <v>4500000</v>
      </c>
      <c r="AC7" s="129">
        <f t="shared" si="1"/>
        <v>4500000</v>
      </c>
      <c r="AD7" s="129">
        <f t="shared" si="1"/>
        <v>4500000</v>
      </c>
      <c r="AE7" s="129">
        <f t="shared" si="1"/>
        <v>7500000</v>
      </c>
      <c r="AF7" s="129">
        <f t="shared" si="1"/>
        <v>7500000</v>
      </c>
      <c r="AG7" s="129">
        <f t="shared" si="1"/>
        <v>10500000</v>
      </c>
      <c r="AH7" s="129">
        <f t="shared" si="1"/>
        <v>10500000</v>
      </c>
      <c r="AI7" s="129">
        <f t="shared" si="1"/>
        <v>10500000</v>
      </c>
      <c r="AJ7" s="129">
        <f t="shared" si="1"/>
        <v>10500000</v>
      </c>
      <c r="AK7" s="129">
        <f t="shared" si="1"/>
        <v>12000000</v>
      </c>
      <c r="AL7" s="129">
        <f t="shared" si="1"/>
        <v>12000000</v>
      </c>
    </row>
    <row r="8" spans="1:38" x14ac:dyDescent="0.4">
      <c r="A8" s="129" t="s">
        <v>284</v>
      </c>
      <c r="B8" s="129" t="s">
        <v>282</v>
      </c>
      <c r="C8" s="129">
        <f>C4/2</f>
        <v>1000000</v>
      </c>
      <c r="D8" s="129">
        <f t="shared" si="1"/>
        <v>1600000</v>
      </c>
      <c r="E8" s="129">
        <f t="shared" si="1"/>
        <v>1400000</v>
      </c>
      <c r="F8" s="129">
        <f t="shared" si="1"/>
        <v>1400000</v>
      </c>
      <c r="G8" s="129">
        <f t="shared" si="1"/>
        <v>2000000</v>
      </c>
      <c r="H8" s="129">
        <f t="shared" si="1"/>
        <v>4000000</v>
      </c>
      <c r="I8" s="129">
        <f t="shared" si="1"/>
        <v>4000000</v>
      </c>
      <c r="J8" s="129">
        <f t="shared" si="1"/>
        <v>6000000</v>
      </c>
      <c r="K8" s="129">
        <f t="shared" si="1"/>
        <v>6000000</v>
      </c>
      <c r="L8" s="129">
        <f t="shared" si="1"/>
        <v>6000000</v>
      </c>
      <c r="M8" s="129">
        <f t="shared" si="1"/>
        <v>8000000</v>
      </c>
      <c r="N8" s="129">
        <f t="shared" si="1"/>
        <v>8000000</v>
      </c>
      <c r="O8" s="129">
        <f t="shared" si="1"/>
        <v>1000000</v>
      </c>
      <c r="P8" s="129">
        <f t="shared" si="1"/>
        <v>1600000</v>
      </c>
      <c r="Q8" s="129">
        <f t="shared" si="1"/>
        <v>1400000</v>
      </c>
      <c r="R8" s="129">
        <f t="shared" si="1"/>
        <v>1400000</v>
      </c>
      <c r="S8" s="129">
        <f t="shared" si="1"/>
        <v>2000000</v>
      </c>
      <c r="T8" s="129">
        <f t="shared" si="1"/>
        <v>4000000</v>
      </c>
      <c r="U8" s="129">
        <f t="shared" si="1"/>
        <v>4000000</v>
      </c>
      <c r="V8" s="129">
        <f t="shared" si="1"/>
        <v>6000000</v>
      </c>
      <c r="W8" s="129">
        <f t="shared" si="1"/>
        <v>6000000</v>
      </c>
      <c r="X8" s="129">
        <f t="shared" si="1"/>
        <v>6000000</v>
      </c>
      <c r="Y8" s="129">
        <f t="shared" si="1"/>
        <v>8000000</v>
      </c>
      <c r="Z8" s="129">
        <f t="shared" si="1"/>
        <v>8000000</v>
      </c>
      <c r="AA8" s="129">
        <f t="shared" si="1"/>
        <v>1000000</v>
      </c>
      <c r="AB8" s="129">
        <f t="shared" si="1"/>
        <v>1600000</v>
      </c>
      <c r="AC8" s="129">
        <f t="shared" si="1"/>
        <v>1400000</v>
      </c>
      <c r="AD8" s="129">
        <f t="shared" si="1"/>
        <v>1400000</v>
      </c>
      <c r="AE8" s="129">
        <f t="shared" si="1"/>
        <v>2000000</v>
      </c>
      <c r="AF8" s="129">
        <f t="shared" si="1"/>
        <v>4000000</v>
      </c>
      <c r="AG8" s="129">
        <f t="shared" si="1"/>
        <v>4000000</v>
      </c>
      <c r="AH8" s="129">
        <f t="shared" si="1"/>
        <v>6000000</v>
      </c>
      <c r="AI8" s="129">
        <f t="shared" si="1"/>
        <v>6000000</v>
      </c>
      <c r="AJ8" s="129">
        <f t="shared" si="1"/>
        <v>6000000</v>
      </c>
      <c r="AK8" s="129">
        <f t="shared" si="1"/>
        <v>8000000</v>
      </c>
      <c r="AL8" s="129">
        <f t="shared" si="1"/>
        <v>8000000</v>
      </c>
    </row>
    <row r="11" spans="1:38" ht="14.25" x14ac:dyDescent="0.45">
      <c r="B11" s="130" t="s">
        <v>285</v>
      </c>
      <c r="C11" s="131">
        <v>0.01</v>
      </c>
    </row>
    <row r="12" spans="1:38" ht="14.25" x14ac:dyDescent="0.45">
      <c r="B12" s="130" t="s">
        <v>286</v>
      </c>
      <c r="C12" s="131">
        <v>1.2500000000000001E-2</v>
      </c>
    </row>
    <row r="13" spans="1:38" x14ac:dyDescent="0.4">
      <c r="C13" s="132"/>
    </row>
    <row r="15" spans="1:38" ht="14.65" thickBot="1" x14ac:dyDescent="0.45">
      <c r="A15" s="124" t="s">
        <v>287</v>
      </c>
    </row>
    <row r="16" spans="1:38" ht="15.75" x14ac:dyDescent="0.6">
      <c r="A16" s="126" t="s">
        <v>278</v>
      </c>
      <c r="B16" s="126" t="s">
        <v>279</v>
      </c>
      <c r="C16" s="127">
        <v>45292</v>
      </c>
      <c r="D16" s="127">
        <v>45323</v>
      </c>
      <c r="E16" s="127">
        <v>45352</v>
      </c>
      <c r="F16" s="127">
        <v>45383</v>
      </c>
      <c r="G16" s="127">
        <v>45413</v>
      </c>
      <c r="H16" s="127">
        <v>45444</v>
      </c>
      <c r="I16" s="127">
        <v>45474</v>
      </c>
      <c r="J16" s="127">
        <v>45505</v>
      </c>
      <c r="K16" s="127">
        <v>45536</v>
      </c>
      <c r="L16" s="127">
        <v>45566</v>
      </c>
      <c r="M16" s="127">
        <v>45597</v>
      </c>
      <c r="N16" s="127">
        <v>45627</v>
      </c>
      <c r="O16" s="127">
        <v>45658</v>
      </c>
      <c r="P16" s="127">
        <v>45689</v>
      </c>
      <c r="Q16" s="127">
        <v>45717</v>
      </c>
      <c r="R16" s="127">
        <v>45748</v>
      </c>
      <c r="S16" s="127">
        <v>45778</v>
      </c>
      <c r="T16" s="127">
        <v>45809</v>
      </c>
      <c r="U16" s="127">
        <v>45839</v>
      </c>
      <c r="V16" s="127">
        <v>45870</v>
      </c>
      <c r="W16" s="127">
        <v>45901</v>
      </c>
      <c r="X16" s="127">
        <v>45931</v>
      </c>
      <c r="Y16" s="127">
        <v>45962</v>
      </c>
      <c r="Z16" s="127">
        <v>45992</v>
      </c>
      <c r="AA16" s="127">
        <v>46023</v>
      </c>
      <c r="AB16" s="127">
        <v>46054</v>
      </c>
      <c r="AC16" s="127">
        <v>46082</v>
      </c>
      <c r="AD16" s="127">
        <v>46113</v>
      </c>
      <c r="AE16" s="127">
        <v>46143</v>
      </c>
      <c r="AF16" s="127">
        <v>46174</v>
      </c>
      <c r="AG16" s="127">
        <v>46204</v>
      </c>
      <c r="AH16" s="127">
        <v>46235</v>
      </c>
      <c r="AI16" s="127">
        <v>46266</v>
      </c>
      <c r="AJ16" s="127">
        <v>46296</v>
      </c>
      <c r="AK16" s="127">
        <v>46327</v>
      </c>
      <c r="AL16" s="128">
        <v>46357</v>
      </c>
    </row>
    <row r="17" spans="1:38" x14ac:dyDescent="0.4">
      <c r="A17" s="129" t="s">
        <v>280</v>
      </c>
      <c r="B17" s="129" t="s">
        <v>288</v>
      </c>
      <c r="C17" s="133">
        <f>C$3*$C$12</f>
        <v>150000</v>
      </c>
      <c r="D17" s="133">
        <f t="shared" ref="D17:AL17" si="2">D$3*$C$12</f>
        <v>112500</v>
      </c>
      <c r="E17" s="133">
        <f t="shared" si="2"/>
        <v>112500</v>
      </c>
      <c r="F17" s="133">
        <f t="shared" si="2"/>
        <v>112500</v>
      </c>
      <c r="G17" s="133">
        <f t="shared" si="2"/>
        <v>187500</v>
      </c>
      <c r="H17" s="133">
        <f t="shared" si="2"/>
        <v>187500</v>
      </c>
      <c r="I17" s="133">
        <f t="shared" si="2"/>
        <v>262500</v>
      </c>
      <c r="J17" s="133">
        <f t="shared" si="2"/>
        <v>262500</v>
      </c>
      <c r="K17" s="133">
        <f t="shared" si="2"/>
        <v>262500</v>
      </c>
      <c r="L17" s="133">
        <f t="shared" si="2"/>
        <v>262500</v>
      </c>
      <c r="M17" s="133">
        <f t="shared" si="2"/>
        <v>300000</v>
      </c>
      <c r="N17" s="133">
        <f t="shared" si="2"/>
        <v>300000</v>
      </c>
      <c r="O17" s="133">
        <f t="shared" si="2"/>
        <v>150000</v>
      </c>
      <c r="P17" s="133">
        <f t="shared" si="2"/>
        <v>112500</v>
      </c>
      <c r="Q17" s="133">
        <f t="shared" si="2"/>
        <v>112500</v>
      </c>
      <c r="R17" s="133">
        <f t="shared" si="2"/>
        <v>112500</v>
      </c>
      <c r="S17" s="133">
        <f t="shared" si="2"/>
        <v>187500</v>
      </c>
      <c r="T17" s="133">
        <f t="shared" si="2"/>
        <v>187500</v>
      </c>
      <c r="U17" s="133">
        <f t="shared" si="2"/>
        <v>262500</v>
      </c>
      <c r="V17" s="133">
        <f t="shared" si="2"/>
        <v>262500</v>
      </c>
      <c r="W17" s="133">
        <f t="shared" si="2"/>
        <v>262500</v>
      </c>
      <c r="X17" s="133">
        <f t="shared" si="2"/>
        <v>262500</v>
      </c>
      <c r="Y17" s="133">
        <f t="shared" si="2"/>
        <v>300000</v>
      </c>
      <c r="Z17" s="133">
        <f t="shared" si="2"/>
        <v>300000</v>
      </c>
      <c r="AA17" s="133">
        <f t="shared" si="2"/>
        <v>150000</v>
      </c>
      <c r="AB17" s="133">
        <f t="shared" si="2"/>
        <v>112500</v>
      </c>
      <c r="AC17" s="133">
        <f t="shared" si="2"/>
        <v>112500</v>
      </c>
      <c r="AD17" s="133">
        <f t="shared" si="2"/>
        <v>112500</v>
      </c>
      <c r="AE17" s="133">
        <f t="shared" si="2"/>
        <v>187500</v>
      </c>
      <c r="AF17" s="133">
        <f t="shared" si="2"/>
        <v>187500</v>
      </c>
      <c r="AG17" s="133">
        <f t="shared" si="2"/>
        <v>262500</v>
      </c>
      <c r="AH17" s="133">
        <f t="shared" si="2"/>
        <v>262500</v>
      </c>
      <c r="AI17" s="133">
        <f t="shared" si="2"/>
        <v>262500</v>
      </c>
      <c r="AJ17" s="133">
        <f t="shared" si="2"/>
        <v>262500</v>
      </c>
      <c r="AK17" s="133">
        <f t="shared" si="2"/>
        <v>300000</v>
      </c>
      <c r="AL17" s="133">
        <f t="shared" si="2"/>
        <v>300000</v>
      </c>
    </row>
    <row r="18" spans="1:38" x14ac:dyDescent="0.4">
      <c r="A18" s="129" t="s">
        <v>280</v>
      </c>
      <c r="B18" s="129" t="s">
        <v>289</v>
      </c>
      <c r="C18" s="133">
        <f>C$4*$C$11</f>
        <v>20000</v>
      </c>
      <c r="D18" s="133">
        <f t="shared" ref="D18:AL18" si="3">D$4*$C$11</f>
        <v>32000</v>
      </c>
      <c r="E18" s="133">
        <f t="shared" si="3"/>
        <v>28000</v>
      </c>
      <c r="F18" s="133">
        <f t="shared" si="3"/>
        <v>28000</v>
      </c>
      <c r="G18" s="133">
        <f t="shared" si="3"/>
        <v>40000</v>
      </c>
      <c r="H18" s="133">
        <f t="shared" si="3"/>
        <v>80000</v>
      </c>
      <c r="I18" s="133">
        <f t="shared" si="3"/>
        <v>80000</v>
      </c>
      <c r="J18" s="133">
        <f t="shared" si="3"/>
        <v>120000</v>
      </c>
      <c r="K18" s="133">
        <f t="shared" si="3"/>
        <v>120000</v>
      </c>
      <c r="L18" s="133">
        <f t="shared" si="3"/>
        <v>120000</v>
      </c>
      <c r="M18" s="133">
        <f t="shared" si="3"/>
        <v>160000</v>
      </c>
      <c r="N18" s="133">
        <f t="shared" si="3"/>
        <v>160000</v>
      </c>
      <c r="O18" s="133">
        <f t="shared" si="3"/>
        <v>20000</v>
      </c>
      <c r="P18" s="133">
        <f t="shared" si="3"/>
        <v>32000</v>
      </c>
      <c r="Q18" s="133">
        <f t="shared" si="3"/>
        <v>28000</v>
      </c>
      <c r="R18" s="133">
        <f t="shared" si="3"/>
        <v>28000</v>
      </c>
      <c r="S18" s="133">
        <f t="shared" si="3"/>
        <v>40000</v>
      </c>
      <c r="T18" s="133">
        <f t="shared" si="3"/>
        <v>80000</v>
      </c>
      <c r="U18" s="133">
        <f t="shared" si="3"/>
        <v>80000</v>
      </c>
      <c r="V18" s="133">
        <f t="shared" si="3"/>
        <v>120000</v>
      </c>
      <c r="W18" s="133">
        <f t="shared" si="3"/>
        <v>120000</v>
      </c>
      <c r="X18" s="133">
        <f t="shared" si="3"/>
        <v>120000</v>
      </c>
      <c r="Y18" s="133">
        <f t="shared" si="3"/>
        <v>160000</v>
      </c>
      <c r="Z18" s="133">
        <f t="shared" si="3"/>
        <v>160000</v>
      </c>
      <c r="AA18" s="133">
        <f t="shared" si="3"/>
        <v>20000</v>
      </c>
      <c r="AB18" s="133">
        <f t="shared" si="3"/>
        <v>32000</v>
      </c>
      <c r="AC18" s="133">
        <f t="shared" si="3"/>
        <v>28000</v>
      </c>
      <c r="AD18" s="133">
        <f t="shared" si="3"/>
        <v>28000</v>
      </c>
      <c r="AE18" s="133">
        <f t="shared" si="3"/>
        <v>40000</v>
      </c>
      <c r="AF18" s="133">
        <f t="shared" si="3"/>
        <v>80000</v>
      </c>
      <c r="AG18" s="133">
        <f t="shared" si="3"/>
        <v>80000</v>
      </c>
      <c r="AH18" s="133">
        <f t="shared" si="3"/>
        <v>120000</v>
      </c>
      <c r="AI18" s="133">
        <f t="shared" si="3"/>
        <v>120000</v>
      </c>
      <c r="AJ18" s="133">
        <f t="shared" si="3"/>
        <v>120000</v>
      </c>
      <c r="AK18" s="133">
        <f t="shared" si="3"/>
        <v>160000</v>
      </c>
      <c r="AL18" s="133">
        <f t="shared" si="3"/>
        <v>160000</v>
      </c>
    </row>
    <row r="19" spans="1:38" x14ac:dyDescent="0.4">
      <c r="A19" s="129" t="s">
        <v>283</v>
      </c>
      <c r="B19" s="129" t="s">
        <v>288</v>
      </c>
      <c r="C19" s="133">
        <f>C$5*$C$12</f>
        <v>37500</v>
      </c>
      <c r="D19" s="133">
        <f t="shared" ref="D19:AL19" si="4">D$5*$C$12</f>
        <v>28125</v>
      </c>
      <c r="E19" s="133">
        <f t="shared" si="4"/>
        <v>28125</v>
      </c>
      <c r="F19" s="133">
        <f t="shared" si="4"/>
        <v>28125</v>
      </c>
      <c r="G19" s="133">
        <f t="shared" si="4"/>
        <v>46875</v>
      </c>
      <c r="H19" s="133">
        <f t="shared" si="4"/>
        <v>46875</v>
      </c>
      <c r="I19" s="133">
        <f t="shared" si="4"/>
        <v>65625</v>
      </c>
      <c r="J19" s="133">
        <f t="shared" si="4"/>
        <v>65625</v>
      </c>
      <c r="K19" s="133">
        <f t="shared" si="4"/>
        <v>65625</v>
      </c>
      <c r="L19" s="133">
        <f t="shared" si="4"/>
        <v>65625</v>
      </c>
      <c r="M19" s="133">
        <f t="shared" si="4"/>
        <v>75000</v>
      </c>
      <c r="N19" s="133">
        <f t="shared" si="4"/>
        <v>75000</v>
      </c>
      <c r="O19" s="133">
        <f t="shared" si="4"/>
        <v>37500</v>
      </c>
      <c r="P19" s="133">
        <f t="shared" si="4"/>
        <v>28125</v>
      </c>
      <c r="Q19" s="133">
        <f t="shared" si="4"/>
        <v>28125</v>
      </c>
      <c r="R19" s="133">
        <f t="shared" si="4"/>
        <v>28125</v>
      </c>
      <c r="S19" s="133">
        <f t="shared" si="4"/>
        <v>46875</v>
      </c>
      <c r="T19" s="133">
        <f t="shared" si="4"/>
        <v>46875</v>
      </c>
      <c r="U19" s="133">
        <f t="shared" si="4"/>
        <v>65625</v>
      </c>
      <c r="V19" s="133">
        <f t="shared" si="4"/>
        <v>65625</v>
      </c>
      <c r="W19" s="133">
        <f t="shared" si="4"/>
        <v>65625</v>
      </c>
      <c r="X19" s="133">
        <f t="shared" si="4"/>
        <v>65625</v>
      </c>
      <c r="Y19" s="133">
        <f t="shared" si="4"/>
        <v>75000</v>
      </c>
      <c r="Z19" s="133">
        <f t="shared" si="4"/>
        <v>75000</v>
      </c>
      <c r="AA19" s="133">
        <f t="shared" si="4"/>
        <v>37500</v>
      </c>
      <c r="AB19" s="133">
        <f t="shared" si="4"/>
        <v>28125</v>
      </c>
      <c r="AC19" s="133">
        <f t="shared" si="4"/>
        <v>28125</v>
      </c>
      <c r="AD19" s="133">
        <f t="shared" si="4"/>
        <v>28125</v>
      </c>
      <c r="AE19" s="133">
        <f t="shared" si="4"/>
        <v>46875</v>
      </c>
      <c r="AF19" s="133">
        <f t="shared" si="4"/>
        <v>46875</v>
      </c>
      <c r="AG19" s="133">
        <f t="shared" si="4"/>
        <v>65625</v>
      </c>
      <c r="AH19" s="133">
        <f t="shared" si="4"/>
        <v>65625</v>
      </c>
      <c r="AI19" s="133">
        <f t="shared" si="4"/>
        <v>65625</v>
      </c>
      <c r="AJ19" s="133">
        <f t="shared" si="4"/>
        <v>65625</v>
      </c>
      <c r="AK19" s="133">
        <f t="shared" si="4"/>
        <v>75000</v>
      </c>
      <c r="AL19" s="133">
        <f t="shared" si="4"/>
        <v>75000</v>
      </c>
    </row>
    <row r="20" spans="1:38" x14ac:dyDescent="0.4">
      <c r="A20" s="129" t="s">
        <v>283</v>
      </c>
      <c r="B20" s="129" t="s">
        <v>289</v>
      </c>
      <c r="C20" s="133">
        <f>C$6*$C$11</f>
        <v>5000</v>
      </c>
      <c r="D20" s="133">
        <f t="shared" ref="D20:AL20" si="5">D$6*$C$11</f>
        <v>8000</v>
      </c>
      <c r="E20" s="133">
        <f t="shared" si="5"/>
        <v>7000</v>
      </c>
      <c r="F20" s="133">
        <f t="shared" si="5"/>
        <v>7000</v>
      </c>
      <c r="G20" s="133">
        <f t="shared" si="5"/>
        <v>10000</v>
      </c>
      <c r="H20" s="133">
        <f t="shared" si="5"/>
        <v>20000</v>
      </c>
      <c r="I20" s="133">
        <f t="shared" si="5"/>
        <v>20000</v>
      </c>
      <c r="J20" s="133">
        <f t="shared" si="5"/>
        <v>30000</v>
      </c>
      <c r="K20" s="133">
        <f t="shared" si="5"/>
        <v>30000</v>
      </c>
      <c r="L20" s="133">
        <f t="shared" si="5"/>
        <v>30000</v>
      </c>
      <c r="M20" s="133">
        <f t="shared" si="5"/>
        <v>40000</v>
      </c>
      <c r="N20" s="133">
        <f t="shared" si="5"/>
        <v>40000</v>
      </c>
      <c r="O20" s="133">
        <f t="shared" si="5"/>
        <v>5000</v>
      </c>
      <c r="P20" s="133">
        <f t="shared" si="5"/>
        <v>8000</v>
      </c>
      <c r="Q20" s="133">
        <f t="shared" si="5"/>
        <v>7000</v>
      </c>
      <c r="R20" s="133">
        <f t="shared" si="5"/>
        <v>7000</v>
      </c>
      <c r="S20" s="133">
        <f t="shared" si="5"/>
        <v>10000</v>
      </c>
      <c r="T20" s="133">
        <f t="shared" si="5"/>
        <v>20000</v>
      </c>
      <c r="U20" s="133">
        <f t="shared" si="5"/>
        <v>20000</v>
      </c>
      <c r="V20" s="133">
        <f t="shared" si="5"/>
        <v>30000</v>
      </c>
      <c r="W20" s="133">
        <f t="shared" si="5"/>
        <v>30000</v>
      </c>
      <c r="X20" s="133">
        <f t="shared" si="5"/>
        <v>30000</v>
      </c>
      <c r="Y20" s="133">
        <f t="shared" si="5"/>
        <v>40000</v>
      </c>
      <c r="Z20" s="133">
        <f t="shared" si="5"/>
        <v>40000</v>
      </c>
      <c r="AA20" s="133">
        <f t="shared" si="5"/>
        <v>5000</v>
      </c>
      <c r="AB20" s="133">
        <f t="shared" si="5"/>
        <v>8000</v>
      </c>
      <c r="AC20" s="133">
        <f t="shared" si="5"/>
        <v>7000</v>
      </c>
      <c r="AD20" s="133">
        <f t="shared" si="5"/>
        <v>7000</v>
      </c>
      <c r="AE20" s="133">
        <f t="shared" si="5"/>
        <v>10000</v>
      </c>
      <c r="AF20" s="133">
        <f t="shared" si="5"/>
        <v>20000</v>
      </c>
      <c r="AG20" s="133">
        <f t="shared" si="5"/>
        <v>20000</v>
      </c>
      <c r="AH20" s="133">
        <f t="shared" si="5"/>
        <v>30000</v>
      </c>
      <c r="AI20" s="133">
        <f t="shared" si="5"/>
        <v>30000</v>
      </c>
      <c r="AJ20" s="133">
        <f t="shared" si="5"/>
        <v>30000</v>
      </c>
      <c r="AK20" s="133">
        <f t="shared" si="5"/>
        <v>40000</v>
      </c>
      <c r="AL20" s="133">
        <f t="shared" si="5"/>
        <v>40000</v>
      </c>
    </row>
    <row r="21" spans="1:38" x14ac:dyDescent="0.4">
      <c r="A21" s="129" t="s">
        <v>284</v>
      </c>
      <c r="B21" s="129" t="s">
        <v>288</v>
      </c>
      <c r="C21" s="133">
        <f>C$7*$C$12</f>
        <v>75000</v>
      </c>
      <c r="D21" s="133">
        <f t="shared" ref="D21:AL21" si="6">D$7*$C$12</f>
        <v>56250</v>
      </c>
      <c r="E21" s="133">
        <f t="shared" si="6"/>
        <v>56250</v>
      </c>
      <c r="F21" s="133">
        <f t="shared" si="6"/>
        <v>56250</v>
      </c>
      <c r="G21" s="133">
        <f t="shared" si="6"/>
        <v>93750</v>
      </c>
      <c r="H21" s="133">
        <f t="shared" si="6"/>
        <v>93750</v>
      </c>
      <c r="I21" s="133">
        <f t="shared" si="6"/>
        <v>131250</v>
      </c>
      <c r="J21" s="133">
        <f t="shared" si="6"/>
        <v>131250</v>
      </c>
      <c r="K21" s="133">
        <f t="shared" si="6"/>
        <v>131250</v>
      </c>
      <c r="L21" s="133">
        <f t="shared" si="6"/>
        <v>131250</v>
      </c>
      <c r="M21" s="133">
        <f t="shared" si="6"/>
        <v>150000</v>
      </c>
      <c r="N21" s="133">
        <f t="shared" si="6"/>
        <v>150000</v>
      </c>
      <c r="O21" s="133">
        <f t="shared" si="6"/>
        <v>75000</v>
      </c>
      <c r="P21" s="133">
        <f t="shared" si="6"/>
        <v>56250</v>
      </c>
      <c r="Q21" s="133">
        <f t="shared" si="6"/>
        <v>56250</v>
      </c>
      <c r="R21" s="133">
        <f t="shared" si="6"/>
        <v>56250</v>
      </c>
      <c r="S21" s="133">
        <f t="shared" si="6"/>
        <v>93750</v>
      </c>
      <c r="T21" s="133">
        <f t="shared" si="6"/>
        <v>93750</v>
      </c>
      <c r="U21" s="133">
        <f t="shared" si="6"/>
        <v>131250</v>
      </c>
      <c r="V21" s="133">
        <f t="shared" si="6"/>
        <v>131250</v>
      </c>
      <c r="W21" s="133">
        <f t="shared" si="6"/>
        <v>131250</v>
      </c>
      <c r="X21" s="133">
        <f t="shared" si="6"/>
        <v>131250</v>
      </c>
      <c r="Y21" s="133">
        <f t="shared" si="6"/>
        <v>150000</v>
      </c>
      <c r="Z21" s="133">
        <f t="shared" si="6"/>
        <v>150000</v>
      </c>
      <c r="AA21" s="133">
        <f t="shared" si="6"/>
        <v>75000</v>
      </c>
      <c r="AB21" s="133">
        <f t="shared" si="6"/>
        <v>56250</v>
      </c>
      <c r="AC21" s="133">
        <f t="shared" si="6"/>
        <v>56250</v>
      </c>
      <c r="AD21" s="133">
        <f t="shared" si="6"/>
        <v>56250</v>
      </c>
      <c r="AE21" s="133">
        <f t="shared" si="6"/>
        <v>93750</v>
      </c>
      <c r="AF21" s="133">
        <f t="shared" si="6"/>
        <v>93750</v>
      </c>
      <c r="AG21" s="133">
        <f t="shared" si="6"/>
        <v>131250</v>
      </c>
      <c r="AH21" s="133">
        <f t="shared" si="6"/>
        <v>131250</v>
      </c>
      <c r="AI21" s="133">
        <f t="shared" si="6"/>
        <v>131250</v>
      </c>
      <c r="AJ21" s="133">
        <f t="shared" si="6"/>
        <v>131250</v>
      </c>
      <c r="AK21" s="133">
        <f t="shared" si="6"/>
        <v>150000</v>
      </c>
      <c r="AL21" s="133">
        <f t="shared" si="6"/>
        <v>150000</v>
      </c>
    </row>
    <row r="22" spans="1:38" x14ac:dyDescent="0.4">
      <c r="A22" s="129" t="s">
        <v>284</v>
      </c>
      <c r="B22" s="129" t="s">
        <v>289</v>
      </c>
      <c r="C22" s="133">
        <f>C$8*$C$11</f>
        <v>10000</v>
      </c>
      <c r="D22" s="133">
        <f t="shared" ref="D22:AL22" si="7">D$8*$C$11</f>
        <v>16000</v>
      </c>
      <c r="E22" s="133">
        <f t="shared" si="7"/>
        <v>14000</v>
      </c>
      <c r="F22" s="133">
        <f t="shared" si="7"/>
        <v>14000</v>
      </c>
      <c r="G22" s="133">
        <f t="shared" si="7"/>
        <v>20000</v>
      </c>
      <c r="H22" s="133">
        <f t="shared" si="7"/>
        <v>40000</v>
      </c>
      <c r="I22" s="133">
        <f t="shared" si="7"/>
        <v>40000</v>
      </c>
      <c r="J22" s="133">
        <f t="shared" si="7"/>
        <v>60000</v>
      </c>
      <c r="K22" s="133">
        <f t="shared" si="7"/>
        <v>60000</v>
      </c>
      <c r="L22" s="133">
        <f t="shared" si="7"/>
        <v>60000</v>
      </c>
      <c r="M22" s="133">
        <f t="shared" si="7"/>
        <v>80000</v>
      </c>
      <c r="N22" s="133">
        <f t="shared" si="7"/>
        <v>80000</v>
      </c>
      <c r="O22" s="133">
        <f t="shared" si="7"/>
        <v>10000</v>
      </c>
      <c r="P22" s="133">
        <f t="shared" si="7"/>
        <v>16000</v>
      </c>
      <c r="Q22" s="133">
        <f t="shared" si="7"/>
        <v>14000</v>
      </c>
      <c r="R22" s="133">
        <f t="shared" si="7"/>
        <v>14000</v>
      </c>
      <c r="S22" s="133">
        <f t="shared" si="7"/>
        <v>20000</v>
      </c>
      <c r="T22" s="133">
        <f t="shared" si="7"/>
        <v>40000</v>
      </c>
      <c r="U22" s="133">
        <f t="shared" si="7"/>
        <v>40000</v>
      </c>
      <c r="V22" s="133">
        <f t="shared" si="7"/>
        <v>60000</v>
      </c>
      <c r="W22" s="133">
        <f t="shared" si="7"/>
        <v>60000</v>
      </c>
      <c r="X22" s="133">
        <f t="shared" si="7"/>
        <v>60000</v>
      </c>
      <c r="Y22" s="133">
        <f t="shared" si="7"/>
        <v>80000</v>
      </c>
      <c r="Z22" s="133">
        <f t="shared" si="7"/>
        <v>80000</v>
      </c>
      <c r="AA22" s="133">
        <f t="shared" si="7"/>
        <v>10000</v>
      </c>
      <c r="AB22" s="133">
        <f t="shared" si="7"/>
        <v>16000</v>
      </c>
      <c r="AC22" s="133">
        <f t="shared" si="7"/>
        <v>14000</v>
      </c>
      <c r="AD22" s="133">
        <f t="shared" si="7"/>
        <v>14000</v>
      </c>
      <c r="AE22" s="133">
        <f t="shared" si="7"/>
        <v>20000</v>
      </c>
      <c r="AF22" s="133">
        <f t="shared" si="7"/>
        <v>40000</v>
      </c>
      <c r="AG22" s="133">
        <f t="shared" si="7"/>
        <v>40000</v>
      </c>
      <c r="AH22" s="133">
        <f t="shared" si="7"/>
        <v>60000</v>
      </c>
      <c r="AI22" s="133">
        <f t="shared" si="7"/>
        <v>60000</v>
      </c>
      <c r="AJ22" s="133">
        <f t="shared" si="7"/>
        <v>60000</v>
      </c>
      <c r="AK22" s="133">
        <f t="shared" si="7"/>
        <v>80000</v>
      </c>
      <c r="AL22" s="133">
        <f t="shared" si="7"/>
        <v>80000</v>
      </c>
    </row>
    <row r="25" spans="1:38" x14ac:dyDescent="0.4">
      <c r="C25" s="133">
        <f>+C22+C8</f>
        <v>1010000</v>
      </c>
      <c r="D25" s="133">
        <f t="shared" ref="D25:N25" si="8">+D22+D8</f>
        <v>1616000</v>
      </c>
      <c r="E25" s="133">
        <f t="shared" si="8"/>
        <v>1414000</v>
      </c>
      <c r="F25" s="133">
        <f t="shared" si="8"/>
        <v>1414000</v>
      </c>
      <c r="G25" s="133">
        <f t="shared" si="8"/>
        <v>2020000</v>
      </c>
      <c r="H25" s="133">
        <f t="shared" si="8"/>
        <v>4040000</v>
      </c>
      <c r="I25" s="133">
        <f t="shared" si="8"/>
        <v>4040000</v>
      </c>
      <c r="J25" s="133">
        <f t="shared" si="8"/>
        <v>6060000</v>
      </c>
      <c r="K25" s="133">
        <f t="shared" si="8"/>
        <v>6060000</v>
      </c>
      <c r="L25" s="133">
        <f t="shared" si="8"/>
        <v>6060000</v>
      </c>
      <c r="M25" s="133">
        <f t="shared" si="8"/>
        <v>8080000</v>
      </c>
      <c r="N25" s="133">
        <f t="shared" si="8"/>
        <v>8080000</v>
      </c>
    </row>
    <row r="26" spans="1:38" x14ac:dyDescent="0.4">
      <c r="B26" s="125" t="s">
        <v>290</v>
      </c>
      <c r="C26" s="134">
        <f>+C25/115*100</f>
        <v>878260.86956521741</v>
      </c>
      <c r="D26" s="134">
        <f t="shared" ref="D26:N26" si="9">+D25/115*100</f>
        <v>1405217.3913043479</v>
      </c>
      <c r="E26" s="134">
        <f t="shared" si="9"/>
        <v>1229565.2173913044</v>
      </c>
      <c r="F26" s="134">
        <f t="shared" si="9"/>
        <v>1229565.2173913044</v>
      </c>
      <c r="G26" s="134">
        <f t="shared" si="9"/>
        <v>1756521.7391304348</v>
      </c>
      <c r="H26" s="134">
        <f t="shared" si="9"/>
        <v>3513043.4782608696</v>
      </c>
      <c r="I26" s="134">
        <f t="shared" si="9"/>
        <v>3513043.4782608696</v>
      </c>
      <c r="J26" s="134">
        <f t="shared" si="9"/>
        <v>5269565.2173913037</v>
      </c>
      <c r="K26" s="134">
        <f t="shared" si="9"/>
        <v>5269565.2173913037</v>
      </c>
      <c r="L26" s="134">
        <f t="shared" si="9"/>
        <v>5269565.2173913037</v>
      </c>
      <c r="M26" s="134">
        <f t="shared" si="9"/>
        <v>7026086.9565217393</v>
      </c>
      <c r="N26" s="134">
        <f t="shared" si="9"/>
        <v>7026086.9565217393</v>
      </c>
      <c r="O26" s="134"/>
      <c r="P26" s="134"/>
      <c r="Q26" s="135"/>
    </row>
    <row r="27" spans="1:38" x14ac:dyDescent="0.4">
      <c r="B27" s="125" t="s">
        <v>291</v>
      </c>
      <c r="C27" s="134">
        <f>+C8/115*100</f>
        <v>869565.21739130444</v>
      </c>
      <c r="D27" s="134">
        <f t="shared" ref="D27:N27" si="10">+D8/115*100</f>
        <v>1391304.3478260869</v>
      </c>
      <c r="E27" s="134">
        <f t="shared" si="10"/>
        <v>1217391.3043478259</v>
      </c>
      <c r="F27" s="134">
        <f t="shared" si="10"/>
        <v>1217391.3043478259</v>
      </c>
      <c r="G27" s="134">
        <f t="shared" si="10"/>
        <v>1739130.4347826089</v>
      </c>
      <c r="H27" s="134">
        <f t="shared" si="10"/>
        <v>3478260.8695652178</v>
      </c>
      <c r="I27" s="134">
        <f t="shared" si="10"/>
        <v>3478260.8695652178</v>
      </c>
      <c r="J27" s="134">
        <f t="shared" si="10"/>
        <v>5217391.3043478262</v>
      </c>
      <c r="K27" s="134">
        <f t="shared" si="10"/>
        <v>5217391.3043478262</v>
      </c>
      <c r="L27" s="134">
        <f t="shared" si="10"/>
        <v>5217391.3043478262</v>
      </c>
      <c r="M27" s="134">
        <f t="shared" si="10"/>
        <v>6956521.7391304355</v>
      </c>
      <c r="N27" s="134">
        <f t="shared" si="10"/>
        <v>6956521.7391304355</v>
      </c>
      <c r="O27" s="134">
        <f>SUM(C27:N27)</f>
        <v>42956521.739130445</v>
      </c>
      <c r="P27" s="134">
        <v>87976757</v>
      </c>
      <c r="Q27" s="135">
        <f>+O27+P27</f>
        <v>130933278.73913044</v>
      </c>
    </row>
    <row r="28" spans="1:38" x14ac:dyDescent="0.4">
      <c r="D28" s="125">
        <v>1492147.5179516301</v>
      </c>
    </row>
    <row r="29" spans="1:38" x14ac:dyDescent="0.4">
      <c r="D29" s="135">
        <f>+D26+D28</f>
        <v>2897364.9092559777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06e13-1c90-4c70-9cee-8068538c7a80" xsi:nil="true"/>
    <lcf76f155ced4ddcb4097134ff3c332f xmlns="f9c29741-1b01-4100-8fde-8dd31e7285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1812B-4B24-4CCC-871D-0446E4CF3B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BEBDD-ACDD-49F5-A768-619D6FD9DAF1}"/>
</file>

<file path=customXml/itemProps3.xml><?xml version="1.0" encoding="utf-8"?>
<ds:datastoreItem xmlns:ds="http://schemas.openxmlformats.org/officeDocument/2006/customXml" ds:itemID="{559BA946-1439-474C-B00B-F7C5672271E8}">
  <ds:schemaRefs>
    <ds:schemaRef ds:uri="http://www.w3.org/XML/1998/namespace"/>
    <ds:schemaRef ds:uri="http://purl.org/dc/elements/1.1/"/>
    <ds:schemaRef ds:uri="http://schemas.microsoft.com/office/2006/metadata/properties"/>
    <ds:schemaRef ds:uri="e92d329f-77d6-4896-b3d2-17b26c0c58da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15d5e53-1495-483e-9ba1-33c14675381c"/>
    <ds:schemaRef ds:uri="http://purl.org/dc/dcmitype/"/>
    <ds:schemaRef ds:uri="67106e13-1c90-4c70-9cee-8068538c7a80"/>
    <ds:schemaRef ds:uri="f9c29741-1b01-4100-8fde-8dd31e7285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IS Dec KSA</vt:lpstr>
      <vt:lpstr>BS Dec KSA</vt:lpstr>
      <vt:lpstr>IS Dec USA</vt:lpstr>
      <vt:lpstr>BS Dec USA</vt:lpstr>
      <vt:lpstr>Sheet3</vt:lpstr>
      <vt:lpstr>IS Dec Consolidated</vt:lpstr>
      <vt:lpstr>BS Dec Consolidated</vt:lpstr>
      <vt:lpstr>Cash Flow Consolidated</vt:lpstr>
      <vt:lpstr>AR Aging</vt:lpstr>
      <vt:lpstr>Sheet1</vt:lpstr>
      <vt:lpstr>Dinar Data June 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Siddiqui</dc:creator>
  <cp:keywords/>
  <dc:description/>
  <cp:lastModifiedBy>Nikolay Vasilyev</cp:lastModifiedBy>
  <cp:revision/>
  <dcterms:created xsi:type="dcterms:W3CDTF">2023-11-06T15:32:00Z</dcterms:created>
  <dcterms:modified xsi:type="dcterms:W3CDTF">2025-08-11T20:39:01Z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