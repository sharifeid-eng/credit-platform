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harifEid\credit-platform\data\SILQ\KSA\"/>
    </mc:Choice>
  </mc:AlternateContent>
  <xr:revisionPtr revIDLastSave="0" documentId="8_{6780EE74-0476-4AF1-92D7-AECA473BEFCF}" xr6:coauthVersionLast="47" xr6:coauthVersionMax="47" xr10:uidLastSave="{00000000-0000-0000-0000-000000000000}"/>
  <bookViews>
    <workbookView xWindow="2170" yWindow="1100" windowWidth="12490" windowHeight="11260" activeTab="2" xr2:uid="{D3DD4E77-6904-43CA-AED8-65C271DF82DE}"/>
  </bookViews>
  <sheets>
    <sheet name="RCL_LT" sheetId="13" r:id="rId1"/>
    <sheet name="Portfolio Commentary" sheetId="12" r:id="rId2"/>
    <sheet name="SCF+BNPL+RBF" sheetId="11" r:id="rId3"/>
  </sheets>
  <definedNames>
    <definedName name="_xlnm._FilterDatabase" localSheetId="0" hidden="1">RCL_LT!$A$2:$R$1213</definedName>
    <definedName name="_xlnm._FilterDatabase" localSheetId="2" hidden="1">'SCF+BNPL+RBF'!$A$2:$S$2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3" l="1"/>
  <c r="N1" i="13"/>
  <c r="H1" i="13"/>
  <c r="G1" i="13"/>
  <c r="F1" i="13"/>
  <c r="C1" i="13"/>
  <c r="H1" i="11"/>
  <c r="M1" i="11"/>
  <c r="C1" i="11"/>
  <c r="F1" i="11"/>
  <c r="G1" i="11" l="1"/>
  <c r="L1" i="11" l="1"/>
  <c r="P1" i="11" l="1"/>
  <c r="Q1" i="11"/>
</calcChain>
</file>

<file path=xl/sharedStrings.xml><?xml version="1.0" encoding="utf-8"?>
<sst xmlns="http://schemas.openxmlformats.org/spreadsheetml/2006/main" count="7296" uniqueCount="2205">
  <si>
    <t>Deal ID</t>
  </si>
  <si>
    <t>Overdue_Amount (SAR)</t>
  </si>
  <si>
    <t>Closed</t>
  </si>
  <si>
    <t>CURRENT</t>
  </si>
  <si>
    <t>OVERDUE</t>
  </si>
  <si>
    <t>Disbursed_Amount (SAR)</t>
  </si>
  <si>
    <t>Disbursement_Date</t>
  </si>
  <si>
    <t>Loan_Status</t>
  </si>
  <si>
    <t>Outstanding_Amount (SAR)</t>
  </si>
  <si>
    <t>Total_Collectable_Amount (SAR)</t>
  </si>
  <si>
    <t>Tenure</t>
  </si>
  <si>
    <t>Shop_ID</t>
  </si>
  <si>
    <t>Repayment_Deadline</t>
  </si>
  <si>
    <t>Amt_Repaid</t>
  </si>
  <si>
    <t>Last_Collection_Date</t>
  </si>
  <si>
    <t>Loan_Age</t>
  </si>
  <si>
    <t>Margin Collected</t>
  </si>
  <si>
    <t>Principal Collected</t>
  </si>
  <si>
    <t>Comment</t>
  </si>
  <si>
    <t>01-250929-5</t>
  </si>
  <si>
    <t>01-250930-2</t>
  </si>
  <si>
    <t>01-251014-4</t>
  </si>
  <si>
    <t>01-251009-4</t>
  </si>
  <si>
    <t>01-251014-7</t>
  </si>
  <si>
    <t>01-251007-4</t>
  </si>
  <si>
    <t>01-250930-1</t>
  </si>
  <si>
    <t>01-250930-11</t>
  </si>
  <si>
    <t>01-251002-6</t>
  </si>
  <si>
    <t>01-251001-4</t>
  </si>
  <si>
    <t>01-251001-1</t>
  </si>
  <si>
    <t>01-250930-10</t>
  </si>
  <si>
    <t>01-251002-2</t>
  </si>
  <si>
    <t>01-250930-9</t>
  </si>
  <si>
    <t>01-251002-3</t>
  </si>
  <si>
    <t>01-251002-9</t>
  </si>
  <si>
    <t>01-251006-1</t>
  </si>
  <si>
    <t>01-251009-9</t>
  </si>
  <si>
    <t>01-251002-5</t>
  </si>
  <si>
    <t>01-251005-2</t>
  </si>
  <si>
    <t>01-251005-3</t>
  </si>
  <si>
    <t>01-251006-3</t>
  </si>
  <si>
    <t>01-251006-6</t>
  </si>
  <si>
    <t>01-251006-5</t>
  </si>
  <si>
    <t>01-251006-10</t>
  </si>
  <si>
    <t>01-251007-1</t>
  </si>
  <si>
    <t>01-251006-4</t>
  </si>
  <si>
    <t>01-251006-9</t>
  </si>
  <si>
    <t>01-251007-3</t>
  </si>
  <si>
    <t>01-251007-2</t>
  </si>
  <si>
    <t>01-251007-5</t>
  </si>
  <si>
    <t>01-251008-2</t>
  </si>
  <si>
    <t>01-251007-6</t>
  </si>
  <si>
    <t>01-251009-5</t>
  </si>
  <si>
    <t>01-251008-8</t>
  </si>
  <si>
    <t>01-251008-6</t>
  </si>
  <si>
    <t>01-251011-6</t>
  </si>
  <si>
    <t>01-251011-10</t>
  </si>
  <si>
    <t>01-251011-7</t>
  </si>
  <si>
    <t>01-251011-11</t>
  </si>
  <si>
    <t>01-251009-11</t>
  </si>
  <si>
    <t>01-251011-8</t>
  </si>
  <si>
    <t>01-251011-9</t>
  </si>
  <si>
    <t>01-251008-1</t>
  </si>
  <si>
    <t>01-251009-2</t>
  </si>
  <si>
    <t>01-251011-2</t>
  </si>
  <si>
    <t>01-251011-1</t>
  </si>
  <si>
    <t>01-251009-12</t>
  </si>
  <si>
    <t>01-251009-8</t>
  </si>
  <si>
    <t>01-251012-1</t>
  </si>
  <si>
    <t>01-251012-3</t>
  </si>
  <si>
    <t>01-251012-2</t>
  </si>
  <si>
    <t>01-251009-6</t>
  </si>
  <si>
    <t>01-251012-6</t>
  </si>
  <si>
    <t>01-251013-1</t>
  </si>
  <si>
    <t>01-251012-7</t>
  </si>
  <si>
    <t>01-251012-4</t>
  </si>
  <si>
    <t>01-251013-7</t>
  </si>
  <si>
    <t>01-251014-6</t>
  </si>
  <si>
    <t>01-251013-9</t>
  </si>
  <si>
    <t>01-251014-1</t>
  </si>
  <si>
    <t>01-251013-5</t>
  </si>
  <si>
    <t>01-251013-4</t>
  </si>
  <si>
    <t>01-251013-3</t>
  </si>
  <si>
    <t>01-251013-6</t>
  </si>
  <si>
    <t>01-251014-3</t>
  </si>
  <si>
    <t>01-251012-5</t>
  </si>
  <si>
    <t>01-251013-2</t>
  </si>
  <si>
    <t>01-251013-10</t>
  </si>
  <si>
    <t>01-251014-5</t>
  </si>
  <si>
    <t>01-251014-9</t>
  </si>
  <si>
    <t>01-251008-3</t>
  </si>
  <si>
    <t>01-251014-2</t>
  </si>
  <si>
    <t>01-251014-8</t>
  </si>
  <si>
    <t>01-251015-3</t>
  </si>
  <si>
    <t>01-251015-6</t>
  </si>
  <si>
    <t>01-251015-2</t>
  </si>
  <si>
    <t>01-251015-4</t>
  </si>
  <si>
    <t>01-251015-7</t>
  </si>
  <si>
    <t>01-251016-1</t>
  </si>
  <si>
    <t>01-251016-7</t>
  </si>
  <si>
    <t>01-251016-6</t>
  </si>
  <si>
    <t>01-251018-1</t>
  </si>
  <si>
    <t>01-251030-1</t>
  </si>
  <si>
    <t>01-251016-3</t>
  </si>
  <si>
    <t>01-251016-2</t>
  </si>
  <si>
    <t>01-251017-1</t>
  </si>
  <si>
    <t>01-251016-5</t>
  </si>
  <si>
    <t>01-251018-2</t>
  </si>
  <si>
    <t>01-251018-3</t>
  </si>
  <si>
    <t>01-251015-1</t>
  </si>
  <si>
    <t>01-251019-8</t>
  </si>
  <si>
    <t>01-251019-11</t>
  </si>
  <si>
    <t>01-251019-12</t>
  </si>
  <si>
    <t>01-251019-9</t>
  </si>
  <si>
    <t>01-251020-1</t>
  </si>
  <si>
    <t>01-251020-7</t>
  </si>
  <si>
    <t>01-251020-5</t>
  </si>
  <si>
    <t>01-251019-10</t>
  </si>
  <si>
    <t>01-251021-1</t>
  </si>
  <si>
    <t>01-251020-8</t>
  </si>
  <si>
    <t>01-251020-6</t>
  </si>
  <si>
    <t>01-251023-4</t>
  </si>
  <si>
    <t>01-251022-2</t>
  </si>
  <si>
    <t>01-251023-1</t>
  </si>
  <si>
    <t>01-251022-5</t>
  </si>
  <si>
    <t>01-251022-3</t>
  </si>
  <si>
    <t>01-251023-2</t>
  </si>
  <si>
    <t>01-251021-4</t>
  </si>
  <si>
    <t>01-251021-3</t>
  </si>
  <si>
    <t>01-251025-4</t>
  </si>
  <si>
    <t>01-251026-1</t>
  </si>
  <si>
    <t>01-251023-5</t>
  </si>
  <si>
    <t>01-251030-4</t>
  </si>
  <si>
    <t>01-251025-2</t>
  </si>
  <si>
    <t>01-251023-6</t>
  </si>
  <si>
    <t>01-251025-1</t>
  </si>
  <si>
    <t>01-251023-8</t>
  </si>
  <si>
    <t>01-251024-1</t>
  </si>
  <si>
    <t>01-251023-9</t>
  </si>
  <si>
    <t>01-251027-1</t>
  </si>
  <si>
    <t>01-251026-6</t>
  </si>
  <si>
    <t>01-251025-3</t>
  </si>
  <si>
    <t>01-251026-2</t>
  </si>
  <si>
    <t>01-251026-7</t>
  </si>
  <si>
    <t>01-251028-13</t>
  </si>
  <si>
    <t>01-251028-9</t>
  </si>
  <si>
    <t>01-251028-10</t>
  </si>
  <si>
    <t>01-251028-11</t>
  </si>
  <si>
    <t>01-251026-4</t>
  </si>
  <si>
    <t>01-251026-5</t>
  </si>
  <si>
    <t>01-251028-3</t>
  </si>
  <si>
    <t>01-251028-4</t>
  </si>
  <si>
    <t>01-251028-5</t>
  </si>
  <si>
    <t>01-251028-7</t>
  </si>
  <si>
    <t>01-251028-6</t>
  </si>
  <si>
    <t>01-251028-8</t>
  </si>
  <si>
    <t>01-251027-12</t>
  </si>
  <si>
    <t>01-251028-2</t>
  </si>
  <si>
    <t>01-251027-11</t>
  </si>
  <si>
    <t>01-251027-4</t>
  </si>
  <si>
    <t>01-251027-5</t>
  </si>
  <si>
    <t>01-251027-7</t>
  </si>
  <si>
    <t>01-251027-8</t>
  </si>
  <si>
    <t>01-251029-1</t>
  </si>
  <si>
    <t>01-251029-2</t>
  </si>
  <si>
    <t>01-251009-10</t>
  </si>
  <si>
    <t>01-251029-3</t>
  </si>
  <si>
    <t>01-251019-13</t>
  </si>
  <si>
    <t>01-251028-14</t>
  </si>
  <si>
    <t>01-251027-6</t>
  </si>
  <si>
    <t>01-251030-3</t>
  </si>
  <si>
    <t>01-251030-2</t>
  </si>
  <si>
    <t>01-251030-8</t>
  </si>
  <si>
    <t>01-251030-9</t>
  </si>
  <si>
    <t>01-251030-11</t>
  </si>
  <si>
    <t>01-251030-5</t>
  </si>
  <si>
    <t>01-251020-2</t>
  </si>
  <si>
    <t>01-251029-4</t>
  </si>
  <si>
    <t>01-251030-6</t>
  </si>
  <si>
    <t>Product</t>
  </si>
  <si>
    <t>BNPL</t>
  </si>
  <si>
    <t>01-251102-1</t>
  </si>
  <si>
    <t>01-251030-7</t>
  </si>
  <si>
    <t>01-251030-12</t>
  </si>
  <si>
    <t>01-251101-3</t>
  </si>
  <si>
    <t>01-251101-2</t>
  </si>
  <si>
    <t>01-251103-1</t>
  </si>
  <si>
    <t>01-251104-2</t>
  </si>
  <si>
    <t>01-251103-4</t>
  </si>
  <si>
    <t>01-251103-3</t>
  </si>
  <si>
    <t>01-251104-3</t>
  </si>
  <si>
    <t>01-251104-4</t>
  </si>
  <si>
    <t>01-251106-6</t>
  </si>
  <si>
    <t>01-251106-1</t>
  </si>
  <si>
    <t>01-251106-4</t>
  </si>
  <si>
    <t>01-251108-3</t>
  </si>
  <si>
    <t>01-251108-1</t>
  </si>
  <si>
    <t>01-251106-5</t>
  </si>
  <si>
    <t>01-251106-7</t>
  </si>
  <si>
    <t>01-251106-8</t>
  </si>
  <si>
    <t>01-251106-3</t>
  </si>
  <si>
    <t>01-251106-2</t>
  </si>
  <si>
    <t>01-251108-2</t>
  </si>
  <si>
    <t>01-251106-9</t>
  </si>
  <si>
    <t>01-251106-10</t>
  </si>
  <si>
    <t>01-251104-6</t>
  </si>
  <si>
    <t>01-251108-4</t>
  </si>
  <si>
    <t>01-251106-12</t>
  </si>
  <si>
    <t>01-251109-1</t>
  </si>
  <si>
    <t>01-251210-1</t>
  </si>
  <si>
    <t>01-251104-5</t>
  </si>
  <si>
    <t>01-251106-11</t>
  </si>
  <si>
    <t>01-251109-3</t>
  </si>
  <si>
    <t>01-251112-1</t>
  </si>
  <si>
    <t>01-251110-3</t>
  </si>
  <si>
    <t>01-251111-5</t>
  </si>
  <si>
    <t>01-251111-8</t>
  </si>
  <si>
    <t>01-251111-10</t>
  </si>
  <si>
    <t>01-251112-9</t>
  </si>
  <si>
    <t>01-251111-6</t>
  </si>
  <si>
    <t>01-251110-2</t>
  </si>
  <si>
    <t>01-251112-5</t>
  </si>
  <si>
    <t>01-251112-11</t>
  </si>
  <si>
    <t>01-251113-4</t>
  </si>
  <si>
    <t>01-251112-12</t>
  </si>
  <si>
    <t>01-251113-5</t>
  </si>
  <si>
    <t>01-251117-4</t>
  </si>
  <si>
    <t>01-251116-5</t>
  </si>
  <si>
    <t>01-251116-1</t>
  </si>
  <si>
    <t>01-251112-7</t>
  </si>
  <si>
    <t>01-251117-6</t>
  </si>
  <si>
    <t>01-251115-2</t>
  </si>
  <si>
    <t>01-251116-6</t>
  </si>
  <si>
    <t>01-251116-2</t>
  </si>
  <si>
    <t>01-251113-6</t>
  </si>
  <si>
    <t>01-251114-1</t>
  </si>
  <si>
    <t>01-251117-8</t>
  </si>
  <si>
    <t>01-251116-7</t>
  </si>
  <si>
    <t>01-251112-8</t>
  </si>
  <si>
    <t>01-251116-3</t>
  </si>
  <si>
    <t>01-251117-5</t>
  </si>
  <si>
    <t>01-251118-3</t>
  </si>
  <si>
    <t>01-251118-8</t>
  </si>
  <si>
    <t>01-251117-9</t>
  </si>
  <si>
    <t>01-251118-10</t>
  </si>
  <si>
    <t>01-251118-11</t>
  </si>
  <si>
    <t>01-251120-5</t>
  </si>
  <si>
    <t>01-251120-3</t>
  </si>
  <si>
    <t>01-251119-4</t>
  </si>
  <si>
    <t>01-251120-6</t>
  </si>
  <si>
    <t>01-251120-2</t>
  </si>
  <si>
    <t>01-251120-4</t>
  </si>
  <si>
    <t>01-251122-2</t>
  </si>
  <si>
    <t>01-251123-2</t>
  </si>
  <si>
    <t>01-251120-7</t>
  </si>
  <si>
    <t>01-251120-9</t>
  </si>
  <si>
    <t>01-251119-5</t>
  </si>
  <si>
    <t>01-251122-3</t>
  </si>
  <si>
    <t>01-251122-4</t>
  </si>
  <si>
    <t>01-251120-11</t>
  </si>
  <si>
    <t>01-251123-8</t>
  </si>
  <si>
    <t>01-251124-3</t>
  </si>
  <si>
    <t>01-251123-5</t>
  </si>
  <si>
    <t>01-251123-7</t>
  </si>
  <si>
    <t>01-251124-1</t>
  </si>
  <si>
    <t>01-251120-8</t>
  </si>
  <si>
    <t>01-251123-1</t>
  </si>
  <si>
    <t>01-251124-5</t>
  </si>
  <si>
    <t>01-251123-6</t>
  </si>
  <si>
    <t>01-251124-2</t>
  </si>
  <si>
    <t>01-251124-4</t>
  </si>
  <si>
    <t>01-251119-1</t>
  </si>
  <si>
    <t>01-251125-10</t>
  </si>
  <si>
    <t>01-251125-2</t>
  </si>
  <si>
    <t>01-251125-8</t>
  </si>
  <si>
    <t>01-251125-3</t>
  </si>
  <si>
    <t>01-251125-9</t>
  </si>
  <si>
    <t>01-251124-6</t>
  </si>
  <si>
    <t>01-251120-1</t>
  </si>
  <si>
    <t>01-251124-7</t>
  </si>
  <si>
    <t>01-251124-10</t>
  </si>
  <si>
    <t>01-251125-6</t>
  </si>
  <si>
    <t>01-251125-7</t>
  </si>
  <si>
    <t>01-251126-4</t>
  </si>
  <si>
    <t>01-251125-11</t>
  </si>
  <si>
    <t>01-251124-9</t>
  </si>
  <si>
    <t>01-251125-14</t>
  </si>
  <si>
    <t>01-251111-2</t>
  </si>
  <si>
    <t>01-251125-13</t>
  </si>
  <si>
    <t>01-251124-12</t>
  </si>
  <si>
    <t>01-251126-3</t>
  </si>
  <si>
    <t>01-251125-4</t>
  </si>
  <si>
    <t>01-251126-5</t>
  </si>
  <si>
    <t>01-251129-3</t>
  </si>
  <si>
    <t>01-251126-1</t>
  </si>
  <si>
    <t>01-251127-3</t>
  </si>
  <si>
    <t>01-251127-7</t>
  </si>
  <si>
    <t>01-251125-5</t>
  </si>
  <si>
    <t>01-251127-4</t>
  </si>
  <si>
    <t>01-251129-4</t>
  </si>
  <si>
    <t>01-251130-3</t>
  </si>
  <si>
    <t>01-251129-6</t>
  </si>
  <si>
    <t>01-251129-2</t>
  </si>
  <si>
    <t>01-251127-1</t>
  </si>
  <si>
    <t>01-251130-4</t>
  </si>
  <si>
    <t>01-251127-5</t>
  </si>
  <si>
    <t>01-251126-6</t>
  </si>
  <si>
    <t>01-251130-8</t>
  </si>
  <si>
    <t>01-251201-4</t>
  </si>
  <si>
    <t>01-251201-3</t>
  </si>
  <si>
    <t>01-251201-1</t>
  </si>
  <si>
    <t>01-251130-6</t>
  </si>
  <si>
    <t>01-251201-2</t>
  </si>
  <si>
    <t>01-251130-5</t>
  </si>
  <si>
    <t>01-251129-5</t>
  </si>
  <si>
    <t>01-251202-2</t>
  </si>
  <si>
    <t>01-251202-1</t>
  </si>
  <si>
    <t>01-251130-7</t>
  </si>
  <si>
    <t>01-251203-1</t>
  </si>
  <si>
    <t>01-251203-5</t>
  </si>
  <si>
    <t>01-251204-3</t>
  </si>
  <si>
    <t>01-251204-1</t>
  </si>
  <si>
    <t>01-251203-7</t>
  </si>
  <si>
    <t>01-251204-6</t>
  </si>
  <si>
    <t>01-251204-7</t>
  </si>
  <si>
    <t>01-251207-1</t>
  </si>
  <si>
    <t>01-251207-11</t>
  </si>
  <si>
    <t>01-251207-9</t>
  </si>
  <si>
    <t>01-251204-2</t>
  </si>
  <si>
    <t>01-251202-3</t>
  </si>
  <si>
    <t>01-251203-4</t>
  </si>
  <si>
    <t>01-251208-7</t>
  </si>
  <si>
    <t>01-251207-2</t>
  </si>
  <si>
    <t>01-251207-12</t>
  </si>
  <si>
    <t>01-251207-4</t>
  </si>
  <si>
    <t>01-251208-5</t>
  </si>
  <si>
    <t>01-251207-5</t>
  </si>
  <si>
    <t>01-251207-7</t>
  </si>
  <si>
    <t>01-251209-1</t>
  </si>
  <si>
    <t>01-251209-8</t>
  </si>
  <si>
    <t>01-251208-8</t>
  </si>
  <si>
    <t>01-251209-5</t>
  </si>
  <si>
    <t>01-251209-2</t>
  </si>
  <si>
    <t>01-251208-9</t>
  </si>
  <si>
    <t>01-251209-3</t>
  </si>
  <si>
    <t>01-251209-7</t>
  </si>
  <si>
    <t>01-251209-4</t>
  </si>
  <si>
    <t>01-251208-4</t>
  </si>
  <si>
    <t>01-251208-10</t>
  </si>
  <si>
    <t>01-251209-10</t>
  </si>
  <si>
    <t>01-251201-6</t>
  </si>
  <si>
    <t>01-251209-9</t>
  </si>
  <si>
    <t>01-251210-11</t>
  </si>
  <si>
    <t>01-251210-7</t>
  </si>
  <si>
    <t>01-251210-2</t>
  </si>
  <si>
    <t>01-251211-4</t>
  </si>
  <si>
    <t>01-251210-5</t>
  </si>
  <si>
    <t>01-251211-8</t>
  </si>
  <si>
    <t>01-251210-8</t>
  </si>
  <si>
    <t>01-251210-13</t>
  </si>
  <si>
    <t>01-251210-3</t>
  </si>
  <si>
    <t>01-251211-10</t>
  </si>
  <si>
    <t>01-251214-7</t>
  </si>
  <si>
    <t>01-251214-2</t>
  </si>
  <si>
    <t>01-251214-1</t>
  </si>
  <si>
    <t>01-251213-2</t>
  </si>
  <si>
    <t>01-251211-6</t>
  </si>
  <si>
    <t>01-251214-9</t>
  </si>
  <si>
    <t>01-251215-3</t>
  </si>
  <si>
    <t>01-251215-5</t>
  </si>
  <si>
    <t>01-251215-2</t>
  </si>
  <si>
    <t>01-251215-1</t>
  </si>
  <si>
    <t>01-251211-9</t>
  </si>
  <si>
    <t>01-251211-5</t>
  </si>
  <si>
    <t>01-251214-14</t>
  </si>
  <si>
    <t>01-251214-10</t>
  </si>
  <si>
    <t>01-251220-1</t>
  </si>
  <si>
    <t>01-251215-8</t>
  </si>
  <si>
    <t>01-251216-2</t>
  </si>
  <si>
    <t>01-251216-1</t>
  </si>
  <si>
    <t>01-251215-11</t>
  </si>
  <si>
    <t>01-251215-9</t>
  </si>
  <si>
    <t>01-251211-7</t>
  </si>
  <si>
    <t>01-251214-12</t>
  </si>
  <si>
    <t>01-251216-3</t>
  </si>
  <si>
    <t>01-251217-2</t>
  </si>
  <si>
    <t>01-251214-6</t>
  </si>
  <si>
    <t>01-251215-7</t>
  </si>
  <si>
    <t>01-251215-10</t>
  </si>
  <si>
    <t>01-251217-8</t>
  </si>
  <si>
    <t>01-251217-9</t>
  </si>
  <si>
    <t>01-251217-5</t>
  </si>
  <si>
    <t>01-251218-1</t>
  </si>
  <si>
    <t>01-251217-6</t>
  </si>
  <si>
    <t>01-251218-5</t>
  </si>
  <si>
    <t>01-251216-6</t>
  </si>
  <si>
    <t>01-251221-3</t>
  </si>
  <si>
    <t>01-251217-7</t>
  </si>
  <si>
    <t>01-251221-2</t>
  </si>
  <si>
    <t>01-251218-2</t>
  </si>
  <si>
    <t>01-251221-9</t>
  </si>
  <si>
    <t>01-251218-4</t>
  </si>
  <si>
    <t>01-251222-2</t>
  </si>
  <si>
    <t>01-251221-10</t>
  </si>
  <si>
    <t>01-251222-4</t>
  </si>
  <si>
    <t>01-251222-1</t>
  </si>
  <si>
    <t>01-251223-1</t>
  </si>
  <si>
    <t>01-251222-10</t>
  </si>
  <si>
    <t>01-251221-12</t>
  </si>
  <si>
    <t>01-251221-13</t>
  </si>
  <si>
    <t>01-251223-3</t>
  </si>
  <si>
    <t>01-251222-9</t>
  </si>
  <si>
    <t>01-251221-11</t>
  </si>
  <si>
    <t>01-251221-7</t>
  </si>
  <si>
    <t>01-251223-4</t>
  </si>
  <si>
    <t>01-251223-13</t>
  </si>
  <si>
    <t>01-251221-8</t>
  </si>
  <si>
    <t>01-251224-3</t>
  </si>
  <si>
    <t>01-251222-8</t>
  </si>
  <si>
    <t>01-251223-10</t>
  </si>
  <si>
    <t>01-251225-10</t>
  </si>
  <si>
    <t>01-251224-9</t>
  </si>
  <si>
    <t>01-251224-5</t>
  </si>
  <si>
    <t>01-251224-10</t>
  </si>
  <si>
    <t>01-251222-7</t>
  </si>
  <si>
    <t>01-251225-2</t>
  </si>
  <si>
    <t>01-251224-6</t>
  </si>
  <si>
    <t>01-251225-1</t>
  </si>
  <si>
    <t>01-251225-9</t>
  </si>
  <si>
    <t>01-251224-7</t>
  </si>
  <si>
    <t>01-251227-3</t>
  </si>
  <si>
    <t>01-251228-2</t>
  </si>
  <si>
    <t>01-251222-5</t>
  </si>
  <si>
    <t>01-251221-5</t>
  </si>
  <si>
    <t>01-251228-1</t>
  </si>
  <si>
    <t>01-251225-4</t>
  </si>
  <si>
    <t>01-251225-6</t>
  </si>
  <si>
    <t>01-251225-5</t>
  </si>
  <si>
    <t>01-251228-10</t>
  </si>
  <si>
    <t>01-251222-6</t>
  </si>
  <si>
    <t>01-251228-3</t>
  </si>
  <si>
    <t>01-251225-8</t>
  </si>
  <si>
    <t>01-251228-4</t>
  </si>
  <si>
    <t>01-251228-6</t>
  </si>
  <si>
    <t>01-251228-9</t>
  </si>
  <si>
    <t>01-251229-6</t>
  </si>
  <si>
    <t>01-251225-3</t>
  </si>
  <si>
    <t>01-251230-3</t>
  </si>
  <si>
    <t>01-251229-2</t>
  </si>
  <si>
    <t>01-251229-5</t>
  </si>
  <si>
    <t>01-251231-2</t>
  </si>
  <si>
    <t>01-251230-11</t>
  </si>
  <si>
    <t>01-251230-14</t>
  </si>
  <si>
    <t>01-251231-4</t>
  </si>
  <si>
    <t>01-251231-7</t>
  </si>
  <si>
    <t>01-251102-2</t>
  </si>
  <si>
    <t>01-251102-3</t>
  </si>
  <si>
    <t>01-251101-1</t>
  </si>
  <si>
    <t>01-251102-4</t>
  </si>
  <si>
    <t>01-251104-1</t>
  </si>
  <si>
    <t>01-251105-2</t>
  </si>
  <si>
    <t>01-251105-12</t>
  </si>
  <si>
    <t>01-251109-4</t>
  </si>
  <si>
    <t>01-251111-1</t>
  </si>
  <si>
    <t>01-251112-6</t>
  </si>
  <si>
    <t>01-251113-2</t>
  </si>
  <si>
    <t>01-251123-4</t>
  </si>
  <si>
    <t>01-251125-1</t>
  </si>
  <si>
    <t>01-251127-2</t>
  </si>
  <si>
    <t>01-251127-6</t>
  </si>
  <si>
    <t>Shop_Credit_Limit (SAR)</t>
  </si>
  <si>
    <t>01-251230-7</t>
  </si>
  <si>
    <t>01-251230-13</t>
  </si>
  <si>
    <t>01-260101-4</t>
  </si>
  <si>
    <t>01-251230-2</t>
  </si>
  <si>
    <t>01-260101-1</t>
  </si>
  <si>
    <t>01-260104-2</t>
  </si>
  <si>
    <t>01-251230-8</t>
  </si>
  <si>
    <t>01-251230-9</t>
  </si>
  <si>
    <t>01-251230-6</t>
  </si>
  <si>
    <t>01-260103-1</t>
  </si>
  <si>
    <t>01-251230-5</t>
  </si>
  <si>
    <t>01-251231-6</t>
  </si>
  <si>
    <t>01-251231-5</t>
  </si>
  <si>
    <t>01-251231-9</t>
  </si>
  <si>
    <t>01-260104-6</t>
  </si>
  <si>
    <t>01-260104-13</t>
  </si>
  <si>
    <t>01-260104-14</t>
  </si>
  <si>
    <t>01-260104-7</t>
  </si>
  <si>
    <t>01-260104-1</t>
  </si>
  <si>
    <t>01-260104-3</t>
  </si>
  <si>
    <t>01-260105-2</t>
  </si>
  <si>
    <t>01-260105-3</t>
  </si>
  <si>
    <t>01-260104-11</t>
  </si>
  <si>
    <t>01-260104-8</t>
  </si>
  <si>
    <t>01-260106-1</t>
  </si>
  <si>
    <t>01-260105-5</t>
  </si>
  <si>
    <t>01-260105-4</t>
  </si>
  <si>
    <t>01-260101-2</t>
  </si>
  <si>
    <t>01-260105-1</t>
  </si>
  <si>
    <t>01-260106-7</t>
  </si>
  <si>
    <t>01-260107-3</t>
  </si>
  <si>
    <t>01-260106-8</t>
  </si>
  <si>
    <t>1-260107-10</t>
  </si>
  <si>
    <t>01-260108-4</t>
  </si>
  <si>
    <t>01-260107-7</t>
  </si>
  <si>
    <t>01-260107-8</t>
  </si>
  <si>
    <t>01-260107-9</t>
  </si>
  <si>
    <t>01-260108-5</t>
  </si>
  <si>
    <t>01-260108-7</t>
  </si>
  <si>
    <t>01-260108-6</t>
  </si>
  <si>
    <t>01-260104-9</t>
  </si>
  <si>
    <t>01-260107-4</t>
  </si>
  <si>
    <t>01-260108-1</t>
  </si>
  <si>
    <t>01-260106-4</t>
  </si>
  <si>
    <t>01-260108-8</t>
  </si>
  <si>
    <t>01-260107-6</t>
  </si>
  <si>
    <t>01-260106-2</t>
  </si>
  <si>
    <t>01-260112-5</t>
  </si>
  <si>
    <t>01-260110-1</t>
  </si>
  <si>
    <t>01-260111-5</t>
  </si>
  <si>
    <t>01-260112-1</t>
  </si>
  <si>
    <t>01-260106-9</t>
  </si>
  <si>
    <t>01-260108-9</t>
  </si>
  <si>
    <t>01-260113-14</t>
  </si>
  <si>
    <t>01-260113-10</t>
  </si>
  <si>
    <t>01-260113-13</t>
  </si>
  <si>
    <t>01-260113-7</t>
  </si>
  <si>
    <t>01-260113-9</t>
  </si>
  <si>
    <t>01-260113-6</t>
  </si>
  <si>
    <t>01-260113-5</t>
  </si>
  <si>
    <t>01-260113-4</t>
  </si>
  <si>
    <t>01-260111-4</t>
  </si>
  <si>
    <t>01-260111-6</t>
  </si>
  <si>
    <t>01-260113-18</t>
  </si>
  <si>
    <t>01-260113-12</t>
  </si>
  <si>
    <t>01-260113-2</t>
  </si>
  <si>
    <t>01-260113-3</t>
  </si>
  <si>
    <t>01-260112-9</t>
  </si>
  <si>
    <t>01-260113-11</t>
  </si>
  <si>
    <t>01-251214-8</t>
  </si>
  <si>
    <t>01-260112-6</t>
  </si>
  <si>
    <t>01-260111-2</t>
  </si>
  <si>
    <t>01-260112-7</t>
  </si>
  <si>
    <t>01-260114-2</t>
  </si>
  <si>
    <t>01-260113-19</t>
  </si>
  <si>
    <t>01-260112-8</t>
  </si>
  <si>
    <t>01-260114-3</t>
  </si>
  <si>
    <t>01-260114-5</t>
  </si>
  <si>
    <t>01-260114-1</t>
  </si>
  <si>
    <t>01-260115-4</t>
  </si>
  <si>
    <t>01-260115-2</t>
  </si>
  <si>
    <t>01-260115-5</t>
  </si>
  <si>
    <t>01-260115-3</t>
  </si>
  <si>
    <t>01-260115-6</t>
  </si>
  <si>
    <t>01-260118-6</t>
  </si>
  <si>
    <t>01-260118-2</t>
  </si>
  <si>
    <t>01-260118-5</t>
  </si>
  <si>
    <t>01-260118-4</t>
  </si>
  <si>
    <t>01-260117-3</t>
  </si>
  <si>
    <t>01-260118-7</t>
  </si>
  <si>
    <t>01-260119-5</t>
  </si>
  <si>
    <t>01-260119-3</t>
  </si>
  <si>
    <t>01-260119-2</t>
  </si>
  <si>
    <t>01-260118-8</t>
  </si>
  <si>
    <t>01-260119-10</t>
  </si>
  <si>
    <t>01-260119-9</t>
  </si>
  <si>
    <t>01-260118-9</t>
  </si>
  <si>
    <t>01-260119-12</t>
  </si>
  <si>
    <t>01-260119-13</t>
  </si>
  <si>
    <t>01-260120-2</t>
  </si>
  <si>
    <t>01-260119-11</t>
  </si>
  <si>
    <t>01-260120-3</t>
  </si>
  <si>
    <t>01-260118-10</t>
  </si>
  <si>
    <t>01-260120-9</t>
  </si>
  <si>
    <t>01-260121-13</t>
  </si>
  <si>
    <t>01-251231-8</t>
  </si>
  <si>
    <t>01-260121-10</t>
  </si>
  <si>
    <t>01-260121-9</t>
  </si>
  <si>
    <t>01-260121-11</t>
  </si>
  <si>
    <t>01-260121-7</t>
  </si>
  <si>
    <t>01-260121-16</t>
  </si>
  <si>
    <t>01-260121-15</t>
  </si>
  <si>
    <t>01-260120-4</t>
  </si>
  <si>
    <t>01-260121-8</t>
  </si>
  <si>
    <t>01-260120-10</t>
  </si>
  <si>
    <t>01-260121-14</t>
  </si>
  <si>
    <t>01-260121-5</t>
  </si>
  <si>
    <t>01-260121-19</t>
  </si>
  <si>
    <t>01-260115-7</t>
  </si>
  <si>
    <t>01-260115-12</t>
  </si>
  <si>
    <t>01-260115-11</t>
  </si>
  <si>
    <t>01-260115-10</t>
  </si>
  <si>
    <t>01-260115-9</t>
  </si>
  <si>
    <t>01-260115-8</t>
  </si>
  <si>
    <t>01-260121-12</t>
  </si>
  <si>
    <t>01-260121-18</t>
  </si>
  <si>
    <t>01-260124-4</t>
  </si>
  <si>
    <t>01-260124-1</t>
  </si>
  <si>
    <t>01-260121-17</t>
  </si>
  <si>
    <t>01-260125-5</t>
  </si>
  <si>
    <t>01-260125-14</t>
  </si>
  <si>
    <t>01-260126-9</t>
  </si>
  <si>
    <t>01-260125-9</t>
  </si>
  <si>
    <t>01-260125-4</t>
  </si>
  <si>
    <t>01-260125-3</t>
  </si>
  <si>
    <t>01-260126-4</t>
  </si>
  <si>
    <t>01-260125-13</t>
  </si>
  <si>
    <t>01-260125-12</t>
  </si>
  <si>
    <t>01-260126-1</t>
  </si>
  <si>
    <t>01-260122-6</t>
  </si>
  <si>
    <t>01-260126-16</t>
  </si>
  <si>
    <t>01-260125-7</t>
  </si>
  <si>
    <t>01-260127-3</t>
  </si>
  <si>
    <t>01-260122-5</t>
  </si>
  <si>
    <t>01-260126-13</t>
  </si>
  <si>
    <t>01-260126-14</t>
  </si>
  <si>
    <t>01-260125-11</t>
  </si>
  <si>
    <t>01-260128-9</t>
  </si>
  <si>
    <t>01-260128-5</t>
  </si>
  <si>
    <t>01-260126-10</t>
  </si>
  <si>
    <t>01-260128-7</t>
  </si>
  <si>
    <t>01-260128-1</t>
  </si>
  <si>
    <t>01-260128-2</t>
  </si>
  <si>
    <t>01-260127-13</t>
  </si>
  <si>
    <t>01-260127-9</t>
  </si>
  <si>
    <t>01-260127-5</t>
  </si>
  <si>
    <t>01-260126-15</t>
  </si>
  <si>
    <t>01-260127-8</t>
  </si>
  <si>
    <t>01-260127-10</t>
  </si>
  <si>
    <t>01-260127-11</t>
  </si>
  <si>
    <t>01-260128-14</t>
  </si>
  <si>
    <t>01-260129-1</t>
  </si>
  <si>
    <t>01-260129-2</t>
  </si>
  <si>
    <t>RBF</t>
  </si>
  <si>
    <t>Legal Proceedings for Shop ID 33 initiated On 08/Nov/2025</t>
  </si>
  <si>
    <t>Legal Proceedings for Shop ID 14 initiated On 11/Dec/2025</t>
  </si>
  <si>
    <t>Legal Proceedings for Shop ID 61 initiated On 22/Jan/2026</t>
  </si>
  <si>
    <t>Legal Proceedings for Shop ID 65 initiated On 21/Dec/2025</t>
  </si>
  <si>
    <t>Legal Proceedings for Shop ID 63 initiated On 29/Dec/2025</t>
  </si>
  <si>
    <t>Legal Proceedings for Shop ID 85 initiated On 26/Jan/2026</t>
  </si>
  <si>
    <t>Legal Proceedings for Shop ID 103 initiated On 26/Jan/2026</t>
  </si>
  <si>
    <t>Legal Proceedings for Shop ID 96 initiated On 29/Dec/2025</t>
  </si>
  <si>
    <t>Legal Proceedings for Shop ID 107 initiated On 22/Jan/2026</t>
  </si>
  <si>
    <t>Legal Proceedings for Shop ID 105 initiated On 27/Jan/2026</t>
  </si>
  <si>
    <t>Legal Proceedings for Shop ID 110 initiated On 27/Jan/2026</t>
  </si>
  <si>
    <t>Legal Proceedings for Shop ID 117 initiated On 22/Jan/2026</t>
  </si>
  <si>
    <t>Legal Proceedings for Shop ID 120 initiated On 27/Jan/2026</t>
  </si>
  <si>
    <t>Legal Proceedings for Shop ID 119 initiated On 27/Jan/2026</t>
  </si>
  <si>
    <t>Legal Proceedings for Shop ID 124 initiated On 22/Jan/2026</t>
  </si>
  <si>
    <t>Legal Proceedings for Shop ID 122 initiated On 24/Jan/2026</t>
  </si>
  <si>
    <t>Legal Proceedings for Shop ID 150 initiated On 22/Dec/2025</t>
  </si>
  <si>
    <t>Legal Proceedings for Shop ID 155 initiated On 05/Jan/2026</t>
  </si>
  <si>
    <t>Legal Proceedings for Shop ID 162 initiated On 19/Jan/2026</t>
  </si>
  <si>
    <t>Legal Proceedings for Shop ID 140 initiated On 29/Dec/2025</t>
  </si>
  <si>
    <t>Legal Proceedings for Shop ID 168 initiated On 05/Jan/2026</t>
  </si>
  <si>
    <t>Legal Proceedings for Shop ID 167 initiated On 22/Jan/2026</t>
  </si>
  <si>
    <t>Legal Proceedings for Shop ID 66 initiated On 05/Jan/2026</t>
  </si>
  <si>
    <t>Legal Proceedings for Shop ID 191 initiated On 18/Jan/2026</t>
  </si>
  <si>
    <t>Legal Proceedings for Shop ID 203 initiated On 22/Jan/2026</t>
  </si>
  <si>
    <t>Legal Proceedings for Shop ID 75 initiated On 22/Jan/2026</t>
  </si>
  <si>
    <t>01-260203-13</t>
  </si>
  <si>
    <t>01-260208-1</t>
  </si>
  <si>
    <t>01-260203-1</t>
  </si>
  <si>
    <t>01-260210-1</t>
  </si>
  <si>
    <t>01-260205-1</t>
  </si>
  <si>
    <t>01-260208-12</t>
  </si>
  <si>
    <t>01-260204-3</t>
  </si>
  <si>
    <t>01-260211-4</t>
  </si>
  <si>
    <t>01-260207-3</t>
  </si>
  <si>
    <t>01-260205-8</t>
  </si>
  <si>
    <t>01-260208-8</t>
  </si>
  <si>
    <t>01-260129-4</t>
  </si>
  <si>
    <t>01-260201-1</t>
  </si>
  <si>
    <t>01-260131-1</t>
  </si>
  <si>
    <t>01-260201-3</t>
  </si>
  <si>
    <t>01-260201-4</t>
  </si>
  <si>
    <t>01-260129-5</t>
  </si>
  <si>
    <t>01-260131-2</t>
  </si>
  <si>
    <t>01-260128-11</t>
  </si>
  <si>
    <t>01-260129-6</t>
  </si>
  <si>
    <t>01-260201-2</t>
  </si>
  <si>
    <t>01-260201-6</t>
  </si>
  <si>
    <t>01-260202-11</t>
  </si>
  <si>
    <t>01-260202-6</t>
  </si>
  <si>
    <t>01-260201-5</t>
  </si>
  <si>
    <t>01-260202-5</t>
  </si>
  <si>
    <t>01-260202-4</t>
  </si>
  <si>
    <t>01-260202-3</t>
  </si>
  <si>
    <t>01-260202-2</t>
  </si>
  <si>
    <t>01-260202-9</t>
  </si>
  <si>
    <t>01-260203-4</t>
  </si>
  <si>
    <t>01-260203-5</t>
  </si>
  <si>
    <t>01-260203-3</t>
  </si>
  <si>
    <t>01-260202-1</t>
  </si>
  <si>
    <t>01-260202-10</t>
  </si>
  <si>
    <t>01-260204-1</t>
  </si>
  <si>
    <t>01-260203-15</t>
  </si>
  <si>
    <t>01-260203-8</t>
  </si>
  <si>
    <t>01-260203-14</t>
  </si>
  <si>
    <t>01-260203-10</t>
  </si>
  <si>
    <t>01-260205-4</t>
  </si>
  <si>
    <t>01-260205-2</t>
  </si>
  <si>
    <t>01-260203-12</t>
  </si>
  <si>
    <t>01-260207-2</t>
  </si>
  <si>
    <t>01-260208-5</t>
  </si>
  <si>
    <t>01-260208-2</t>
  </si>
  <si>
    <t>01-260207-4</t>
  </si>
  <si>
    <t>01-260207-1</t>
  </si>
  <si>
    <t>01-260208-9</t>
  </si>
  <si>
    <t>01-260208-4</t>
  </si>
  <si>
    <t>01-260208-14</t>
  </si>
  <si>
    <t>01-260209-1</t>
  </si>
  <si>
    <t>01-260208-10</t>
  </si>
  <si>
    <t>01-260210-8</t>
  </si>
  <si>
    <t>01-260203-2</t>
  </si>
  <si>
    <t>01-260210-3</t>
  </si>
  <si>
    <t>01-260210-14</t>
  </si>
  <si>
    <t>01-260210-13</t>
  </si>
  <si>
    <t>01-260211-3</t>
  </si>
  <si>
    <t>01-260211-9</t>
  </si>
  <si>
    <t>01-260211-11</t>
  </si>
  <si>
    <t>01-260210-5</t>
  </si>
  <si>
    <t>01-260210-6</t>
  </si>
  <si>
    <t>01-260210-7</t>
  </si>
  <si>
    <t>01-260211-12</t>
  </si>
  <si>
    <t>01-260211-8</t>
  </si>
  <si>
    <t>01-260212-2</t>
  </si>
  <si>
    <t>01-260214-1</t>
  </si>
  <si>
    <t>01-260214-2</t>
  </si>
  <si>
    <t>01-260212-5</t>
  </si>
  <si>
    <t>01-260215-5</t>
  </si>
  <si>
    <t>01-260211-7</t>
  </si>
  <si>
    <t>01-260215-6</t>
  </si>
  <si>
    <t>01-260212-6</t>
  </si>
  <si>
    <t>01-260215-1</t>
  </si>
  <si>
    <t>01-260215-9</t>
  </si>
  <si>
    <t>01-260216-3</t>
  </si>
  <si>
    <t>01-260215-11</t>
  </si>
  <si>
    <t>01-260215-4</t>
  </si>
  <si>
    <t>01-260211-5</t>
  </si>
  <si>
    <t>01-260216-7</t>
  </si>
  <si>
    <t>01-260215-8</t>
  </si>
  <si>
    <t>01-260215-7</t>
  </si>
  <si>
    <t>01-260217-1</t>
  </si>
  <si>
    <t>01-260217-6</t>
  </si>
  <si>
    <t>01-260217-7</t>
  </si>
  <si>
    <t>01-260217-2</t>
  </si>
  <si>
    <t>01-260218-1</t>
  </si>
  <si>
    <t>01-260218-2</t>
  </si>
  <si>
    <t>01-260218-7</t>
  </si>
  <si>
    <t>01-260217-12</t>
  </si>
  <si>
    <t>01-260217-5</t>
  </si>
  <si>
    <t>01-260218-3</t>
  </si>
  <si>
    <t>01-260217-10</t>
  </si>
  <si>
    <t>01-260217-9</t>
  </si>
  <si>
    <t>01-260217-8</t>
  </si>
  <si>
    <t>01-260219-3</t>
  </si>
  <si>
    <t>01-260219-1</t>
  </si>
  <si>
    <t>01-260219-2</t>
  </si>
  <si>
    <t>01-260218-10</t>
  </si>
  <si>
    <t>01-260218-9</t>
  </si>
  <si>
    <t>01-260219-4</t>
  </si>
  <si>
    <t>01-260218-6</t>
  </si>
  <si>
    <t>01-260218-4</t>
  </si>
  <si>
    <t>01-260219-9</t>
  </si>
  <si>
    <t>01-260223-3</t>
  </si>
  <si>
    <t>01-260223-2</t>
  </si>
  <si>
    <t>01-260222-1</t>
  </si>
  <si>
    <t>01-260224-1</t>
  </si>
  <si>
    <t>01-260224-3</t>
  </si>
  <si>
    <t>01-260224-4</t>
  </si>
  <si>
    <t>01-260219-7</t>
  </si>
  <si>
    <t>01-260223-4</t>
  </si>
  <si>
    <t>01-260224-6</t>
  </si>
  <si>
    <t>01-260225-9</t>
  </si>
  <si>
    <t>01-260225-10</t>
  </si>
  <si>
    <t>01-260225-12</t>
  </si>
  <si>
    <t>01-260224-12</t>
  </si>
  <si>
    <t>01-260224-13</t>
  </si>
  <si>
    <t>01-260225-8</t>
  </si>
  <si>
    <t>01-260224-5</t>
  </si>
  <si>
    <t>01-260225-2</t>
  </si>
  <si>
    <t>01-260225-7</t>
  </si>
  <si>
    <t>01-260225-1</t>
  </si>
  <si>
    <t>01-260225-3</t>
  </si>
  <si>
    <t>01-260226-1</t>
  </si>
  <si>
    <t>01-260225-14</t>
  </si>
  <si>
    <t>01-260225-11</t>
  </si>
  <si>
    <t>01-260226-5</t>
  </si>
  <si>
    <t>01-260225-6</t>
  </si>
  <si>
    <t>01-260226-3</t>
  </si>
  <si>
    <t>01-260224-9</t>
  </si>
  <si>
    <t>01-260226-9</t>
  </si>
  <si>
    <t>Legal Proceedings for Shop ID 137 initiated On 05/Feb/2026</t>
  </si>
  <si>
    <t>Legal Proceedings for Shop ID 43 initiated On 05/Feb/2026</t>
  </si>
  <si>
    <t>01-260301-11</t>
  </si>
  <si>
    <t>01-260301-10</t>
  </si>
  <si>
    <t>01-260226-4</t>
  </si>
  <si>
    <t>01-260301-6</t>
  </si>
  <si>
    <t>01-260301-5</t>
  </si>
  <si>
    <t>01-260301-4</t>
  </si>
  <si>
    <t>01-260301-12</t>
  </si>
  <si>
    <t>01-260225-13</t>
  </si>
  <si>
    <t>01-260228-1</t>
  </si>
  <si>
    <t>01-260224-7</t>
  </si>
  <si>
    <t>01-260301-15</t>
  </si>
  <si>
    <t>01-260301-8</t>
  </si>
  <si>
    <t>01-260301-7</t>
  </si>
  <si>
    <t>01-260302-2</t>
  </si>
  <si>
    <t>01-260302-1</t>
  </si>
  <si>
    <t>01-260302-6</t>
  </si>
  <si>
    <t>01-260301-3</t>
  </si>
  <si>
    <t>01-260301-2</t>
  </si>
  <si>
    <t>01-260303-4</t>
  </si>
  <si>
    <t>01-260301-1</t>
  </si>
  <si>
    <t>01-260303-1</t>
  </si>
  <si>
    <t>01-260303-3</t>
  </si>
  <si>
    <t>01-260303-12</t>
  </si>
  <si>
    <t>01-260301-9</t>
  </si>
  <si>
    <t>01-260301-13</t>
  </si>
  <si>
    <t>01-260303-5</t>
  </si>
  <si>
    <t>01-260304-2</t>
  </si>
  <si>
    <t>01-260304-1</t>
  </si>
  <si>
    <t>01-260302-8</t>
  </si>
  <si>
    <t>01-260303-18</t>
  </si>
  <si>
    <t>01-260303-17</t>
  </si>
  <si>
    <t>01-260305-3</t>
  </si>
  <si>
    <t>01-260305-14</t>
  </si>
  <si>
    <t>01-260305-9</t>
  </si>
  <si>
    <t>01-260302-7</t>
  </si>
  <si>
    <t>01-260304-8</t>
  </si>
  <si>
    <t>01-260304-12</t>
  </si>
  <si>
    <t>01-260304-10</t>
  </si>
  <si>
    <t>01-260305-15</t>
  </si>
  <si>
    <t>01-260304-9</t>
  </si>
  <si>
    <t>01-260304-7</t>
  </si>
  <si>
    <t>01-260304-6</t>
  </si>
  <si>
    <t>01-260305-1</t>
  </si>
  <si>
    <t>01-260305-4</t>
  </si>
  <si>
    <t>01-260305-13</t>
  </si>
  <si>
    <t>01-260306-2</t>
  </si>
  <si>
    <t>01-260305-19</t>
  </si>
  <si>
    <t>01-260305-18</t>
  </si>
  <si>
    <t>01-260305-17</t>
  </si>
  <si>
    <t>01-260308-1</t>
  </si>
  <si>
    <t>01-260305-2</t>
  </si>
  <si>
    <t>01-260305-16</t>
  </si>
  <si>
    <t>01-260308-4</t>
  </si>
  <si>
    <t>01-260305-20</t>
  </si>
  <si>
    <t>01-260305-11</t>
  </si>
  <si>
    <t>01-260303-6</t>
  </si>
  <si>
    <t>01-260304-11</t>
  </si>
  <si>
    <t>01-260309-4</t>
  </si>
  <si>
    <t>01-260308-5</t>
  </si>
  <si>
    <t>01-260306-1</t>
  </si>
  <si>
    <t>01-260310-1</t>
  </si>
  <si>
    <t>01-260309-1</t>
  </si>
  <si>
    <t>01-260310-5</t>
  </si>
  <si>
    <t>01-260309-8</t>
  </si>
  <si>
    <t>01-260309-6</t>
  </si>
  <si>
    <t>01-260310-2</t>
  </si>
  <si>
    <t>01-260310-3</t>
  </si>
  <si>
    <t>01-260308-7</t>
  </si>
  <si>
    <t>01-260310-4</t>
  </si>
  <si>
    <t>01-260311-5</t>
  </si>
  <si>
    <t>01-260310-6</t>
  </si>
  <si>
    <t>01-260311-3</t>
  </si>
  <si>
    <t>01-260312-2</t>
  </si>
  <si>
    <t>01-260312-5</t>
  </si>
  <si>
    <t>01-260311-6</t>
  </si>
  <si>
    <t>01-260311-13</t>
  </si>
  <si>
    <t>01-260312-9</t>
  </si>
  <si>
    <t>01-260311-10</t>
  </si>
  <si>
    <t>01-260312-7</t>
  </si>
  <si>
    <t>01-260311-4</t>
  </si>
  <si>
    <t>01-260312-1</t>
  </si>
  <si>
    <t>01-260312-3</t>
  </si>
  <si>
    <t>01-260314-1</t>
  </si>
  <si>
    <t>01-260314-2</t>
  </si>
  <si>
    <t>01-260312-12</t>
  </si>
  <si>
    <t>01-260315-3</t>
  </si>
  <si>
    <t>01-260312-4</t>
  </si>
  <si>
    <t>01-260315-1</t>
  </si>
  <si>
    <t>01-260315-5</t>
  </si>
  <si>
    <t>01-260315-8</t>
  </si>
  <si>
    <t>01-260316-3</t>
  </si>
  <si>
    <t>01-260316-1</t>
  </si>
  <si>
    <t>01-260316-2</t>
  </si>
  <si>
    <t>01-260316-10</t>
  </si>
  <si>
    <t>01-260315-11</t>
  </si>
  <si>
    <t>01-260316-8</t>
  </si>
  <si>
    <t>01-260316-9</t>
  </si>
  <si>
    <t>01-260315-10</t>
  </si>
  <si>
    <t>01-260313-1</t>
  </si>
  <si>
    <t>01-260312-8</t>
  </si>
  <si>
    <t>01-260316-7</t>
  </si>
  <si>
    <t>01-260317-1</t>
  </si>
  <si>
    <t>01-260316-13</t>
  </si>
  <si>
    <t>01-260317-2</t>
  </si>
  <si>
    <t>01-260317-3</t>
  </si>
  <si>
    <t>01-260317-6</t>
  </si>
  <si>
    <t>01-260318-1</t>
  </si>
  <si>
    <t>01-260317-5</t>
  </si>
  <si>
    <t>01-260316-6</t>
  </si>
  <si>
    <t>01-260316-4</t>
  </si>
  <si>
    <t>01-260317-4</t>
  </si>
  <si>
    <t>01-260325-2</t>
  </si>
  <si>
    <t>01-260324-5</t>
  </si>
  <si>
    <t>01-260325-10</t>
  </si>
  <si>
    <t>01-260325-4</t>
  </si>
  <si>
    <t>01-260324-6</t>
  </si>
  <si>
    <t>01-260324-7</t>
  </si>
  <si>
    <t>01-260324-4</t>
  </si>
  <si>
    <t>01-260324-3</t>
  </si>
  <si>
    <t>01-260325-14</t>
  </si>
  <si>
    <t>01-260325-13</t>
  </si>
  <si>
    <t>01-260326-10</t>
  </si>
  <si>
    <t>01-260326-1</t>
  </si>
  <si>
    <t>01-260326-12</t>
  </si>
  <si>
    <t>01-260326-16</t>
  </si>
  <si>
    <t>01-260325-9</t>
  </si>
  <si>
    <t>01-260326-2</t>
  </si>
  <si>
    <t>01-260326-11</t>
  </si>
  <si>
    <t>01-260330-12</t>
  </si>
  <si>
    <t>01-260326-14</t>
  </si>
  <si>
    <t>01-260402-5</t>
  </si>
  <si>
    <t>01-260326-13</t>
  </si>
  <si>
    <t>01-260325-12</t>
  </si>
  <si>
    <t>01-260329-9</t>
  </si>
  <si>
    <t>01-260329-5</t>
  </si>
  <si>
    <t>01-260328-5</t>
  </si>
  <si>
    <t>01-260328-6</t>
  </si>
  <si>
    <t>01-260329-3</t>
  </si>
  <si>
    <t>01-260328-3</t>
  </si>
  <si>
    <t>01-260328-2</t>
  </si>
  <si>
    <t>01-260325-11</t>
  </si>
  <si>
    <t>01-260328-7</t>
  </si>
  <si>
    <t>01-260328-4</t>
  </si>
  <si>
    <t>01-260326-20</t>
  </si>
  <si>
    <t>01-260329-4</t>
  </si>
  <si>
    <t>01-260329-15</t>
  </si>
  <si>
    <t>01-260330-18</t>
  </si>
  <si>
    <t>01-260330-17</t>
  </si>
  <si>
    <t>01-260330-4</t>
  </si>
  <si>
    <t>01-260329-11</t>
  </si>
  <si>
    <t>01-260329-10</t>
  </si>
  <si>
    <t>01-260329-1</t>
  </si>
  <si>
    <t>01-260326-3</t>
  </si>
  <si>
    <t>01-260330-11</t>
  </si>
  <si>
    <t>01-260330-10</t>
  </si>
  <si>
    <t>01-260330-9</t>
  </si>
  <si>
    <t>01-260330-8</t>
  </si>
  <si>
    <t>01-260329-12</t>
  </si>
  <si>
    <t>01-260330-3</t>
  </si>
  <si>
    <t>01-260329-8</t>
  </si>
  <si>
    <t>1781_1</t>
  </si>
  <si>
    <t>1780_1</t>
  </si>
  <si>
    <t>01-260331-3</t>
  </si>
  <si>
    <t>01-260330-21</t>
  </si>
  <si>
    <t>01-260330-24</t>
  </si>
  <si>
    <t>01-260331-10</t>
  </si>
  <si>
    <t>01-260331-2</t>
  </si>
  <si>
    <t>01-260331-4</t>
  </si>
  <si>
    <t>01-260331-7</t>
  </si>
  <si>
    <t>01-260331-8</t>
  </si>
  <si>
    <t>01-260330-19</t>
  </si>
  <si>
    <t>01-260331-12</t>
  </si>
  <si>
    <t>01-260331-9</t>
  </si>
  <si>
    <t>Legal Proceedings for Shop ID 108 initiated On 31/Jan/2026</t>
  </si>
  <si>
    <t>Legal Proceedings for Shop ID 118 initiated On 31/Jan/2026</t>
  </si>
  <si>
    <t>Legal Proceedings for Shop ID 135 initiated On 17/Feb/2026</t>
  </si>
  <si>
    <t>Legal Proceedings for Shop ID 141 initiated On 08/Feb/2026</t>
  </si>
  <si>
    <t>Legal Proceedings for Shop ID 142 initiated On 31/Jan/2026</t>
  </si>
  <si>
    <t>Legal Proceedings for Shop ID 147 initiated On 17/Feb/2026</t>
  </si>
  <si>
    <t>Legal Proceedings for Shop ID 152 initiated On 12/Feb/2026</t>
  </si>
  <si>
    <t>Legal Proceedings for Shop ID 156 initiated On 08/Feb/2026</t>
  </si>
  <si>
    <t>Legal Proceedings for Shop ID 59 initiated On 02/Feb/2026</t>
  </si>
  <si>
    <t>Legal Proceedings for Shop ID 82 initiated On 30/Dec/2025</t>
  </si>
  <si>
    <t>Legal Proceedings for Shop ID 86 initiated On 15/Jan/2026</t>
  </si>
  <si>
    <t>Legal Proceedings for Shop ID 136 initiated On 10/Mar/2026</t>
  </si>
  <si>
    <t xml:space="preserve">Legal Proceedings for Shop ID 148 initiated On </t>
  </si>
  <si>
    <t>Legal Proceedings for Shop ID 143 initiated On 15/Dec/2025</t>
  </si>
  <si>
    <t>Legal Proceedings for Shop ID 169 initiated On 22/Jan/2026</t>
  </si>
  <si>
    <t>Legal Proceedings for Shop ID 214 initiated On 05/Mar/2026</t>
  </si>
  <si>
    <t>Legal Proceedings for Shop ID 62 initiated On 10/Mar/2026</t>
  </si>
  <si>
    <t>Legal Proceedings for Shop ID 69 initiated On 10/Mar/2026</t>
  </si>
  <si>
    <t>Legal Proceedings for Shop ID 87 initiated On 05/Mar/2026</t>
  </si>
  <si>
    <t>As at 31 March, total capital deployed stands at SAR ~83.5 Mn, comprising SAR 38.8 Mn under RCL and SAR 44.7 Mn under BNPL. Portfolio performance remains stable, with the majority of exposures current and actively servicing.
Total overdue exposure is temporarily elevated at primarily driven by the Eid holiday period, with concentration in the 0–30 day bucket. From the bucket, post month-end, ~SAR 0.8–1.0 Mn has already been collected with a further ~SAR 4 Mn expected to close over the next 2–7 days as normal collection cycles resume.
During the month, three overdue accounts , where enforcement actions had been initiated, were fully recovered. Recovery efforts continue across the remaining overdue accounts through ongoing customer engagement and enforcement where required.
From a covenant perspective, the portfolio remains within defined thresholds, with no breaches observed.
Overall, the current overdue position is timing-driven and actively managed. Early April collections and near-term visibility provide confidence that the position will normalise shortly, with no indication of underlying credit deterioration.</t>
  </si>
  <si>
    <t>Portfolio Commentary &amp; Covenant Status (as at 31st March)</t>
  </si>
  <si>
    <t>Loan_Type</t>
  </si>
  <si>
    <t>10-01-1-250719</t>
  </si>
  <si>
    <t>RCL</t>
  </si>
  <si>
    <t>10-01-1-250732</t>
  </si>
  <si>
    <t>10-01-1-250733</t>
  </si>
  <si>
    <t>10-01-1-250734</t>
  </si>
  <si>
    <t>10-01-1-250735</t>
  </si>
  <si>
    <t>10-01-1-250736</t>
  </si>
  <si>
    <t>10-01-1-250737</t>
  </si>
  <si>
    <t>10-01-1-25086</t>
  </si>
  <si>
    <t>10-01-1-25087</t>
  </si>
  <si>
    <t>10-01-1-25088</t>
  </si>
  <si>
    <t>10-01-1-25089</t>
  </si>
  <si>
    <t>10-01-1-250810</t>
  </si>
  <si>
    <t>10-01-1-250811</t>
  </si>
  <si>
    <t>10-01-1-250812</t>
  </si>
  <si>
    <t>10-01-1-250813</t>
  </si>
  <si>
    <t>10-01-1-250814</t>
  </si>
  <si>
    <t>10-01-1-250815</t>
  </si>
  <si>
    <t>10-01-1-250816</t>
  </si>
  <si>
    <t>10-01-1-250817</t>
  </si>
  <si>
    <t>10-01-1-250818</t>
  </si>
  <si>
    <t>10-01-1-250819</t>
  </si>
  <si>
    <t>10-01-1-250820</t>
  </si>
  <si>
    <t>10-01-1-250821</t>
  </si>
  <si>
    <t>10-01-1-250822</t>
  </si>
  <si>
    <t>10-01-1-250824</t>
  </si>
  <si>
    <t>10-01-1-250825</t>
  </si>
  <si>
    <t>10-01-1-250826</t>
  </si>
  <si>
    <t>10-01-1-250827</t>
  </si>
  <si>
    <t>10-01-15-25083</t>
  </si>
  <si>
    <t>10-01-15-25084</t>
  </si>
  <si>
    <t>10-01-15-25085</t>
  </si>
  <si>
    <t>10-01-15-25086</t>
  </si>
  <si>
    <t>10-01-15-25087</t>
  </si>
  <si>
    <t>10-01-15-25088</t>
  </si>
  <si>
    <t>10-01-15-25089</t>
  </si>
  <si>
    <t>10-01-15-250810</t>
  </si>
  <si>
    <t>10-01-15-250811</t>
  </si>
  <si>
    <t>10-01-15-250812</t>
  </si>
  <si>
    <t>10-01-15-250813</t>
  </si>
  <si>
    <t>10-01-15-250814</t>
  </si>
  <si>
    <t>10-01-15-250815</t>
  </si>
  <si>
    <t>10-01-15-250816</t>
  </si>
  <si>
    <t>10-01-15-250817</t>
  </si>
  <si>
    <t>10-01-15-250818</t>
  </si>
  <si>
    <t>10-01-15-250819</t>
  </si>
  <si>
    <t>10-01-15-250820</t>
  </si>
  <si>
    <t>10-01-15-250821</t>
  </si>
  <si>
    <t>10-01-15-250823</t>
  </si>
  <si>
    <t>10-01-15-250826</t>
  </si>
  <si>
    <t>10-01-15-250827</t>
  </si>
  <si>
    <t>10-01-15-250828</t>
  </si>
  <si>
    <t>10-01-15-250829</t>
  </si>
  <si>
    <t>10-01-15-250830</t>
  </si>
  <si>
    <t>10-01-15-250831</t>
  </si>
  <si>
    <t>10-01-15-250832</t>
  </si>
  <si>
    <t>10-01-15-250833</t>
  </si>
  <si>
    <t>10-01-15-250834</t>
  </si>
  <si>
    <t>10-01-15-250835</t>
  </si>
  <si>
    <t>10-01-15-250836</t>
  </si>
  <si>
    <t>10-01-15-250837</t>
  </si>
  <si>
    <t>10-01-15-250838</t>
  </si>
  <si>
    <t>10-01-15-250839</t>
  </si>
  <si>
    <t>10-01-15-250840</t>
  </si>
  <si>
    <t>10-01-15-250841</t>
  </si>
  <si>
    <t>10-01-15-250842</t>
  </si>
  <si>
    <t>10-01-15-250843</t>
  </si>
  <si>
    <t>10-01-15-250844</t>
  </si>
  <si>
    <t>10-01-15-250845</t>
  </si>
  <si>
    <t>10-01-15-250846</t>
  </si>
  <si>
    <t>10-01-15-250847</t>
  </si>
  <si>
    <t>10-01-15-250848</t>
  </si>
  <si>
    <t>10-01-15-250849</t>
  </si>
  <si>
    <t>10-01-15-250850</t>
  </si>
  <si>
    <t>10-01-15-250851</t>
  </si>
  <si>
    <t>10-01-15-250852</t>
  </si>
  <si>
    <t>10-01-15-250853</t>
  </si>
  <si>
    <t>10-01-15-250854</t>
  </si>
  <si>
    <t>10-01-15-250855</t>
  </si>
  <si>
    <t>10-01-15-250858</t>
  </si>
  <si>
    <t>10-01-15-250859</t>
  </si>
  <si>
    <t>10-01-15-250860</t>
  </si>
  <si>
    <t>10-01-15-250861</t>
  </si>
  <si>
    <t>10-01-15-250862</t>
  </si>
  <si>
    <t>10-01-15-250863</t>
  </si>
  <si>
    <t>10-01-15-250864</t>
  </si>
  <si>
    <t>10-01-15-250865</t>
  </si>
  <si>
    <t>10-01-15-250866</t>
  </si>
  <si>
    <t>10-01-15-250867</t>
  </si>
  <si>
    <t>10-01-15-250869</t>
  </si>
  <si>
    <t>10-01-15-250870</t>
  </si>
  <si>
    <t>10-01-15-250871</t>
  </si>
  <si>
    <t>10-01-15-250872</t>
  </si>
  <si>
    <t>10-01-15-250873</t>
  </si>
  <si>
    <t>10-01-15-250874</t>
  </si>
  <si>
    <t>10-01-15-250875</t>
  </si>
  <si>
    <t>10-01-15-250876</t>
  </si>
  <si>
    <t>10-01-15-250877</t>
  </si>
  <si>
    <t>10-01-15-250878</t>
  </si>
  <si>
    <t>10-01-15-250879</t>
  </si>
  <si>
    <t>10-01-15-250880</t>
  </si>
  <si>
    <t>10-01-15-250881</t>
  </si>
  <si>
    <t>10-01-15-250882</t>
  </si>
  <si>
    <t>10-01-15-250883</t>
  </si>
  <si>
    <t>10-01-15-250884</t>
  </si>
  <si>
    <t>10-01-15-250885</t>
  </si>
  <si>
    <t>10-01-15-250886</t>
  </si>
  <si>
    <t>10-01-15-250887</t>
  </si>
  <si>
    <t>10-01-15-250888</t>
  </si>
  <si>
    <t>10-01-15-250889</t>
  </si>
  <si>
    <t>10-01-15-250890</t>
  </si>
  <si>
    <t>10-01-15-250891</t>
  </si>
  <si>
    <t>10-01-15-250892</t>
  </si>
  <si>
    <t>10-01-15-250893</t>
  </si>
  <si>
    <t>10-01-15-250895</t>
  </si>
  <si>
    <t>10-01-15-250896</t>
  </si>
  <si>
    <t>10-01-15-250897</t>
  </si>
  <si>
    <t>10-01-15-250898</t>
  </si>
  <si>
    <t>10-01-15-250899</t>
  </si>
  <si>
    <t>10-01-15-2508100</t>
  </si>
  <si>
    <t>10-01-15-2508101</t>
  </si>
  <si>
    <t>10-01-15-2508102</t>
  </si>
  <si>
    <t>10-01-15-2508107</t>
  </si>
  <si>
    <t>10-01-15-2508108</t>
  </si>
  <si>
    <t>10-01-15-2508109</t>
  </si>
  <si>
    <t>10-01-15-2508110</t>
  </si>
  <si>
    <t>10-01-15-2508111</t>
  </si>
  <si>
    <t>10-01-15-2508112</t>
  </si>
  <si>
    <t>10-01-15-2508113</t>
  </si>
  <si>
    <t>10-01-15-2508114</t>
  </si>
  <si>
    <t>10-01-15-2508115</t>
  </si>
  <si>
    <t>10-01-15-2508116</t>
  </si>
  <si>
    <t>10-01-15-2508117</t>
  </si>
  <si>
    <t>10-01-15-2508118</t>
  </si>
  <si>
    <t>10-01-15-2508119</t>
  </si>
  <si>
    <t>10-01-15-2508120</t>
  </si>
  <si>
    <t>10-01-15-2508121</t>
  </si>
  <si>
    <t>10-01-15-2508122</t>
  </si>
  <si>
    <t>10-01-15-2508123</t>
  </si>
  <si>
    <t>10-01-15-2508124</t>
  </si>
  <si>
    <t>10-01-15-2508125</t>
  </si>
  <si>
    <t>10-01-15-2508126</t>
  </si>
  <si>
    <t>10-01-15-2508127</t>
  </si>
  <si>
    <t>10-01-15-2508128</t>
  </si>
  <si>
    <t>10-01-15-2508129</t>
  </si>
  <si>
    <t>10-01-15-2508130</t>
  </si>
  <si>
    <t>10-01-15-2508131</t>
  </si>
  <si>
    <t>10-01-15-2508132</t>
  </si>
  <si>
    <t>10-01-15-2508133</t>
  </si>
  <si>
    <t>10-01-15-2508134</t>
  </si>
  <si>
    <t>10-01-15-2508135</t>
  </si>
  <si>
    <t>10-01-15-2508136</t>
  </si>
  <si>
    <t>10-01-15-2508137</t>
  </si>
  <si>
    <t>10-01-15-2508139</t>
  </si>
  <si>
    <t>10-01-15-2508140</t>
  </si>
  <si>
    <t>10-01-15-2508141</t>
  </si>
  <si>
    <t>10-01-15-2508142</t>
  </si>
  <si>
    <t>10-01-15-2508143</t>
  </si>
  <si>
    <t>10-01-15-2508144</t>
  </si>
  <si>
    <t>10-01-15-2508145</t>
  </si>
  <si>
    <t>10-01-15-2508146</t>
  </si>
  <si>
    <t>10-01-15-2508147</t>
  </si>
  <si>
    <t>10-01-15-2508148</t>
  </si>
  <si>
    <t>10-01-15-2508149</t>
  </si>
  <si>
    <t>10-01-15-2508150</t>
  </si>
  <si>
    <t>10-01-15-2508151</t>
  </si>
  <si>
    <t>10-01-15-2508152</t>
  </si>
  <si>
    <t>10-01-15-2508153</t>
  </si>
  <si>
    <t>10-01-15-2508155</t>
  </si>
  <si>
    <t>10-01-15-2508156</t>
  </si>
  <si>
    <t>10-01-15-2508157</t>
  </si>
  <si>
    <t>10-01-15-2508158</t>
  </si>
  <si>
    <t>10-01-15-2508159</t>
  </si>
  <si>
    <t>10-01-15-2508160</t>
  </si>
  <si>
    <t>10-01-15-2508161</t>
  </si>
  <si>
    <t>10-01-15-2508162</t>
  </si>
  <si>
    <t>10-01-15-2508163</t>
  </si>
  <si>
    <t>10-01-15-2508164</t>
  </si>
  <si>
    <t>10-01-15-2508165</t>
  </si>
  <si>
    <t>10-01-15-2508166</t>
  </si>
  <si>
    <t>10-01-15-2508167</t>
  </si>
  <si>
    <t>10-01-15-2508168</t>
  </si>
  <si>
    <t>10-01-15-2508169</t>
  </si>
  <si>
    <t>10-01-15-2508170</t>
  </si>
  <si>
    <t>10-01-15-2508171</t>
  </si>
  <si>
    <t>10-01-15-2508172</t>
  </si>
  <si>
    <t>10-01-15-2508173</t>
  </si>
  <si>
    <t>10-01-15-2508174</t>
  </si>
  <si>
    <t>10-01-15-25091</t>
  </si>
  <si>
    <t>10-01-15-25092</t>
  </si>
  <si>
    <t>10-01-15-25093</t>
  </si>
  <si>
    <t>10-01-15-25094</t>
  </si>
  <si>
    <t>10-01-15-25095</t>
  </si>
  <si>
    <t>10-01-15-25096</t>
  </si>
  <si>
    <t>10-01-15-25097</t>
  </si>
  <si>
    <t>10-01-15-25098</t>
  </si>
  <si>
    <t>10-01-15-25099</t>
  </si>
  <si>
    <t>10-01-15-250910</t>
  </si>
  <si>
    <t>10-01-15-250911</t>
  </si>
  <si>
    <t>10-01-15-250912</t>
  </si>
  <si>
    <t>10-01-15-250913</t>
  </si>
  <si>
    <t>10-01-15-250914</t>
  </si>
  <si>
    <t>10-01-15-250915</t>
  </si>
  <si>
    <t>10-01-15-250916</t>
  </si>
  <si>
    <t>10-01-15-250917</t>
  </si>
  <si>
    <t>10-01-15-250918</t>
  </si>
  <si>
    <t>10-01-15-250919</t>
  </si>
  <si>
    <t>10-01-15-250920</t>
  </si>
  <si>
    <t>10-01-15-250924</t>
  </si>
  <si>
    <t>10-01-15-250928</t>
  </si>
  <si>
    <t>10-01-15-250929</t>
  </si>
  <si>
    <t>10-01-15-250930</t>
  </si>
  <si>
    <t>10-01-15-250931</t>
  </si>
  <si>
    <t>10-01-15-250932</t>
  </si>
  <si>
    <t>10-01-15-250933</t>
  </si>
  <si>
    <t>10-01-15-250934</t>
  </si>
  <si>
    <t>10-01-15-250935</t>
  </si>
  <si>
    <t>10-01-15-250936</t>
  </si>
  <si>
    <t>10-01-15-250937</t>
  </si>
  <si>
    <t>10-01-15-250938</t>
  </si>
  <si>
    <t>10-01-15-250939</t>
  </si>
  <si>
    <t>10-01-15-250940</t>
  </si>
  <si>
    <t>10-01-15-250941</t>
  </si>
  <si>
    <t>10-01-15-250942</t>
  </si>
  <si>
    <t>10-01-15-250943</t>
  </si>
  <si>
    <t>10-01-15-250944</t>
  </si>
  <si>
    <t>10-01-15-250945</t>
  </si>
  <si>
    <t>10-01-15-250946</t>
  </si>
  <si>
    <t>10-01-15-250947</t>
  </si>
  <si>
    <t>10-01-15-250948</t>
  </si>
  <si>
    <t>10-01-15-250949</t>
  </si>
  <si>
    <t>10-01-15-250951</t>
  </si>
  <si>
    <t>10-01-15-250952</t>
  </si>
  <si>
    <t>10-01-15-250954</t>
  </si>
  <si>
    <t>10-01-15-250955</t>
  </si>
  <si>
    <t>10-01-15-250956</t>
  </si>
  <si>
    <t>10-01-15-250957</t>
  </si>
  <si>
    <t>10-01-15-250958</t>
  </si>
  <si>
    <t>10-01-15-250959</t>
  </si>
  <si>
    <t>10-01-15-250960</t>
  </si>
  <si>
    <t>10-01-15-250961</t>
  </si>
  <si>
    <t>10-01-15-250962</t>
  </si>
  <si>
    <t>10-01-15-250963</t>
  </si>
  <si>
    <t>10-01-15-250964</t>
  </si>
  <si>
    <t>10-01-15-250965</t>
  </si>
  <si>
    <t>10-01-15-250966</t>
  </si>
  <si>
    <t>10-01-15-250967</t>
  </si>
  <si>
    <t>10-01-15-250968</t>
  </si>
  <si>
    <t>10-01-15-250969</t>
  </si>
  <si>
    <t>10-01-15-250970</t>
  </si>
  <si>
    <t>10-01-15-250971</t>
  </si>
  <si>
    <t>10-01-15-250972</t>
  </si>
  <si>
    <t>10-01-15-250973</t>
  </si>
  <si>
    <t>10-01-15-250974</t>
  </si>
  <si>
    <t>10-01-15-250975</t>
  </si>
  <si>
    <t>10-01-15-250976</t>
  </si>
  <si>
    <t>10-01-15-250977</t>
  </si>
  <si>
    <t>10-01-15-250978</t>
  </si>
  <si>
    <t>10-01-15-250979</t>
  </si>
  <si>
    <t>10-01-15-250980</t>
  </si>
  <si>
    <t>10-01-15-250981</t>
  </si>
  <si>
    <t>10-01-15-250982</t>
  </si>
  <si>
    <t>10-01-15-250983</t>
  </si>
  <si>
    <t>10-01-15-250984</t>
  </si>
  <si>
    <t>10-01-15-250985</t>
  </si>
  <si>
    <t>10-01-15-250986</t>
  </si>
  <si>
    <t>10-01-15-250987</t>
  </si>
  <si>
    <t>10-01-15-250988</t>
  </si>
  <si>
    <t>10-01-15-250990</t>
  </si>
  <si>
    <t>10-01-15-250991</t>
  </si>
  <si>
    <t>10-01-15-250992</t>
  </si>
  <si>
    <t>10-01-15-250993</t>
  </si>
  <si>
    <t>10-01-15-250994</t>
  </si>
  <si>
    <t>10-01-15-250995</t>
  </si>
  <si>
    <t>10-01-15-250997</t>
  </si>
  <si>
    <t>10-01-15-250998</t>
  </si>
  <si>
    <t>10-01-15-250999</t>
  </si>
  <si>
    <t>10-01-15-2509100</t>
  </si>
  <si>
    <t>10-01-15-2509101</t>
  </si>
  <si>
    <t>10-01-15-2509102</t>
  </si>
  <si>
    <t>10-01-15-2509103</t>
  </si>
  <si>
    <t>10-01-15-2509105</t>
  </si>
  <si>
    <t>10-01-15-2509106</t>
  </si>
  <si>
    <t>10-01-15-2509107</t>
  </si>
  <si>
    <t>10-01-15-2509108</t>
  </si>
  <si>
    <t>10-01-15-2509109</t>
  </si>
  <si>
    <t>10-01-15-2509110</t>
  </si>
  <si>
    <t>10-01-15-2509111</t>
  </si>
  <si>
    <t>10-01-15-2509112</t>
  </si>
  <si>
    <t>10-01-15-2509113</t>
  </si>
  <si>
    <t>10-01-15-2509114</t>
  </si>
  <si>
    <t>10-01-15-2509115</t>
  </si>
  <si>
    <t>10-01-15-2509116</t>
  </si>
  <si>
    <t>10-01-15-2509117</t>
  </si>
  <si>
    <t>10-01-15-2509118</t>
  </si>
  <si>
    <t>10-01-15-2509119</t>
  </si>
  <si>
    <t>10-01-15-2509120</t>
  </si>
  <si>
    <t>10-01-15-2509121</t>
  </si>
  <si>
    <t>10-01-15-2509122</t>
  </si>
  <si>
    <t>10-01-15-2509123</t>
  </si>
  <si>
    <t>10-01-15-2509124</t>
  </si>
  <si>
    <t>10-01-15-2509125</t>
  </si>
  <si>
    <t>10-01-15-2509126</t>
  </si>
  <si>
    <t>10-01-15-2509127</t>
  </si>
  <si>
    <t>10-01-15-2509128</t>
  </si>
  <si>
    <t>10-01-15-2509129</t>
  </si>
  <si>
    <t>10-01-15-2509130</t>
  </si>
  <si>
    <t>10-01-15-2509131</t>
  </si>
  <si>
    <t>10-01-15-2509132</t>
  </si>
  <si>
    <t>10-01-15-2509133</t>
  </si>
  <si>
    <t>10-01-15-2509134</t>
  </si>
  <si>
    <t>10-01-15-2509135</t>
  </si>
  <si>
    <t>10-01-15-2509136</t>
  </si>
  <si>
    <t>10-01-15-2509137</t>
  </si>
  <si>
    <t>10-01-15-2509138</t>
  </si>
  <si>
    <t>10-01-15-2509139</t>
  </si>
  <si>
    <t>10-01-15-2509140</t>
  </si>
  <si>
    <t>10-01-15-2509141</t>
  </si>
  <si>
    <t>10-01-15-2509142</t>
  </si>
  <si>
    <t>10-01-15-2509143</t>
  </si>
  <si>
    <t>10-01-15-2509151</t>
  </si>
  <si>
    <t>10-01-15-2509150</t>
  </si>
  <si>
    <t>10-01-15-2509149</t>
  </si>
  <si>
    <t>10-01-15-2509148</t>
  </si>
  <si>
    <t>10-01-15-2509147</t>
  </si>
  <si>
    <t>10-01-15-2509146</t>
  </si>
  <si>
    <t>10-01-15-2509145</t>
  </si>
  <si>
    <t>10-01-15-2509144</t>
  </si>
  <si>
    <t>10-01-15-2509152</t>
  </si>
  <si>
    <t>10-01-15-2509169</t>
  </si>
  <si>
    <t>10-01-15-2509168</t>
  </si>
  <si>
    <t>10-01-15-2509167</t>
  </si>
  <si>
    <t>10-01-15-2509166</t>
  </si>
  <si>
    <t>10-01-15-2509164</t>
  </si>
  <si>
    <t>10-01-15-2509163</t>
  </si>
  <si>
    <t>10-01-15-2509162</t>
  </si>
  <si>
    <t>10-01-15-2509161</t>
  </si>
  <si>
    <t>10-01-15-2509160</t>
  </si>
  <si>
    <t>10-01-15-2509159</t>
  </si>
  <si>
    <t>10-01-15-2509158</t>
  </si>
  <si>
    <t>10-01-15-2509157</t>
  </si>
  <si>
    <t>10-01-15-2509156</t>
  </si>
  <si>
    <t>10-01-15-2509155</t>
  </si>
  <si>
    <t>10-01-15-2509154</t>
  </si>
  <si>
    <t>10-01-15-2509153</t>
  </si>
  <si>
    <t>10-01-15-25103</t>
  </si>
  <si>
    <t>10-01-15-25102</t>
  </si>
  <si>
    <t>10-01-15-25101</t>
  </si>
  <si>
    <t>10-01-15-251010</t>
  </si>
  <si>
    <t>10-01-15-25109</t>
  </si>
  <si>
    <t>10-01-15-25108</t>
  </si>
  <si>
    <t>10-01-15-25107</t>
  </si>
  <si>
    <t>10-01-15-251011</t>
  </si>
  <si>
    <t>10-01-15-251017</t>
  </si>
  <si>
    <t>10-01-15-251016</t>
  </si>
  <si>
    <t>10-01-15-251015</t>
  </si>
  <si>
    <t>10-01-15-251014</t>
  </si>
  <si>
    <t>10-01-15-251013</t>
  </si>
  <si>
    <t>10-01-15-251018</t>
  </si>
  <si>
    <t>10-01-15-251032</t>
  </si>
  <si>
    <t>10-01-15-251031</t>
  </si>
  <si>
    <t>10-01-15-251030</t>
  </si>
  <si>
    <t>10-01-15-251029</t>
  </si>
  <si>
    <t>10-01-15-251028</t>
  </si>
  <si>
    <t>10-01-15-251027</t>
  </si>
  <si>
    <t>10-01-15-251026</t>
  </si>
  <si>
    <t>10-01-15-251025</t>
  </si>
  <si>
    <t>10-01-15-251024</t>
  </si>
  <si>
    <t>10-01-15-251023</t>
  </si>
  <si>
    <t>10-01-15-251022</t>
  </si>
  <si>
    <t>10-01-15-251021</t>
  </si>
  <si>
    <t>10-01-15-251020</t>
  </si>
  <si>
    <t>10-01-15-251019</t>
  </si>
  <si>
    <t>10-01-15-251038</t>
  </si>
  <si>
    <t>10-01-15-251037</t>
  </si>
  <si>
    <t>10-01-15-251036</t>
  </si>
  <si>
    <t>10-01-15-251035</t>
  </si>
  <si>
    <t>10-01-15-251034</t>
  </si>
  <si>
    <t>10-01-15-251033</t>
  </si>
  <si>
    <t>10-01-15-251041</t>
  </si>
  <si>
    <t>10-01-15-251039</t>
  </si>
  <si>
    <t>10-01-15-251052</t>
  </si>
  <si>
    <t>10-01-15-251051</t>
  </si>
  <si>
    <t>10-01-15-251050</t>
  </si>
  <si>
    <t>10-01-15-251049</t>
  </si>
  <si>
    <t>10-01-15-251048</t>
  </si>
  <si>
    <t>10-01-15-251047</t>
  </si>
  <si>
    <t>10-01-15-251046</t>
  </si>
  <si>
    <t>10-01-15-251045</t>
  </si>
  <si>
    <t>10-01-15-251044</t>
  </si>
  <si>
    <t>10-01-15-251043</t>
  </si>
  <si>
    <t>10-01-15-251042</t>
  </si>
  <si>
    <t>10-01-15-251058</t>
  </si>
  <si>
    <t>10-01-15-251057</t>
  </si>
  <si>
    <t>10-01-15-251056</t>
  </si>
  <si>
    <t>10-01-15-251055</t>
  </si>
  <si>
    <t>10-01-15-251054</t>
  </si>
  <si>
    <t>10-01-15-251062</t>
  </si>
  <si>
    <t>10-01-15-251061</t>
  </si>
  <si>
    <t>10-01-15-251060</t>
  </si>
  <si>
    <t>10-01-15-251059</t>
  </si>
  <si>
    <t>10-01-15-251064</t>
  </si>
  <si>
    <t>10-01-15-251063</t>
  </si>
  <si>
    <t>10-01-15-251069</t>
  </si>
  <si>
    <t>10-01-15-251068</t>
  </si>
  <si>
    <t>10-01-15-251067</t>
  </si>
  <si>
    <t>10-01-15-251066</t>
  </si>
  <si>
    <t>10-01-15-251065</t>
  </si>
  <si>
    <t>10-01-15-2510100</t>
  </si>
  <si>
    <t>10-01-15-251099</t>
  </si>
  <si>
    <t>10-01-15-251098</t>
  </si>
  <si>
    <t>10-01-15-251097</t>
  </si>
  <si>
    <t>10-01-15-251096</t>
  </si>
  <si>
    <t>10-01-15-251095</t>
  </si>
  <si>
    <t>10-01-15-251094</t>
  </si>
  <si>
    <t>10-01-15-251093</t>
  </si>
  <si>
    <t>10-01-15-251092</t>
  </si>
  <si>
    <t>10-01-15-251091</t>
  </si>
  <si>
    <t>10-01-15-251090</t>
  </si>
  <si>
    <t>10-01-15-251089</t>
  </si>
  <si>
    <t>10-01-15-251088</t>
  </si>
  <si>
    <t>10-01-15-251087</t>
  </si>
  <si>
    <t>10-01-15-251086</t>
  </si>
  <si>
    <t>10-01-15-251085</t>
  </si>
  <si>
    <t>10-01-15-251084</t>
  </si>
  <si>
    <t>10-01-15-251083</t>
  </si>
  <si>
    <t>10-01-15-251082</t>
  </si>
  <si>
    <t>10-01-15-251081</t>
  </si>
  <si>
    <t>10-01-15-251080</t>
  </si>
  <si>
    <t>10-01-15-251079</t>
  </si>
  <si>
    <t>10-01-15-251078</t>
  </si>
  <si>
    <t>10-01-15-251077</t>
  </si>
  <si>
    <t>10-01-15-251076</t>
  </si>
  <si>
    <t>10-01-15-251075</t>
  </si>
  <si>
    <t>10-01-15-251074</t>
  </si>
  <si>
    <t>10-01-15-251073</t>
  </si>
  <si>
    <t>10-01-15-251072</t>
  </si>
  <si>
    <t>10-01-15-2510108</t>
  </si>
  <si>
    <t>10-01-15-2510106</t>
  </si>
  <si>
    <t>10-01-15-2510105</t>
  </si>
  <si>
    <t>10-01-15-2510104</t>
  </si>
  <si>
    <t>10-01-15-2510103</t>
  </si>
  <si>
    <t>10-01-15-2510102</t>
  </si>
  <si>
    <t>10-01-15-2510101</t>
  </si>
  <si>
    <t>10-01-15-2510123</t>
  </si>
  <si>
    <t>10-01-15-2510122</t>
  </si>
  <si>
    <t>10-01-15-2510121</t>
  </si>
  <si>
    <t>10-01-15-2510120</t>
  </si>
  <si>
    <t>10-01-15-2510119</t>
  </si>
  <si>
    <t>10-01-15-2510118</t>
  </si>
  <si>
    <t>10-01-15-2510117</t>
  </si>
  <si>
    <t>10-01-15-2510116</t>
  </si>
  <si>
    <t>10-01-15-2510115</t>
  </si>
  <si>
    <t>10-01-15-2510114</t>
  </si>
  <si>
    <t>10-01-15-2510113</t>
  </si>
  <si>
    <t>10-01-15-2510112</t>
  </si>
  <si>
    <t>10-01-15-2510111</t>
  </si>
  <si>
    <t>10-01-15-2510110</t>
  </si>
  <si>
    <t>10-01-15-2510109</t>
  </si>
  <si>
    <t>10-01-15-2510125</t>
  </si>
  <si>
    <t>10-01-15-2510124</t>
  </si>
  <si>
    <t>10-01-15-2510142</t>
  </si>
  <si>
    <t>10-01-15-2510141</t>
  </si>
  <si>
    <t>10-01-15-2510140</t>
  </si>
  <si>
    <t>10-01-15-2510139</t>
  </si>
  <si>
    <t>10-01-15-2510138</t>
  </si>
  <si>
    <t>10-01-15-2510137</t>
  </si>
  <si>
    <t>10-01-15-2510136</t>
  </si>
  <si>
    <t>10-01-15-2510135</t>
  </si>
  <si>
    <t>10-01-15-2510134</t>
  </si>
  <si>
    <t>10-01-15-2510133</t>
  </si>
  <si>
    <t>10-01-15-2510132</t>
  </si>
  <si>
    <t>10-01-15-2510131</t>
  </si>
  <si>
    <t>10-01-15-2510130</t>
  </si>
  <si>
    <t>10-01-15-2510129</t>
  </si>
  <si>
    <t>10-01-15-2510128</t>
  </si>
  <si>
    <t>10-01-15-2510127</t>
  </si>
  <si>
    <t>10-01-15-2510126</t>
  </si>
  <si>
    <t>10-01-15-2510147</t>
  </si>
  <si>
    <t>10-01-15-2510146</t>
  </si>
  <si>
    <t>10-01-15-2510145</t>
  </si>
  <si>
    <t>10-01-15-2510144</t>
  </si>
  <si>
    <t>10-01-15-2510143</t>
  </si>
  <si>
    <t>10-01-15-2510166</t>
  </si>
  <si>
    <t>10-01-15-2510165</t>
  </si>
  <si>
    <t>10-01-15-2510164</t>
  </si>
  <si>
    <t>10-01-15-2510163</t>
  </si>
  <si>
    <t>10-01-15-2510162</t>
  </si>
  <si>
    <t>10-01-15-2510161</t>
  </si>
  <si>
    <t>10-01-15-2510160</t>
  </si>
  <si>
    <t>10-01-15-2510159</t>
  </si>
  <si>
    <t>10-01-15-2510158</t>
  </si>
  <si>
    <t>10-01-15-2510157</t>
  </si>
  <si>
    <t>10-01-15-2510156</t>
  </si>
  <si>
    <t>10-01-15-2510155</t>
  </si>
  <si>
    <t>10-01-15-2510154</t>
  </si>
  <si>
    <t>10-01-15-2510153</t>
  </si>
  <si>
    <t>10-01-15-2510152</t>
  </si>
  <si>
    <t>10-01-15-2510151</t>
  </si>
  <si>
    <t>10-01-15-2510150</t>
  </si>
  <si>
    <t>10-01-15-2510149</t>
  </si>
  <si>
    <t>10-01-15-2510148</t>
  </si>
  <si>
    <t>10-01-15-25118</t>
  </si>
  <si>
    <t>10-01-15-25117</t>
  </si>
  <si>
    <t>10-01-15-25116</t>
  </si>
  <si>
    <t>10-01-15-25115</t>
  </si>
  <si>
    <t>10-01-15-25114</t>
  </si>
  <si>
    <t>10-01-15-25113</t>
  </si>
  <si>
    <t>10-01-15-251115</t>
  </si>
  <si>
    <t>10-01-15-251114</t>
  </si>
  <si>
    <t>10-01-15-251113</t>
  </si>
  <si>
    <t>10-01-15-251112</t>
  </si>
  <si>
    <t>10-01-15-251111</t>
  </si>
  <si>
    <t>10-01-15-251131</t>
  </si>
  <si>
    <t>10-01-15-251130</t>
  </si>
  <si>
    <t>10-01-15-251129</t>
  </si>
  <si>
    <t>10-01-15-251128</t>
  </si>
  <si>
    <t>10-01-15-251127</t>
  </si>
  <si>
    <t>10-01-15-251122</t>
  </si>
  <si>
    <t>10-01-15-251121</t>
  </si>
  <si>
    <t>10-01-15-251120</t>
  </si>
  <si>
    <t>10-01-15-251119</t>
  </si>
  <si>
    <t>10-01-15-251118</t>
  </si>
  <si>
    <t>10-01-15-251117</t>
  </si>
  <si>
    <t>10-01-15-251116</t>
  </si>
  <si>
    <t>10-01-15-251155</t>
  </si>
  <si>
    <t>10-01-15-251154</t>
  </si>
  <si>
    <t>10-01-15-251153</t>
  </si>
  <si>
    <t>10-01-15-251152</t>
  </si>
  <si>
    <t>10-01-15-251151</t>
  </si>
  <si>
    <t>10-01-15-251149</t>
  </si>
  <si>
    <t>10-01-15-251148</t>
  </si>
  <si>
    <t>10-01-15-251147</t>
  </si>
  <si>
    <t>10-01-15-251146</t>
  </si>
  <si>
    <t>10-01-15-251145</t>
  </si>
  <si>
    <t>10-01-15-251144</t>
  </si>
  <si>
    <t>10-01-15-251143</t>
  </si>
  <si>
    <t>10-01-15-251141</t>
  </si>
  <si>
    <t>10-01-15-251140</t>
  </si>
  <si>
    <t>10-01-15-251139</t>
  </si>
  <si>
    <t>10-01-15-251138</t>
  </si>
  <si>
    <t>10-01-15-251137</t>
  </si>
  <si>
    <t>10-01-15-251136</t>
  </si>
  <si>
    <t>10-01-15-251135</t>
  </si>
  <si>
    <t>10-01-15-251134</t>
  </si>
  <si>
    <t>10-01-15-251133</t>
  </si>
  <si>
    <t>10-01-15-251132</t>
  </si>
  <si>
    <t>10-01-15-251156</t>
  </si>
  <si>
    <t>10-01-26-25111</t>
  </si>
  <si>
    <t>10-01-15-251160</t>
  </si>
  <si>
    <t>10-01-15-251159</t>
  </si>
  <si>
    <t>10-01-15-251158</t>
  </si>
  <si>
    <t>10-01-15-251157</t>
  </si>
  <si>
    <t>10-01-26-25116</t>
  </si>
  <si>
    <t>10-01-26-25115</t>
  </si>
  <si>
    <t>10-01-26-25114</t>
  </si>
  <si>
    <t>10-01-26-25113</t>
  </si>
  <si>
    <t>10-01-16-251151</t>
  </si>
  <si>
    <t>10-01-16-251150</t>
  </si>
  <si>
    <t>10-01-16-251149</t>
  </si>
  <si>
    <t>10-01-16-251148</t>
  </si>
  <si>
    <t>10-01-16-251147</t>
  </si>
  <si>
    <t>10-01-16-251146</t>
  </si>
  <si>
    <t>10-01-16-251145</t>
  </si>
  <si>
    <t>10-01-26-25112</t>
  </si>
  <si>
    <t>10-01-16-251161</t>
  </si>
  <si>
    <t>10-01-16-251160</t>
  </si>
  <si>
    <t>10-01-16-251159</t>
  </si>
  <si>
    <t>10-01-16-251158</t>
  </si>
  <si>
    <t>10-01-16-251157</t>
  </si>
  <si>
    <t>10-01-16-251156</t>
  </si>
  <si>
    <t>10-01-16-251155</t>
  </si>
  <si>
    <t>10-01-16-251154</t>
  </si>
  <si>
    <t>10-01-16-251153</t>
  </si>
  <si>
    <t>10-01-16-251170</t>
  </si>
  <si>
    <t>10-01-26-25119</t>
  </si>
  <si>
    <t>10-01-26-25118</t>
  </si>
  <si>
    <t>10-01-16-251184</t>
  </si>
  <si>
    <t>10-01-16-251183</t>
  </si>
  <si>
    <t>10-01-16-251181</t>
  </si>
  <si>
    <t>10-01-16-251180</t>
  </si>
  <si>
    <t>10-01-16-251179</t>
  </si>
  <si>
    <t>10-01-16-251178</t>
  </si>
  <si>
    <t>10-01-16-251177</t>
  </si>
  <si>
    <t>10-01-16-2511111</t>
  </si>
  <si>
    <t>10-01-16-2511110</t>
  </si>
  <si>
    <t>10-01-16-2511109</t>
  </si>
  <si>
    <t>10-01-16-2511108</t>
  </si>
  <si>
    <t>10-01-16-2511107</t>
  </si>
  <si>
    <t>10-01-16-2511106</t>
  </si>
  <si>
    <t>10-01-16-2511105</t>
  </si>
  <si>
    <t>10-01-16-2511104</t>
  </si>
  <si>
    <t>10-01-16-2511103</t>
  </si>
  <si>
    <t>10-01-16-2511102</t>
  </si>
  <si>
    <t>10-01-16-251198</t>
  </si>
  <si>
    <t>10-01-16-251197</t>
  </si>
  <si>
    <t>10-01-16-251196</t>
  </si>
  <si>
    <t>10-01-16-251195</t>
  </si>
  <si>
    <t>10-01-16-251194</t>
  </si>
  <si>
    <t>10-01-16-251193</t>
  </si>
  <si>
    <t>10-01-16-251192</t>
  </si>
  <si>
    <t>10-01-16-251191</t>
  </si>
  <si>
    <t>10-01-16-251190</t>
  </si>
  <si>
    <t>10-01-16-2511115</t>
  </si>
  <si>
    <t>10-01-16-2511114</t>
  </si>
  <si>
    <t>10-01-16-2511113</t>
  </si>
  <si>
    <t>10-01-26-251111</t>
  </si>
  <si>
    <t>10-01-26-251110</t>
  </si>
  <si>
    <t>10-01-16-2511121</t>
  </si>
  <si>
    <t>10-01-16-2511120</t>
  </si>
  <si>
    <t>10-01-16-2511119</t>
  </si>
  <si>
    <t>10-01-26-251113</t>
  </si>
  <si>
    <t>10-01-26-251115</t>
  </si>
  <si>
    <t>10-01-26-251114</t>
  </si>
  <si>
    <t>10-01-16-2511177</t>
  </si>
  <si>
    <t>10-01-16-2511176</t>
  </si>
  <si>
    <t>10-01-16-2511175</t>
  </si>
  <si>
    <t>10-01-16-2511174</t>
  </si>
  <si>
    <t>10-01-16-2511173</t>
  </si>
  <si>
    <t>10-01-16-2511161</t>
  </si>
  <si>
    <t>10-01-16-2511160</t>
  </si>
  <si>
    <t>10-01-16-2511159</t>
  </si>
  <si>
    <t>10-01-16-2511158</t>
  </si>
  <si>
    <t>10-01-16-2511157</t>
  </si>
  <si>
    <t>10-01-16-2511156</t>
  </si>
  <si>
    <t>10-01-16-2511155</t>
  </si>
  <si>
    <t>10-01-16-2511154</t>
  </si>
  <si>
    <t>10-01-16-2511153</t>
  </si>
  <si>
    <t>10-01-16-2511152</t>
  </si>
  <si>
    <t>10-01-16-2511151</t>
  </si>
  <si>
    <t>10-01-16-2511150</t>
  </si>
  <si>
    <t>10-01-26-251116</t>
  </si>
  <si>
    <t>10-01-26-251125</t>
  </si>
  <si>
    <t>10-01-16-2511210</t>
  </si>
  <si>
    <t>10-01-16-2511209</t>
  </si>
  <si>
    <t>10-01-16-2511208</t>
  </si>
  <si>
    <t>10-01-16-2511207</t>
  </si>
  <si>
    <t>10-01-16-2511206</t>
  </si>
  <si>
    <t>10-01-16-2511205</t>
  </si>
  <si>
    <t>10-01-16-2511203</t>
  </si>
  <si>
    <t>10-01-26-251124</t>
  </si>
  <si>
    <t>10-01-16-2511202</t>
  </si>
  <si>
    <t>10-01-26-251123</t>
  </si>
  <si>
    <t>10-01-26-251122</t>
  </si>
  <si>
    <t>Legal Proceedings for Shop ID 77 initiated On 25/Feb/2026</t>
  </si>
  <si>
    <t>10-01-26-251121</t>
  </si>
  <si>
    <t>10-01-26-251120</t>
  </si>
  <si>
    <t>10-01-26-251119</t>
  </si>
  <si>
    <t>10-01-16-2511197</t>
  </si>
  <si>
    <t>10-01-16-2511196</t>
  </si>
  <si>
    <t>10-01-16-2511195</t>
  </si>
  <si>
    <t>10-01-16-2511194</t>
  </si>
  <si>
    <t>10-01-16-2511193</t>
  </si>
  <si>
    <t>10-01-16-2511189</t>
  </si>
  <si>
    <t>10-01-16-2511188</t>
  </si>
  <si>
    <t>10-01-16-2511187</t>
  </si>
  <si>
    <t>10-01-26-251126</t>
  </si>
  <si>
    <t>10-01-16-2511221</t>
  </si>
  <si>
    <t>10-01-16-2511220</t>
  </si>
  <si>
    <t>10-01-16-2511219</t>
  </si>
  <si>
    <t>10-01-16-2511218</t>
  </si>
  <si>
    <t>10-01-16-2511217</t>
  </si>
  <si>
    <t>10-01-16-2511216</t>
  </si>
  <si>
    <t>10-01-16-2511215</t>
  </si>
  <si>
    <t>10-01-26-251143</t>
  </si>
  <si>
    <t>10-01-26-251142</t>
  </si>
  <si>
    <t>10-01-26-251136</t>
  </si>
  <si>
    <t>10-01-26-251135</t>
  </si>
  <si>
    <t>10-01-26-251134</t>
  </si>
  <si>
    <t>10-01-26-251133</t>
  </si>
  <si>
    <t>10-01-26-251130</t>
  </si>
  <si>
    <t>10-01-26-251129</t>
  </si>
  <si>
    <t>10-01-26-251128</t>
  </si>
  <si>
    <t>10-01-16-251214</t>
  </si>
  <si>
    <t>10-01-16-251213</t>
  </si>
  <si>
    <t>10-01-16-251212</t>
  </si>
  <si>
    <t>10-01-16-251211</t>
  </si>
  <si>
    <t>10-01-16-251210</t>
  </si>
  <si>
    <t>10-01-16-25129</t>
  </si>
  <si>
    <t>10-01-16-25128</t>
  </si>
  <si>
    <t>10-01-26-25124</t>
  </si>
  <si>
    <t>10-01-26-25123</t>
  </si>
  <si>
    <t>10-01-26-25121</t>
  </si>
  <si>
    <t>10-01-16-251223</t>
  </si>
  <si>
    <t>10-01-16-251222</t>
  </si>
  <si>
    <t>10-01-16-251221</t>
  </si>
  <si>
    <t>10-01-16-251220</t>
  </si>
  <si>
    <t>10-01-16-251219</t>
  </si>
  <si>
    <t>10-01-16-251236</t>
  </si>
  <si>
    <t>10-01-16-251234</t>
  </si>
  <si>
    <t>10-01-16-251233</t>
  </si>
  <si>
    <t>10-01-16-251232</t>
  </si>
  <si>
    <t>10-01-16-251230</t>
  </si>
  <si>
    <t>10-01-16-251248</t>
  </si>
  <si>
    <t>10-01-16-251247</t>
  </si>
  <si>
    <t>10-01-16-251246</t>
  </si>
  <si>
    <t>10-01-16-251244</t>
  </si>
  <si>
    <t>10-01-16-251243</t>
  </si>
  <si>
    <t>10-01-26-25125</t>
  </si>
  <si>
    <t>10-01-26-25128</t>
  </si>
  <si>
    <t>10-01-16-251255</t>
  </si>
  <si>
    <t>10-01-16-251254</t>
  </si>
  <si>
    <t>10-01-16-251253</t>
  </si>
  <si>
    <t>10-01-16-251252</t>
  </si>
  <si>
    <t>10-01-16-251251</t>
  </si>
  <si>
    <t>10-01-26-251210</t>
  </si>
  <si>
    <t>10-01-26-25129</t>
  </si>
  <si>
    <t>10-01-16-251273</t>
  </si>
  <si>
    <t>10-01-16-251272</t>
  </si>
  <si>
    <t>10-01-16-251271</t>
  </si>
  <si>
    <t>10-01-16-251291</t>
  </si>
  <si>
    <t>10-01-16-251289</t>
  </si>
  <si>
    <t>10-01-16-251288</t>
  </si>
  <si>
    <t>10-01-16-251287</t>
  </si>
  <si>
    <t>10-01-16-251286</t>
  </si>
  <si>
    <t>10-01-26-251219</t>
  </si>
  <si>
    <t>10-01-16-251295</t>
  </si>
  <si>
    <t>10-01-16-251294</t>
  </si>
  <si>
    <t>10-01-16-251293</t>
  </si>
  <si>
    <t>10-01-26-251221</t>
  </si>
  <si>
    <t>10-01-26-251220</t>
  </si>
  <si>
    <t>10-01-26-251223</t>
  </si>
  <si>
    <t>10-01-26-251222</t>
  </si>
  <si>
    <t>10-01-16-2512113</t>
  </si>
  <si>
    <t>10-01-16-2512112</t>
  </si>
  <si>
    <t>10-01-16-2512111</t>
  </si>
  <si>
    <t>10-01-16-2512110</t>
  </si>
  <si>
    <t>10-01-16-2512109</t>
  </si>
  <si>
    <t>10-01-16-2512108</t>
  </si>
  <si>
    <t>10-01-16-2512107</t>
  </si>
  <si>
    <t>10-01-26-251225</t>
  </si>
  <si>
    <t>10-01-26-251224</t>
  </si>
  <si>
    <t>10-01-26-251226</t>
  </si>
  <si>
    <t>10-01-26-251227</t>
  </si>
  <si>
    <t>10-01-16-2512164</t>
  </si>
  <si>
    <t>10-01-16-2512163</t>
  </si>
  <si>
    <t>10-01-16-2512162</t>
  </si>
  <si>
    <t>10-01-26-251230</t>
  </si>
  <si>
    <t>10-01-26-251229</t>
  </si>
  <si>
    <t>10-01-26-251228</t>
  </si>
  <si>
    <t>10-01-26-251232</t>
  </si>
  <si>
    <t>10-01-26-251231</t>
  </si>
  <si>
    <t>10-01-26-251237</t>
  </si>
  <si>
    <t>10-01-26-251236</t>
  </si>
  <si>
    <t>10-01-26-251235</t>
  </si>
  <si>
    <t>10-01-16-2512177</t>
  </si>
  <si>
    <t>10-01-16-2512176</t>
  </si>
  <si>
    <t>10-01-16-2512175</t>
  </si>
  <si>
    <t>10-01-16-2512174</t>
  </si>
  <si>
    <t>10-01-16-2512173</t>
  </si>
  <si>
    <t>10-01-16-2512172</t>
  </si>
  <si>
    <t>10-01-16-2512171</t>
  </si>
  <si>
    <t>10-01-26-251234</t>
  </si>
  <si>
    <t>10-01-26-251233</t>
  </si>
  <si>
    <t>10-01-26-251238</t>
  </si>
  <si>
    <t>10-01-26-251247</t>
  </si>
  <si>
    <t>10-01-26-251246</t>
  </si>
  <si>
    <t>10-01-26-251245</t>
  </si>
  <si>
    <t>10-01-26-251244</t>
  </si>
  <si>
    <t>10-01-26-251243</t>
  </si>
  <si>
    <t>10-01-26-251242</t>
  </si>
  <si>
    <t>10-01-26-251241</t>
  </si>
  <si>
    <t>10-01-26-251240</t>
  </si>
  <si>
    <t>10-01-26-251239</t>
  </si>
  <si>
    <t>10-01-26-251251</t>
  </si>
  <si>
    <t>10-01-26-251250</t>
  </si>
  <si>
    <t>10-01-26-251249</t>
  </si>
  <si>
    <t>10-01-16-2512199</t>
  </si>
  <si>
    <t>10-01-16-2512198</t>
  </si>
  <si>
    <t>10-01-16-2512197</t>
  </si>
  <si>
    <t>10-01-16-2512196</t>
  </si>
  <si>
    <t>10-01-26-251248</t>
  </si>
  <si>
    <t>Current</t>
  </si>
  <si>
    <t>10-01-26-251253</t>
  </si>
  <si>
    <t>10-01-26-251252</t>
  </si>
  <si>
    <t>10-01-26-251254</t>
  </si>
  <si>
    <t>10-01-26-251258</t>
  </si>
  <si>
    <t>10-01-26-251257</t>
  </si>
  <si>
    <t>10-01-26-251256</t>
  </si>
  <si>
    <t>10-01-26-251265</t>
  </si>
  <si>
    <t>10-01-26-251264</t>
  </si>
  <si>
    <t>10-01-26-251262</t>
  </si>
  <si>
    <t>10-01-16-2512227</t>
  </si>
  <si>
    <t>10-01-16-2512226</t>
  </si>
  <si>
    <t>10-01-16-2512225</t>
  </si>
  <si>
    <t>10-01-26-251261</t>
  </si>
  <si>
    <t>10-01-16-2512224</t>
  </si>
  <si>
    <t>10-01-16-2512223</t>
  </si>
  <si>
    <t>10-01-16-2512222</t>
  </si>
  <si>
    <t>10-01-16-2512221</t>
  </si>
  <si>
    <t>10-01-16-2512220</t>
  </si>
  <si>
    <t>10-01-16-2512219</t>
  </si>
  <si>
    <t>10-01-26-251260</t>
  </si>
  <si>
    <t>10-01-16-2512253</t>
  </si>
  <si>
    <t>10-01-16-2512252</t>
  </si>
  <si>
    <t>10-01-16-2512251</t>
  </si>
  <si>
    <t>10-01-16-2512243</t>
  </si>
  <si>
    <t>10-01-16-2512242</t>
  </si>
  <si>
    <t>10-01-16-2512241</t>
  </si>
  <si>
    <t>10-01-16-2512240</t>
  </si>
  <si>
    <t>10-01-16-2512239</t>
  </si>
  <si>
    <t>10-01-16-2512238</t>
  </si>
  <si>
    <t>10-01-26-251269</t>
  </si>
  <si>
    <t>10-01-26-251268</t>
  </si>
  <si>
    <t>10-01-26-251267</t>
  </si>
  <si>
    <t>10-01-26-251274</t>
  </si>
  <si>
    <t>10-01-26-251273</t>
  </si>
  <si>
    <t>10-01-26-251272</t>
  </si>
  <si>
    <t>10-01-26-251271</t>
  </si>
  <si>
    <t>10-01-26-251270</t>
  </si>
  <si>
    <t>10-01-16-2512254</t>
  </si>
  <si>
    <t>10-01-26-26013</t>
  </si>
  <si>
    <t>10-01-16-26019</t>
  </si>
  <si>
    <t>10-01-16-26018</t>
  </si>
  <si>
    <t>10-01-16-26017</t>
  </si>
  <si>
    <t>10-01-16-26016</t>
  </si>
  <si>
    <t>10-01-16-26015</t>
  </si>
  <si>
    <t>10-01-16-26014</t>
  </si>
  <si>
    <t>10-01-16-26013</t>
  </si>
  <si>
    <t>10-01-16-26011</t>
  </si>
  <si>
    <t>10-01-26-26014</t>
  </si>
  <si>
    <t>10-01-16-260140</t>
  </si>
  <si>
    <t>10-01-16-260139</t>
  </si>
  <si>
    <t>10-01-16-260138</t>
  </si>
  <si>
    <t>10-01-16-260136</t>
  </si>
  <si>
    <t>10-01-16-260135</t>
  </si>
  <si>
    <t>10-01-16-260134</t>
  </si>
  <si>
    <t>10-01-16-260133</t>
  </si>
  <si>
    <t>10-01-26-260114</t>
  </si>
  <si>
    <t>10-01-26-260113</t>
  </si>
  <si>
    <t>10-01-26-260112</t>
  </si>
  <si>
    <t>10-01-16-260148</t>
  </si>
  <si>
    <t>10-01-16-260147</t>
  </si>
  <si>
    <t>10-01-16-260146</t>
  </si>
  <si>
    <t>10-01-16-260145</t>
  </si>
  <si>
    <t>10-01-26-260116</t>
  </si>
  <si>
    <t>10-01-26-260115</t>
  </si>
  <si>
    <t>10-01-16-260161</t>
  </si>
  <si>
    <t>10-01-16-260160</t>
  </si>
  <si>
    <t>10-01-16-260159</t>
  </si>
  <si>
    <t>10-01-16-260158</t>
  </si>
  <si>
    <t>10-01-26-260121</t>
  </si>
  <si>
    <t>10-01-26-260120</t>
  </si>
  <si>
    <t>10-01-26-260119</t>
  </si>
  <si>
    <t>10-01-26-260118</t>
  </si>
  <si>
    <t>10-01-26-260125</t>
  </si>
  <si>
    <t>10-01-16-260167</t>
  </si>
  <si>
    <t>10-01-16-260166</t>
  </si>
  <si>
    <t>10-01-26-260124</t>
  </si>
  <si>
    <t>10-01-16-260165</t>
  </si>
  <si>
    <t>10-01-26-260123</t>
  </si>
  <si>
    <t>10-01-26-260122</t>
  </si>
  <si>
    <t>10-01-26-260128</t>
  </si>
  <si>
    <t>10-01-26-260127</t>
  </si>
  <si>
    <t>10-01-26-260126</t>
  </si>
  <si>
    <t>10-01-26-260132</t>
  </si>
  <si>
    <t>10-01-26-260131</t>
  </si>
  <si>
    <t>10-01-26-260130</t>
  </si>
  <si>
    <t>10-01-16-2601106</t>
  </si>
  <si>
    <t>10-01-16-2601105</t>
  </si>
  <si>
    <t>10-01-16-2601104</t>
  </si>
  <si>
    <t>10-01-16-2601103</t>
  </si>
  <si>
    <t>10-01-16-2601100</t>
  </si>
  <si>
    <t>10-01-16-260199</t>
  </si>
  <si>
    <t>10-01-16-260198</t>
  </si>
  <si>
    <t>10-01-16-260197</t>
  </si>
  <si>
    <t>10-01-26-260134</t>
  </si>
  <si>
    <t>10-01-26-260133</t>
  </si>
  <si>
    <t>10-01-26-260139</t>
  </si>
  <si>
    <t>10-01-26-260138</t>
  </si>
  <si>
    <t>10-01-26-260137</t>
  </si>
  <si>
    <t>10-01-26-260136</t>
  </si>
  <si>
    <t>10-01-26-260135</t>
  </si>
  <si>
    <t>10-01-16-2601120</t>
  </si>
  <si>
    <t>10-01-16-2601119</t>
  </si>
  <si>
    <t>10-01-16-2601118</t>
  </si>
  <si>
    <t>10-01-26-260144</t>
  </si>
  <si>
    <t>10-01-26-260143</t>
  </si>
  <si>
    <t>10-01-26-260142</t>
  </si>
  <si>
    <t>10-01-26-260141</t>
  </si>
  <si>
    <t>10-01-16-2601144</t>
  </si>
  <si>
    <t>10-01-16-2601141</t>
  </si>
  <si>
    <t>10-01-26-260150</t>
  </si>
  <si>
    <t>10-01-26-260149</t>
  </si>
  <si>
    <t>10-01-26-260148</t>
  </si>
  <si>
    <t>10-01-26-260147</t>
  </si>
  <si>
    <t>10-01-26-260146</t>
  </si>
  <si>
    <t>10-01-26-260145</t>
  </si>
  <si>
    <t>10-01-16-2601147</t>
  </si>
  <si>
    <t>10-01-16-2601146</t>
  </si>
  <si>
    <t>10-01-16-2601145</t>
  </si>
  <si>
    <t>10-01-16-2601155</t>
  </si>
  <si>
    <t>10-01-26-260154</t>
  </si>
  <si>
    <t>10-01-26-260153</t>
  </si>
  <si>
    <t>10-01-26-260152</t>
  </si>
  <si>
    <t>10-01-26-260151</t>
  </si>
  <si>
    <t>10-01-26-260157</t>
  </si>
  <si>
    <t>10-01-26-260156</t>
  </si>
  <si>
    <t>10-01-26-260155</t>
  </si>
  <si>
    <t>10-01-26-260160</t>
  </si>
  <si>
    <t>10-01-26-260159</t>
  </si>
  <si>
    <t>10-01-16-2601169</t>
  </si>
  <si>
    <t>10-01-16-2601168</t>
  </si>
  <si>
    <t>10-01-16-2601167</t>
  </si>
  <si>
    <t>10-01-26-260158</t>
  </si>
  <si>
    <t>10-01-16-2601166</t>
  </si>
  <si>
    <t>10-01-16-2601165</t>
  </si>
  <si>
    <t>10-01-16-2601164</t>
  </si>
  <si>
    <t>10-01-26-260166</t>
  </si>
  <si>
    <t>10-01-26-260165</t>
  </si>
  <si>
    <t>10-01-26-260164</t>
  </si>
  <si>
    <t>10-01-26-260163</t>
  </si>
  <si>
    <t>10-01-26-260162</t>
  </si>
  <si>
    <t>10-01-26-260161</t>
  </si>
  <si>
    <t>10-01-16-2601199</t>
  </si>
  <si>
    <t>10-01-16-2601198</t>
  </si>
  <si>
    <t>10-01-16-2601197</t>
  </si>
  <si>
    <t>10-01-16-2601196</t>
  </si>
  <si>
    <t>10-01-16-2601195</t>
  </si>
  <si>
    <t>10-01-16-2601194</t>
  </si>
  <si>
    <t>10-01-16-2601193</t>
  </si>
  <si>
    <t>10-01-26-260173</t>
  </si>
  <si>
    <t>10-01-26-260172</t>
  </si>
  <si>
    <t>10-01-26-260171</t>
  </si>
  <si>
    <t>10-01-26-260170</t>
  </si>
  <si>
    <t>10-01-26-260169</t>
  </si>
  <si>
    <t>10-01-26-260168</t>
  </si>
  <si>
    <t>10-01-26-260167</t>
  </si>
  <si>
    <t>10-01-16-2601220</t>
  </si>
  <si>
    <t>10-01-26-260180</t>
  </si>
  <si>
    <t>10-01-26-260179</t>
  </si>
  <si>
    <t>10-01-26-260178</t>
  </si>
  <si>
    <t>10-01-16-2601210</t>
  </si>
  <si>
    <t>10-01-16-2601209</t>
  </si>
  <si>
    <t>10-01-16-2601208</t>
  </si>
  <si>
    <t>10-01-16-2601207</t>
  </si>
  <si>
    <t>10-01-16-2601206</t>
  </si>
  <si>
    <t>10-01-16-2601205</t>
  </si>
  <si>
    <t>10-01-26-260177</t>
  </si>
  <si>
    <t>10-01-26-260176</t>
  </si>
  <si>
    <t>10-01-26-260175</t>
  </si>
  <si>
    <t>10-01-26-260174</t>
  </si>
  <si>
    <t>10-01-26-260183</t>
  </si>
  <si>
    <t>10-01-26-260182</t>
  </si>
  <si>
    <t>10-01-26-260181</t>
  </si>
  <si>
    <t>10-01-16-2601240</t>
  </si>
  <si>
    <t>10-01-26-260185</t>
  </si>
  <si>
    <t>10-01-26-26021</t>
  </si>
  <si>
    <t>10-01-16-260213</t>
  </si>
  <si>
    <t>10-01-16-260212</t>
  </si>
  <si>
    <t>10-01-16-260211</t>
  </si>
  <si>
    <t>10-01-16-260210</t>
  </si>
  <si>
    <t>10-01-16-26029</t>
  </si>
  <si>
    <t>10-01-16-26028</t>
  </si>
  <si>
    <t>10-01-16-26027</t>
  </si>
  <si>
    <t>10-01-16-26026</t>
  </si>
  <si>
    <t>10-01-1-26021</t>
  </si>
  <si>
    <t>10-01-26-26023</t>
  </si>
  <si>
    <t>10-01-26-26022</t>
  </si>
  <si>
    <t>10-01-16-260226</t>
  </si>
  <si>
    <t>10-01-26-26027</t>
  </si>
  <si>
    <t>10-01-26-26026</t>
  </si>
  <si>
    <t>10-01-26-26025</t>
  </si>
  <si>
    <t>10-01-16-260227</t>
  </si>
  <si>
    <t>10-01-26-260213</t>
  </si>
  <si>
    <t>10-01-26-260212</t>
  </si>
  <si>
    <t>10-01-26-260211</t>
  </si>
  <si>
    <t>10-01-26-260210</t>
  </si>
  <si>
    <t>10-01-26-26029</t>
  </si>
  <si>
    <t>10-01-26-260214</t>
  </si>
  <si>
    <t>10-01-26-260228</t>
  </si>
  <si>
    <t>10-01-26-260227</t>
  </si>
  <si>
    <t>10-01-26-260221</t>
  </si>
  <si>
    <t>10-01-26-260233</t>
  </si>
  <si>
    <t>10-01-26-260232</t>
  </si>
  <si>
    <t>10-01-16-260264</t>
  </si>
  <si>
    <t>10-01-26-260229</t>
  </si>
  <si>
    <t>10-01-26-260237</t>
  </si>
  <si>
    <t>10-01-26-260236</t>
  </si>
  <si>
    <t>10-01-26-260235</t>
  </si>
  <si>
    <t>10-01-26-260234</t>
  </si>
  <si>
    <t>10-01-26-260240</t>
  </si>
  <si>
    <t>10-01-26-260239</t>
  </si>
  <si>
    <t>10-01-26-260238</t>
  </si>
  <si>
    <t>10-01-26-260242</t>
  </si>
  <si>
    <t>10-01-26-260241</t>
  </si>
  <si>
    <t>10-01-16-2602127</t>
  </si>
  <si>
    <t>10-01-16-2602126</t>
  </si>
  <si>
    <t>10-01-16-2602125</t>
  </si>
  <si>
    <t>10-01-16-2602124</t>
  </si>
  <si>
    <t>10-01-16-2602123</t>
  </si>
  <si>
    <t>10-01-16-2602122</t>
  </si>
  <si>
    <t>10-01-16-2602121</t>
  </si>
  <si>
    <t>10-01-16-2602120</t>
  </si>
  <si>
    <t>10-01-16-2602119</t>
  </si>
  <si>
    <t>10-01-16-2602118</t>
  </si>
  <si>
    <t>10-01-16-2602117</t>
  </si>
  <si>
    <t>10-01-16-2602116</t>
  </si>
  <si>
    <t>10-01-16-2602115</t>
  </si>
  <si>
    <t>10-01-16-2602114</t>
  </si>
  <si>
    <t>10-01-16-2602113</t>
  </si>
  <si>
    <t>10-01-16-2602112</t>
  </si>
  <si>
    <t>10-01-26-260247</t>
  </si>
  <si>
    <t>10-01-16-2602111</t>
  </si>
  <si>
    <t>10-01-16-2602108</t>
  </si>
  <si>
    <t>10-01-16-2602107</t>
  </si>
  <si>
    <t>10-01-16-2602106</t>
  </si>
  <si>
    <t>10-01-16-2602105</t>
  </si>
  <si>
    <t>10-01-16-2602104</t>
  </si>
  <si>
    <t>10-01-26-260246</t>
  </si>
  <si>
    <t>10-01-26-260245</t>
  </si>
  <si>
    <t>10-01-16-2602103</t>
  </si>
  <si>
    <t>10-01-16-2602102</t>
  </si>
  <si>
    <t>10-01-16-2602101</t>
  </si>
  <si>
    <t>10-01-16-2602100</t>
  </si>
  <si>
    <t>10-01-16-260299</t>
  </si>
  <si>
    <t>10-01-16-260298</t>
  </si>
  <si>
    <t>10-01-16-260297</t>
  </si>
  <si>
    <t>10-01-16-260296</t>
  </si>
  <si>
    <t>10-01-16-260295</t>
  </si>
  <si>
    <t>10-01-26-260244</t>
  </si>
  <si>
    <t>10-01-26-260243</t>
  </si>
  <si>
    <t>10-01-16-2602146</t>
  </si>
  <si>
    <t>10-01-16-2602145</t>
  </si>
  <si>
    <t>10-01-16-2602144</t>
  </si>
  <si>
    <t>10-01-16-2602142</t>
  </si>
  <si>
    <t>10-01-16-2602141</t>
  </si>
  <si>
    <t>10-01-16-2602140</t>
  </si>
  <si>
    <t>10-01-16-2602139</t>
  </si>
  <si>
    <t>10-01-26-260249</t>
  </si>
  <si>
    <t>10-01-26-260248</t>
  </si>
  <si>
    <t>10-01-26-260251</t>
  </si>
  <si>
    <t>10-01-26-260250</t>
  </si>
  <si>
    <t>10-01-26-260253</t>
  </si>
  <si>
    <t>10-01-26-260252</t>
  </si>
  <si>
    <t>10-01-26-260254</t>
  </si>
  <si>
    <t>10-01-26-260255</t>
  </si>
  <si>
    <t>10-01-16-2602201</t>
  </si>
  <si>
    <t>10-01-16-2602200</t>
  </si>
  <si>
    <t>10-01-16-2602199</t>
  </si>
  <si>
    <t>10-01-16-2602198</t>
  </si>
  <si>
    <t>10-01-16-2602196</t>
  </si>
  <si>
    <t>10-01-16-2602192</t>
  </si>
  <si>
    <t>10-01-16-2602191</t>
  </si>
  <si>
    <t>10-01-16-2602190</t>
  </si>
  <si>
    <t>10-01-16-2602189</t>
  </si>
  <si>
    <t>10-01-16-2602188</t>
  </si>
  <si>
    <t>10-01-16-2602187</t>
  </si>
  <si>
    <t>10-01-16-2602186</t>
  </si>
  <si>
    <t>10-01-16-2602185</t>
  </si>
  <si>
    <t>10-01-16-2602184</t>
  </si>
  <si>
    <t>10-01-26-260272</t>
  </si>
  <si>
    <t>10-01-26-260270</t>
  </si>
  <si>
    <t>10-01-26-260269</t>
  </si>
  <si>
    <t>10-01-26-260268</t>
  </si>
  <si>
    <t>10-01-26-260267</t>
  </si>
  <si>
    <t>10-01-26-260266</t>
  </si>
  <si>
    <t>10-01-26-260265</t>
  </si>
  <si>
    <t>10-01-26-260264</t>
  </si>
  <si>
    <t>10-01-26-260263</t>
  </si>
  <si>
    <t>10-01-26-260262</t>
  </si>
  <si>
    <t>10-01-26-260261</t>
  </si>
  <si>
    <t>10-01-26-260260</t>
  </si>
  <si>
    <t>10-01-26-260259</t>
  </si>
  <si>
    <t>10-01-26-260258</t>
  </si>
  <si>
    <t>10-01-26-260257</t>
  </si>
  <si>
    <t>10-01-26-260256</t>
  </si>
  <si>
    <t>10-01-26-260283</t>
  </si>
  <si>
    <t>10-01-26-260282</t>
  </si>
  <si>
    <t>10-01-26-260281</t>
  </si>
  <si>
    <t>10-01-26-260280</t>
  </si>
  <si>
    <t>10-01-26-260279</t>
  </si>
  <si>
    <t>10-01-26-260278</t>
  </si>
  <si>
    <t>10-01-26-260277</t>
  </si>
  <si>
    <t>10-01-1-26026</t>
  </si>
  <si>
    <t>10-01-1-26025</t>
  </si>
  <si>
    <t>10-01-26-260276</t>
  </si>
  <si>
    <t>10-01-26-260275</t>
  </si>
  <si>
    <t>10-01-26-260274</t>
  </si>
  <si>
    <t>10-01-26-260273</t>
  </si>
  <si>
    <t>10-01-26-260287</t>
  </si>
  <si>
    <t>10-01-26-260286</t>
  </si>
  <si>
    <t>10-01-26-260285</t>
  </si>
  <si>
    <t>10-01-26-260284</t>
  </si>
  <si>
    <t>10-01-16-2602223</t>
  </si>
  <si>
    <t>10-01-16-2602222</t>
  </si>
  <si>
    <t>10-01-16-2602221</t>
  </si>
  <si>
    <t>10-01-16-2602220</t>
  </si>
  <si>
    <t>10-01-16-2602219</t>
  </si>
  <si>
    <t>10-01-16-2602218</t>
  </si>
  <si>
    <t>10-01-16-2602217</t>
  </si>
  <si>
    <t>10-01-16-2602216</t>
  </si>
  <si>
    <t>10-01-16-2602215</t>
  </si>
  <si>
    <t>10-01-16-2602214</t>
  </si>
  <si>
    <t>10-01-16-2602213</t>
  </si>
  <si>
    <t>10-01-16-2602212</t>
  </si>
  <si>
    <t>10-01-16-2602211</t>
  </si>
  <si>
    <t>10-01-16-2602209</t>
  </si>
  <si>
    <t>10-01-16-2602208</t>
  </si>
  <si>
    <t>10-01-16-2602207</t>
  </si>
  <si>
    <t>10-01-16-2602206</t>
  </si>
  <si>
    <t>10-01-16-260311</t>
  </si>
  <si>
    <t>10-01-16-260310</t>
  </si>
  <si>
    <t>10-01-16-26039</t>
  </si>
  <si>
    <t>10-01-16-26038</t>
  </si>
  <si>
    <t>10-01-16-26037</t>
  </si>
  <si>
    <t>10-01-16-26036</t>
  </si>
  <si>
    <t>10-01-16-26035</t>
  </si>
  <si>
    <t>10-01-26-26034</t>
  </si>
  <si>
    <t>10-01-26-26033</t>
  </si>
  <si>
    <t>10-01-26-26032</t>
  </si>
  <si>
    <t>10-01-26-26036</t>
  </si>
  <si>
    <t>10-01-26-26035</t>
  </si>
  <si>
    <t>10-01-26-26037</t>
  </si>
  <si>
    <t>10-01-26-26039</t>
  </si>
  <si>
    <t>10-01-26-26038</t>
  </si>
  <si>
    <t>10-01-26-260312</t>
  </si>
  <si>
    <t>10-01-26-260325</t>
  </si>
  <si>
    <t>10-01-26-260324</t>
  </si>
  <si>
    <t>10-01-26-260323</t>
  </si>
  <si>
    <t>10-01-26-260322</t>
  </si>
  <si>
    <t>10-01-26-260321</t>
  </si>
  <si>
    <t>10-01-26-260318</t>
  </si>
  <si>
    <t>10-01-26-260317</t>
  </si>
  <si>
    <t>10-01-26-260316</t>
  </si>
  <si>
    <t>10-01-26-260315</t>
  </si>
  <si>
    <t>10-01-26-260330</t>
  </si>
  <si>
    <t>10-01-26-260328</t>
  </si>
  <si>
    <t>10-01-26-260327</t>
  </si>
  <si>
    <t>10-01-26-260326</t>
  </si>
  <si>
    <t>10-01-26-260332</t>
  </si>
  <si>
    <t>10-01-26-260331</t>
  </si>
  <si>
    <t>10-01-26-260334</t>
  </si>
  <si>
    <t>10-01-26-260333</t>
  </si>
  <si>
    <t>10-01-26-260340</t>
  </si>
  <si>
    <t>10-01-26-260339</t>
  </si>
  <si>
    <t>10-01-26-260338</t>
  </si>
  <si>
    <t>10-01-26-260336</t>
  </si>
  <si>
    <t>10-01-26-260335</t>
  </si>
  <si>
    <t>10-01-26-260341</t>
  </si>
  <si>
    <t>10-01-26-260347</t>
  </si>
  <si>
    <t>10-01-26-260346</t>
  </si>
  <si>
    <t>10-01-26-260345</t>
  </si>
  <si>
    <t>10-01-26-260344</t>
  </si>
  <si>
    <t>10-01-26-260343</t>
  </si>
  <si>
    <t>10-01-26-260342</t>
  </si>
  <si>
    <t>10-01-26-260352</t>
  </si>
  <si>
    <t>10-01-26-260351</t>
  </si>
  <si>
    <t>10-01-26-260350</t>
  </si>
  <si>
    <t>10-01-26-260349</t>
  </si>
  <si>
    <t>10-01-1-26032</t>
  </si>
  <si>
    <t>10-01-26-260357</t>
  </si>
  <si>
    <t>10-01-26-260356</t>
  </si>
  <si>
    <t>10-01-26-260355</t>
  </si>
  <si>
    <t>10-01-26-260354</t>
  </si>
  <si>
    <t>10-01-26-260353</t>
  </si>
  <si>
    <t>10-01-26-260374</t>
  </si>
  <si>
    <t>10-01-26-260373</t>
  </si>
  <si>
    <t>10-01-26-260372</t>
  </si>
  <si>
    <t>10-01-26-260371</t>
  </si>
  <si>
    <t>10-01-26-260370</t>
  </si>
  <si>
    <t>10-01-26-260369</t>
  </si>
  <si>
    <t>10-01-26-260380</t>
  </si>
  <si>
    <t>10-01-26-260379</t>
  </si>
  <si>
    <t>10-01-26-260378</t>
  </si>
  <si>
    <t>10-01-26-260377</t>
  </si>
  <si>
    <t>10-01-26-260376</t>
  </si>
  <si>
    <t>10-01-26-260375</t>
  </si>
  <si>
    <t>10-01-26-260381</t>
  </si>
  <si>
    <t>10-01-26-260384</t>
  </si>
  <si>
    <t>10-01-26-260383</t>
  </si>
  <si>
    <t>10-01-26-260382</t>
  </si>
  <si>
    <t>10-01-26-260397</t>
  </si>
  <si>
    <t>10-01-26-260396</t>
  </si>
  <si>
    <t>10-01-26-260395</t>
  </si>
  <si>
    <t>10-01-26-260394</t>
  </si>
  <si>
    <t>10-01-26-260393</t>
  </si>
  <si>
    <t>10-01-26-260391</t>
  </si>
  <si>
    <t>10-01-26-260390</t>
  </si>
  <si>
    <t>10-01-26-260389</t>
  </si>
  <si>
    <t>10-01-26-260388</t>
  </si>
  <si>
    <t>10-01-26-260387</t>
  </si>
  <si>
    <t>10-01-26-260385</t>
  </si>
  <si>
    <t>10-01-26-2603121</t>
  </si>
  <si>
    <t>10-01-26-2603120</t>
  </si>
  <si>
    <t>10-01-26-2603119</t>
  </si>
  <si>
    <t>10-01-26-2603118</t>
  </si>
  <si>
    <t>10-01-26-2603117</t>
  </si>
  <si>
    <t>10-01-26-2603116</t>
  </si>
  <si>
    <t>10-01-26-2603115</t>
  </si>
  <si>
    <t>10-01-26-2603114</t>
  </si>
  <si>
    <t>10-01-26-2603113</t>
  </si>
  <si>
    <t>10-01-16-2603178</t>
  </si>
  <si>
    <t>10-01-16-2603177</t>
  </si>
  <si>
    <t>10-01-16-2603176</t>
  </si>
  <si>
    <t>10-01-16-2603175</t>
  </si>
  <si>
    <t>10-01-16-2603174</t>
  </si>
  <si>
    <t>10-01-16-2603173</t>
  </si>
  <si>
    <t>10-01-16-2603172</t>
  </si>
  <si>
    <t>10-01-26-2603112</t>
  </si>
  <si>
    <t>10-01-26-2603111</t>
  </si>
  <si>
    <t>10-01-26-2603110</t>
  </si>
  <si>
    <t>10-01-26-2603109</t>
  </si>
  <si>
    <t>10-01-26-2603108</t>
  </si>
  <si>
    <t>10-01-26-2603107</t>
  </si>
  <si>
    <t>10-01-26-2603106</t>
  </si>
  <si>
    <t>10-01-26-2603105</t>
  </si>
  <si>
    <t>10-01-26-2603104</t>
  </si>
  <si>
    <t>10-01-26-2603103</t>
  </si>
  <si>
    <t>10-01-26-2603102</t>
  </si>
  <si>
    <t>10-01-26-2603101</t>
  </si>
  <si>
    <t>10-01-26-2603100</t>
  </si>
  <si>
    <t>10-01-26-260399</t>
  </si>
  <si>
    <t>10-01-26-260398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</si>
</sst>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0.00;\-#,##0.00;"/>
    <numFmt numFmtId="167" formatCode="_-* #,##0.0_-;\-* #,##0.0_-;_-* &quot;-&quot;??_-;_-@_-"/>
    <numFmt numFmtId="168" formatCode="#,##0;\-#,##0;"/>
  </numFmts>
  <fonts count="8" x14ac:knownFonts="1">
    <font>
      <sz val="11"/>
      <color theme="1"/>
      <name val="Aptos Narrow"/>
      <family val="2"/>
      <scheme val="minor"/>
    </font>
    <font>
      <sz val="11"/>
      <color theme="1"/>
      <name val="Aptos Narrow"/>
      <family val="2"/>
      <scheme val="minor"/>
    </font>
    <font>
      <b/>
      <i/>
      <sz val="8"/>
      <color theme="1"/>
      <name val="Calibri"/>
      <family val="2"/>
    </font>
    <font>
      <sz val="8"/>
      <color theme="1"/>
      <name val="Calibri"/>
      <family val="2"/>
    </font>
    <font>
      <b/>
      <sz val="11"/>
      <color theme="1"/>
      <name val="Aptos Narrow"/>
      <family val="2"/>
      <scheme val="minor"/>
    </font>
    <font>
      <b/>
      <i/>
      <sz val="11"/>
      <color theme="1"/>
      <name val="Aptos Narrow"/>
      <family val="2"/>
      <scheme val="minor"/>
    </font>
    <font>
      <b/>
      <i/>
      <sz val="8.5"/>
      <color theme="1"/>
      <name val="Calibri"/>
      <family val="2"/>
    </font>
    <font>
      <sz val="8.5"/>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51">
    <xf numFmtId="0" fontId="0" fillId="0" borderId="0" xfId="0"/>
    <xf numFmtId="0" fontId="2" fillId="0" borderId="0" xfId="0" applyFont="1"/>
    <xf numFmtId="165" fontId="2" fillId="0" borderId="0" xfId="1" applyNumberFormat="1" applyFont="1" applyFill="1" applyBorder="1"/>
    <xf numFmtId="165" fontId="2" fillId="0" borderId="0" xfId="0" applyNumberFormat="1" applyFont="1"/>
    <xf numFmtId="0" fontId="2" fillId="0" borderId="0" xfId="0" applyFont="1" applyAlignment="1">
      <alignment horizontal="center"/>
    </xf>
    <xf numFmtId="165" fontId="2" fillId="0" borderId="0" xfId="1" applyNumberFormat="1" applyFont="1" applyFill="1" applyBorder="1" applyAlignment="1">
      <alignment horizontal="center"/>
    </xf>
    <xf numFmtId="0" fontId="2" fillId="0" borderId="0" xfId="0" applyFont="1" applyAlignment="1">
      <alignment vertical="top" wrapText="1"/>
    </xf>
    <xf numFmtId="0" fontId="2" fillId="2" borderId="0" xfId="0" applyFont="1" applyFill="1" applyAlignment="1">
      <alignment horizontal="center" vertical="top" wrapText="1"/>
    </xf>
    <xf numFmtId="165" fontId="2" fillId="2" borderId="0" xfId="1" applyNumberFormat="1" applyFont="1" applyFill="1" applyBorder="1" applyAlignment="1">
      <alignment horizontal="center" vertical="top" wrapText="1"/>
    </xf>
    <xf numFmtId="165" fontId="3" fillId="0" borderId="0" xfId="1" applyNumberFormat="1" applyFont="1" applyFill="1" applyBorder="1" applyAlignment="1">
      <alignment horizontal="center"/>
    </xf>
    <xf numFmtId="0" fontId="3" fillId="0" borderId="0" xfId="0" applyFont="1"/>
    <xf numFmtId="0" fontId="3" fillId="0" borderId="0" xfId="0" applyFont="1" applyAlignment="1">
      <alignment horizontal="center"/>
    </xf>
    <xf numFmtId="165" fontId="3" fillId="0" borderId="0" xfId="1" applyNumberFormat="1" applyFont="1" applyFill="1"/>
    <xf numFmtId="165" fontId="3" fillId="0" borderId="0" xfId="1" applyNumberFormat="1" applyFont="1" applyFill="1" applyAlignment="1">
      <alignment horizontal="center"/>
    </xf>
    <xf numFmtId="0" fontId="3" fillId="0" borderId="0" xfId="0" applyFont="1" applyAlignment="1">
      <alignment vertical="top" wrapText="1"/>
    </xf>
    <xf numFmtId="0" fontId="3" fillId="0" borderId="0" xfId="0" applyFont="1" applyAlignment="1">
      <alignment horizontal="center" vertical="top" wrapText="1"/>
    </xf>
    <xf numFmtId="15" fontId="3" fillId="0" borderId="0" xfId="0" applyNumberFormat="1" applyFont="1" applyAlignment="1">
      <alignment horizontal="center" vertical="center" wrapText="1"/>
    </xf>
    <xf numFmtId="15" fontId="3" fillId="0" borderId="0" xfId="0" applyNumberFormat="1" applyFont="1" applyAlignment="1">
      <alignment horizontal="right" vertical="top" wrapText="1"/>
    </xf>
    <xf numFmtId="4" fontId="3" fillId="0" borderId="0" xfId="0" applyNumberFormat="1" applyFont="1" applyAlignment="1">
      <alignment horizontal="right" vertical="top" wrapText="1"/>
    </xf>
    <xf numFmtId="0" fontId="3" fillId="0" borderId="0" xfId="0" applyFont="1" applyAlignment="1">
      <alignment horizontal="center" wrapText="1"/>
    </xf>
    <xf numFmtId="166" fontId="3" fillId="0" borderId="0" xfId="1" applyNumberFormat="1" applyFont="1" applyFill="1" applyAlignment="1">
      <alignment horizontal="center" vertical="top" wrapText="1"/>
    </xf>
    <xf numFmtId="0" fontId="4" fillId="3" borderId="1" xfId="0" applyFont="1" applyFill="1" applyBorder="1"/>
    <xf numFmtId="0" fontId="0" fillId="0" borderId="2" xfId="0" applyBorder="1" applyAlignment="1">
      <alignment vertical="center" wrapText="1"/>
    </xf>
    <xf numFmtId="0" fontId="0" fillId="0" borderId="0" xfId="0" applyAlignment="1">
      <alignment horizontal="center"/>
    </xf>
    <xf numFmtId="167" fontId="0" fillId="0" borderId="0" xfId="1" applyNumberFormat="1" applyFont="1"/>
    <xf numFmtId="0" fontId="5" fillId="0" borderId="0" xfId="0" applyFont="1" applyAlignment="1">
      <alignment horizontal="right"/>
    </xf>
    <xf numFmtId="0" fontId="5" fillId="0" borderId="0" xfId="0" applyFont="1"/>
    <xf numFmtId="9" fontId="5" fillId="0" borderId="0" xfId="0" applyNumberFormat="1" applyFont="1"/>
    <xf numFmtId="9" fontId="5" fillId="0" borderId="0" xfId="0" applyNumberFormat="1" applyFont="1" applyAlignment="1">
      <alignment horizontal="left"/>
    </xf>
    <xf numFmtId="168" fontId="3" fillId="0" borderId="0" xfId="1" applyNumberFormat="1" applyFont="1" applyFill="1" applyAlignment="1">
      <alignment horizontal="center" vertical="top" wrapText="1"/>
    </xf>
    <xf numFmtId="168" fontId="3" fillId="0" borderId="0" xfId="0" applyNumberFormat="1" applyFont="1" applyAlignment="1">
      <alignment horizontal="right" vertical="top" wrapText="1"/>
    </xf>
    <xf numFmtId="0" fontId="0" fillId="0" borderId="0" xfId="0" applyAlignment="1">
      <alignment horizontal="left" vertical="top" wrapText="1"/>
    </xf>
    <xf numFmtId="0" fontId="6" fillId="0" borderId="0" xfId="0" applyFont="1"/>
    <xf numFmtId="165" fontId="6" fillId="0" borderId="0" xfId="1" applyNumberFormat="1" applyFont="1" applyFill="1" applyBorder="1"/>
    <xf numFmtId="165" fontId="6" fillId="0" borderId="0" xfId="0" applyNumberFormat="1" applyFont="1"/>
    <xf numFmtId="165" fontId="6" fillId="0" borderId="0" xfId="1" applyNumberFormat="1" applyFont="1"/>
    <xf numFmtId="0" fontId="6" fillId="0" borderId="0" xfId="0" applyFont="1" applyAlignment="1">
      <alignment horizontal="center"/>
    </xf>
    <xf numFmtId="0" fontId="6" fillId="0" borderId="0" xfId="0" applyFont="1" applyAlignment="1">
      <alignment vertical="top" wrapText="1"/>
    </xf>
    <xf numFmtId="0" fontId="6" fillId="2" borderId="0" xfId="0" applyFont="1" applyFill="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wrapText="1"/>
    </xf>
    <xf numFmtId="168" fontId="7" fillId="0" borderId="0" xfId="1" applyNumberFormat="1" applyFont="1"/>
    <xf numFmtId="15" fontId="7" fillId="0" borderId="0" xfId="0" applyNumberFormat="1" applyFont="1" applyAlignment="1">
      <alignment horizontal="center" vertical="center" wrapText="1"/>
    </xf>
    <xf numFmtId="0" fontId="7" fillId="0" borderId="0" xfId="0" applyFont="1" applyAlignment="1">
      <alignment horizontal="center" vertical="top" wrapText="1"/>
    </xf>
    <xf numFmtId="165" fontId="7" fillId="0" borderId="0" xfId="1" applyNumberFormat="1" applyFont="1" applyAlignment="1">
      <alignment horizontal="right" vertical="top" wrapText="1"/>
    </xf>
    <xf numFmtId="15" fontId="7" fillId="0" borderId="0" xfId="0" applyNumberFormat="1" applyFont="1" applyAlignment="1">
      <alignment horizontal="right" vertical="top" wrapText="1"/>
    </xf>
    <xf numFmtId="0" fontId="7" fillId="0" borderId="0" xfId="0" applyFont="1" applyAlignment="1">
      <alignment horizontal="center" vertical="center" wrapText="1"/>
    </xf>
    <xf numFmtId="0" fontId="7" fillId="0" borderId="0" xfId="0" applyFont="1"/>
    <xf numFmtId="165" fontId="7" fillId="0" borderId="0" xfId="1" applyNumberFormat="1" applyFont="1"/>
    <xf numFmtId="0" fontId="7" fillId="0" borderId="0" xfId="0" applyFont="1" applyAlignment="1">
      <alignment horizontal="center"/>
    </xf>
    <xf numFmtId="165" fontId="7" fillId="0" borderId="0" xfId="1" applyNumberFormat="1" applyFont="1" applyFill="1"/>
  </cellXfs>
  <cellStyles count="2">
    <cellStyle name="Comma" xfId="1" builtinId="3"/>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66234-A872-4118-93FE-0C0C90B11240}">
  <sheetPr>
    <tabColor rgb="FF0070C0"/>
  </sheetPr>
  <dimension ref="A1:R1213"/>
  <sheetViews>
    <sheetView showGridLines="0" zoomScale="70" zoomScaleNormal="70" workbookViewId="0">
      <pane xSplit="1" ySplit="2" topLeftCell="B3" activePane="bottomRight" state="frozen"/>
      <selection activeCell="C24" sqref="C24"/>
      <selection pane="topRight" activeCell="C24" sqref="C24"/>
      <selection pane="bottomLeft" activeCell="C24" sqref="C24"/>
      <selection pane="bottomRight"/>
    </sheetView>
  </sheetViews>
  <sheetFormatPr defaultColWidth="9.36328125" defaultRowHeight="12" customHeight="1" x14ac:dyDescent="0.3"/>
  <cols>
    <col min="1" max="1" width="0.90625" style="47" customWidth="1"/>
    <col min="2" max="2" width="14.36328125" style="47" bestFit="1" customWidth="1"/>
    <col min="3" max="3" width="12" style="48" bestFit="1" customWidth="1"/>
    <col min="4" max="5" width="9.36328125" style="47"/>
    <col min="6" max="6" width="11.1796875" style="48" bestFit="1" customWidth="1"/>
    <col min="7" max="7" width="9.453125" style="48" bestFit="1" customWidth="1"/>
    <col min="8" max="8" width="12" style="48" bestFit="1" customWidth="1"/>
    <col min="9" max="10" width="9.36328125" style="47"/>
    <col min="11" max="11" width="11" style="48" bestFit="1" customWidth="1"/>
    <col min="12" max="13" width="9.36328125" style="47"/>
    <col min="14" max="14" width="12" style="48" bestFit="1" customWidth="1"/>
    <col min="15" max="15" width="9.36328125" style="47"/>
    <col min="16" max="16" width="9.36328125" style="49"/>
    <col min="17" max="17" width="12" style="50" bestFit="1" customWidth="1"/>
    <col min="18" max="16384" width="9.36328125" style="47"/>
  </cols>
  <sheetData>
    <row r="1" spans="1:18" s="32" customFormat="1" ht="12" customHeight="1" x14ac:dyDescent="0.3">
      <c r="C1" s="33">
        <f>SUBTOTAL(9,C3:C1048576)</f>
        <v>260165477.82000008</v>
      </c>
      <c r="F1" s="33">
        <f>SUBTOTAL(9,F3:F1048576)</f>
        <v>38785847.979999997</v>
      </c>
      <c r="G1" s="33">
        <f>SUBTOTAL(9,G3:G1048576)</f>
        <v>677755</v>
      </c>
      <c r="H1" s="33">
        <f>SUBTOTAL(9,H3:H1048576)</f>
        <v>260165477.82000008</v>
      </c>
      <c r="J1" s="34"/>
      <c r="K1" s="35"/>
      <c r="N1" s="33">
        <f>SUBTOTAL(9,N3:N1048576)</f>
        <v>221379629.84000006</v>
      </c>
      <c r="P1" s="36"/>
      <c r="Q1" s="33">
        <f>SUBTOTAL(9,Q3:Q1048576)</f>
        <v>221379629.84000006</v>
      </c>
    </row>
    <row r="2" spans="1:18" s="32" customFormat="1" ht="23" x14ac:dyDescent="0.3">
      <c r="A2" s="37"/>
      <c r="B2" s="38" t="s">
        <v>0</v>
      </c>
      <c r="C2" s="38" t="s">
        <v>5</v>
      </c>
      <c r="D2" s="38" t="s">
        <v>6</v>
      </c>
      <c r="E2" s="38" t="s">
        <v>7</v>
      </c>
      <c r="F2" s="38" t="s">
        <v>8</v>
      </c>
      <c r="G2" s="38" t="s">
        <v>1</v>
      </c>
      <c r="H2" s="38" t="s">
        <v>9</v>
      </c>
      <c r="I2" s="38" t="s">
        <v>10</v>
      </c>
      <c r="J2" s="38" t="s">
        <v>11</v>
      </c>
      <c r="K2" s="38" t="s">
        <v>470</v>
      </c>
      <c r="L2" s="38" t="s">
        <v>990</v>
      </c>
      <c r="M2" s="38" t="s">
        <v>12</v>
      </c>
      <c r="N2" s="38" t="s">
        <v>13</v>
      </c>
      <c r="O2" s="38" t="s">
        <v>14</v>
      </c>
      <c r="P2" s="38" t="s">
        <v>15</v>
      </c>
      <c r="Q2" s="38" t="s">
        <v>17</v>
      </c>
      <c r="R2" s="38" t="s">
        <v>18</v>
      </c>
    </row>
    <row r="3" spans="1:18" ht="12" customHeight="1" x14ac:dyDescent="0.3">
      <c r="A3" s="39"/>
      <c r="B3" s="40" t="s">
        <v>991</v>
      </c>
      <c r="C3" s="41">
        <v>2014271.58</v>
      </c>
      <c r="D3" s="42">
        <v>45859</v>
      </c>
      <c r="E3" s="43" t="s">
        <v>2</v>
      </c>
      <c r="F3" s="41">
        <v>0</v>
      </c>
      <c r="G3" s="41">
        <v>0</v>
      </c>
      <c r="H3" s="41">
        <v>2014271.58</v>
      </c>
      <c r="I3" s="43">
        <v>90</v>
      </c>
      <c r="J3" s="43">
        <v>8</v>
      </c>
      <c r="K3" s="44">
        <v>3000000</v>
      </c>
      <c r="L3" s="43" t="s">
        <v>992</v>
      </c>
      <c r="M3" s="45">
        <v>45949</v>
      </c>
      <c r="N3" s="41">
        <v>2014271.58</v>
      </c>
      <c r="O3" s="42">
        <v>45886</v>
      </c>
      <c r="P3" s="46"/>
      <c r="Q3" s="41">
        <v>2014271.58</v>
      </c>
    </row>
    <row r="4" spans="1:18" ht="12" customHeight="1" x14ac:dyDescent="0.3">
      <c r="A4" s="39"/>
      <c r="B4" s="40" t="s">
        <v>993</v>
      </c>
      <c r="C4" s="41">
        <v>13714.78</v>
      </c>
      <c r="D4" s="42">
        <v>45862</v>
      </c>
      <c r="E4" s="43" t="s">
        <v>2</v>
      </c>
      <c r="F4" s="41">
        <v>0</v>
      </c>
      <c r="G4" s="41">
        <v>0</v>
      </c>
      <c r="H4" s="41">
        <v>13714.78</v>
      </c>
      <c r="I4" s="43">
        <v>90</v>
      </c>
      <c r="J4" s="43">
        <v>9</v>
      </c>
      <c r="K4" s="44">
        <v>3000000</v>
      </c>
      <c r="L4" s="43" t="s">
        <v>992</v>
      </c>
      <c r="M4" s="45">
        <v>45952</v>
      </c>
      <c r="N4" s="41">
        <v>13714.78</v>
      </c>
      <c r="O4" s="42">
        <v>45869</v>
      </c>
      <c r="P4" s="46"/>
      <c r="Q4" s="41">
        <v>13714.78</v>
      </c>
    </row>
    <row r="5" spans="1:18" ht="12" customHeight="1" x14ac:dyDescent="0.3">
      <c r="A5" s="39"/>
      <c r="B5" s="40" t="s">
        <v>994</v>
      </c>
      <c r="C5" s="41">
        <v>291876.19</v>
      </c>
      <c r="D5" s="42">
        <v>45862</v>
      </c>
      <c r="E5" s="43" t="s">
        <v>2</v>
      </c>
      <c r="F5" s="41">
        <v>0</v>
      </c>
      <c r="G5" s="41">
        <v>0</v>
      </c>
      <c r="H5" s="41">
        <v>291876.19</v>
      </c>
      <c r="I5" s="43">
        <v>90</v>
      </c>
      <c r="J5" s="43">
        <v>9</v>
      </c>
      <c r="K5" s="44">
        <v>3000000</v>
      </c>
      <c r="L5" s="43" t="s">
        <v>992</v>
      </c>
      <c r="M5" s="45">
        <v>45952</v>
      </c>
      <c r="N5" s="41">
        <v>291876.19</v>
      </c>
      <c r="O5" s="42">
        <v>45869</v>
      </c>
      <c r="P5" s="46"/>
      <c r="Q5" s="41">
        <v>291876.19</v>
      </c>
    </row>
    <row r="6" spans="1:18" ht="12" customHeight="1" x14ac:dyDescent="0.3">
      <c r="A6" s="39"/>
      <c r="B6" s="40" t="s">
        <v>995</v>
      </c>
      <c r="C6" s="41">
        <v>1579908.49</v>
      </c>
      <c r="D6" s="42">
        <v>45869</v>
      </c>
      <c r="E6" s="43" t="s">
        <v>2</v>
      </c>
      <c r="F6" s="41">
        <v>0</v>
      </c>
      <c r="G6" s="41">
        <v>0</v>
      </c>
      <c r="H6" s="41">
        <v>1579908.49</v>
      </c>
      <c r="I6" s="43">
        <v>90</v>
      </c>
      <c r="J6" s="43">
        <v>9</v>
      </c>
      <c r="K6" s="44">
        <v>3000000</v>
      </c>
      <c r="L6" s="43" t="s">
        <v>992</v>
      </c>
      <c r="M6" s="45">
        <v>45959</v>
      </c>
      <c r="N6" s="41">
        <v>1579908.49</v>
      </c>
      <c r="O6" s="42">
        <v>45888</v>
      </c>
      <c r="P6" s="46"/>
      <c r="Q6" s="41">
        <v>1579908.49</v>
      </c>
    </row>
    <row r="7" spans="1:18" ht="12" customHeight="1" x14ac:dyDescent="0.3">
      <c r="A7" s="39"/>
      <c r="B7" s="40" t="s">
        <v>996</v>
      </c>
      <c r="C7" s="41">
        <v>164259.12</v>
      </c>
      <c r="D7" s="42">
        <v>45869</v>
      </c>
      <c r="E7" s="43" t="s">
        <v>2</v>
      </c>
      <c r="F7" s="41">
        <v>0</v>
      </c>
      <c r="G7" s="41">
        <v>0</v>
      </c>
      <c r="H7" s="41">
        <v>164259.12</v>
      </c>
      <c r="I7" s="43">
        <v>90</v>
      </c>
      <c r="J7" s="43">
        <v>9</v>
      </c>
      <c r="K7" s="44">
        <v>3000000</v>
      </c>
      <c r="L7" s="43" t="s">
        <v>992</v>
      </c>
      <c r="M7" s="45">
        <v>45959</v>
      </c>
      <c r="N7" s="41">
        <v>164259.12</v>
      </c>
      <c r="O7" s="42">
        <v>45888</v>
      </c>
      <c r="P7" s="46"/>
      <c r="Q7" s="41">
        <v>164259.12</v>
      </c>
    </row>
    <row r="8" spans="1:18" ht="12" customHeight="1" x14ac:dyDescent="0.3">
      <c r="A8" s="39"/>
      <c r="B8" s="40" t="s">
        <v>997</v>
      </c>
      <c r="C8" s="41">
        <v>496894.38</v>
      </c>
      <c r="D8" s="42">
        <v>45869</v>
      </c>
      <c r="E8" s="43" t="s">
        <v>2</v>
      </c>
      <c r="F8" s="41">
        <v>0</v>
      </c>
      <c r="G8" s="41">
        <v>0</v>
      </c>
      <c r="H8" s="41">
        <v>496894.38</v>
      </c>
      <c r="I8" s="43">
        <v>90</v>
      </c>
      <c r="J8" s="43">
        <v>9</v>
      </c>
      <c r="K8" s="44">
        <v>3000000</v>
      </c>
      <c r="L8" s="43" t="s">
        <v>992</v>
      </c>
      <c r="M8" s="45">
        <v>45959</v>
      </c>
      <c r="N8" s="41">
        <v>496894.38</v>
      </c>
      <c r="O8" s="42">
        <v>45889</v>
      </c>
      <c r="P8" s="46"/>
      <c r="Q8" s="41">
        <v>496894.38</v>
      </c>
    </row>
    <row r="9" spans="1:18" ht="12" customHeight="1" x14ac:dyDescent="0.3">
      <c r="A9" s="39"/>
      <c r="B9" s="40" t="s">
        <v>998</v>
      </c>
      <c r="C9" s="41">
        <v>421258.33</v>
      </c>
      <c r="D9" s="42">
        <v>45869</v>
      </c>
      <c r="E9" s="43" t="s">
        <v>2</v>
      </c>
      <c r="F9" s="41">
        <v>0</v>
      </c>
      <c r="G9" s="41">
        <v>0</v>
      </c>
      <c r="H9" s="41">
        <v>421258.33</v>
      </c>
      <c r="I9" s="43">
        <v>90</v>
      </c>
      <c r="J9" s="43">
        <v>9</v>
      </c>
      <c r="K9" s="44">
        <v>3000000</v>
      </c>
      <c r="L9" s="43" t="s">
        <v>992</v>
      </c>
      <c r="M9" s="45">
        <v>45959</v>
      </c>
      <c r="N9" s="41">
        <v>421258.33</v>
      </c>
      <c r="O9" s="42">
        <v>45894</v>
      </c>
      <c r="P9" s="46"/>
      <c r="Q9" s="41">
        <v>421258.33</v>
      </c>
    </row>
    <row r="10" spans="1:18" ht="12" customHeight="1" x14ac:dyDescent="0.3">
      <c r="A10" s="39"/>
      <c r="B10" s="40" t="s">
        <v>999</v>
      </c>
      <c r="C10" s="41">
        <v>1537.98</v>
      </c>
      <c r="D10" s="42">
        <v>45874</v>
      </c>
      <c r="E10" s="43" t="s">
        <v>2</v>
      </c>
      <c r="F10" s="41">
        <v>0</v>
      </c>
      <c r="G10" s="41">
        <v>0</v>
      </c>
      <c r="H10" s="41">
        <v>1537.98</v>
      </c>
      <c r="I10" s="43">
        <v>90</v>
      </c>
      <c r="J10" s="43">
        <v>9</v>
      </c>
      <c r="K10" s="44">
        <v>3000000</v>
      </c>
      <c r="L10" s="43" t="s">
        <v>992</v>
      </c>
      <c r="M10" s="45">
        <v>45964</v>
      </c>
      <c r="N10" s="41">
        <v>1537.98</v>
      </c>
      <c r="O10" s="42">
        <v>45894</v>
      </c>
      <c r="P10" s="46"/>
      <c r="Q10" s="41">
        <v>1537.98</v>
      </c>
    </row>
    <row r="11" spans="1:18" ht="12" customHeight="1" x14ac:dyDescent="0.3">
      <c r="A11" s="39"/>
      <c r="B11" s="40" t="s">
        <v>1000</v>
      </c>
      <c r="C11" s="41">
        <v>62867.99</v>
      </c>
      <c r="D11" s="42">
        <v>45874</v>
      </c>
      <c r="E11" s="43" t="s">
        <v>2</v>
      </c>
      <c r="F11" s="41">
        <v>0</v>
      </c>
      <c r="G11" s="41">
        <v>0</v>
      </c>
      <c r="H11" s="41">
        <v>62867.99</v>
      </c>
      <c r="I11" s="43">
        <v>90</v>
      </c>
      <c r="J11" s="43">
        <v>9</v>
      </c>
      <c r="K11" s="44">
        <v>3000000</v>
      </c>
      <c r="L11" s="43" t="s">
        <v>992</v>
      </c>
      <c r="M11" s="45">
        <v>45964</v>
      </c>
      <c r="N11" s="41">
        <v>62867.99</v>
      </c>
      <c r="O11" s="42">
        <v>45894</v>
      </c>
      <c r="P11" s="46"/>
      <c r="Q11" s="41">
        <v>62867.99</v>
      </c>
    </row>
    <row r="12" spans="1:18" ht="12" customHeight="1" x14ac:dyDescent="0.3">
      <c r="A12" s="39"/>
      <c r="B12" s="40" t="s">
        <v>1001</v>
      </c>
      <c r="C12" s="41">
        <v>1606.51</v>
      </c>
      <c r="D12" s="42">
        <v>45874</v>
      </c>
      <c r="E12" s="43" t="s">
        <v>2</v>
      </c>
      <c r="F12" s="41">
        <v>0</v>
      </c>
      <c r="G12" s="41">
        <v>0</v>
      </c>
      <c r="H12" s="41">
        <v>1606.51</v>
      </c>
      <c r="I12" s="43">
        <v>90</v>
      </c>
      <c r="J12" s="43">
        <v>9</v>
      </c>
      <c r="K12" s="44">
        <v>3000000</v>
      </c>
      <c r="L12" s="43" t="s">
        <v>992</v>
      </c>
      <c r="M12" s="45">
        <v>45964</v>
      </c>
      <c r="N12" s="41">
        <v>1606.51</v>
      </c>
      <c r="O12" s="42">
        <v>45894</v>
      </c>
      <c r="P12" s="46"/>
      <c r="Q12" s="41">
        <v>1606.51</v>
      </c>
    </row>
    <row r="13" spans="1:18" ht="12" customHeight="1" x14ac:dyDescent="0.3">
      <c r="A13" s="39"/>
      <c r="B13" s="40" t="s">
        <v>1002</v>
      </c>
      <c r="C13" s="41">
        <v>62867.99</v>
      </c>
      <c r="D13" s="42">
        <v>45874</v>
      </c>
      <c r="E13" s="43" t="s">
        <v>2</v>
      </c>
      <c r="F13" s="41">
        <v>0</v>
      </c>
      <c r="G13" s="41">
        <v>0</v>
      </c>
      <c r="H13" s="41">
        <v>62867.99</v>
      </c>
      <c r="I13" s="43">
        <v>90</v>
      </c>
      <c r="J13" s="43">
        <v>9</v>
      </c>
      <c r="K13" s="44">
        <v>3000000</v>
      </c>
      <c r="L13" s="43" t="s">
        <v>992</v>
      </c>
      <c r="M13" s="45">
        <v>45964</v>
      </c>
      <c r="N13" s="41">
        <v>62867.99</v>
      </c>
      <c r="O13" s="42">
        <v>45894</v>
      </c>
      <c r="P13" s="46"/>
      <c r="Q13" s="41">
        <v>62867.99</v>
      </c>
    </row>
    <row r="14" spans="1:18" ht="12" customHeight="1" x14ac:dyDescent="0.3">
      <c r="A14" s="39"/>
      <c r="B14" s="40" t="s">
        <v>1003</v>
      </c>
      <c r="C14" s="41">
        <v>62867.99</v>
      </c>
      <c r="D14" s="42">
        <v>45874</v>
      </c>
      <c r="E14" s="43" t="s">
        <v>2</v>
      </c>
      <c r="F14" s="41">
        <v>0</v>
      </c>
      <c r="G14" s="41">
        <v>0</v>
      </c>
      <c r="H14" s="41">
        <v>62867.99</v>
      </c>
      <c r="I14" s="43">
        <v>90</v>
      </c>
      <c r="J14" s="43">
        <v>9</v>
      </c>
      <c r="K14" s="44">
        <v>3000000</v>
      </c>
      <c r="L14" s="43" t="s">
        <v>992</v>
      </c>
      <c r="M14" s="45">
        <v>45964</v>
      </c>
      <c r="N14" s="41">
        <v>62867.99</v>
      </c>
      <c r="O14" s="42">
        <v>45896</v>
      </c>
      <c r="P14" s="46"/>
      <c r="Q14" s="41">
        <v>62867.99</v>
      </c>
    </row>
    <row r="15" spans="1:18" ht="12" customHeight="1" x14ac:dyDescent="0.3">
      <c r="A15" s="39"/>
      <c r="B15" s="40" t="s">
        <v>1004</v>
      </c>
      <c r="C15" s="41">
        <v>62867.99</v>
      </c>
      <c r="D15" s="42">
        <v>45874</v>
      </c>
      <c r="E15" s="43" t="s">
        <v>2</v>
      </c>
      <c r="F15" s="41">
        <v>0</v>
      </c>
      <c r="G15" s="41">
        <v>0</v>
      </c>
      <c r="H15" s="41">
        <v>62867.99</v>
      </c>
      <c r="I15" s="43">
        <v>90</v>
      </c>
      <c r="J15" s="43">
        <v>9</v>
      </c>
      <c r="K15" s="44">
        <v>3000000</v>
      </c>
      <c r="L15" s="43" t="s">
        <v>992</v>
      </c>
      <c r="M15" s="45">
        <v>45964</v>
      </c>
      <c r="N15" s="41">
        <v>62867.99</v>
      </c>
      <c r="O15" s="42">
        <v>45896</v>
      </c>
      <c r="P15" s="46"/>
      <c r="Q15" s="41">
        <v>62867.99</v>
      </c>
    </row>
    <row r="16" spans="1:18" ht="12" customHeight="1" x14ac:dyDescent="0.3">
      <c r="A16" s="39"/>
      <c r="B16" s="40" t="s">
        <v>1005</v>
      </c>
      <c r="C16" s="41">
        <v>62867.99</v>
      </c>
      <c r="D16" s="42">
        <v>45874</v>
      </c>
      <c r="E16" s="43" t="s">
        <v>2</v>
      </c>
      <c r="F16" s="41">
        <v>0</v>
      </c>
      <c r="G16" s="41">
        <v>0</v>
      </c>
      <c r="H16" s="41">
        <v>62867.99</v>
      </c>
      <c r="I16" s="43">
        <v>90</v>
      </c>
      <c r="J16" s="43">
        <v>9</v>
      </c>
      <c r="K16" s="44">
        <v>3000000</v>
      </c>
      <c r="L16" s="43" t="s">
        <v>992</v>
      </c>
      <c r="M16" s="45">
        <v>45964</v>
      </c>
      <c r="N16" s="41">
        <v>62867.99</v>
      </c>
      <c r="O16" s="42">
        <v>45901</v>
      </c>
      <c r="P16" s="46"/>
      <c r="Q16" s="41">
        <v>62867.99</v>
      </c>
    </row>
    <row r="17" spans="1:17" ht="12" customHeight="1" x14ac:dyDescent="0.3">
      <c r="A17" s="39"/>
      <c r="B17" s="40" t="s">
        <v>1006</v>
      </c>
      <c r="C17" s="41">
        <v>62867.99</v>
      </c>
      <c r="D17" s="42">
        <v>45874</v>
      </c>
      <c r="E17" s="43" t="s">
        <v>2</v>
      </c>
      <c r="F17" s="41">
        <v>0</v>
      </c>
      <c r="G17" s="41">
        <v>0</v>
      </c>
      <c r="H17" s="41">
        <v>62867.99</v>
      </c>
      <c r="I17" s="43">
        <v>90</v>
      </c>
      <c r="J17" s="43">
        <v>9</v>
      </c>
      <c r="K17" s="44">
        <v>3000000</v>
      </c>
      <c r="L17" s="43" t="s">
        <v>992</v>
      </c>
      <c r="M17" s="45">
        <v>45964</v>
      </c>
      <c r="N17" s="41">
        <v>62867.99</v>
      </c>
      <c r="O17" s="42">
        <v>45901</v>
      </c>
      <c r="P17" s="46"/>
      <c r="Q17" s="41">
        <v>62867.99</v>
      </c>
    </row>
    <row r="18" spans="1:17" ht="12" customHeight="1" x14ac:dyDescent="0.3">
      <c r="A18" s="39"/>
      <c r="B18" s="40" t="s">
        <v>1007</v>
      </c>
      <c r="C18" s="41">
        <v>62867.99</v>
      </c>
      <c r="D18" s="42">
        <v>45874</v>
      </c>
      <c r="E18" s="43" t="s">
        <v>2</v>
      </c>
      <c r="F18" s="41">
        <v>0</v>
      </c>
      <c r="G18" s="41">
        <v>0</v>
      </c>
      <c r="H18" s="41">
        <v>62867.99</v>
      </c>
      <c r="I18" s="43">
        <v>90</v>
      </c>
      <c r="J18" s="43">
        <v>9</v>
      </c>
      <c r="K18" s="44">
        <v>3000000</v>
      </c>
      <c r="L18" s="43" t="s">
        <v>992</v>
      </c>
      <c r="M18" s="45">
        <v>45964</v>
      </c>
      <c r="N18" s="41">
        <v>62867.99</v>
      </c>
      <c r="O18" s="42">
        <v>45901</v>
      </c>
      <c r="P18" s="46"/>
      <c r="Q18" s="41">
        <v>62867.99</v>
      </c>
    </row>
    <row r="19" spans="1:17" ht="12" customHeight="1" x14ac:dyDescent="0.3">
      <c r="A19" s="39"/>
      <c r="B19" s="40" t="s">
        <v>1008</v>
      </c>
      <c r="C19" s="41">
        <v>50293.99</v>
      </c>
      <c r="D19" s="42">
        <v>45874</v>
      </c>
      <c r="E19" s="43" t="s">
        <v>2</v>
      </c>
      <c r="F19" s="41">
        <v>0</v>
      </c>
      <c r="G19" s="41">
        <v>0</v>
      </c>
      <c r="H19" s="41">
        <v>50293.99</v>
      </c>
      <c r="I19" s="43">
        <v>90</v>
      </c>
      <c r="J19" s="43">
        <v>9</v>
      </c>
      <c r="K19" s="44">
        <v>3000000</v>
      </c>
      <c r="L19" s="43" t="s">
        <v>992</v>
      </c>
      <c r="M19" s="45">
        <v>45964</v>
      </c>
      <c r="N19" s="41">
        <v>50293.99</v>
      </c>
      <c r="O19" s="42">
        <v>45901</v>
      </c>
      <c r="P19" s="46"/>
      <c r="Q19" s="41">
        <v>50293.99</v>
      </c>
    </row>
    <row r="20" spans="1:17" ht="12" customHeight="1" x14ac:dyDescent="0.3">
      <c r="A20" s="39"/>
      <c r="B20" s="40" t="s">
        <v>1009</v>
      </c>
      <c r="C20" s="41">
        <v>62867.99</v>
      </c>
      <c r="D20" s="42">
        <v>45874</v>
      </c>
      <c r="E20" s="43" t="s">
        <v>2</v>
      </c>
      <c r="F20" s="41">
        <v>0</v>
      </c>
      <c r="G20" s="41">
        <v>0</v>
      </c>
      <c r="H20" s="41">
        <v>62867.99</v>
      </c>
      <c r="I20" s="43">
        <v>90</v>
      </c>
      <c r="J20" s="43">
        <v>9</v>
      </c>
      <c r="K20" s="44">
        <v>3000000</v>
      </c>
      <c r="L20" s="43" t="s">
        <v>992</v>
      </c>
      <c r="M20" s="45">
        <v>45964</v>
      </c>
      <c r="N20" s="41">
        <v>62867.99</v>
      </c>
      <c r="O20" s="42">
        <v>45901</v>
      </c>
      <c r="P20" s="46"/>
      <c r="Q20" s="41">
        <v>62867.99</v>
      </c>
    </row>
    <row r="21" spans="1:17" ht="12" customHeight="1" x14ac:dyDescent="0.3">
      <c r="A21" s="39"/>
      <c r="B21" s="40" t="s">
        <v>1010</v>
      </c>
      <c r="C21" s="41">
        <v>25147.200000000001</v>
      </c>
      <c r="D21" s="42">
        <v>45874</v>
      </c>
      <c r="E21" s="43" t="s">
        <v>2</v>
      </c>
      <c r="F21" s="41">
        <v>0</v>
      </c>
      <c r="G21" s="41">
        <v>0</v>
      </c>
      <c r="H21" s="41">
        <v>25147.200000000001</v>
      </c>
      <c r="I21" s="43">
        <v>90</v>
      </c>
      <c r="J21" s="43">
        <v>9</v>
      </c>
      <c r="K21" s="44">
        <v>3000000</v>
      </c>
      <c r="L21" s="43" t="s">
        <v>992</v>
      </c>
      <c r="M21" s="45">
        <v>45964</v>
      </c>
      <c r="N21" s="41">
        <v>25147.200000000001</v>
      </c>
      <c r="O21" s="42">
        <v>45901</v>
      </c>
      <c r="P21" s="46"/>
      <c r="Q21" s="41">
        <v>25147.200000000001</v>
      </c>
    </row>
    <row r="22" spans="1:17" ht="12" customHeight="1" x14ac:dyDescent="0.3">
      <c r="A22" s="39"/>
      <c r="B22" s="40" t="s">
        <v>1011</v>
      </c>
      <c r="C22" s="41">
        <v>352.01</v>
      </c>
      <c r="D22" s="42">
        <v>45874</v>
      </c>
      <c r="E22" s="43" t="s">
        <v>2</v>
      </c>
      <c r="F22" s="41">
        <v>0</v>
      </c>
      <c r="G22" s="41">
        <v>0</v>
      </c>
      <c r="H22" s="41">
        <v>352.01</v>
      </c>
      <c r="I22" s="43">
        <v>90</v>
      </c>
      <c r="J22" s="43">
        <v>9</v>
      </c>
      <c r="K22" s="44">
        <v>3000000</v>
      </c>
      <c r="L22" s="43" t="s">
        <v>992</v>
      </c>
      <c r="M22" s="45">
        <v>45964</v>
      </c>
      <c r="N22" s="41">
        <v>352.01</v>
      </c>
      <c r="O22" s="42">
        <v>45901</v>
      </c>
      <c r="P22" s="46"/>
      <c r="Q22" s="41">
        <v>352.01</v>
      </c>
    </row>
    <row r="23" spans="1:17" ht="12" customHeight="1" x14ac:dyDescent="0.3">
      <c r="A23" s="39"/>
      <c r="B23" s="40" t="s">
        <v>1012</v>
      </c>
      <c r="C23" s="41">
        <v>210.9</v>
      </c>
      <c r="D23" s="42">
        <v>45874</v>
      </c>
      <c r="E23" s="43" t="s">
        <v>2</v>
      </c>
      <c r="F23" s="41">
        <v>0</v>
      </c>
      <c r="G23" s="41">
        <v>0</v>
      </c>
      <c r="H23" s="41">
        <v>210.9</v>
      </c>
      <c r="I23" s="43">
        <v>90</v>
      </c>
      <c r="J23" s="43">
        <v>9</v>
      </c>
      <c r="K23" s="44">
        <v>3000000</v>
      </c>
      <c r="L23" s="43" t="s">
        <v>992</v>
      </c>
      <c r="M23" s="45">
        <v>45964</v>
      </c>
      <c r="N23" s="41">
        <v>210.9</v>
      </c>
      <c r="O23" s="42">
        <v>45901</v>
      </c>
      <c r="P23" s="46"/>
      <c r="Q23" s="41">
        <v>210.9</v>
      </c>
    </row>
    <row r="24" spans="1:17" ht="12" customHeight="1" x14ac:dyDescent="0.3">
      <c r="A24" s="39"/>
      <c r="B24" s="40" t="s">
        <v>1013</v>
      </c>
      <c r="C24" s="41">
        <v>7175</v>
      </c>
      <c r="D24" s="42">
        <v>45874</v>
      </c>
      <c r="E24" s="43" t="s">
        <v>2</v>
      </c>
      <c r="F24" s="41">
        <v>0</v>
      </c>
      <c r="G24" s="41">
        <v>0</v>
      </c>
      <c r="H24" s="41">
        <v>7175</v>
      </c>
      <c r="I24" s="43">
        <v>90</v>
      </c>
      <c r="J24" s="43">
        <v>9</v>
      </c>
      <c r="K24" s="44">
        <v>3000000</v>
      </c>
      <c r="L24" s="43" t="s">
        <v>992</v>
      </c>
      <c r="M24" s="45">
        <v>45964</v>
      </c>
      <c r="N24" s="41">
        <v>7175</v>
      </c>
      <c r="O24" s="42">
        <v>45901</v>
      </c>
      <c r="P24" s="46"/>
      <c r="Q24" s="41">
        <v>7175</v>
      </c>
    </row>
    <row r="25" spans="1:17" ht="12" customHeight="1" x14ac:dyDescent="0.3">
      <c r="A25" s="39"/>
      <c r="B25" s="40" t="s">
        <v>1014</v>
      </c>
      <c r="C25" s="41">
        <v>134.6</v>
      </c>
      <c r="D25" s="42">
        <v>45874</v>
      </c>
      <c r="E25" s="43" t="s">
        <v>2</v>
      </c>
      <c r="F25" s="41">
        <v>0</v>
      </c>
      <c r="G25" s="41">
        <v>0</v>
      </c>
      <c r="H25" s="41">
        <v>134.6</v>
      </c>
      <c r="I25" s="43">
        <v>90</v>
      </c>
      <c r="J25" s="43">
        <v>9</v>
      </c>
      <c r="K25" s="44">
        <v>3000000</v>
      </c>
      <c r="L25" s="43" t="s">
        <v>992</v>
      </c>
      <c r="M25" s="45">
        <v>45964</v>
      </c>
      <c r="N25" s="41">
        <v>134.6</v>
      </c>
      <c r="O25" s="42">
        <v>45901</v>
      </c>
      <c r="P25" s="46"/>
      <c r="Q25" s="41">
        <v>134.6</v>
      </c>
    </row>
    <row r="26" spans="1:17" ht="12" customHeight="1" x14ac:dyDescent="0.3">
      <c r="A26" s="39"/>
      <c r="B26" s="40" t="s">
        <v>1015</v>
      </c>
      <c r="C26" s="41">
        <v>420</v>
      </c>
      <c r="D26" s="42">
        <v>45874</v>
      </c>
      <c r="E26" s="43" t="s">
        <v>2</v>
      </c>
      <c r="F26" s="41">
        <v>0</v>
      </c>
      <c r="G26" s="41">
        <v>0</v>
      </c>
      <c r="H26" s="41">
        <v>420</v>
      </c>
      <c r="I26" s="43">
        <v>90</v>
      </c>
      <c r="J26" s="43">
        <v>9</v>
      </c>
      <c r="K26" s="44">
        <v>3000000</v>
      </c>
      <c r="L26" s="43" t="s">
        <v>992</v>
      </c>
      <c r="M26" s="45">
        <v>45964</v>
      </c>
      <c r="N26" s="41">
        <v>420</v>
      </c>
      <c r="O26" s="42">
        <v>45901</v>
      </c>
      <c r="P26" s="46"/>
      <c r="Q26" s="41">
        <v>420</v>
      </c>
    </row>
    <row r="27" spans="1:17" ht="12" customHeight="1" x14ac:dyDescent="0.3">
      <c r="A27" s="39"/>
      <c r="B27" s="40" t="s">
        <v>1016</v>
      </c>
      <c r="C27" s="41">
        <v>17444.54</v>
      </c>
      <c r="D27" s="42">
        <v>45875</v>
      </c>
      <c r="E27" s="43" t="s">
        <v>2</v>
      </c>
      <c r="F27" s="41">
        <v>0</v>
      </c>
      <c r="G27" s="41">
        <v>0</v>
      </c>
      <c r="H27" s="41">
        <v>17444.54</v>
      </c>
      <c r="I27" s="43">
        <v>90</v>
      </c>
      <c r="J27" s="43">
        <v>9</v>
      </c>
      <c r="K27" s="44">
        <v>3000000</v>
      </c>
      <c r="L27" s="43" t="s">
        <v>992</v>
      </c>
      <c r="M27" s="45">
        <v>45965</v>
      </c>
      <c r="N27" s="41">
        <v>17444.54</v>
      </c>
      <c r="O27" s="42">
        <v>45901</v>
      </c>
      <c r="P27" s="46"/>
      <c r="Q27" s="41">
        <v>17444.54</v>
      </c>
    </row>
    <row r="28" spans="1:17" ht="12" customHeight="1" x14ac:dyDescent="0.3">
      <c r="A28" s="39"/>
      <c r="B28" s="40" t="s">
        <v>1017</v>
      </c>
      <c r="C28" s="41">
        <v>2394</v>
      </c>
      <c r="D28" s="42">
        <v>45875</v>
      </c>
      <c r="E28" s="43" t="s">
        <v>2</v>
      </c>
      <c r="F28" s="41">
        <v>0</v>
      </c>
      <c r="G28" s="41">
        <v>0</v>
      </c>
      <c r="H28" s="41">
        <v>2394</v>
      </c>
      <c r="I28" s="43">
        <v>90</v>
      </c>
      <c r="J28" s="43">
        <v>9</v>
      </c>
      <c r="K28" s="44">
        <v>3000000</v>
      </c>
      <c r="L28" s="43" t="s">
        <v>992</v>
      </c>
      <c r="M28" s="45">
        <v>45965</v>
      </c>
      <c r="N28" s="41">
        <v>2394</v>
      </c>
      <c r="O28" s="42">
        <v>45901</v>
      </c>
      <c r="P28" s="46"/>
      <c r="Q28" s="41">
        <v>2394</v>
      </c>
    </row>
    <row r="29" spans="1:17" ht="12" customHeight="1" x14ac:dyDescent="0.3">
      <c r="A29" s="39"/>
      <c r="B29" s="40" t="s">
        <v>1018</v>
      </c>
      <c r="C29" s="41">
        <v>8255</v>
      </c>
      <c r="D29" s="42">
        <v>45875</v>
      </c>
      <c r="E29" s="43" t="s">
        <v>2</v>
      </c>
      <c r="F29" s="41">
        <v>0</v>
      </c>
      <c r="G29" s="41">
        <v>0</v>
      </c>
      <c r="H29" s="41">
        <v>8255</v>
      </c>
      <c r="I29" s="43">
        <v>90</v>
      </c>
      <c r="J29" s="43">
        <v>9</v>
      </c>
      <c r="K29" s="44">
        <v>3000000</v>
      </c>
      <c r="L29" s="43" t="s">
        <v>992</v>
      </c>
      <c r="M29" s="45">
        <v>45965</v>
      </c>
      <c r="N29" s="41">
        <v>8255</v>
      </c>
      <c r="O29" s="42">
        <v>45901</v>
      </c>
      <c r="P29" s="46"/>
      <c r="Q29" s="41">
        <v>8255</v>
      </c>
    </row>
    <row r="30" spans="1:17" ht="12" customHeight="1" x14ac:dyDescent="0.3">
      <c r="A30" s="39"/>
      <c r="B30" s="40" t="s">
        <v>1019</v>
      </c>
      <c r="C30" s="41">
        <v>21525</v>
      </c>
      <c r="D30" s="42">
        <v>45875</v>
      </c>
      <c r="E30" s="43" t="s">
        <v>2</v>
      </c>
      <c r="F30" s="41">
        <v>0</v>
      </c>
      <c r="G30" s="41">
        <v>0</v>
      </c>
      <c r="H30" s="41">
        <v>21525</v>
      </c>
      <c r="I30" s="43">
        <v>90</v>
      </c>
      <c r="J30" s="43">
        <v>9</v>
      </c>
      <c r="K30" s="44">
        <v>3000000</v>
      </c>
      <c r="L30" s="43" t="s">
        <v>992</v>
      </c>
      <c r="M30" s="45">
        <v>45965</v>
      </c>
      <c r="N30" s="41">
        <v>21525</v>
      </c>
      <c r="O30" s="42">
        <v>45901</v>
      </c>
      <c r="P30" s="46"/>
      <c r="Q30" s="41">
        <v>21525</v>
      </c>
    </row>
    <row r="31" spans="1:17" ht="12" customHeight="1" x14ac:dyDescent="0.3">
      <c r="A31" s="39"/>
      <c r="B31" s="40" t="s">
        <v>1020</v>
      </c>
      <c r="C31" s="41">
        <v>301950</v>
      </c>
      <c r="D31" s="42">
        <v>45875</v>
      </c>
      <c r="E31" s="43" t="s">
        <v>2</v>
      </c>
      <c r="F31" s="41">
        <v>0</v>
      </c>
      <c r="G31" s="41">
        <v>0</v>
      </c>
      <c r="H31" s="41">
        <v>301950</v>
      </c>
      <c r="I31" s="43">
        <v>90</v>
      </c>
      <c r="J31" s="43">
        <v>8</v>
      </c>
      <c r="K31" s="44">
        <v>3000000</v>
      </c>
      <c r="L31" s="43" t="s">
        <v>992</v>
      </c>
      <c r="M31" s="45">
        <v>45965</v>
      </c>
      <c r="N31" s="41">
        <v>301950</v>
      </c>
      <c r="O31" s="42">
        <v>45896</v>
      </c>
      <c r="P31" s="46"/>
      <c r="Q31" s="41">
        <v>301950</v>
      </c>
    </row>
    <row r="32" spans="1:17" ht="12" customHeight="1" x14ac:dyDescent="0.3">
      <c r="A32" s="39"/>
      <c r="B32" s="40" t="s">
        <v>1021</v>
      </c>
      <c r="C32" s="41">
        <v>169884</v>
      </c>
      <c r="D32" s="42">
        <v>45875</v>
      </c>
      <c r="E32" s="43" t="s">
        <v>2</v>
      </c>
      <c r="F32" s="41">
        <v>0</v>
      </c>
      <c r="G32" s="41">
        <v>0</v>
      </c>
      <c r="H32" s="41">
        <v>169884</v>
      </c>
      <c r="I32" s="43">
        <v>90</v>
      </c>
      <c r="J32" s="43">
        <v>8</v>
      </c>
      <c r="K32" s="44">
        <v>3000000</v>
      </c>
      <c r="L32" s="43" t="s">
        <v>992</v>
      </c>
      <c r="M32" s="45">
        <v>45965</v>
      </c>
      <c r="N32" s="41">
        <v>169884</v>
      </c>
      <c r="O32" s="42">
        <v>45896</v>
      </c>
      <c r="P32" s="46"/>
      <c r="Q32" s="41">
        <v>169884</v>
      </c>
    </row>
    <row r="33" spans="1:17" ht="12" customHeight="1" x14ac:dyDescent="0.3">
      <c r="A33" s="39"/>
      <c r="B33" s="40" t="s">
        <v>1022</v>
      </c>
      <c r="C33" s="41">
        <v>169884</v>
      </c>
      <c r="D33" s="42">
        <v>45875</v>
      </c>
      <c r="E33" s="43" t="s">
        <v>2</v>
      </c>
      <c r="F33" s="41">
        <v>0</v>
      </c>
      <c r="G33" s="41">
        <v>0</v>
      </c>
      <c r="H33" s="41">
        <v>169884</v>
      </c>
      <c r="I33" s="43">
        <v>90</v>
      </c>
      <c r="J33" s="43">
        <v>8</v>
      </c>
      <c r="K33" s="44">
        <v>3000000</v>
      </c>
      <c r="L33" s="43" t="s">
        <v>992</v>
      </c>
      <c r="M33" s="45">
        <v>45965</v>
      </c>
      <c r="N33" s="41">
        <v>169884</v>
      </c>
      <c r="O33" s="42">
        <v>45896</v>
      </c>
      <c r="P33" s="46"/>
      <c r="Q33" s="41">
        <v>169884</v>
      </c>
    </row>
    <row r="34" spans="1:17" ht="12" customHeight="1" x14ac:dyDescent="0.3">
      <c r="A34" s="39"/>
      <c r="B34" s="40" t="s">
        <v>1023</v>
      </c>
      <c r="C34" s="41">
        <v>200475</v>
      </c>
      <c r="D34" s="42">
        <v>45875</v>
      </c>
      <c r="E34" s="43" t="s">
        <v>2</v>
      </c>
      <c r="F34" s="41">
        <v>0</v>
      </c>
      <c r="G34" s="41">
        <v>0</v>
      </c>
      <c r="H34" s="41">
        <v>200475</v>
      </c>
      <c r="I34" s="43">
        <v>90</v>
      </c>
      <c r="J34" s="43">
        <v>8</v>
      </c>
      <c r="K34" s="44">
        <v>3000000</v>
      </c>
      <c r="L34" s="43" t="s">
        <v>992</v>
      </c>
      <c r="M34" s="45">
        <v>45965</v>
      </c>
      <c r="N34" s="41">
        <v>200475</v>
      </c>
      <c r="O34" s="42">
        <v>45907</v>
      </c>
      <c r="P34" s="46"/>
      <c r="Q34" s="41">
        <v>200475</v>
      </c>
    </row>
    <row r="35" spans="1:17" ht="12" customHeight="1" x14ac:dyDescent="0.3">
      <c r="A35" s="39"/>
      <c r="B35" s="40" t="s">
        <v>1024</v>
      </c>
      <c r="C35" s="41">
        <v>3959.98</v>
      </c>
      <c r="D35" s="42">
        <v>45876</v>
      </c>
      <c r="E35" s="43" t="s">
        <v>2</v>
      </c>
      <c r="F35" s="41">
        <v>0</v>
      </c>
      <c r="G35" s="41">
        <v>0</v>
      </c>
      <c r="H35" s="41">
        <v>3959.98</v>
      </c>
      <c r="I35" s="43">
        <v>90</v>
      </c>
      <c r="J35" s="43">
        <v>9</v>
      </c>
      <c r="K35" s="44">
        <v>3000000</v>
      </c>
      <c r="L35" s="43" t="s">
        <v>992</v>
      </c>
      <c r="M35" s="45">
        <v>45966</v>
      </c>
      <c r="N35" s="41">
        <v>3959.98</v>
      </c>
      <c r="O35" s="42">
        <v>45901</v>
      </c>
      <c r="P35" s="46"/>
      <c r="Q35" s="41">
        <v>3959.98</v>
      </c>
    </row>
    <row r="36" spans="1:17" ht="12" customHeight="1" x14ac:dyDescent="0.3">
      <c r="A36" s="39"/>
      <c r="B36" s="40" t="s">
        <v>1025</v>
      </c>
      <c r="C36" s="41">
        <v>429.1</v>
      </c>
      <c r="D36" s="42">
        <v>45876</v>
      </c>
      <c r="E36" s="43" t="s">
        <v>2</v>
      </c>
      <c r="F36" s="41">
        <v>0</v>
      </c>
      <c r="G36" s="41">
        <v>0</v>
      </c>
      <c r="H36" s="41">
        <v>429.1</v>
      </c>
      <c r="I36" s="43">
        <v>90</v>
      </c>
      <c r="J36" s="43">
        <v>9</v>
      </c>
      <c r="K36" s="44">
        <v>3000000</v>
      </c>
      <c r="L36" s="43" t="s">
        <v>992</v>
      </c>
      <c r="M36" s="45">
        <v>45966</v>
      </c>
      <c r="N36" s="41">
        <v>429.1</v>
      </c>
      <c r="O36" s="42">
        <v>45901</v>
      </c>
      <c r="P36" s="46"/>
      <c r="Q36" s="41">
        <v>429.1</v>
      </c>
    </row>
    <row r="37" spans="1:17" ht="12" customHeight="1" x14ac:dyDescent="0.3">
      <c r="A37" s="39"/>
      <c r="B37" s="40" t="s">
        <v>1026</v>
      </c>
      <c r="C37" s="41">
        <v>15723.99</v>
      </c>
      <c r="D37" s="42">
        <v>45876</v>
      </c>
      <c r="E37" s="43" t="s">
        <v>2</v>
      </c>
      <c r="F37" s="41">
        <v>0</v>
      </c>
      <c r="G37" s="41">
        <v>0</v>
      </c>
      <c r="H37" s="41">
        <v>15723.99</v>
      </c>
      <c r="I37" s="43">
        <v>90</v>
      </c>
      <c r="J37" s="43">
        <v>9</v>
      </c>
      <c r="K37" s="44">
        <v>3000000</v>
      </c>
      <c r="L37" s="43" t="s">
        <v>992</v>
      </c>
      <c r="M37" s="45">
        <v>45966</v>
      </c>
      <c r="N37" s="41">
        <v>15723.99</v>
      </c>
      <c r="O37" s="42">
        <v>45901</v>
      </c>
      <c r="P37" s="46"/>
      <c r="Q37" s="41">
        <v>15723.99</v>
      </c>
    </row>
    <row r="38" spans="1:17" ht="12" customHeight="1" x14ac:dyDescent="0.3">
      <c r="A38" s="39"/>
      <c r="B38" s="40" t="s">
        <v>1027</v>
      </c>
      <c r="C38" s="41">
        <v>62867.99</v>
      </c>
      <c r="D38" s="42">
        <v>45879</v>
      </c>
      <c r="E38" s="43" t="s">
        <v>2</v>
      </c>
      <c r="F38" s="41">
        <v>0</v>
      </c>
      <c r="G38" s="41">
        <v>0</v>
      </c>
      <c r="H38" s="41">
        <v>62867.99</v>
      </c>
      <c r="I38" s="43">
        <v>90</v>
      </c>
      <c r="J38" s="43">
        <v>9</v>
      </c>
      <c r="K38" s="44">
        <v>3000000</v>
      </c>
      <c r="L38" s="43" t="s">
        <v>992</v>
      </c>
      <c r="M38" s="45">
        <v>45970</v>
      </c>
      <c r="N38" s="41">
        <v>62867.99</v>
      </c>
      <c r="O38" s="42">
        <v>45901</v>
      </c>
      <c r="P38" s="46"/>
      <c r="Q38" s="41">
        <v>62867.99</v>
      </c>
    </row>
    <row r="39" spans="1:17" ht="12" customHeight="1" x14ac:dyDescent="0.3">
      <c r="A39" s="39"/>
      <c r="B39" s="40" t="s">
        <v>1028</v>
      </c>
      <c r="C39" s="41">
        <v>62867.99</v>
      </c>
      <c r="D39" s="42">
        <v>45879</v>
      </c>
      <c r="E39" s="43" t="s">
        <v>2</v>
      </c>
      <c r="F39" s="41">
        <v>0</v>
      </c>
      <c r="G39" s="41">
        <v>0</v>
      </c>
      <c r="H39" s="41">
        <v>62867.99</v>
      </c>
      <c r="I39" s="43">
        <v>90</v>
      </c>
      <c r="J39" s="43">
        <v>9</v>
      </c>
      <c r="K39" s="44">
        <v>3000000</v>
      </c>
      <c r="L39" s="43" t="s">
        <v>992</v>
      </c>
      <c r="M39" s="45">
        <v>45970</v>
      </c>
      <c r="N39" s="41">
        <v>62867.99</v>
      </c>
      <c r="O39" s="42">
        <v>45901</v>
      </c>
      <c r="P39" s="46"/>
      <c r="Q39" s="41">
        <v>62867.99</v>
      </c>
    </row>
    <row r="40" spans="1:17" ht="12" customHeight="1" x14ac:dyDescent="0.3">
      <c r="A40" s="39"/>
      <c r="B40" s="40" t="s">
        <v>1029</v>
      </c>
      <c r="C40" s="41">
        <v>11001.9</v>
      </c>
      <c r="D40" s="42">
        <v>45879</v>
      </c>
      <c r="E40" s="43" t="s">
        <v>2</v>
      </c>
      <c r="F40" s="41">
        <v>0</v>
      </c>
      <c r="G40" s="41">
        <v>0</v>
      </c>
      <c r="H40" s="41">
        <v>11001.9</v>
      </c>
      <c r="I40" s="43">
        <v>90</v>
      </c>
      <c r="J40" s="43">
        <v>9</v>
      </c>
      <c r="K40" s="44">
        <v>3000000</v>
      </c>
      <c r="L40" s="43" t="s">
        <v>992</v>
      </c>
      <c r="M40" s="45">
        <v>45970</v>
      </c>
      <c r="N40" s="41">
        <v>11001.9</v>
      </c>
      <c r="O40" s="42">
        <v>45901</v>
      </c>
      <c r="P40" s="46"/>
      <c r="Q40" s="41">
        <v>11001.9</v>
      </c>
    </row>
    <row r="41" spans="1:17" ht="12" customHeight="1" x14ac:dyDescent="0.3">
      <c r="A41" s="39"/>
      <c r="B41" s="40" t="s">
        <v>1030</v>
      </c>
      <c r="C41" s="41">
        <v>62710.83</v>
      </c>
      <c r="D41" s="42">
        <v>45879</v>
      </c>
      <c r="E41" s="43" t="s">
        <v>2</v>
      </c>
      <c r="F41" s="41">
        <v>0</v>
      </c>
      <c r="G41" s="41">
        <v>0</v>
      </c>
      <c r="H41" s="41">
        <v>62710.83</v>
      </c>
      <c r="I41" s="43">
        <v>90</v>
      </c>
      <c r="J41" s="43">
        <v>9</v>
      </c>
      <c r="K41" s="44">
        <v>3000000</v>
      </c>
      <c r="L41" s="43" t="s">
        <v>992</v>
      </c>
      <c r="M41" s="45">
        <v>45970</v>
      </c>
      <c r="N41" s="41">
        <v>62710.83</v>
      </c>
      <c r="O41" s="42">
        <v>45901</v>
      </c>
      <c r="P41" s="46"/>
      <c r="Q41" s="41">
        <v>62710.83</v>
      </c>
    </row>
    <row r="42" spans="1:17" ht="12" customHeight="1" x14ac:dyDescent="0.3">
      <c r="A42" s="39"/>
      <c r="B42" s="40" t="s">
        <v>1031</v>
      </c>
      <c r="C42" s="41">
        <v>471</v>
      </c>
      <c r="D42" s="42">
        <v>45879</v>
      </c>
      <c r="E42" s="43" t="s">
        <v>2</v>
      </c>
      <c r="F42" s="41">
        <v>0</v>
      </c>
      <c r="G42" s="41">
        <v>0</v>
      </c>
      <c r="H42" s="41">
        <v>471</v>
      </c>
      <c r="I42" s="43">
        <v>90</v>
      </c>
      <c r="J42" s="43">
        <v>9</v>
      </c>
      <c r="K42" s="44">
        <v>3000000</v>
      </c>
      <c r="L42" s="43" t="s">
        <v>992</v>
      </c>
      <c r="M42" s="45">
        <v>45970</v>
      </c>
      <c r="N42" s="41">
        <v>471</v>
      </c>
      <c r="O42" s="42">
        <v>45901</v>
      </c>
      <c r="P42" s="46"/>
      <c r="Q42" s="41">
        <v>471</v>
      </c>
    </row>
    <row r="43" spans="1:17" ht="12" customHeight="1" x14ac:dyDescent="0.3">
      <c r="A43" s="39"/>
      <c r="B43" s="40" t="s">
        <v>1032</v>
      </c>
      <c r="C43" s="41">
        <v>7787.97</v>
      </c>
      <c r="D43" s="42">
        <v>45879</v>
      </c>
      <c r="E43" s="43" t="s">
        <v>2</v>
      </c>
      <c r="F43" s="41">
        <v>0</v>
      </c>
      <c r="G43" s="41">
        <v>0</v>
      </c>
      <c r="H43" s="41">
        <v>7787.97</v>
      </c>
      <c r="I43" s="43">
        <v>90</v>
      </c>
      <c r="J43" s="43">
        <v>9</v>
      </c>
      <c r="K43" s="44">
        <v>3000000</v>
      </c>
      <c r="L43" s="43" t="s">
        <v>992</v>
      </c>
      <c r="M43" s="45">
        <v>45970</v>
      </c>
      <c r="N43" s="41">
        <v>7787.97</v>
      </c>
      <c r="O43" s="42">
        <v>45901</v>
      </c>
      <c r="P43" s="46"/>
      <c r="Q43" s="41">
        <v>7787.97</v>
      </c>
    </row>
    <row r="44" spans="1:17" ht="12" customHeight="1" x14ac:dyDescent="0.3">
      <c r="A44" s="39"/>
      <c r="B44" s="40" t="s">
        <v>1033</v>
      </c>
      <c r="C44" s="41">
        <v>4220</v>
      </c>
      <c r="D44" s="42">
        <v>45879</v>
      </c>
      <c r="E44" s="43" t="s">
        <v>2</v>
      </c>
      <c r="F44" s="41">
        <v>0</v>
      </c>
      <c r="G44" s="41">
        <v>0</v>
      </c>
      <c r="H44" s="41">
        <v>4220</v>
      </c>
      <c r="I44" s="43">
        <v>90</v>
      </c>
      <c r="J44" s="43">
        <v>9</v>
      </c>
      <c r="K44" s="44">
        <v>3000000</v>
      </c>
      <c r="L44" s="43" t="s">
        <v>992</v>
      </c>
      <c r="M44" s="45">
        <v>45970</v>
      </c>
      <c r="N44" s="41">
        <v>4220</v>
      </c>
      <c r="O44" s="42">
        <v>45901</v>
      </c>
      <c r="P44" s="46"/>
      <c r="Q44" s="41">
        <v>4220</v>
      </c>
    </row>
    <row r="45" spans="1:17" ht="12" customHeight="1" x14ac:dyDescent="0.3">
      <c r="A45" s="39"/>
      <c r="B45" s="40" t="s">
        <v>1034</v>
      </c>
      <c r="C45" s="41">
        <v>240</v>
      </c>
      <c r="D45" s="42">
        <v>45879</v>
      </c>
      <c r="E45" s="43" t="s">
        <v>2</v>
      </c>
      <c r="F45" s="41">
        <v>0</v>
      </c>
      <c r="G45" s="41">
        <v>0</v>
      </c>
      <c r="H45" s="41">
        <v>240</v>
      </c>
      <c r="I45" s="43">
        <v>90</v>
      </c>
      <c r="J45" s="43">
        <v>9</v>
      </c>
      <c r="K45" s="44">
        <v>3000000</v>
      </c>
      <c r="L45" s="43" t="s">
        <v>992</v>
      </c>
      <c r="M45" s="45">
        <v>45970</v>
      </c>
      <c r="N45" s="41">
        <v>240</v>
      </c>
      <c r="O45" s="42">
        <v>45901</v>
      </c>
      <c r="P45" s="46"/>
      <c r="Q45" s="41">
        <v>240</v>
      </c>
    </row>
    <row r="46" spans="1:17" ht="12" customHeight="1" x14ac:dyDescent="0.3">
      <c r="A46" s="39"/>
      <c r="B46" s="40" t="s">
        <v>1035</v>
      </c>
      <c r="C46" s="41">
        <v>8447.98</v>
      </c>
      <c r="D46" s="42">
        <v>45879</v>
      </c>
      <c r="E46" s="43" t="s">
        <v>2</v>
      </c>
      <c r="F46" s="41">
        <v>0</v>
      </c>
      <c r="G46" s="41">
        <v>0</v>
      </c>
      <c r="H46" s="41">
        <v>8447.98</v>
      </c>
      <c r="I46" s="43">
        <v>90</v>
      </c>
      <c r="J46" s="43">
        <v>9</v>
      </c>
      <c r="K46" s="44">
        <v>3000000</v>
      </c>
      <c r="L46" s="43" t="s">
        <v>992</v>
      </c>
      <c r="M46" s="45">
        <v>45970</v>
      </c>
      <c r="N46" s="41">
        <v>8447.98</v>
      </c>
      <c r="O46" s="42">
        <v>45901</v>
      </c>
      <c r="P46" s="46"/>
      <c r="Q46" s="41">
        <v>8447.98</v>
      </c>
    </row>
    <row r="47" spans="1:17" ht="12" customHeight="1" x14ac:dyDescent="0.3">
      <c r="A47" s="39"/>
      <c r="B47" s="40" t="s">
        <v>1036</v>
      </c>
      <c r="C47" s="41">
        <v>4242.3100000000004</v>
      </c>
      <c r="D47" s="42">
        <v>45879</v>
      </c>
      <c r="E47" s="43" t="s">
        <v>2</v>
      </c>
      <c r="F47" s="41">
        <v>0</v>
      </c>
      <c r="G47" s="41">
        <v>0</v>
      </c>
      <c r="H47" s="41">
        <v>4242.3100000000004</v>
      </c>
      <c r="I47" s="43">
        <v>90</v>
      </c>
      <c r="J47" s="43">
        <v>9</v>
      </c>
      <c r="K47" s="44">
        <v>3000000</v>
      </c>
      <c r="L47" s="43" t="s">
        <v>992</v>
      </c>
      <c r="M47" s="45">
        <v>45970</v>
      </c>
      <c r="N47" s="41">
        <v>4242.3100000000004</v>
      </c>
      <c r="O47" s="42">
        <v>45901</v>
      </c>
      <c r="P47" s="46"/>
      <c r="Q47" s="41">
        <v>4242.3100000000004</v>
      </c>
    </row>
    <row r="48" spans="1:17" ht="12" customHeight="1" x14ac:dyDescent="0.3">
      <c r="A48" s="39"/>
      <c r="B48" s="40" t="s">
        <v>1037</v>
      </c>
      <c r="C48" s="41">
        <v>7200</v>
      </c>
      <c r="D48" s="42">
        <v>45879</v>
      </c>
      <c r="E48" s="43" t="s">
        <v>2</v>
      </c>
      <c r="F48" s="41">
        <v>0</v>
      </c>
      <c r="G48" s="41">
        <v>0</v>
      </c>
      <c r="H48" s="41">
        <v>7200</v>
      </c>
      <c r="I48" s="43">
        <v>90</v>
      </c>
      <c r="J48" s="43">
        <v>9</v>
      </c>
      <c r="K48" s="44">
        <v>3000000</v>
      </c>
      <c r="L48" s="43" t="s">
        <v>992</v>
      </c>
      <c r="M48" s="45">
        <v>45970</v>
      </c>
      <c r="N48" s="41">
        <v>7200</v>
      </c>
      <c r="O48" s="42">
        <v>45901</v>
      </c>
      <c r="P48" s="46"/>
      <c r="Q48" s="41">
        <v>7200</v>
      </c>
    </row>
    <row r="49" spans="1:17" ht="12" customHeight="1" x14ac:dyDescent="0.3">
      <c r="A49" s="39"/>
      <c r="B49" s="40" t="s">
        <v>1038</v>
      </c>
      <c r="C49" s="41">
        <v>2475</v>
      </c>
      <c r="D49" s="42">
        <v>45879</v>
      </c>
      <c r="E49" s="43" t="s">
        <v>2</v>
      </c>
      <c r="F49" s="41">
        <v>0</v>
      </c>
      <c r="G49" s="41">
        <v>0</v>
      </c>
      <c r="H49" s="41">
        <v>2475</v>
      </c>
      <c r="I49" s="43">
        <v>90</v>
      </c>
      <c r="J49" s="43">
        <v>9</v>
      </c>
      <c r="K49" s="44">
        <v>3000000</v>
      </c>
      <c r="L49" s="43" t="s">
        <v>992</v>
      </c>
      <c r="M49" s="45">
        <v>45970</v>
      </c>
      <c r="N49" s="41">
        <v>2475</v>
      </c>
      <c r="O49" s="42">
        <v>45901</v>
      </c>
      <c r="P49" s="46"/>
      <c r="Q49" s="41">
        <v>2475</v>
      </c>
    </row>
    <row r="50" spans="1:17" ht="12" customHeight="1" x14ac:dyDescent="0.3">
      <c r="A50" s="39"/>
      <c r="B50" s="40" t="s">
        <v>1039</v>
      </c>
      <c r="C50" s="41">
        <v>1040192.49</v>
      </c>
      <c r="D50" s="42">
        <v>45879</v>
      </c>
      <c r="E50" s="43" t="s">
        <v>2</v>
      </c>
      <c r="F50" s="41">
        <v>0</v>
      </c>
      <c r="G50" s="41">
        <v>0</v>
      </c>
      <c r="H50" s="41">
        <v>1040192.49</v>
      </c>
      <c r="I50" s="43">
        <v>90</v>
      </c>
      <c r="J50" s="43">
        <v>8</v>
      </c>
      <c r="K50" s="44">
        <v>3000000</v>
      </c>
      <c r="L50" s="43" t="s">
        <v>992</v>
      </c>
      <c r="M50" s="45">
        <v>45970</v>
      </c>
      <c r="N50" s="41">
        <v>1040192.49</v>
      </c>
      <c r="O50" s="42">
        <v>45930</v>
      </c>
      <c r="P50" s="46"/>
      <c r="Q50" s="41">
        <v>1040192.49</v>
      </c>
    </row>
    <row r="51" spans="1:17" ht="12" customHeight="1" x14ac:dyDescent="0.3">
      <c r="A51" s="39"/>
      <c r="B51" s="40" t="s">
        <v>1040</v>
      </c>
      <c r="C51" s="41">
        <v>306</v>
      </c>
      <c r="D51" s="42">
        <v>45880</v>
      </c>
      <c r="E51" s="43" t="s">
        <v>2</v>
      </c>
      <c r="F51" s="41">
        <v>0</v>
      </c>
      <c r="G51" s="41">
        <v>0</v>
      </c>
      <c r="H51" s="41">
        <v>306</v>
      </c>
      <c r="I51" s="43">
        <v>90</v>
      </c>
      <c r="J51" s="43">
        <v>9</v>
      </c>
      <c r="K51" s="44">
        <v>3000000</v>
      </c>
      <c r="L51" s="43" t="s">
        <v>992</v>
      </c>
      <c r="M51" s="45">
        <v>45970</v>
      </c>
      <c r="N51" s="41">
        <v>306</v>
      </c>
      <c r="O51" s="42">
        <v>45901</v>
      </c>
      <c r="P51" s="46"/>
      <c r="Q51" s="41">
        <v>306</v>
      </c>
    </row>
    <row r="52" spans="1:17" ht="12" customHeight="1" x14ac:dyDescent="0.3">
      <c r="A52" s="39"/>
      <c r="B52" s="40" t="s">
        <v>1041</v>
      </c>
      <c r="C52" s="41">
        <v>160</v>
      </c>
      <c r="D52" s="42">
        <v>45880</v>
      </c>
      <c r="E52" s="43" t="s">
        <v>2</v>
      </c>
      <c r="F52" s="41">
        <v>0</v>
      </c>
      <c r="G52" s="41">
        <v>0</v>
      </c>
      <c r="H52" s="41">
        <v>160</v>
      </c>
      <c r="I52" s="43">
        <v>90</v>
      </c>
      <c r="J52" s="43">
        <v>9</v>
      </c>
      <c r="K52" s="44">
        <v>3000000</v>
      </c>
      <c r="L52" s="43" t="s">
        <v>992</v>
      </c>
      <c r="M52" s="45">
        <v>45970</v>
      </c>
      <c r="N52" s="41">
        <v>160</v>
      </c>
      <c r="O52" s="42">
        <v>45901</v>
      </c>
      <c r="P52" s="46"/>
      <c r="Q52" s="41">
        <v>160</v>
      </c>
    </row>
    <row r="53" spans="1:17" ht="12" customHeight="1" x14ac:dyDescent="0.3">
      <c r="A53" s="39"/>
      <c r="B53" s="40" t="s">
        <v>1042</v>
      </c>
      <c r="C53" s="41">
        <v>107.64</v>
      </c>
      <c r="D53" s="42">
        <v>45880</v>
      </c>
      <c r="E53" s="43" t="s">
        <v>2</v>
      </c>
      <c r="F53" s="41">
        <v>0</v>
      </c>
      <c r="G53" s="41">
        <v>0</v>
      </c>
      <c r="H53" s="41">
        <v>107.64</v>
      </c>
      <c r="I53" s="43">
        <v>90</v>
      </c>
      <c r="J53" s="43">
        <v>9</v>
      </c>
      <c r="K53" s="44">
        <v>3000000</v>
      </c>
      <c r="L53" s="43" t="s">
        <v>992</v>
      </c>
      <c r="M53" s="45">
        <v>45970</v>
      </c>
      <c r="N53" s="41">
        <v>107.64</v>
      </c>
      <c r="O53" s="42">
        <v>45901</v>
      </c>
      <c r="P53" s="46"/>
      <c r="Q53" s="41">
        <v>107.64</v>
      </c>
    </row>
    <row r="54" spans="1:17" ht="12" customHeight="1" x14ac:dyDescent="0.3">
      <c r="A54" s="39"/>
      <c r="B54" s="40" t="s">
        <v>1043</v>
      </c>
      <c r="C54" s="41">
        <v>13936.01</v>
      </c>
      <c r="D54" s="42">
        <v>45880</v>
      </c>
      <c r="E54" s="43" t="s">
        <v>2</v>
      </c>
      <c r="F54" s="41">
        <v>0</v>
      </c>
      <c r="G54" s="41">
        <v>0</v>
      </c>
      <c r="H54" s="41">
        <v>13936.01</v>
      </c>
      <c r="I54" s="43">
        <v>90</v>
      </c>
      <c r="J54" s="43">
        <v>9</v>
      </c>
      <c r="K54" s="44">
        <v>3000000</v>
      </c>
      <c r="L54" s="43" t="s">
        <v>992</v>
      </c>
      <c r="M54" s="45">
        <v>45970</v>
      </c>
      <c r="N54" s="41">
        <v>13936.01</v>
      </c>
      <c r="O54" s="42">
        <v>45901</v>
      </c>
      <c r="P54" s="46"/>
      <c r="Q54" s="41">
        <v>13936.01</v>
      </c>
    </row>
    <row r="55" spans="1:17" ht="12" customHeight="1" x14ac:dyDescent="0.3">
      <c r="A55" s="39"/>
      <c r="B55" s="40" t="s">
        <v>1044</v>
      </c>
      <c r="C55" s="41">
        <v>1606.22</v>
      </c>
      <c r="D55" s="42">
        <v>45880</v>
      </c>
      <c r="E55" s="43" t="s">
        <v>2</v>
      </c>
      <c r="F55" s="41">
        <v>0</v>
      </c>
      <c r="G55" s="41">
        <v>0</v>
      </c>
      <c r="H55" s="41">
        <v>1606.22</v>
      </c>
      <c r="I55" s="43">
        <v>90</v>
      </c>
      <c r="J55" s="43">
        <v>9</v>
      </c>
      <c r="K55" s="44">
        <v>3000000</v>
      </c>
      <c r="L55" s="43" t="s">
        <v>992</v>
      </c>
      <c r="M55" s="45">
        <v>45970</v>
      </c>
      <c r="N55" s="41">
        <v>1606.22</v>
      </c>
      <c r="O55" s="42">
        <v>45901</v>
      </c>
      <c r="P55" s="46"/>
      <c r="Q55" s="41">
        <v>1606.22</v>
      </c>
    </row>
    <row r="56" spans="1:17" ht="12" customHeight="1" x14ac:dyDescent="0.3">
      <c r="A56" s="39"/>
      <c r="B56" s="40" t="s">
        <v>1045</v>
      </c>
      <c r="C56" s="41">
        <v>8745.34</v>
      </c>
      <c r="D56" s="42">
        <v>45880</v>
      </c>
      <c r="E56" s="43" t="s">
        <v>2</v>
      </c>
      <c r="F56" s="41">
        <v>0</v>
      </c>
      <c r="G56" s="41">
        <v>0</v>
      </c>
      <c r="H56" s="41">
        <v>8745.34</v>
      </c>
      <c r="I56" s="43">
        <v>90</v>
      </c>
      <c r="J56" s="43">
        <v>9</v>
      </c>
      <c r="K56" s="44">
        <v>3000000</v>
      </c>
      <c r="L56" s="43" t="s">
        <v>992</v>
      </c>
      <c r="M56" s="45">
        <v>45970</v>
      </c>
      <c r="N56" s="41">
        <v>8745.34</v>
      </c>
      <c r="O56" s="42">
        <v>45901</v>
      </c>
      <c r="P56" s="46"/>
      <c r="Q56" s="41">
        <v>8745.34</v>
      </c>
    </row>
    <row r="57" spans="1:17" ht="12" customHeight="1" x14ac:dyDescent="0.3">
      <c r="A57" s="39"/>
      <c r="B57" s="40" t="s">
        <v>1046</v>
      </c>
      <c r="C57" s="41">
        <v>463169.54</v>
      </c>
      <c r="D57" s="42">
        <v>45881</v>
      </c>
      <c r="E57" s="43" t="s">
        <v>2</v>
      </c>
      <c r="F57" s="41">
        <v>0</v>
      </c>
      <c r="G57" s="41">
        <v>0</v>
      </c>
      <c r="H57" s="41">
        <v>463169.54</v>
      </c>
      <c r="I57" s="43">
        <v>90</v>
      </c>
      <c r="J57" s="43">
        <v>8</v>
      </c>
      <c r="K57" s="44">
        <v>3000000</v>
      </c>
      <c r="L57" s="43" t="s">
        <v>992</v>
      </c>
      <c r="M57" s="45">
        <v>45971</v>
      </c>
      <c r="N57" s="41">
        <v>463169.54</v>
      </c>
      <c r="O57" s="42">
        <v>45930</v>
      </c>
      <c r="P57" s="46"/>
      <c r="Q57" s="41">
        <v>463169.54</v>
      </c>
    </row>
    <row r="58" spans="1:17" ht="12" customHeight="1" x14ac:dyDescent="0.3">
      <c r="A58" s="39"/>
      <c r="B58" s="40" t="s">
        <v>1047</v>
      </c>
      <c r="C58" s="41">
        <v>19595.560000000001</v>
      </c>
      <c r="D58" s="42">
        <v>45881</v>
      </c>
      <c r="E58" s="43" t="s">
        <v>2</v>
      </c>
      <c r="F58" s="41">
        <v>0</v>
      </c>
      <c r="G58" s="41">
        <v>0</v>
      </c>
      <c r="H58" s="41">
        <v>19595.560000000001</v>
      </c>
      <c r="I58" s="43">
        <v>90</v>
      </c>
      <c r="J58" s="43">
        <v>9</v>
      </c>
      <c r="K58" s="44">
        <v>3000000</v>
      </c>
      <c r="L58" s="43" t="s">
        <v>992</v>
      </c>
      <c r="M58" s="45">
        <v>45971</v>
      </c>
      <c r="N58" s="41">
        <v>19595.560000000001</v>
      </c>
      <c r="O58" s="42">
        <v>45901</v>
      </c>
      <c r="P58" s="46"/>
      <c r="Q58" s="41">
        <v>19595.560000000001</v>
      </c>
    </row>
    <row r="59" spans="1:17" ht="12" customHeight="1" x14ac:dyDescent="0.3">
      <c r="A59" s="39"/>
      <c r="B59" s="40" t="s">
        <v>1048</v>
      </c>
      <c r="C59" s="41">
        <v>350</v>
      </c>
      <c r="D59" s="42">
        <v>45881</v>
      </c>
      <c r="E59" s="43" t="s">
        <v>2</v>
      </c>
      <c r="F59" s="41">
        <v>0</v>
      </c>
      <c r="G59" s="41">
        <v>0</v>
      </c>
      <c r="H59" s="41">
        <v>350</v>
      </c>
      <c r="I59" s="43">
        <v>90</v>
      </c>
      <c r="J59" s="43">
        <v>9</v>
      </c>
      <c r="K59" s="44">
        <v>3000000</v>
      </c>
      <c r="L59" s="43" t="s">
        <v>992</v>
      </c>
      <c r="M59" s="45">
        <v>45971</v>
      </c>
      <c r="N59" s="41">
        <v>350</v>
      </c>
      <c r="O59" s="42">
        <v>45901</v>
      </c>
      <c r="P59" s="46"/>
      <c r="Q59" s="41">
        <v>350</v>
      </c>
    </row>
    <row r="60" spans="1:17" ht="12" customHeight="1" x14ac:dyDescent="0.3">
      <c r="A60" s="39"/>
      <c r="B60" s="40" t="s">
        <v>1049</v>
      </c>
      <c r="C60" s="41">
        <v>180</v>
      </c>
      <c r="D60" s="42">
        <v>45881</v>
      </c>
      <c r="E60" s="43" t="s">
        <v>2</v>
      </c>
      <c r="F60" s="41">
        <v>0</v>
      </c>
      <c r="G60" s="41">
        <v>0</v>
      </c>
      <c r="H60" s="41">
        <v>180</v>
      </c>
      <c r="I60" s="43">
        <v>90</v>
      </c>
      <c r="J60" s="43">
        <v>9</v>
      </c>
      <c r="K60" s="44">
        <v>3000000</v>
      </c>
      <c r="L60" s="43" t="s">
        <v>992</v>
      </c>
      <c r="M60" s="45">
        <v>45971</v>
      </c>
      <c r="N60" s="41">
        <v>180</v>
      </c>
      <c r="O60" s="42">
        <v>45901</v>
      </c>
      <c r="P60" s="46"/>
      <c r="Q60" s="41">
        <v>180</v>
      </c>
    </row>
    <row r="61" spans="1:17" ht="12" customHeight="1" x14ac:dyDescent="0.3">
      <c r="A61" s="39"/>
      <c r="B61" s="40" t="s">
        <v>1050</v>
      </c>
      <c r="C61" s="41">
        <v>1425</v>
      </c>
      <c r="D61" s="42">
        <v>45881</v>
      </c>
      <c r="E61" s="43" t="s">
        <v>2</v>
      </c>
      <c r="F61" s="41">
        <v>0</v>
      </c>
      <c r="G61" s="41">
        <v>0</v>
      </c>
      <c r="H61" s="41">
        <v>1425</v>
      </c>
      <c r="I61" s="43">
        <v>90</v>
      </c>
      <c r="J61" s="43">
        <v>9</v>
      </c>
      <c r="K61" s="44">
        <v>3000000</v>
      </c>
      <c r="L61" s="43" t="s">
        <v>992</v>
      </c>
      <c r="M61" s="45">
        <v>45971</v>
      </c>
      <c r="N61" s="41">
        <v>1425</v>
      </c>
      <c r="O61" s="42">
        <v>45901</v>
      </c>
      <c r="P61" s="46"/>
      <c r="Q61" s="41">
        <v>1425</v>
      </c>
    </row>
    <row r="62" spans="1:17" ht="12" customHeight="1" x14ac:dyDescent="0.3">
      <c r="A62" s="39"/>
      <c r="B62" s="40" t="s">
        <v>1051</v>
      </c>
      <c r="C62" s="41">
        <v>74</v>
      </c>
      <c r="D62" s="42">
        <v>45881</v>
      </c>
      <c r="E62" s="43" t="s">
        <v>2</v>
      </c>
      <c r="F62" s="41">
        <v>0</v>
      </c>
      <c r="G62" s="41">
        <v>0</v>
      </c>
      <c r="H62" s="41">
        <v>74</v>
      </c>
      <c r="I62" s="43">
        <v>90</v>
      </c>
      <c r="J62" s="43">
        <v>9</v>
      </c>
      <c r="K62" s="44">
        <v>3000000</v>
      </c>
      <c r="L62" s="43" t="s">
        <v>992</v>
      </c>
      <c r="M62" s="45">
        <v>45971</v>
      </c>
      <c r="N62" s="41">
        <v>74</v>
      </c>
      <c r="O62" s="42">
        <v>45901</v>
      </c>
      <c r="P62" s="46"/>
      <c r="Q62" s="41">
        <v>74</v>
      </c>
    </row>
    <row r="63" spans="1:17" ht="12" customHeight="1" x14ac:dyDescent="0.3">
      <c r="A63" s="39"/>
      <c r="B63" s="40" t="s">
        <v>1052</v>
      </c>
      <c r="C63" s="41">
        <v>12011.98</v>
      </c>
      <c r="D63" s="42">
        <v>45882</v>
      </c>
      <c r="E63" s="43" t="s">
        <v>2</v>
      </c>
      <c r="F63" s="41">
        <v>0</v>
      </c>
      <c r="G63" s="41">
        <v>0</v>
      </c>
      <c r="H63" s="41">
        <v>12011.98</v>
      </c>
      <c r="I63" s="43">
        <v>90</v>
      </c>
      <c r="J63" s="43">
        <v>9</v>
      </c>
      <c r="K63" s="44">
        <v>3000000</v>
      </c>
      <c r="L63" s="43" t="s">
        <v>992</v>
      </c>
      <c r="M63" s="45">
        <v>45972</v>
      </c>
      <c r="N63" s="41">
        <v>12011.98</v>
      </c>
      <c r="O63" s="42">
        <v>45901</v>
      </c>
      <c r="P63" s="46"/>
      <c r="Q63" s="41">
        <v>12011.98</v>
      </c>
    </row>
    <row r="64" spans="1:17" ht="12" customHeight="1" x14ac:dyDescent="0.3">
      <c r="A64" s="39"/>
      <c r="B64" s="40" t="s">
        <v>1053</v>
      </c>
      <c r="C64" s="41">
        <v>373.51</v>
      </c>
      <c r="D64" s="42">
        <v>45882</v>
      </c>
      <c r="E64" s="43" t="s">
        <v>2</v>
      </c>
      <c r="F64" s="41">
        <v>0</v>
      </c>
      <c r="G64" s="41">
        <v>0</v>
      </c>
      <c r="H64" s="41">
        <v>373.51</v>
      </c>
      <c r="I64" s="43">
        <v>90</v>
      </c>
      <c r="J64" s="43">
        <v>9</v>
      </c>
      <c r="K64" s="44">
        <v>3000000</v>
      </c>
      <c r="L64" s="43" t="s">
        <v>992</v>
      </c>
      <c r="M64" s="45">
        <v>45972</v>
      </c>
      <c r="N64" s="41">
        <v>373.51</v>
      </c>
      <c r="O64" s="42">
        <v>45901</v>
      </c>
      <c r="P64" s="46"/>
      <c r="Q64" s="41">
        <v>373.51</v>
      </c>
    </row>
    <row r="65" spans="1:17" ht="12" customHeight="1" x14ac:dyDescent="0.3">
      <c r="A65" s="39"/>
      <c r="B65" s="40" t="s">
        <v>1054</v>
      </c>
      <c r="C65" s="41">
        <v>12874.07</v>
      </c>
      <c r="D65" s="42">
        <v>45882</v>
      </c>
      <c r="E65" s="43" t="s">
        <v>2</v>
      </c>
      <c r="F65" s="41">
        <v>0</v>
      </c>
      <c r="G65" s="41">
        <v>0</v>
      </c>
      <c r="H65" s="41">
        <v>12874.07</v>
      </c>
      <c r="I65" s="43">
        <v>90</v>
      </c>
      <c r="J65" s="43">
        <v>9</v>
      </c>
      <c r="K65" s="44">
        <v>3000000</v>
      </c>
      <c r="L65" s="43" t="s">
        <v>992</v>
      </c>
      <c r="M65" s="45">
        <v>45972</v>
      </c>
      <c r="N65" s="41">
        <v>12874.07</v>
      </c>
      <c r="O65" s="42">
        <v>45901</v>
      </c>
      <c r="P65" s="46"/>
      <c r="Q65" s="41">
        <v>12874.07</v>
      </c>
    </row>
    <row r="66" spans="1:17" ht="12" customHeight="1" x14ac:dyDescent="0.3">
      <c r="A66" s="39"/>
      <c r="B66" s="40" t="s">
        <v>1055</v>
      </c>
      <c r="C66" s="41">
        <v>134.66</v>
      </c>
      <c r="D66" s="42">
        <v>45882</v>
      </c>
      <c r="E66" s="43" t="s">
        <v>2</v>
      </c>
      <c r="F66" s="41">
        <v>0</v>
      </c>
      <c r="G66" s="41">
        <v>0</v>
      </c>
      <c r="H66" s="41">
        <v>134.66</v>
      </c>
      <c r="I66" s="43">
        <v>90</v>
      </c>
      <c r="J66" s="43">
        <v>9</v>
      </c>
      <c r="K66" s="44">
        <v>3000000</v>
      </c>
      <c r="L66" s="43" t="s">
        <v>992</v>
      </c>
      <c r="M66" s="45">
        <v>45972</v>
      </c>
      <c r="N66" s="41">
        <v>134.66</v>
      </c>
      <c r="O66" s="42">
        <v>45901</v>
      </c>
      <c r="P66" s="46"/>
      <c r="Q66" s="41">
        <v>134.66</v>
      </c>
    </row>
    <row r="67" spans="1:17" ht="12" customHeight="1" x14ac:dyDescent="0.3">
      <c r="A67" s="39"/>
      <c r="B67" s="40" t="s">
        <v>1056</v>
      </c>
      <c r="C67" s="41">
        <v>308</v>
      </c>
      <c r="D67" s="42">
        <v>45882</v>
      </c>
      <c r="E67" s="43" t="s">
        <v>2</v>
      </c>
      <c r="F67" s="41">
        <v>0</v>
      </c>
      <c r="G67" s="41">
        <v>0</v>
      </c>
      <c r="H67" s="41">
        <v>308</v>
      </c>
      <c r="I67" s="43">
        <v>90</v>
      </c>
      <c r="J67" s="43">
        <v>9</v>
      </c>
      <c r="K67" s="44">
        <v>3000000</v>
      </c>
      <c r="L67" s="43" t="s">
        <v>992</v>
      </c>
      <c r="M67" s="45">
        <v>45972</v>
      </c>
      <c r="N67" s="41">
        <v>308</v>
      </c>
      <c r="O67" s="42">
        <v>45901</v>
      </c>
      <c r="P67" s="46"/>
      <c r="Q67" s="41">
        <v>308</v>
      </c>
    </row>
    <row r="68" spans="1:17" ht="12" customHeight="1" x14ac:dyDescent="0.3">
      <c r="A68" s="39"/>
      <c r="B68" s="40" t="s">
        <v>1057</v>
      </c>
      <c r="C68" s="41">
        <v>243506.04</v>
      </c>
      <c r="D68" s="42">
        <v>45882</v>
      </c>
      <c r="E68" s="43" t="s">
        <v>2</v>
      </c>
      <c r="F68" s="41">
        <v>0</v>
      </c>
      <c r="G68" s="41">
        <v>0</v>
      </c>
      <c r="H68" s="41">
        <v>243506.04</v>
      </c>
      <c r="I68" s="43">
        <v>90</v>
      </c>
      <c r="J68" s="43">
        <v>8</v>
      </c>
      <c r="K68" s="44">
        <v>3000000</v>
      </c>
      <c r="L68" s="43" t="s">
        <v>992</v>
      </c>
      <c r="M68" s="45">
        <v>45972</v>
      </c>
      <c r="N68" s="41">
        <v>243506.04</v>
      </c>
      <c r="O68" s="42">
        <v>45930</v>
      </c>
      <c r="P68" s="46"/>
      <c r="Q68" s="41">
        <v>243506.04</v>
      </c>
    </row>
    <row r="69" spans="1:17" ht="12" customHeight="1" x14ac:dyDescent="0.3">
      <c r="A69" s="39"/>
      <c r="B69" s="40" t="s">
        <v>1058</v>
      </c>
      <c r="C69" s="41">
        <v>2049</v>
      </c>
      <c r="D69" s="42">
        <v>45882</v>
      </c>
      <c r="E69" s="43" t="s">
        <v>2</v>
      </c>
      <c r="F69" s="41">
        <v>0</v>
      </c>
      <c r="G69" s="41">
        <v>0</v>
      </c>
      <c r="H69" s="41">
        <v>2049</v>
      </c>
      <c r="I69" s="43">
        <v>90</v>
      </c>
      <c r="J69" s="43">
        <v>9</v>
      </c>
      <c r="K69" s="44">
        <v>3000000</v>
      </c>
      <c r="L69" s="43" t="s">
        <v>992</v>
      </c>
      <c r="M69" s="45">
        <v>45972</v>
      </c>
      <c r="N69" s="41">
        <v>2049</v>
      </c>
      <c r="O69" s="42">
        <v>45901</v>
      </c>
      <c r="P69" s="46"/>
      <c r="Q69" s="41">
        <v>2049</v>
      </c>
    </row>
    <row r="70" spans="1:17" ht="12" customHeight="1" x14ac:dyDescent="0.3">
      <c r="A70" s="39"/>
      <c r="B70" s="40" t="s">
        <v>1059</v>
      </c>
      <c r="C70" s="41">
        <v>12879.19</v>
      </c>
      <c r="D70" s="42">
        <v>45882</v>
      </c>
      <c r="E70" s="43" t="s">
        <v>2</v>
      </c>
      <c r="F70" s="41">
        <v>0</v>
      </c>
      <c r="G70" s="41">
        <v>0</v>
      </c>
      <c r="H70" s="41">
        <v>12879.19</v>
      </c>
      <c r="I70" s="43">
        <v>90</v>
      </c>
      <c r="J70" s="43">
        <v>9</v>
      </c>
      <c r="K70" s="44">
        <v>3000000</v>
      </c>
      <c r="L70" s="43" t="s">
        <v>992</v>
      </c>
      <c r="M70" s="45">
        <v>45972</v>
      </c>
      <c r="N70" s="41">
        <v>12879.19</v>
      </c>
      <c r="O70" s="42">
        <v>45901</v>
      </c>
      <c r="P70" s="46"/>
      <c r="Q70" s="41">
        <v>12879.19</v>
      </c>
    </row>
    <row r="71" spans="1:17" ht="12" customHeight="1" x14ac:dyDescent="0.3">
      <c r="A71" s="39"/>
      <c r="B71" s="40" t="s">
        <v>1060</v>
      </c>
      <c r="C71" s="41">
        <v>388</v>
      </c>
      <c r="D71" s="42">
        <v>45886</v>
      </c>
      <c r="E71" s="43" t="s">
        <v>2</v>
      </c>
      <c r="F71" s="41">
        <v>0</v>
      </c>
      <c r="G71" s="41">
        <v>0</v>
      </c>
      <c r="H71" s="41">
        <v>388</v>
      </c>
      <c r="I71" s="43">
        <v>90</v>
      </c>
      <c r="J71" s="43">
        <v>9</v>
      </c>
      <c r="K71" s="44">
        <v>3000000</v>
      </c>
      <c r="L71" s="43" t="s">
        <v>992</v>
      </c>
      <c r="M71" s="45">
        <v>45977</v>
      </c>
      <c r="N71" s="41">
        <v>388</v>
      </c>
      <c r="O71" s="42">
        <v>45901</v>
      </c>
      <c r="P71" s="46"/>
      <c r="Q71" s="41">
        <v>388</v>
      </c>
    </row>
    <row r="72" spans="1:17" ht="12" customHeight="1" x14ac:dyDescent="0.3">
      <c r="A72" s="39"/>
      <c r="B72" s="40" t="s">
        <v>1061</v>
      </c>
      <c r="C72" s="41">
        <v>135</v>
      </c>
      <c r="D72" s="42">
        <v>45886</v>
      </c>
      <c r="E72" s="43" t="s">
        <v>2</v>
      </c>
      <c r="F72" s="41">
        <v>0</v>
      </c>
      <c r="G72" s="41">
        <v>0</v>
      </c>
      <c r="H72" s="41">
        <v>135</v>
      </c>
      <c r="I72" s="43">
        <v>90</v>
      </c>
      <c r="J72" s="43">
        <v>9</v>
      </c>
      <c r="K72" s="44">
        <v>3000000</v>
      </c>
      <c r="L72" s="43" t="s">
        <v>992</v>
      </c>
      <c r="M72" s="45">
        <v>45977</v>
      </c>
      <c r="N72" s="41">
        <v>135</v>
      </c>
      <c r="O72" s="42">
        <v>45901</v>
      </c>
      <c r="P72" s="46"/>
      <c r="Q72" s="41">
        <v>135</v>
      </c>
    </row>
    <row r="73" spans="1:17" ht="12" customHeight="1" x14ac:dyDescent="0.3">
      <c r="A73" s="39"/>
      <c r="B73" s="40" t="s">
        <v>1062</v>
      </c>
      <c r="C73" s="41">
        <v>120</v>
      </c>
      <c r="D73" s="42">
        <v>45886</v>
      </c>
      <c r="E73" s="43" t="s">
        <v>2</v>
      </c>
      <c r="F73" s="41">
        <v>0</v>
      </c>
      <c r="G73" s="41">
        <v>0</v>
      </c>
      <c r="H73" s="41">
        <v>120</v>
      </c>
      <c r="I73" s="43">
        <v>90</v>
      </c>
      <c r="J73" s="43">
        <v>9</v>
      </c>
      <c r="K73" s="44">
        <v>3000000</v>
      </c>
      <c r="L73" s="43" t="s">
        <v>992</v>
      </c>
      <c r="M73" s="45">
        <v>45977</v>
      </c>
      <c r="N73" s="41">
        <v>120</v>
      </c>
      <c r="O73" s="42">
        <v>45901</v>
      </c>
      <c r="P73" s="46"/>
      <c r="Q73" s="41">
        <v>120</v>
      </c>
    </row>
    <row r="74" spans="1:17" ht="12" customHeight="1" x14ac:dyDescent="0.3">
      <c r="A74" s="39"/>
      <c r="B74" s="40" t="s">
        <v>1063</v>
      </c>
      <c r="C74" s="41">
        <v>8010.03</v>
      </c>
      <c r="D74" s="42">
        <v>45886</v>
      </c>
      <c r="E74" s="43" t="s">
        <v>2</v>
      </c>
      <c r="F74" s="41">
        <v>0</v>
      </c>
      <c r="G74" s="41">
        <v>0</v>
      </c>
      <c r="H74" s="41">
        <v>8010.03</v>
      </c>
      <c r="I74" s="43">
        <v>90</v>
      </c>
      <c r="J74" s="43">
        <v>9</v>
      </c>
      <c r="K74" s="44">
        <v>3000000</v>
      </c>
      <c r="L74" s="43" t="s">
        <v>992</v>
      </c>
      <c r="M74" s="45">
        <v>45977</v>
      </c>
      <c r="N74" s="41">
        <v>8010.03</v>
      </c>
      <c r="O74" s="42">
        <v>45901</v>
      </c>
      <c r="P74" s="46"/>
      <c r="Q74" s="41">
        <v>8010.03</v>
      </c>
    </row>
    <row r="75" spans="1:17" ht="12" customHeight="1" x14ac:dyDescent="0.3">
      <c r="A75" s="39"/>
      <c r="B75" s="40" t="s">
        <v>1064</v>
      </c>
      <c r="C75" s="41">
        <v>62710.82</v>
      </c>
      <c r="D75" s="42">
        <v>45886</v>
      </c>
      <c r="E75" s="43" t="s">
        <v>2</v>
      </c>
      <c r="F75" s="41">
        <v>0</v>
      </c>
      <c r="G75" s="41">
        <v>0</v>
      </c>
      <c r="H75" s="41">
        <v>62710.82</v>
      </c>
      <c r="I75" s="43">
        <v>90</v>
      </c>
      <c r="J75" s="43">
        <v>9</v>
      </c>
      <c r="K75" s="44">
        <v>3000000</v>
      </c>
      <c r="L75" s="43" t="s">
        <v>992</v>
      </c>
      <c r="M75" s="45">
        <v>45977</v>
      </c>
      <c r="N75" s="41">
        <v>62710.82</v>
      </c>
      <c r="O75" s="42">
        <v>45901</v>
      </c>
      <c r="P75" s="46"/>
      <c r="Q75" s="41">
        <v>62710.82</v>
      </c>
    </row>
    <row r="76" spans="1:17" ht="12" customHeight="1" x14ac:dyDescent="0.3">
      <c r="A76" s="39"/>
      <c r="B76" s="40" t="s">
        <v>1065</v>
      </c>
      <c r="C76" s="41">
        <v>62867.99</v>
      </c>
      <c r="D76" s="42">
        <v>45886</v>
      </c>
      <c r="E76" s="43" t="s">
        <v>2</v>
      </c>
      <c r="F76" s="41">
        <v>0</v>
      </c>
      <c r="G76" s="41">
        <v>0</v>
      </c>
      <c r="H76" s="41">
        <v>62867.99</v>
      </c>
      <c r="I76" s="43">
        <v>90</v>
      </c>
      <c r="J76" s="43">
        <v>9</v>
      </c>
      <c r="K76" s="44">
        <v>3000000</v>
      </c>
      <c r="L76" s="43" t="s">
        <v>992</v>
      </c>
      <c r="M76" s="45">
        <v>45977</v>
      </c>
      <c r="N76" s="41">
        <v>62867.99</v>
      </c>
      <c r="O76" s="42">
        <v>45901</v>
      </c>
      <c r="P76" s="46"/>
      <c r="Q76" s="41">
        <v>62867.99</v>
      </c>
    </row>
    <row r="77" spans="1:17" ht="12" customHeight="1" x14ac:dyDescent="0.3">
      <c r="A77" s="39"/>
      <c r="B77" s="40" t="s">
        <v>1066</v>
      </c>
      <c r="C77" s="41">
        <v>62867.99</v>
      </c>
      <c r="D77" s="42">
        <v>45886</v>
      </c>
      <c r="E77" s="43" t="s">
        <v>2</v>
      </c>
      <c r="F77" s="41">
        <v>0</v>
      </c>
      <c r="G77" s="41">
        <v>0</v>
      </c>
      <c r="H77" s="41">
        <v>62867.99</v>
      </c>
      <c r="I77" s="43">
        <v>90</v>
      </c>
      <c r="J77" s="43">
        <v>9</v>
      </c>
      <c r="K77" s="44">
        <v>3000000</v>
      </c>
      <c r="L77" s="43" t="s">
        <v>992</v>
      </c>
      <c r="M77" s="45">
        <v>45977</v>
      </c>
      <c r="N77" s="41">
        <v>62867.99</v>
      </c>
      <c r="O77" s="42">
        <v>45901</v>
      </c>
      <c r="P77" s="46"/>
      <c r="Q77" s="41">
        <v>62867.99</v>
      </c>
    </row>
    <row r="78" spans="1:17" ht="12" customHeight="1" x14ac:dyDescent="0.3">
      <c r="A78" s="39"/>
      <c r="B78" s="40" t="s">
        <v>1067</v>
      </c>
      <c r="C78" s="41">
        <v>62867.99</v>
      </c>
      <c r="D78" s="42">
        <v>45886</v>
      </c>
      <c r="E78" s="43" t="s">
        <v>2</v>
      </c>
      <c r="F78" s="41">
        <v>0</v>
      </c>
      <c r="G78" s="41">
        <v>0</v>
      </c>
      <c r="H78" s="41">
        <v>62867.99</v>
      </c>
      <c r="I78" s="43">
        <v>90</v>
      </c>
      <c r="J78" s="43">
        <v>9</v>
      </c>
      <c r="K78" s="44">
        <v>3000000</v>
      </c>
      <c r="L78" s="43" t="s">
        <v>992</v>
      </c>
      <c r="M78" s="45">
        <v>45977</v>
      </c>
      <c r="N78" s="41">
        <v>62867.99</v>
      </c>
      <c r="O78" s="42">
        <v>45901</v>
      </c>
      <c r="P78" s="46"/>
      <c r="Q78" s="41">
        <v>62867.99</v>
      </c>
    </row>
    <row r="79" spans="1:17" ht="12" customHeight="1" x14ac:dyDescent="0.3">
      <c r="A79" s="39"/>
      <c r="B79" s="40" t="s">
        <v>1068</v>
      </c>
      <c r="C79" s="41">
        <v>24885.25</v>
      </c>
      <c r="D79" s="42">
        <v>45886</v>
      </c>
      <c r="E79" s="43" t="s">
        <v>2</v>
      </c>
      <c r="F79" s="41">
        <v>0</v>
      </c>
      <c r="G79" s="41">
        <v>0</v>
      </c>
      <c r="H79" s="41">
        <v>24885.25</v>
      </c>
      <c r="I79" s="43">
        <v>90</v>
      </c>
      <c r="J79" s="43">
        <v>9</v>
      </c>
      <c r="K79" s="44">
        <v>3000000</v>
      </c>
      <c r="L79" s="43" t="s">
        <v>992</v>
      </c>
      <c r="M79" s="45">
        <v>45977</v>
      </c>
      <c r="N79" s="41">
        <v>24885.25</v>
      </c>
      <c r="O79" s="42">
        <v>45901</v>
      </c>
      <c r="P79" s="46"/>
      <c r="Q79" s="41">
        <v>24885.25</v>
      </c>
    </row>
    <row r="80" spans="1:17" ht="12" customHeight="1" x14ac:dyDescent="0.3">
      <c r="A80" s="39"/>
      <c r="B80" s="40" t="s">
        <v>1069</v>
      </c>
      <c r="C80" s="41">
        <v>62867.99</v>
      </c>
      <c r="D80" s="42">
        <v>45886</v>
      </c>
      <c r="E80" s="43" t="s">
        <v>2</v>
      </c>
      <c r="F80" s="41">
        <v>0</v>
      </c>
      <c r="G80" s="41">
        <v>0</v>
      </c>
      <c r="H80" s="41">
        <v>62867.99</v>
      </c>
      <c r="I80" s="43">
        <v>90</v>
      </c>
      <c r="J80" s="43">
        <v>9</v>
      </c>
      <c r="K80" s="44">
        <v>3000000</v>
      </c>
      <c r="L80" s="43" t="s">
        <v>992</v>
      </c>
      <c r="M80" s="45">
        <v>45977</v>
      </c>
      <c r="N80" s="41">
        <v>62867.99</v>
      </c>
      <c r="O80" s="42">
        <v>45902</v>
      </c>
      <c r="P80" s="46"/>
      <c r="Q80" s="41">
        <v>62867.99</v>
      </c>
    </row>
    <row r="81" spans="1:17" ht="12" customHeight="1" x14ac:dyDescent="0.3">
      <c r="A81" s="39"/>
      <c r="B81" s="40" t="s">
        <v>1070</v>
      </c>
      <c r="C81" s="41">
        <v>39604.879999999997</v>
      </c>
      <c r="D81" s="42">
        <v>45886</v>
      </c>
      <c r="E81" s="43" t="s">
        <v>2</v>
      </c>
      <c r="F81" s="41">
        <v>0</v>
      </c>
      <c r="G81" s="41">
        <v>0</v>
      </c>
      <c r="H81" s="41">
        <v>39604.879999999997</v>
      </c>
      <c r="I81" s="43">
        <v>90</v>
      </c>
      <c r="J81" s="43">
        <v>9</v>
      </c>
      <c r="K81" s="44">
        <v>3000000</v>
      </c>
      <c r="L81" s="43" t="s">
        <v>992</v>
      </c>
      <c r="M81" s="45">
        <v>45977</v>
      </c>
      <c r="N81" s="41">
        <v>39604.879999999997</v>
      </c>
      <c r="O81" s="42">
        <v>45902</v>
      </c>
      <c r="P81" s="46"/>
      <c r="Q81" s="41">
        <v>39604.879999999997</v>
      </c>
    </row>
    <row r="82" spans="1:17" ht="12" customHeight="1" x14ac:dyDescent="0.3">
      <c r="A82" s="39"/>
      <c r="B82" s="40" t="s">
        <v>1071</v>
      </c>
      <c r="C82" s="41">
        <v>62867.99</v>
      </c>
      <c r="D82" s="42">
        <v>45886</v>
      </c>
      <c r="E82" s="43" t="s">
        <v>2</v>
      </c>
      <c r="F82" s="41">
        <v>0</v>
      </c>
      <c r="G82" s="41">
        <v>0</v>
      </c>
      <c r="H82" s="41">
        <v>62867.99</v>
      </c>
      <c r="I82" s="43">
        <v>90</v>
      </c>
      <c r="J82" s="43">
        <v>9</v>
      </c>
      <c r="K82" s="44">
        <v>3000000</v>
      </c>
      <c r="L82" s="43" t="s">
        <v>992</v>
      </c>
      <c r="M82" s="45">
        <v>45977</v>
      </c>
      <c r="N82" s="41">
        <v>62867.99</v>
      </c>
      <c r="O82" s="42">
        <v>45902</v>
      </c>
      <c r="P82" s="46"/>
      <c r="Q82" s="41">
        <v>62867.99</v>
      </c>
    </row>
    <row r="83" spans="1:17" ht="12" customHeight="1" x14ac:dyDescent="0.3">
      <c r="A83" s="39"/>
      <c r="B83" s="40" t="s">
        <v>1072</v>
      </c>
      <c r="C83" s="41">
        <v>1889.99</v>
      </c>
      <c r="D83" s="42">
        <v>45887</v>
      </c>
      <c r="E83" s="43" t="s">
        <v>2</v>
      </c>
      <c r="F83" s="41">
        <v>0</v>
      </c>
      <c r="G83" s="41">
        <v>0</v>
      </c>
      <c r="H83" s="41">
        <v>1889.99</v>
      </c>
      <c r="I83" s="43">
        <v>90</v>
      </c>
      <c r="J83" s="43">
        <v>9</v>
      </c>
      <c r="K83" s="44">
        <v>3000000</v>
      </c>
      <c r="L83" s="43" t="s">
        <v>992</v>
      </c>
      <c r="M83" s="45">
        <v>45977</v>
      </c>
      <c r="N83" s="41">
        <v>1889.99</v>
      </c>
      <c r="O83" s="42">
        <v>45902</v>
      </c>
      <c r="P83" s="46"/>
      <c r="Q83" s="41">
        <v>1889.99</v>
      </c>
    </row>
    <row r="84" spans="1:17" ht="12" customHeight="1" x14ac:dyDescent="0.3">
      <c r="A84" s="39"/>
      <c r="B84" s="40" t="s">
        <v>1073</v>
      </c>
      <c r="C84" s="41">
        <v>1396.48</v>
      </c>
      <c r="D84" s="42">
        <v>45887</v>
      </c>
      <c r="E84" s="43" t="s">
        <v>2</v>
      </c>
      <c r="F84" s="41">
        <v>0</v>
      </c>
      <c r="G84" s="41">
        <v>0</v>
      </c>
      <c r="H84" s="41">
        <v>1396.48</v>
      </c>
      <c r="I84" s="43">
        <v>90</v>
      </c>
      <c r="J84" s="43">
        <v>9</v>
      </c>
      <c r="K84" s="44">
        <v>3000000</v>
      </c>
      <c r="L84" s="43" t="s">
        <v>992</v>
      </c>
      <c r="M84" s="45">
        <v>45977</v>
      </c>
      <c r="N84" s="41">
        <v>1396.48</v>
      </c>
      <c r="O84" s="42">
        <v>45902</v>
      </c>
      <c r="P84" s="46"/>
      <c r="Q84" s="41">
        <v>1396.48</v>
      </c>
    </row>
    <row r="85" spans="1:17" ht="12" customHeight="1" x14ac:dyDescent="0.3">
      <c r="A85" s="39"/>
      <c r="B85" s="40" t="s">
        <v>1074</v>
      </c>
      <c r="C85" s="41">
        <v>34075.07</v>
      </c>
      <c r="D85" s="42">
        <v>45887</v>
      </c>
      <c r="E85" s="43" t="s">
        <v>2</v>
      </c>
      <c r="F85" s="41">
        <v>0</v>
      </c>
      <c r="G85" s="41">
        <v>0</v>
      </c>
      <c r="H85" s="41">
        <v>34075.07</v>
      </c>
      <c r="I85" s="43">
        <v>90</v>
      </c>
      <c r="J85" s="43">
        <v>9</v>
      </c>
      <c r="K85" s="44">
        <v>3000000</v>
      </c>
      <c r="L85" s="43" t="s">
        <v>992</v>
      </c>
      <c r="M85" s="45">
        <v>45977</v>
      </c>
      <c r="N85" s="41">
        <v>34075.07</v>
      </c>
      <c r="O85" s="42">
        <v>45903</v>
      </c>
      <c r="P85" s="46"/>
      <c r="Q85" s="41">
        <v>34075.07</v>
      </c>
    </row>
    <row r="86" spans="1:17" ht="12" customHeight="1" x14ac:dyDescent="0.3">
      <c r="A86" s="39"/>
      <c r="B86" s="40" t="s">
        <v>1075</v>
      </c>
      <c r="C86" s="41">
        <v>17049.599999999999</v>
      </c>
      <c r="D86" s="42">
        <v>45887</v>
      </c>
      <c r="E86" s="43" t="s">
        <v>2</v>
      </c>
      <c r="F86" s="41">
        <v>0</v>
      </c>
      <c r="G86" s="41">
        <v>0</v>
      </c>
      <c r="H86" s="41">
        <v>17049.599999999999</v>
      </c>
      <c r="I86" s="43">
        <v>90</v>
      </c>
      <c r="J86" s="43">
        <v>9</v>
      </c>
      <c r="K86" s="44">
        <v>3000000</v>
      </c>
      <c r="L86" s="43" t="s">
        <v>992</v>
      </c>
      <c r="M86" s="45">
        <v>45977</v>
      </c>
      <c r="N86" s="41">
        <v>17049.599999999999</v>
      </c>
      <c r="O86" s="42">
        <v>45903</v>
      </c>
      <c r="P86" s="46"/>
      <c r="Q86" s="41">
        <v>17049.599999999999</v>
      </c>
    </row>
    <row r="87" spans="1:17" ht="12" customHeight="1" x14ac:dyDescent="0.3">
      <c r="A87" s="39"/>
      <c r="B87" s="40" t="s">
        <v>1076</v>
      </c>
      <c r="C87" s="41">
        <v>8282.98</v>
      </c>
      <c r="D87" s="42">
        <v>45887</v>
      </c>
      <c r="E87" s="43" t="s">
        <v>2</v>
      </c>
      <c r="F87" s="41">
        <v>0</v>
      </c>
      <c r="G87" s="41">
        <v>0</v>
      </c>
      <c r="H87" s="41">
        <v>8282.98</v>
      </c>
      <c r="I87" s="43">
        <v>90</v>
      </c>
      <c r="J87" s="43">
        <v>9</v>
      </c>
      <c r="K87" s="44">
        <v>3000000</v>
      </c>
      <c r="L87" s="43" t="s">
        <v>992</v>
      </c>
      <c r="M87" s="45">
        <v>45977</v>
      </c>
      <c r="N87" s="41">
        <v>8282.98</v>
      </c>
      <c r="O87" s="42">
        <v>45903</v>
      </c>
      <c r="P87" s="46"/>
      <c r="Q87" s="41">
        <v>8282.98</v>
      </c>
    </row>
    <row r="88" spans="1:17" ht="12" customHeight="1" x14ac:dyDescent="0.3">
      <c r="A88" s="39"/>
      <c r="B88" s="40" t="s">
        <v>1077</v>
      </c>
      <c r="C88" s="41">
        <v>404</v>
      </c>
      <c r="D88" s="42">
        <v>45887</v>
      </c>
      <c r="E88" s="43" t="s">
        <v>2</v>
      </c>
      <c r="F88" s="41">
        <v>0</v>
      </c>
      <c r="G88" s="41">
        <v>0</v>
      </c>
      <c r="H88" s="41">
        <v>404</v>
      </c>
      <c r="I88" s="43">
        <v>90</v>
      </c>
      <c r="J88" s="43">
        <v>9</v>
      </c>
      <c r="K88" s="44">
        <v>3000000</v>
      </c>
      <c r="L88" s="43" t="s">
        <v>992</v>
      </c>
      <c r="M88" s="45">
        <v>45977</v>
      </c>
      <c r="N88" s="41">
        <v>404</v>
      </c>
      <c r="O88" s="42">
        <v>45903</v>
      </c>
      <c r="P88" s="46"/>
      <c r="Q88" s="41">
        <v>404</v>
      </c>
    </row>
    <row r="89" spans="1:17" ht="12" customHeight="1" x14ac:dyDescent="0.3">
      <c r="A89" s="39"/>
      <c r="B89" s="40" t="s">
        <v>1078</v>
      </c>
      <c r="C89" s="41">
        <v>248</v>
      </c>
      <c r="D89" s="42">
        <v>45887</v>
      </c>
      <c r="E89" s="43" t="s">
        <v>2</v>
      </c>
      <c r="F89" s="41">
        <v>0</v>
      </c>
      <c r="G89" s="41">
        <v>0</v>
      </c>
      <c r="H89" s="41">
        <v>248</v>
      </c>
      <c r="I89" s="43">
        <v>90</v>
      </c>
      <c r="J89" s="43">
        <v>9</v>
      </c>
      <c r="K89" s="44">
        <v>3000000</v>
      </c>
      <c r="L89" s="43" t="s">
        <v>992</v>
      </c>
      <c r="M89" s="45">
        <v>45977</v>
      </c>
      <c r="N89" s="41">
        <v>248</v>
      </c>
      <c r="O89" s="42">
        <v>45903</v>
      </c>
      <c r="P89" s="46"/>
      <c r="Q89" s="41">
        <v>248</v>
      </c>
    </row>
    <row r="90" spans="1:17" ht="12" customHeight="1" x14ac:dyDescent="0.3">
      <c r="A90" s="39"/>
      <c r="B90" s="40" t="s">
        <v>1079</v>
      </c>
      <c r="C90" s="41">
        <v>2899917.25</v>
      </c>
      <c r="D90" s="42">
        <v>45888</v>
      </c>
      <c r="E90" s="43" t="s">
        <v>2</v>
      </c>
      <c r="F90" s="41">
        <v>0</v>
      </c>
      <c r="G90" s="41">
        <v>0</v>
      </c>
      <c r="H90" s="41">
        <v>2899917.25</v>
      </c>
      <c r="I90" s="43">
        <v>90</v>
      </c>
      <c r="J90" s="43">
        <v>197</v>
      </c>
      <c r="K90" s="44">
        <v>5000000</v>
      </c>
      <c r="L90" s="43" t="s">
        <v>992</v>
      </c>
      <c r="M90" s="45">
        <v>45978</v>
      </c>
      <c r="N90" s="41">
        <v>2899917.25</v>
      </c>
      <c r="O90" s="42">
        <v>45901</v>
      </c>
      <c r="P90" s="46"/>
      <c r="Q90" s="41">
        <v>2899917.25</v>
      </c>
    </row>
    <row r="91" spans="1:17" ht="12" customHeight="1" x14ac:dyDescent="0.3">
      <c r="A91" s="39"/>
      <c r="B91" s="40" t="s">
        <v>1080</v>
      </c>
      <c r="C91" s="41">
        <v>700</v>
      </c>
      <c r="D91" s="42">
        <v>45888</v>
      </c>
      <c r="E91" s="43" t="s">
        <v>2</v>
      </c>
      <c r="F91" s="41">
        <v>0</v>
      </c>
      <c r="G91" s="41">
        <v>0</v>
      </c>
      <c r="H91" s="41">
        <v>700</v>
      </c>
      <c r="I91" s="43">
        <v>90</v>
      </c>
      <c r="J91" s="43">
        <v>9</v>
      </c>
      <c r="K91" s="44">
        <v>3000000</v>
      </c>
      <c r="L91" s="43" t="s">
        <v>992</v>
      </c>
      <c r="M91" s="45">
        <v>45978</v>
      </c>
      <c r="N91" s="41">
        <v>700</v>
      </c>
      <c r="O91" s="42">
        <v>45907</v>
      </c>
      <c r="P91" s="46"/>
      <c r="Q91" s="41">
        <v>700</v>
      </c>
    </row>
    <row r="92" spans="1:17" ht="12" customHeight="1" x14ac:dyDescent="0.3">
      <c r="A92" s="39"/>
      <c r="B92" s="40" t="s">
        <v>1081</v>
      </c>
      <c r="C92" s="41">
        <v>320</v>
      </c>
      <c r="D92" s="42">
        <v>45888</v>
      </c>
      <c r="E92" s="43" t="s">
        <v>2</v>
      </c>
      <c r="F92" s="41">
        <v>0</v>
      </c>
      <c r="G92" s="41">
        <v>0</v>
      </c>
      <c r="H92" s="41">
        <v>320</v>
      </c>
      <c r="I92" s="43">
        <v>90</v>
      </c>
      <c r="J92" s="43">
        <v>9</v>
      </c>
      <c r="K92" s="44">
        <v>3000000</v>
      </c>
      <c r="L92" s="43" t="s">
        <v>992</v>
      </c>
      <c r="M92" s="45">
        <v>45978</v>
      </c>
      <c r="N92" s="41">
        <v>320</v>
      </c>
      <c r="O92" s="42">
        <v>45907</v>
      </c>
      <c r="P92" s="46"/>
      <c r="Q92" s="41">
        <v>320</v>
      </c>
    </row>
    <row r="93" spans="1:17" ht="12" customHeight="1" x14ac:dyDescent="0.3">
      <c r="A93" s="39"/>
      <c r="B93" s="40" t="s">
        <v>1082</v>
      </c>
      <c r="C93" s="41">
        <v>201</v>
      </c>
      <c r="D93" s="42">
        <v>45888</v>
      </c>
      <c r="E93" s="43" t="s">
        <v>2</v>
      </c>
      <c r="F93" s="41">
        <v>0</v>
      </c>
      <c r="G93" s="41">
        <v>0</v>
      </c>
      <c r="H93" s="41">
        <v>201</v>
      </c>
      <c r="I93" s="43">
        <v>90</v>
      </c>
      <c r="J93" s="43">
        <v>9</v>
      </c>
      <c r="K93" s="44">
        <v>3000000</v>
      </c>
      <c r="L93" s="43" t="s">
        <v>992</v>
      </c>
      <c r="M93" s="45">
        <v>45978</v>
      </c>
      <c r="N93" s="41">
        <v>201</v>
      </c>
      <c r="O93" s="42">
        <v>45907</v>
      </c>
      <c r="P93" s="46"/>
      <c r="Q93" s="41">
        <v>201</v>
      </c>
    </row>
    <row r="94" spans="1:17" ht="12" customHeight="1" x14ac:dyDescent="0.3">
      <c r="A94" s="39"/>
      <c r="B94" s="40" t="s">
        <v>1083</v>
      </c>
      <c r="C94" s="41">
        <v>498936</v>
      </c>
      <c r="D94" s="42">
        <v>45888</v>
      </c>
      <c r="E94" s="43" t="s">
        <v>2</v>
      </c>
      <c r="F94" s="41">
        <v>0</v>
      </c>
      <c r="G94" s="41">
        <v>0</v>
      </c>
      <c r="H94" s="41">
        <v>498936</v>
      </c>
      <c r="I94" s="43">
        <v>90</v>
      </c>
      <c r="J94" s="43">
        <v>197</v>
      </c>
      <c r="K94" s="44">
        <v>5000000</v>
      </c>
      <c r="L94" s="43" t="s">
        <v>992</v>
      </c>
      <c r="M94" s="45">
        <v>45978</v>
      </c>
      <c r="N94" s="41">
        <v>498936</v>
      </c>
      <c r="O94" s="42">
        <v>45901</v>
      </c>
      <c r="P94" s="46"/>
      <c r="Q94" s="41">
        <v>498936</v>
      </c>
    </row>
    <row r="95" spans="1:17" ht="12" customHeight="1" x14ac:dyDescent="0.3">
      <c r="A95" s="39"/>
      <c r="B95" s="40" t="s">
        <v>1084</v>
      </c>
      <c r="C95" s="41">
        <v>7175</v>
      </c>
      <c r="D95" s="42">
        <v>45888</v>
      </c>
      <c r="E95" s="43" t="s">
        <v>2</v>
      </c>
      <c r="F95" s="41">
        <v>0</v>
      </c>
      <c r="G95" s="41">
        <v>0</v>
      </c>
      <c r="H95" s="41">
        <v>7175</v>
      </c>
      <c r="I95" s="43">
        <v>90</v>
      </c>
      <c r="J95" s="43">
        <v>9</v>
      </c>
      <c r="K95" s="44">
        <v>3000000</v>
      </c>
      <c r="L95" s="43" t="s">
        <v>992</v>
      </c>
      <c r="M95" s="45">
        <v>45978</v>
      </c>
      <c r="N95" s="41">
        <v>7175</v>
      </c>
      <c r="O95" s="42">
        <v>45907</v>
      </c>
      <c r="P95" s="46"/>
      <c r="Q95" s="41">
        <v>7175</v>
      </c>
    </row>
    <row r="96" spans="1:17" ht="12" customHeight="1" x14ac:dyDescent="0.3">
      <c r="A96" s="39"/>
      <c r="B96" s="40" t="s">
        <v>1085</v>
      </c>
      <c r="C96" s="41">
        <v>1769.73</v>
      </c>
      <c r="D96" s="42">
        <v>45888</v>
      </c>
      <c r="E96" s="43" t="s">
        <v>2</v>
      </c>
      <c r="F96" s="41">
        <v>0</v>
      </c>
      <c r="G96" s="41">
        <v>0</v>
      </c>
      <c r="H96" s="41">
        <v>1769.73</v>
      </c>
      <c r="I96" s="43">
        <v>90</v>
      </c>
      <c r="J96" s="43">
        <v>9</v>
      </c>
      <c r="K96" s="44">
        <v>3000000</v>
      </c>
      <c r="L96" s="43" t="s">
        <v>992</v>
      </c>
      <c r="M96" s="45">
        <v>45978</v>
      </c>
      <c r="N96" s="41">
        <v>1769.73</v>
      </c>
      <c r="O96" s="42">
        <v>45907</v>
      </c>
      <c r="P96" s="46"/>
      <c r="Q96" s="41">
        <v>1769.73</v>
      </c>
    </row>
    <row r="97" spans="1:17" ht="12" customHeight="1" x14ac:dyDescent="0.3">
      <c r="A97" s="39"/>
      <c r="B97" s="40" t="s">
        <v>1086</v>
      </c>
      <c r="C97" s="41">
        <v>11367</v>
      </c>
      <c r="D97" s="42">
        <v>45888</v>
      </c>
      <c r="E97" s="43" t="s">
        <v>2</v>
      </c>
      <c r="F97" s="41">
        <v>0</v>
      </c>
      <c r="G97" s="41">
        <v>0</v>
      </c>
      <c r="H97" s="41">
        <v>11367</v>
      </c>
      <c r="I97" s="43">
        <v>90</v>
      </c>
      <c r="J97" s="43">
        <v>9</v>
      </c>
      <c r="K97" s="44">
        <v>3000000</v>
      </c>
      <c r="L97" s="43" t="s">
        <v>992</v>
      </c>
      <c r="M97" s="45">
        <v>45978</v>
      </c>
      <c r="N97" s="41">
        <v>11367</v>
      </c>
      <c r="O97" s="42">
        <v>45907</v>
      </c>
      <c r="P97" s="46"/>
      <c r="Q97" s="41">
        <v>11367</v>
      </c>
    </row>
    <row r="98" spans="1:17" ht="12" customHeight="1" x14ac:dyDescent="0.3">
      <c r="A98" s="39"/>
      <c r="B98" s="40" t="s">
        <v>1087</v>
      </c>
      <c r="C98" s="41">
        <v>10588.13</v>
      </c>
      <c r="D98" s="42">
        <v>45888</v>
      </c>
      <c r="E98" s="43" t="s">
        <v>2</v>
      </c>
      <c r="F98" s="41">
        <v>0</v>
      </c>
      <c r="G98" s="41">
        <v>0</v>
      </c>
      <c r="H98" s="41">
        <v>10588.13</v>
      </c>
      <c r="I98" s="43">
        <v>90</v>
      </c>
      <c r="J98" s="43">
        <v>9</v>
      </c>
      <c r="K98" s="44">
        <v>3000000</v>
      </c>
      <c r="L98" s="43" t="s">
        <v>992</v>
      </c>
      <c r="M98" s="45">
        <v>45978</v>
      </c>
      <c r="N98" s="41">
        <v>10588.13</v>
      </c>
      <c r="O98" s="42">
        <v>45907</v>
      </c>
      <c r="P98" s="46"/>
      <c r="Q98" s="41">
        <v>10588.13</v>
      </c>
    </row>
    <row r="99" spans="1:17" ht="12" customHeight="1" x14ac:dyDescent="0.3">
      <c r="A99" s="39"/>
      <c r="B99" s="40" t="s">
        <v>1088</v>
      </c>
      <c r="C99" s="41">
        <v>5009.3999999999996</v>
      </c>
      <c r="D99" s="42">
        <v>45888</v>
      </c>
      <c r="E99" s="43" t="s">
        <v>2</v>
      </c>
      <c r="F99" s="41">
        <v>0</v>
      </c>
      <c r="G99" s="41">
        <v>0</v>
      </c>
      <c r="H99" s="41">
        <v>5009.3999999999996</v>
      </c>
      <c r="I99" s="43">
        <v>90</v>
      </c>
      <c r="J99" s="43">
        <v>9</v>
      </c>
      <c r="K99" s="44">
        <v>3000000</v>
      </c>
      <c r="L99" s="43" t="s">
        <v>992</v>
      </c>
      <c r="M99" s="45">
        <v>45978</v>
      </c>
      <c r="N99" s="41">
        <v>5009.3999999999996</v>
      </c>
      <c r="O99" s="42">
        <v>45907</v>
      </c>
      <c r="P99" s="46"/>
      <c r="Q99" s="41">
        <v>5009.3999999999996</v>
      </c>
    </row>
    <row r="100" spans="1:17" ht="12" customHeight="1" x14ac:dyDescent="0.3">
      <c r="A100" s="39"/>
      <c r="B100" s="40" t="s">
        <v>1089</v>
      </c>
      <c r="C100" s="41">
        <v>15110.48</v>
      </c>
      <c r="D100" s="42">
        <v>45889</v>
      </c>
      <c r="E100" s="43" t="s">
        <v>2</v>
      </c>
      <c r="F100" s="41">
        <v>0</v>
      </c>
      <c r="G100" s="41">
        <v>0</v>
      </c>
      <c r="H100" s="41">
        <v>15110.48</v>
      </c>
      <c r="I100" s="43">
        <v>90</v>
      </c>
      <c r="J100" s="43">
        <v>9</v>
      </c>
      <c r="K100" s="44">
        <v>3000000</v>
      </c>
      <c r="L100" s="43" t="s">
        <v>992</v>
      </c>
      <c r="M100" s="45">
        <v>45979</v>
      </c>
      <c r="N100" s="41">
        <v>15110.48</v>
      </c>
      <c r="O100" s="42">
        <v>45907</v>
      </c>
      <c r="P100" s="46"/>
      <c r="Q100" s="41">
        <v>15110.48</v>
      </c>
    </row>
    <row r="101" spans="1:17" ht="12" customHeight="1" x14ac:dyDescent="0.3">
      <c r="A101" s="39"/>
      <c r="B101" s="40" t="s">
        <v>1090</v>
      </c>
      <c r="C101" s="41">
        <v>8968.91</v>
      </c>
      <c r="D101" s="42">
        <v>45889</v>
      </c>
      <c r="E101" s="43" t="s">
        <v>2</v>
      </c>
      <c r="F101" s="41">
        <v>0</v>
      </c>
      <c r="G101" s="41">
        <v>0</v>
      </c>
      <c r="H101" s="41">
        <v>8968.91</v>
      </c>
      <c r="I101" s="43">
        <v>90</v>
      </c>
      <c r="J101" s="43">
        <v>9</v>
      </c>
      <c r="K101" s="44">
        <v>3000000</v>
      </c>
      <c r="L101" s="43" t="s">
        <v>992</v>
      </c>
      <c r="M101" s="45">
        <v>45979</v>
      </c>
      <c r="N101" s="41">
        <v>8968.91</v>
      </c>
      <c r="O101" s="42">
        <v>45909</v>
      </c>
      <c r="P101" s="46"/>
      <c r="Q101" s="41">
        <v>8968.91</v>
      </c>
    </row>
    <row r="102" spans="1:17" ht="12" customHeight="1" x14ac:dyDescent="0.3">
      <c r="A102" s="39"/>
      <c r="B102" s="40" t="s">
        <v>1091</v>
      </c>
      <c r="C102" s="41">
        <v>800.01</v>
      </c>
      <c r="D102" s="42">
        <v>45889</v>
      </c>
      <c r="E102" s="43" t="s">
        <v>2</v>
      </c>
      <c r="F102" s="41">
        <v>0</v>
      </c>
      <c r="G102" s="41">
        <v>0</v>
      </c>
      <c r="H102" s="41">
        <v>800.01</v>
      </c>
      <c r="I102" s="43">
        <v>90</v>
      </c>
      <c r="J102" s="43">
        <v>9</v>
      </c>
      <c r="K102" s="44">
        <v>3000000</v>
      </c>
      <c r="L102" s="43" t="s">
        <v>992</v>
      </c>
      <c r="M102" s="45">
        <v>45979</v>
      </c>
      <c r="N102" s="41">
        <v>800.01</v>
      </c>
      <c r="O102" s="42">
        <v>45909</v>
      </c>
      <c r="P102" s="46"/>
      <c r="Q102" s="41">
        <v>800.01</v>
      </c>
    </row>
    <row r="103" spans="1:17" ht="12" customHeight="1" x14ac:dyDescent="0.3">
      <c r="A103" s="39"/>
      <c r="B103" s="40" t="s">
        <v>1092</v>
      </c>
      <c r="C103" s="41">
        <v>1135.6400000000001</v>
      </c>
      <c r="D103" s="42">
        <v>45889</v>
      </c>
      <c r="E103" s="43" t="s">
        <v>2</v>
      </c>
      <c r="F103" s="41">
        <v>0</v>
      </c>
      <c r="G103" s="41">
        <v>0</v>
      </c>
      <c r="H103" s="41">
        <v>1135.6400000000001</v>
      </c>
      <c r="I103" s="43">
        <v>90</v>
      </c>
      <c r="J103" s="43">
        <v>9</v>
      </c>
      <c r="K103" s="44">
        <v>3000000</v>
      </c>
      <c r="L103" s="43" t="s">
        <v>992</v>
      </c>
      <c r="M103" s="45">
        <v>45979</v>
      </c>
      <c r="N103" s="41">
        <v>1135.6400000000001</v>
      </c>
      <c r="O103" s="42">
        <v>45909</v>
      </c>
      <c r="P103" s="46"/>
      <c r="Q103" s="41">
        <v>1135.6400000000001</v>
      </c>
    </row>
    <row r="104" spans="1:17" ht="12" customHeight="1" x14ac:dyDescent="0.3">
      <c r="A104" s="39"/>
      <c r="B104" s="40" t="s">
        <v>1093</v>
      </c>
      <c r="C104" s="41">
        <v>216</v>
      </c>
      <c r="D104" s="42">
        <v>45889</v>
      </c>
      <c r="E104" s="43" t="s">
        <v>2</v>
      </c>
      <c r="F104" s="41">
        <v>0</v>
      </c>
      <c r="G104" s="41">
        <v>0</v>
      </c>
      <c r="H104" s="41">
        <v>216</v>
      </c>
      <c r="I104" s="43">
        <v>90</v>
      </c>
      <c r="J104" s="43">
        <v>9</v>
      </c>
      <c r="K104" s="44">
        <v>3000000</v>
      </c>
      <c r="L104" s="43" t="s">
        <v>992</v>
      </c>
      <c r="M104" s="45">
        <v>45979</v>
      </c>
      <c r="N104" s="41">
        <v>216</v>
      </c>
      <c r="O104" s="42">
        <v>45909</v>
      </c>
      <c r="P104" s="46"/>
      <c r="Q104" s="41">
        <v>216</v>
      </c>
    </row>
    <row r="105" spans="1:17" ht="12" customHeight="1" x14ac:dyDescent="0.3">
      <c r="A105" s="39"/>
      <c r="B105" s="40" t="s">
        <v>1094</v>
      </c>
      <c r="C105" s="41">
        <v>4800.0200000000004</v>
      </c>
      <c r="D105" s="42">
        <v>45889</v>
      </c>
      <c r="E105" s="43" t="s">
        <v>2</v>
      </c>
      <c r="F105" s="41">
        <v>0</v>
      </c>
      <c r="G105" s="41">
        <v>0</v>
      </c>
      <c r="H105" s="41">
        <v>4800.0200000000004</v>
      </c>
      <c r="I105" s="43">
        <v>90</v>
      </c>
      <c r="J105" s="43">
        <v>9</v>
      </c>
      <c r="K105" s="44">
        <v>3000000</v>
      </c>
      <c r="L105" s="43" t="s">
        <v>992</v>
      </c>
      <c r="M105" s="45">
        <v>45979</v>
      </c>
      <c r="N105" s="41">
        <v>4800.0200000000004</v>
      </c>
      <c r="O105" s="42">
        <v>45909</v>
      </c>
      <c r="P105" s="46"/>
      <c r="Q105" s="41">
        <v>4800.0200000000004</v>
      </c>
    </row>
    <row r="106" spans="1:17" ht="12" customHeight="1" x14ac:dyDescent="0.3">
      <c r="A106" s="39"/>
      <c r="B106" s="40" t="s">
        <v>1095</v>
      </c>
      <c r="C106" s="41">
        <v>198</v>
      </c>
      <c r="D106" s="42">
        <v>45890</v>
      </c>
      <c r="E106" s="43" t="s">
        <v>2</v>
      </c>
      <c r="F106" s="41">
        <v>0</v>
      </c>
      <c r="G106" s="41">
        <v>0</v>
      </c>
      <c r="H106" s="41">
        <v>198</v>
      </c>
      <c r="I106" s="43">
        <v>90</v>
      </c>
      <c r="J106" s="43">
        <v>9</v>
      </c>
      <c r="K106" s="44">
        <v>3000000</v>
      </c>
      <c r="L106" s="43" t="s">
        <v>992</v>
      </c>
      <c r="M106" s="45">
        <v>45980</v>
      </c>
      <c r="N106" s="41">
        <v>198</v>
      </c>
      <c r="O106" s="42">
        <v>45909</v>
      </c>
      <c r="P106" s="46"/>
      <c r="Q106" s="41">
        <v>198</v>
      </c>
    </row>
    <row r="107" spans="1:17" ht="12" customHeight="1" x14ac:dyDescent="0.3">
      <c r="A107" s="39"/>
      <c r="B107" s="40" t="s">
        <v>1096</v>
      </c>
      <c r="C107" s="41">
        <v>222</v>
      </c>
      <c r="D107" s="42">
        <v>45890</v>
      </c>
      <c r="E107" s="43" t="s">
        <v>2</v>
      </c>
      <c r="F107" s="41">
        <v>0</v>
      </c>
      <c r="G107" s="41">
        <v>0</v>
      </c>
      <c r="H107" s="41">
        <v>222</v>
      </c>
      <c r="I107" s="43">
        <v>90</v>
      </c>
      <c r="J107" s="43">
        <v>9</v>
      </c>
      <c r="K107" s="44">
        <v>3000000</v>
      </c>
      <c r="L107" s="43" t="s">
        <v>992</v>
      </c>
      <c r="M107" s="45">
        <v>45980</v>
      </c>
      <c r="N107" s="41">
        <v>222</v>
      </c>
      <c r="O107" s="42">
        <v>45909</v>
      </c>
      <c r="P107" s="46"/>
      <c r="Q107" s="41">
        <v>222</v>
      </c>
    </row>
    <row r="108" spans="1:17" ht="12" customHeight="1" x14ac:dyDescent="0.3">
      <c r="A108" s="39"/>
      <c r="B108" s="40" t="s">
        <v>1097</v>
      </c>
      <c r="C108" s="41">
        <v>5012.99</v>
      </c>
      <c r="D108" s="42">
        <v>45890</v>
      </c>
      <c r="E108" s="43" t="s">
        <v>2</v>
      </c>
      <c r="F108" s="41">
        <v>0</v>
      </c>
      <c r="G108" s="41">
        <v>0</v>
      </c>
      <c r="H108" s="41">
        <v>5012.99</v>
      </c>
      <c r="I108" s="43">
        <v>90</v>
      </c>
      <c r="J108" s="43">
        <v>9</v>
      </c>
      <c r="K108" s="44">
        <v>3000000</v>
      </c>
      <c r="L108" s="43" t="s">
        <v>992</v>
      </c>
      <c r="M108" s="45">
        <v>45980</v>
      </c>
      <c r="N108" s="41">
        <v>5012.99</v>
      </c>
      <c r="O108" s="42">
        <v>45909</v>
      </c>
      <c r="P108" s="46"/>
      <c r="Q108" s="41">
        <v>5012.99</v>
      </c>
    </row>
    <row r="109" spans="1:17" ht="12" customHeight="1" x14ac:dyDescent="0.3">
      <c r="A109" s="39"/>
      <c r="B109" s="40" t="s">
        <v>1098</v>
      </c>
      <c r="C109" s="41">
        <v>207</v>
      </c>
      <c r="D109" s="42">
        <v>45890</v>
      </c>
      <c r="E109" s="43" t="s">
        <v>2</v>
      </c>
      <c r="F109" s="41">
        <v>0</v>
      </c>
      <c r="G109" s="41">
        <v>0</v>
      </c>
      <c r="H109" s="41">
        <v>207</v>
      </c>
      <c r="I109" s="43">
        <v>90</v>
      </c>
      <c r="J109" s="43">
        <v>9</v>
      </c>
      <c r="K109" s="44">
        <v>3000000</v>
      </c>
      <c r="L109" s="43" t="s">
        <v>992</v>
      </c>
      <c r="M109" s="45">
        <v>45980</v>
      </c>
      <c r="N109" s="41">
        <v>207</v>
      </c>
      <c r="O109" s="42">
        <v>45909</v>
      </c>
      <c r="P109" s="46"/>
      <c r="Q109" s="41">
        <v>207</v>
      </c>
    </row>
    <row r="110" spans="1:17" ht="12" customHeight="1" x14ac:dyDescent="0.3">
      <c r="A110" s="39"/>
      <c r="B110" s="40" t="s">
        <v>1099</v>
      </c>
      <c r="C110" s="41">
        <v>5294.07</v>
      </c>
      <c r="D110" s="42">
        <v>45890</v>
      </c>
      <c r="E110" s="43" t="s">
        <v>2</v>
      </c>
      <c r="F110" s="41">
        <v>0</v>
      </c>
      <c r="G110" s="41">
        <v>0</v>
      </c>
      <c r="H110" s="41">
        <v>5294.07</v>
      </c>
      <c r="I110" s="43">
        <v>90</v>
      </c>
      <c r="J110" s="43">
        <v>9</v>
      </c>
      <c r="K110" s="44">
        <v>3000000</v>
      </c>
      <c r="L110" s="43" t="s">
        <v>992</v>
      </c>
      <c r="M110" s="45">
        <v>45980</v>
      </c>
      <c r="N110" s="41">
        <v>5294.07</v>
      </c>
      <c r="O110" s="42">
        <v>45909</v>
      </c>
      <c r="P110" s="46"/>
      <c r="Q110" s="41">
        <v>5294.07</v>
      </c>
    </row>
    <row r="111" spans="1:17" ht="12" customHeight="1" x14ac:dyDescent="0.3">
      <c r="A111" s="39"/>
      <c r="B111" s="40" t="s">
        <v>1100</v>
      </c>
      <c r="C111" s="41">
        <v>9207.07</v>
      </c>
      <c r="D111" s="42">
        <v>45890</v>
      </c>
      <c r="E111" s="43" t="s">
        <v>2</v>
      </c>
      <c r="F111" s="41">
        <v>0</v>
      </c>
      <c r="G111" s="41">
        <v>0</v>
      </c>
      <c r="H111" s="41">
        <v>9207.07</v>
      </c>
      <c r="I111" s="43">
        <v>90</v>
      </c>
      <c r="J111" s="43">
        <v>9</v>
      </c>
      <c r="K111" s="44">
        <v>3000000</v>
      </c>
      <c r="L111" s="43" t="s">
        <v>992</v>
      </c>
      <c r="M111" s="45">
        <v>45980</v>
      </c>
      <c r="N111" s="41">
        <v>9207.07</v>
      </c>
      <c r="O111" s="42">
        <v>45909</v>
      </c>
      <c r="P111" s="46"/>
      <c r="Q111" s="41">
        <v>9207.07</v>
      </c>
    </row>
    <row r="112" spans="1:17" ht="12" customHeight="1" x14ac:dyDescent="0.3">
      <c r="A112" s="39"/>
      <c r="B112" s="40" t="s">
        <v>1101</v>
      </c>
      <c r="C112" s="41">
        <v>776.25</v>
      </c>
      <c r="D112" s="42">
        <v>45890</v>
      </c>
      <c r="E112" s="43" t="s">
        <v>2</v>
      </c>
      <c r="F112" s="41">
        <v>0</v>
      </c>
      <c r="G112" s="41">
        <v>0</v>
      </c>
      <c r="H112" s="41">
        <v>776.25</v>
      </c>
      <c r="I112" s="43">
        <v>90</v>
      </c>
      <c r="J112" s="43">
        <v>9</v>
      </c>
      <c r="K112" s="44">
        <v>3000000</v>
      </c>
      <c r="L112" s="43" t="s">
        <v>992</v>
      </c>
      <c r="M112" s="45">
        <v>45980</v>
      </c>
      <c r="N112" s="41">
        <v>776.25</v>
      </c>
      <c r="O112" s="42">
        <v>45909</v>
      </c>
      <c r="P112" s="46"/>
      <c r="Q112" s="41">
        <v>776.25</v>
      </c>
    </row>
    <row r="113" spans="1:17" ht="12" customHeight="1" x14ac:dyDescent="0.3">
      <c r="A113" s="39"/>
      <c r="B113" s="40" t="s">
        <v>1102</v>
      </c>
      <c r="C113" s="41">
        <v>364.5</v>
      </c>
      <c r="D113" s="42">
        <v>45890</v>
      </c>
      <c r="E113" s="43" t="s">
        <v>2</v>
      </c>
      <c r="F113" s="41">
        <v>0</v>
      </c>
      <c r="G113" s="41">
        <v>0</v>
      </c>
      <c r="H113" s="41">
        <v>364.5</v>
      </c>
      <c r="I113" s="43">
        <v>90</v>
      </c>
      <c r="J113" s="43">
        <v>9</v>
      </c>
      <c r="K113" s="44">
        <v>3000000</v>
      </c>
      <c r="L113" s="43" t="s">
        <v>992</v>
      </c>
      <c r="M113" s="45">
        <v>45980</v>
      </c>
      <c r="N113" s="41">
        <v>364.5</v>
      </c>
      <c r="O113" s="42">
        <v>45909</v>
      </c>
      <c r="P113" s="46"/>
      <c r="Q113" s="41">
        <v>364.5</v>
      </c>
    </row>
    <row r="114" spans="1:17" ht="12" customHeight="1" x14ac:dyDescent="0.3">
      <c r="A114" s="39"/>
      <c r="B114" s="40" t="s">
        <v>1103</v>
      </c>
      <c r="C114" s="41">
        <v>162</v>
      </c>
      <c r="D114" s="42">
        <v>45893</v>
      </c>
      <c r="E114" s="43" t="s">
        <v>2</v>
      </c>
      <c r="F114" s="41">
        <v>0</v>
      </c>
      <c r="G114" s="41">
        <v>0</v>
      </c>
      <c r="H114" s="41">
        <v>162</v>
      </c>
      <c r="I114" s="43">
        <v>90</v>
      </c>
      <c r="J114" s="43">
        <v>9</v>
      </c>
      <c r="K114" s="44">
        <v>3000000</v>
      </c>
      <c r="L114" s="43" t="s">
        <v>992</v>
      </c>
      <c r="M114" s="45">
        <v>45984</v>
      </c>
      <c r="N114" s="41">
        <v>162</v>
      </c>
      <c r="O114" s="42">
        <v>45909</v>
      </c>
      <c r="P114" s="46"/>
      <c r="Q114" s="41">
        <v>162</v>
      </c>
    </row>
    <row r="115" spans="1:17" ht="12" customHeight="1" x14ac:dyDescent="0.3">
      <c r="A115" s="39"/>
      <c r="B115" s="40" t="s">
        <v>1104</v>
      </c>
      <c r="C115" s="41">
        <v>3240.03</v>
      </c>
      <c r="D115" s="42">
        <v>45893</v>
      </c>
      <c r="E115" s="43" t="s">
        <v>2</v>
      </c>
      <c r="F115" s="41">
        <v>0</v>
      </c>
      <c r="G115" s="41">
        <v>0</v>
      </c>
      <c r="H115" s="41">
        <v>3240.03</v>
      </c>
      <c r="I115" s="43">
        <v>90</v>
      </c>
      <c r="J115" s="43">
        <v>9</v>
      </c>
      <c r="K115" s="44">
        <v>3000000</v>
      </c>
      <c r="L115" s="43" t="s">
        <v>992</v>
      </c>
      <c r="M115" s="45">
        <v>45984</v>
      </c>
      <c r="N115" s="41">
        <v>3240.03</v>
      </c>
      <c r="O115" s="42">
        <v>45909</v>
      </c>
      <c r="P115" s="46"/>
      <c r="Q115" s="41">
        <v>3240.03</v>
      </c>
    </row>
    <row r="116" spans="1:17" ht="12" customHeight="1" x14ac:dyDescent="0.3">
      <c r="A116" s="39"/>
      <c r="B116" s="40" t="s">
        <v>1105</v>
      </c>
      <c r="C116" s="41">
        <v>1606.22</v>
      </c>
      <c r="D116" s="42">
        <v>45893</v>
      </c>
      <c r="E116" s="43" t="s">
        <v>2</v>
      </c>
      <c r="F116" s="41">
        <v>0</v>
      </c>
      <c r="G116" s="41">
        <v>0</v>
      </c>
      <c r="H116" s="41">
        <v>1606.22</v>
      </c>
      <c r="I116" s="43">
        <v>90</v>
      </c>
      <c r="J116" s="43">
        <v>9</v>
      </c>
      <c r="K116" s="44">
        <v>3000000</v>
      </c>
      <c r="L116" s="43" t="s">
        <v>992</v>
      </c>
      <c r="M116" s="45">
        <v>45984</v>
      </c>
      <c r="N116" s="41">
        <v>1606.22</v>
      </c>
      <c r="O116" s="42">
        <v>45909</v>
      </c>
      <c r="P116" s="46"/>
      <c r="Q116" s="41">
        <v>1606.22</v>
      </c>
    </row>
    <row r="117" spans="1:17" ht="12" customHeight="1" x14ac:dyDescent="0.3">
      <c r="A117" s="39"/>
      <c r="B117" s="40" t="s">
        <v>1106</v>
      </c>
      <c r="C117" s="41">
        <v>74</v>
      </c>
      <c r="D117" s="42">
        <v>45893</v>
      </c>
      <c r="E117" s="43" t="s">
        <v>2</v>
      </c>
      <c r="F117" s="41">
        <v>0</v>
      </c>
      <c r="G117" s="41">
        <v>0</v>
      </c>
      <c r="H117" s="41">
        <v>74</v>
      </c>
      <c r="I117" s="43">
        <v>90</v>
      </c>
      <c r="J117" s="43">
        <v>9</v>
      </c>
      <c r="K117" s="44">
        <v>3000000</v>
      </c>
      <c r="L117" s="43" t="s">
        <v>992</v>
      </c>
      <c r="M117" s="45">
        <v>45984</v>
      </c>
      <c r="N117" s="41">
        <v>74</v>
      </c>
      <c r="O117" s="42">
        <v>45909</v>
      </c>
      <c r="P117" s="46"/>
      <c r="Q117" s="41">
        <v>74</v>
      </c>
    </row>
    <row r="118" spans="1:17" ht="12" customHeight="1" x14ac:dyDescent="0.3">
      <c r="A118" s="39"/>
      <c r="B118" s="40" t="s">
        <v>1107</v>
      </c>
      <c r="C118" s="41">
        <v>7284.02</v>
      </c>
      <c r="D118" s="42">
        <v>45893</v>
      </c>
      <c r="E118" s="43" t="s">
        <v>2</v>
      </c>
      <c r="F118" s="41">
        <v>0</v>
      </c>
      <c r="G118" s="41">
        <v>0</v>
      </c>
      <c r="H118" s="41">
        <v>7284.02</v>
      </c>
      <c r="I118" s="43">
        <v>90</v>
      </c>
      <c r="J118" s="43">
        <v>9</v>
      </c>
      <c r="K118" s="44">
        <v>3000000</v>
      </c>
      <c r="L118" s="43" t="s">
        <v>992</v>
      </c>
      <c r="M118" s="45">
        <v>45984</v>
      </c>
      <c r="N118" s="41">
        <v>7284.02</v>
      </c>
      <c r="O118" s="42">
        <v>45909</v>
      </c>
      <c r="P118" s="46"/>
      <c r="Q118" s="41">
        <v>7284.02</v>
      </c>
    </row>
    <row r="119" spans="1:17" ht="12" customHeight="1" x14ac:dyDescent="0.3">
      <c r="A119" s="39"/>
      <c r="B119" s="40" t="s">
        <v>1108</v>
      </c>
      <c r="C119" s="41">
        <v>6567</v>
      </c>
      <c r="D119" s="42">
        <v>45893</v>
      </c>
      <c r="E119" s="43" t="s">
        <v>2</v>
      </c>
      <c r="F119" s="41">
        <v>0</v>
      </c>
      <c r="G119" s="41">
        <v>0</v>
      </c>
      <c r="H119" s="41">
        <v>6567</v>
      </c>
      <c r="I119" s="43">
        <v>90</v>
      </c>
      <c r="J119" s="43">
        <v>9</v>
      </c>
      <c r="K119" s="44">
        <v>3000000</v>
      </c>
      <c r="L119" s="43" t="s">
        <v>992</v>
      </c>
      <c r="M119" s="45">
        <v>45984</v>
      </c>
      <c r="N119" s="41">
        <v>6567</v>
      </c>
      <c r="O119" s="42">
        <v>45909</v>
      </c>
      <c r="P119" s="46"/>
      <c r="Q119" s="41">
        <v>6567</v>
      </c>
    </row>
    <row r="120" spans="1:17" ht="12" customHeight="1" x14ac:dyDescent="0.3">
      <c r="A120" s="39"/>
      <c r="B120" s="40" t="s">
        <v>1109</v>
      </c>
      <c r="C120" s="41">
        <v>793.5</v>
      </c>
      <c r="D120" s="42">
        <v>45893</v>
      </c>
      <c r="E120" s="43" t="s">
        <v>2</v>
      </c>
      <c r="F120" s="41">
        <v>0</v>
      </c>
      <c r="G120" s="41">
        <v>0</v>
      </c>
      <c r="H120" s="41">
        <v>793.5</v>
      </c>
      <c r="I120" s="43">
        <v>90</v>
      </c>
      <c r="J120" s="43">
        <v>9</v>
      </c>
      <c r="K120" s="44">
        <v>3000000</v>
      </c>
      <c r="L120" s="43" t="s">
        <v>992</v>
      </c>
      <c r="M120" s="45">
        <v>45984</v>
      </c>
      <c r="N120" s="41">
        <v>793.5</v>
      </c>
      <c r="O120" s="42">
        <v>45909</v>
      </c>
      <c r="P120" s="46"/>
      <c r="Q120" s="41">
        <v>793.5</v>
      </c>
    </row>
    <row r="121" spans="1:17" ht="12" customHeight="1" x14ac:dyDescent="0.3">
      <c r="A121" s="39"/>
      <c r="B121" s="40" t="s">
        <v>1110</v>
      </c>
      <c r="C121" s="41">
        <v>612.89</v>
      </c>
      <c r="D121" s="42">
        <v>45893</v>
      </c>
      <c r="E121" s="43" t="s">
        <v>2</v>
      </c>
      <c r="F121" s="41">
        <v>0</v>
      </c>
      <c r="G121" s="41">
        <v>0</v>
      </c>
      <c r="H121" s="41">
        <v>612.89</v>
      </c>
      <c r="I121" s="43">
        <v>90</v>
      </c>
      <c r="J121" s="43">
        <v>9</v>
      </c>
      <c r="K121" s="44">
        <v>3000000</v>
      </c>
      <c r="L121" s="43" t="s">
        <v>992</v>
      </c>
      <c r="M121" s="45">
        <v>45984</v>
      </c>
      <c r="N121" s="41">
        <v>612.89</v>
      </c>
      <c r="O121" s="42">
        <v>45909</v>
      </c>
      <c r="P121" s="46"/>
      <c r="Q121" s="41">
        <v>612.89</v>
      </c>
    </row>
    <row r="122" spans="1:17" ht="12" customHeight="1" x14ac:dyDescent="0.3">
      <c r="A122" s="39"/>
      <c r="B122" s="40" t="s">
        <v>1111</v>
      </c>
      <c r="C122" s="41">
        <v>6236.68</v>
      </c>
      <c r="D122" s="42">
        <v>45893</v>
      </c>
      <c r="E122" s="43" t="s">
        <v>2</v>
      </c>
      <c r="F122" s="41">
        <v>0</v>
      </c>
      <c r="G122" s="41">
        <v>0</v>
      </c>
      <c r="H122" s="41">
        <v>6236.68</v>
      </c>
      <c r="I122" s="43">
        <v>90</v>
      </c>
      <c r="J122" s="43">
        <v>9</v>
      </c>
      <c r="K122" s="44">
        <v>3000000</v>
      </c>
      <c r="L122" s="43" t="s">
        <v>992</v>
      </c>
      <c r="M122" s="45">
        <v>45984</v>
      </c>
      <c r="N122" s="41">
        <v>6236.68</v>
      </c>
      <c r="O122" s="42">
        <v>45909</v>
      </c>
      <c r="P122" s="46"/>
      <c r="Q122" s="41">
        <v>6236.68</v>
      </c>
    </row>
    <row r="123" spans="1:17" ht="12" customHeight="1" x14ac:dyDescent="0.3">
      <c r="A123" s="39"/>
      <c r="B123" s="40" t="s">
        <v>1112</v>
      </c>
      <c r="C123" s="41">
        <v>495484.57</v>
      </c>
      <c r="D123" s="42">
        <v>45894</v>
      </c>
      <c r="E123" s="43" t="s">
        <v>2</v>
      </c>
      <c r="F123" s="41">
        <v>0</v>
      </c>
      <c r="G123" s="41">
        <v>0</v>
      </c>
      <c r="H123" s="41">
        <v>495484.57</v>
      </c>
      <c r="I123" s="43">
        <v>90</v>
      </c>
      <c r="J123" s="43">
        <v>8</v>
      </c>
      <c r="K123" s="44">
        <v>3000000</v>
      </c>
      <c r="L123" s="43" t="s">
        <v>992</v>
      </c>
      <c r="M123" s="45">
        <v>45984</v>
      </c>
      <c r="N123" s="41">
        <v>495484.57</v>
      </c>
      <c r="O123" s="42">
        <v>45930</v>
      </c>
      <c r="P123" s="46"/>
      <c r="Q123" s="41">
        <v>495484.57</v>
      </c>
    </row>
    <row r="124" spans="1:17" ht="12" customHeight="1" x14ac:dyDescent="0.3">
      <c r="A124" s="39"/>
      <c r="B124" s="40" t="s">
        <v>1113</v>
      </c>
      <c r="C124" s="41">
        <v>336.38</v>
      </c>
      <c r="D124" s="42">
        <v>45894</v>
      </c>
      <c r="E124" s="43" t="s">
        <v>2</v>
      </c>
      <c r="F124" s="41">
        <v>0</v>
      </c>
      <c r="G124" s="41">
        <v>0</v>
      </c>
      <c r="H124" s="41">
        <v>336.38</v>
      </c>
      <c r="I124" s="43">
        <v>90</v>
      </c>
      <c r="J124" s="43">
        <v>9</v>
      </c>
      <c r="K124" s="44">
        <v>3000000</v>
      </c>
      <c r="L124" s="43" t="s">
        <v>992</v>
      </c>
      <c r="M124" s="45">
        <v>45984</v>
      </c>
      <c r="N124" s="41">
        <v>336.38</v>
      </c>
      <c r="O124" s="42">
        <v>45909</v>
      </c>
      <c r="P124" s="46"/>
      <c r="Q124" s="41">
        <v>336.38</v>
      </c>
    </row>
    <row r="125" spans="1:17" ht="12" customHeight="1" x14ac:dyDescent="0.3">
      <c r="A125" s="39"/>
      <c r="B125" s="40" t="s">
        <v>1114</v>
      </c>
      <c r="C125" s="41">
        <v>62868</v>
      </c>
      <c r="D125" s="42">
        <v>45894</v>
      </c>
      <c r="E125" s="43" t="s">
        <v>2</v>
      </c>
      <c r="F125" s="41">
        <v>0</v>
      </c>
      <c r="G125" s="41">
        <v>0</v>
      </c>
      <c r="H125" s="41">
        <v>62868</v>
      </c>
      <c r="I125" s="43">
        <v>90</v>
      </c>
      <c r="J125" s="43">
        <v>9</v>
      </c>
      <c r="K125" s="44">
        <v>3000000</v>
      </c>
      <c r="L125" s="43" t="s">
        <v>992</v>
      </c>
      <c r="M125" s="45">
        <v>45984</v>
      </c>
      <c r="N125" s="41">
        <v>62868</v>
      </c>
      <c r="O125" s="42">
        <v>45910</v>
      </c>
      <c r="P125" s="46"/>
      <c r="Q125" s="41">
        <v>62868</v>
      </c>
    </row>
    <row r="126" spans="1:17" ht="12" customHeight="1" x14ac:dyDescent="0.3">
      <c r="A126" s="39"/>
      <c r="B126" s="40" t="s">
        <v>1115</v>
      </c>
      <c r="C126" s="41">
        <v>62868</v>
      </c>
      <c r="D126" s="42">
        <v>45894</v>
      </c>
      <c r="E126" s="43" t="s">
        <v>2</v>
      </c>
      <c r="F126" s="41">
        <v>0</v>
      </c>
      <c r="G126" s="41">
        <v>0</v>
      </c>
      <c r="H126" s="41">
        <v>62868</v>
      </c>
      <c r="I126" s="43">
        <v>90</v>
      </c>
      <c r="J126" s="43">
        <v>9</v>
      </c>
      <c r="K126" s="44">
        <v>3000000</v>
      </c>
      <c r="L126" s="43" t="s">
        <v>992</v>
      </c>
      <c r="M126" s="45">
        <v>45984</v>
      </c>
      <c r="N126" s="41">
        <v>62868</v>
      </c>
      <c r="O126" s="42">
        <v>45910</v>
      </c>
      <c r="P126" s="46"/>
      <c r="Q126" s="41">
        <v>62868</v>
      </c>
    </row>
    <row r="127" spans="1:17" ht="12" customHeight="1" x14ac:dyDescent="0.3">
      <c r="A127" s="39"/>
      <c r="B127" s="40" t="s">
        <v>1116</v>
      </c>
      <c r="C127" s="41">
        <v>36673.86</v>
      </c>
      <c r="D127" s="42">
        <v>45894</v>
      </c>
      <c r="E127" s="43" t="s">
        <v>2</v>
      </c>
      <c r="F127" s="41">
        <v>0</v>
      </c>
      <c r="G127" s="41">
        <v>0</v>
      </c>
      <c r="H127" s="41">
        <v>36673.86</v>
      </c>
      <c r="I127" s="43">
        <v>90</v>
      </c>
      <c r="J127" s="43">
        <v>9</v>
      </c>
      <c r="K127" s="44">
        <v>3000000</v>
      </c>
      <c r="L127" s="43" t="s">
        <v>992</v>
      </c>
      <c r="M127" s="45">
        <v>45984</v>
      </c>
      <c r="N127" s="41">
        <v>36673.86</v>
      </c>
      <c r="O127" s="42">
        <v>45910</v>
      </c>
      <c r="P127" s="46"/>
      <c r="Q127" s="41">
        <v>36673.86</v>
      </c>
    </row>
    <row r="128" spans="1:17" ht="12" customHeight="1" x14ac:dyDescent="0.3">
      <c r="A128" s="39"/>
      <c r="B128" s="40" t="s">
        <v>1117</v>
      </c>
      <c r="C128" s="41">
        <v>62867.99</v>
      </c>
      <c r="D128" s="42">
        <v>45894</v>
      </c>
      <c r="E128" s="43" t="s">
        <v>2</v>
      </c>
      <c r="F128" s="41">
        <v>0</v>
      </c>
      <c r="G128" s="41">
        <v>0</v>
      </c>
      <c r="H128" s="41">
        <v>62867.99</v>
      </c>
      <c r="I128" s="43">
        <v>90</v>
      </c>
      <c r="J128" s="43">
        <v>9</v>
      </c>
      <c r="K128" s="44">
        <v>3000000</v>
      </c>
      <c r="L128" s="43" t="s">
        <v>992</v>
      </c>
      <c r="M128" s="45">
        <v>45984</v>
      </c>
      <c r="N128" s="41">
        <v>62867.99</v>
      </c>
      <c r="O128" s="42">
        <v>45910</v>
      </c>
      <c r="P128" s="46"/>
      <c r="Q128" s="41">
        <v>62867.99</v>
      </c>
    </row>
    <row r="129" spans="1:17" ht="12" customHeight="1" x14ac:dyDescent="0.3">
      <c r="A129" s="39"/>
      <c r="B129" s="40" t="s">
        <v>1118</v>
      </c>
      <c r="C129" s="41">
        <v>62867.99</v>
      </c>
      <c r="D129" s="42">
        <v>45894</v>
      </c>
      <c r="E129" s="43" t="s">
        <v>2</v>
      </c>
      <c r="F129" s="41">
        <v>0</v>
      </c>
      <c r="G129" s="41">
        <v>0</v>
      </c>
      <c r="H129" s="41">
        <v>62867.99</v>
      </c>
      <c r="I129" s="43">
        <v>90</v>
      </c>
      <c r="J129" s="43">
        <v>9</v>
      </c>
      <c r="K129" s="44">
        <v>3000000</v>
      </c>
      <c r="L129" s="43" t="s">
        <v>992</v>
      </c>
      <c r="M129" s="45">
        <v>45984</v>
      </c>
      <c r="N129" s="41">
        <v>62867.99</v>
      </c>
      <c r="O129" s="42">
        <v>45910</v>
      </c>
      <c r="P129" s="46"/>
      <c r="Q129" s="41">
        <v>62867.99</v>
      </c>
    </row>
    <row r="130" spans="1:17" ht="12" customHeight="1" x14ac:dyDescent="0.3">
      <c r="A130" s="39"/>
      <c r="B130" s="40" t="s">
        <v>1119</v>
      </c>
      <c r="C130" s="41">
        <v>62867.99</v>
      </c>
      <c r="D130" s="42">
        <v>45894</v>
      </c>
      <c r="E130" s="43" t="s">
        <v>2</v>
      </c>
      <c r="F130" s="41">
        <v>0</v>
      </c>
      <c r="G130" s="41">
        <v>0</v>
      </c>
      <c r="H130" s="41">
        <v>62867.99</v>
      </c>
      <c r="I130" s="43">
        <v>90</v>
      </c>
      <c r="J130" s="43">
        <v>9</v>
      </c>
      <c r="K130" s="44">
        <v>3000000</v>
      </c>
      <c r="L130" s="43" t="s">
        <v>992</v>
      </c>
      <c r="M130" s="45">
        <v>45984</v>
      </c>
      <c r="N130" s="41">
        <v>62867.99</v>
      </c>
      <c r="O130" s="42">
        <v>45910</v>
      </c>
      <c r="P130" s="46"/>
      <c r="Q130" s="41">
        <v>62867.99</v>
      </c>
    </row>
    <row r="131" spans="1:17" ht="12" customHeight="1" x14ac:dyDescent="0.3">
      <c r="A131" s="39"/>
      <c r="B131" s="40" t="s">
        <v>1120</v>
      </c>
      <c r="C131" s="41">
        <v>62867.99</v>
      </c>
      <c r="D131" s="42">
        <v>45894</v>
      </c>
      <c r="E131" s="43" t="s">
        <v>2</v>
      </c>
      <c r="F131" s="41">
        <v>0</v>
      </c>
      <c r="G131" s="41">
        <v>0</v>
      </c>
      <c r="H131" s="41">
        <v>62867.99</v>
      </c>
      <c r="I131" s="43">
        <v>90</v>
      </c>
      <c r="J131" s="43">
        <v>9</v>
      </c>
      <c r="K131" s="44">
        <v>3000000</v>
      </c>
      <c r="L131" s="43" t="s">
        <v>992</v>
      </c>
      <c r="M131" s="45">
        <v>45984</v>
      </c>
      <c r="N131" s="41">
        <v>62867.99</v>
      </c>
      <c r="O131" s="42">
        <v>45910</v>
      </c>
      <c r="P131" s="46"/>
      <c r="Q131" s="41">
        <v>62867.99</v>
      </c>
    </row>
    <row r="132" spans="1:17" ht="12" customHeight="1" x14ac:dyDescent="0.3">
      <c r="A132" s="39"/>
      <c r="B132" s="40" t="s">
        <v>1121</v>
      </c>
      <c r="C132" s="41">
        <v>29856.79</v>
      </c>
      <c r="D132" s="42">
        <v>45894</v>
      </c>
      <c r="E132" s="43" t="s">
        <v>2</v>
      </c>
      <c r="F132" s="41">
        <v>0</v>
      </c>
      <c r="G132" s="41">
        <v>0</v>
      </c>
      <c r="H132" s="41">
        <v>29856.79</v>
      </c>
      <c r="I132" s="43">
        <v>90</v>
      </c>
      <c r="J132" s="43">
        <v>9</v>
      </c>
      <c r="K132" s="44">
        <v>3000000</v>
      </c>
      <c r="L132" s="43" t="s">
        <v>992</v>
      </c>
      <c r="M132" s="45">
        <v>45984</v>
      </c>
      <c r="N132" s="41">
        <v>29856.79</v>
      </c>
      <c r="O132" s="42">
        <v>45910</v>
      </c>
      <c r="P132" s="46"/>
      <c r="Q132" s="41">
        <v>29856.79</v>
      </c>
    </row>
    <row r="133" spans="1:17" ht="12" customHeight="1" x14ac:dyDescent="0.3">
      <c r="A133" s="39"/>
      <c r="B133" s="40" t="s">
        <v>1122</v>
      </c>
      <c r="C133" s="41">
        <v>29856.79</v>
      </c>
      <c r="D133" s="42">
        <v>45894</v>
      </c>
      <c r="E133" s="43" t="s">
        <v>2</v>
      </c>
      <c r="F133" s="41">
        <v>0</v>
      </c>
      <c r="G133" s="41">
        <v>0</v>
      </c>
      <c r="H133" s="41">
        <v>29856.79</v>
      </c>
      <c r="I133" s="43">
        <v>90</v>
      </c>
      <c r="J133" s="43">
        <v>9</v>
      </c>
      <c r="K133" s="44">
        <v>3000000</v>
      </c>
      <c r="L133" s="43" t="s">
        <v>992</v>
      </c>
      <c r="M133" s="45">
        <v>45984</v>
      </c>
      <c r="N133" s="41">
        <v>29856.79</v>
      </c>
      <c r="O133" s="42">
        <v>45910</v>
      </c>
      <c r="P133" s="46"/>
      <c r="Q133" s="41">
        <v>29856.79</v>
      </c>
    </row>
    <row r="134" spans="1:17" ht="12" customHeight="1" x14ac:dyDescent="0.3">
      <c r="A134" s="39"/>
      <c r="B134" s="40" t="s">
        <v>1123</v>
      </c>
      <c r="C134" s="41">
        <v>62867.99</v>
      </c>
      <c r="D134" s="42">
        <v>45894</v>
      </c>
      <c r="E134" s="43" t="s">
        <v>2</v>
      </c>
      <c r="F134" s="41">
        <v>0</v>
      </c>
      <c r="G134" s="41">
        <v>0</v>
      </c>
      <c r="H134" s="41">
        <v>62867.99</v>
      </c>
      <c r="I134" s="43">
        <v>90</v>
      </c>
      <c r="J134" s="43">
        <v>9</v>
      </c>
      <c r="K134" s="44">
        <v>3000000</v>
      </c>
      <c r="L134" s="43" t="s">
        <v>992</v>
      </c>
      <c r="M134" s="45">
        <v>45984</v>
      </c>
      <c r="N134" s="41">
        <v>62867.99</v>
      </c>
      <c r="O134" s="42">
        <v>45910</v>
      </c>
      <c r="P134" s="46"/>
      <c r="Q134" s="41">
        <v>62867.99</v>
      </c>
    </row>
    <row r="135" spans="1:17" ht="12" customHeight="1" x14ac:dyDescent="0.3">
      <c r="A135" s="39"/>
      <c r="B135" s="40" t="s">
        <v>1124</v>
      </c>
      <c r="C135" s="41">
        <v>62867.99</v>
      </c>
      <c r="D135" s="42">
        <v>45894</v>
      </c>
      <c r="E135" s="43" t="s">
        <v>2</v>
      </c>
      <c r="F135" s="41">
        <v>0</v>
      </c>
      <c r="G135" s="41">
        <v>0</v>
      </c>
      <c r="H135" s="41">
        <v>62867.99</v>
      </c>
      <c r="I135" s="43">
        <v>90</v>
      </c>
      <c r="J135" s="43">
        <v>9</v>
      </c>
      <c r="K135" s="44">
        <v>3000000</v>
      </c>
      <c r="L135" s="43" t="s">
        <v>992</v>
      </c>
      <c r="M135" s="45">
        <v>45984</v>
      </c>
      <c r="N135" s="41">
        <v>62867.99</v>
      </c>
      <c r="O135" s="42">
        <v>45910</v>
      </c>
      <c r="P135" s="46"/>
      <c r="Q135" s="41">
        <v>62867.99</v>
      </c>
    </row>
    <row r="136" spans="1:17" ht="12" customHeight="1" x14ac:dyDescent="0.3">
      <c r="A136" s="39"/>
      <c r="B136" s="40" t="s">
        <v>1125</v>
      </c>
      <c r="C136" s="41">
        <v>62867.98</v>
      </c>
      <c r="D136" s="42">
        <v>45894</v>
      </c>
      <c r="E136" s="43" t="s">
        <v>2</v>
      </c>
      <c r="F136" s="41">
        <v>0</v>
      </c>
      <c r="G136" s="41">
        <v>0</v>
      </c>
      <c r="H136" s="41">
        <v>62867.98</v>
      </c>
      <c r="I136" s="43">
        <v>90</v>
      </c>
      <c r="J136" s="43">
        <v>9</v>
      </c>
      <c r="K136" s="44">
        <v>3000000</v>
      </c>
      <c r="L136" s="43" t="s">
        <v>992</v>
      </c>
      <c r="M136" s="45">
        <v>45984</v>
      </c>
      <c r="N136" s="41">
        <v>62867.98</v>
      </c>
      <c r="O136" s="42">
        <v>45910</v>
      </c>
      <c r="P136" s="46"/>
      <c r="Q136" s="41">
        <v>62867.98</v>
      </c>
    </row>
    <row r="137" spans="1:17" ht="12" customHeight="1" x14ac:dyDescent="0.3">
      <c r="A137" s="39"/>
      <c r="B137" s="40" t="s">
        <v>1126</v>
      </c>
      <c r="C137" s="41">
        <v>36673.86</v>
      </c>
      <c r="D137" s="42">
        <v>45894</v>
      </c>
      <c r="E137" s="43" t="s">
        <v>2</v>
      </c>
      <c r="F137" s="41">
        <v>0</v>
      </c>
      <c r="G137" s="41">
        <v>0</v>
      </c>
      <c r="H137" s="41">
        <v>36673.86</v>
      </c>
      <c r="I137" s="43">
        <v>90</v>
      </c>
      <c r="J137" s="43">
        <v>9</v>
      </c>
      <c r="K137" s="44">
        <v>3000000</v>
      </c>
      <c r="L137" s="43" t="s">
        <v>992</v>
      </c>
      <c r="M137" s="45">
        <v>45984</v>
      </c>
      <c r="N137" s="41">
        <v>36673.86</v>
      </c>
      <c r="O137" s="42">
        <v>45924</v>
      </c>
      <c r="P137" s="46"/>
      <c r="Q137" s="41">
        <v>36673.86</v>
      </c>
    </row>
    <row r="138" spans="1:17" ht="12" customHeight="1" x14ac:dyDescent="0.3">
      <c r="A138" s="39"/>
      <c r="B138" s="40" t="s">
        <v>1127</v>
      </c>
      <c r="C138" s="41">
        <v>62867.99</v>
      </c>
      <c r="D138" s="42">
        <v>45894</v>
      </c>
      <c r="E138" s="43" t="s">
        <v>2</v>
      </c>
      <c r="F138" s="41">
        <v>0</v>
      </c>
      <c r="G138" s="41">
        <v>0</v>
      </c>
      <c r="H138" s="41">
        <v>62867.99</v>
      </c>
      <c r="I138" s="43">
        <v>90</v>
      </c>
      <c r="J138" s="43">
        <v>9</v>
      </c>
      <c r="K138" s="44">
        <v>3000000</v>
      </c>
      <c r="L138" s="43" t="s">
        <v>992</v>
      </c>
      <c r="M138" s="45">
        <v>45984</v>
      </c>
      <c r="N138" s="41">
        <v>62867.99</v>
      </c>
      <c r="O138" s="42">
        <v>45924</v>
      </c>
      <c r="P138" s="46"/>
      <c r="Q138" s="41">
        <v>62867.99</v>
      </c>
    </row>
    <row r="139" spans="1:17" ht="12" customHeight="1" x14ac:dyDescent="0.3">
      <c r="A139" s="39"/>
      <c r="B139" s="40" t="s">
        <v>1128</v>
      </c>
      <c r="C139" s="41">
        <v>36673.86</v>
      </c>
      <c r="D139" s="42">
        <v>45894</v>
      </c>
      <c r="E139" s="43" t="s">
        <v>2</v>
      </c>
      <c r="F139" s="41">
        <v>0</v>
      </c>
      <c r="G139" s="41">
        <v>0</v>
      </c>
      <c r="H139" s="41">
        <v>36673.86</v>
      </c>
      <c r="I139" s="43">
        <v>90</v>
      </c>
      <c r="J139" s="43">
        <v>9</v>
      </c>
      <c r="K139" s="44">
        <v>3000000</v>
      </c>
      <c r="L139" s="43" t="s">
        <v>992</v>
      </c>
      <c r="M139" s="45">
        <v>45984</v>
      </c>
      <c r="N139" s="41">
        <v>36673.86</v>
      </c>
      <c r="O139" s="42">
        <v>45929</v>
      </c>
      <c r="P139" s="46"/>
      <c r="Q139" s="41">
        <v>36673.86</v>
      </c>
    </row>
    <row r="140" spans="1:17" ht="12" customHeight="1" x14ac:dyDescent="0.3">
      <c r="A140" s="39"/>
      <c r="B140" s="40" t="s">
        <v>1129</v>
      </c>
      <c r="C140" s="41">
        <v>62867.99</v>
      </c>
      <c r="D140" s="42">
        <v>45894</v>
      </c>
      <c r="E140" s="43" t="s">
        <v>2</v>
      </c>
      <c r="F140" s="41">
        <v>0</v>
      </c>
      <c r="G140" s="41">
        <v>0</v>
      </c>
      <c r="H140" s="41">
        <v>62867.99</v>
      </c>
      <c r="I140" s="43">
        <v>90</v>
      </c>
      <c r="J140" s="43">
        <v>9</v>
      </c>
      <c r="K140" s="44">
        <v>3000000</v>
      </c>
      <c r="L140" s="43" t="s">
        <v>992</v>
      </c>
      <c r="M140" s="45">
        <v>45984</v>
      </c>
      <c r="N140" s="41">
        <v>62867.99</v>
      </c>
      <c r="O140" s="42">
        <v>45929</v>
      </c>
      <c r="P140" s="46"/>
      <c r="Q140" s="41">
        <v>62867.99</v>
      </c>
    </row>
    <row r="141" spans="1:17" ht="12" customHeight="1" x14ac:dyDescent="0.3">
      <c r="A141" s="39"/>
      <c r="B141" s="40" t="s">
        <v>1130</v>
      </c>
      <c r="C141" s="41">
        <v>29856.79</v>
      </c>
      <c r="D141" s="42">
        <v>45894</v>
      </c>
      <c r="E141" s="43" t="s">
        <v>2</v>
      </c>
      <c r="F141" s="41">
        <v>0</v>
      </c>
      <c r="G141" s="41">
        <v>0</v>
      </c>
      <c r="H141" s="41">
        <v>29856.79</v>
      </c>
      <c r="I141" s="43">
        <v>90</v>
      </c>
      <c r="J141" s="43">
        <v>9</v>
      </c>
      <c r="K141" s="44">
        <v>3000000</v>
      </c>
      <c r="L141" s="43" t="s">
        <v>992</v>
      </c>
      <c r="M141" s="45">
        <v>45984</v>
      </c>
      <c r="N141" s="41">
        <v>29856.79</v>
      </c>
      <c r="O141" s="42">
        <v>45929</v>
      </c>
      <c r="P141" s="46"/>
      <c r="Q141" s="41">
        <v>29856.79</v>
      </c>
    </row>
    <row r="142" spans="1:17" ht="12" customHeight="1" x14ac:dyDescent="0.3">
      <c r="A142" s="39"/>
      <c r="B142" s="40" t="s">
        <v>1131</v>
      </c>
      <c r="C142" s="41">
        <v>62867.99</v>
      </c>
      <c r="D142" s="42">
        <v>45894</v>
      </c>
      <c r="E142" s="43" t="s">
        <v>2</v>
      </c>
      <c r="F142" s="41">
        <v>0</v>
      </c>
      <c r="G142" s="41">
        <v>0</v>
      </c>
      <c r="H142" s="41">
        <v>62867.99</v>
      </c>
      <c r="I142" s="43">
        <v>90</v>
      </c>
      <c r="J142" s="43">
        <v>9</v>
      </c>
      <c r="K142" s="44">
        <v>3000000</v>
      </c>
      <c r="L142" s="43" t="s">
        <v>992</v>
      </c>
      <c r="M142" s="45">
        <v>45984</v>
      </c>
      <c r="N142" s="41">
        <v>62867.99</v>
      </c>
      <c r="O142" s="42">
        <v>45936</v>
      </c>
      <c r="P142" s="46"/>
      <c r="Q142" s="41">
        <v>62867.99</v>
      </c>
    </row>
    <row r="143" spans="1:17" ht="12" customHeight="1" x14ac:dyDescent="0.3">
      <c r="A143" s="39"/>
      <c r="B143" s="40" t="s">
        <v>1132</v>
      </c>
      <c r="C143" s="41">
        <v>62867.98</v>
      </c>
      <c r="D143" s="42">
        <v>45894</v>
      </c>
      <c r="E143" s="43" t="s">
        <v>2</v>
      </c>
      <c r="F143" s="41">
        <v>0</v>
      </c>
      <c r="G143" s="41">
        <v>0</v>
      </c>
      <c r="H143" s="41">
        <v>62867.98</v>
      </c>
      <c r="I143" s="43">
        <v>90</v>
      </c>
      <c r="J143" s="43">
        <v>9</v>
      </c>
      <c r="K143" s="44">
        <v>3000000</v>
      </c>
      <c r="L143" s="43" t="s">
        <v>992</v>
      </c>
      <c r="M143" s="45">
        <v>45984</v>
      </c>
      <c r="N143" s="41">
        <v>62867.98</v>
      </c>
      <c r="O143" s="42">
        <v>45936</v>
      </c>
      <c r="P143" s="46"/>
      <c r="Q143" s="41">
        <v>62867.98</v>
      </c>
    </row>
    <row r="144" spans="1:17" ht="12" customHeight="1" x14ac:dyDescent="0.3">
      <c r="A144" s="39"/>
      <c r="B144" s="40" t="s">
        <v>1133</v>
      </c>
      <c r="C144" s="41">
        <v>62867.99</v>
      </c>
      <c r="D144" s="42">
        <v>45894</v>
      </c>
      <c r="E144" s="43" t="s">
        <v>2</v>
      </c>
      <c r="F144" s="41">
        <v>0</v>
      </c>
      <c r="G144" s="41">
        <v>0</v>
      </c>
      <c r="H144" s="41">
        <v>62867.99</v>
      </c>
      <c r="I144" s="43">
        <v>90</v>
      </c>
      <c r="J144" s="43">
        <v>9</v>
      </c>
      <c r="K144" s="44">
        <v>3000000</v>
      </c>
      <c r="L144" s="43" t="s">
        <v>992</v>
      </c>
      <c r="M144" s="45">
        <v>45984</v>
      </c>
      <c r="N144" s="41">
        <v>62867.99</v>
      </c>
      <c r="O144" s="42">
        <v>45940</v>
      </c>
      <c r="P144" s="46"/>
      <c r="Q144" s="41">
        <v>62867.99</v>
      </c>
    </row>
    <row r="145" spans="1:17" ht="12" customHeight="1" x14ac:dyDescent="0.3">
      <c r="A145" s="39"/>
      <c r="B145" s="40" t="s">
        <v>1134</v>
      </c>
      <c r="C145" s="41">
        <v>62868</v>
      </c>
      <c r="D145" s="42">
        <v>45894</v>
      </c>
      <c r="E145" s="43" t="s">
        <v>2</v>
      </c>
      <c r="F145" s="41">
        <v>0</v>
      </c>
      <c r="G145" s="41">
        <v>0</v>
      </c>
      <c r="H145" s="41">
        <v>62868</v>
      </c>
      <c r="I145" s="43">
        <v>90</v>
      </c>
      <c r="J145" s="43">
        <v>9</v>
      </c>
      <c r="K145" s="44">
        <v>3000000</v>
      </c>
      <c r="L145" s="43" t="s">
        <v>992</v>
      </c>
      <c r="M145" s="45">
        <v>45984</v>
      </c>
      <c r="N145" s="41">
        <v>62868</v>
      </c>
      <c r="O145" s="42">
        <v>45940</v>
      </c>
      <c r="P145" s="46"/>
      <c r="Q145" s="41">
        <v>62868</v>
      </c>
    </row>
    <row r="146" spans="1:17" ht="12" customHeight="1" x14ac:dyDescent="0.3">
      <c r="A146" s="39"/>
      <c r="B146" s="40" t="s">
        <v>1135</v>
      </c>
      <c r="C146" s="41">
        <v>62867.99</v>
      </c>
      <c r="D146" s="42">
        <v>45894</v>
      </c>
      <c r="E146" s="43" t="s">
        <v>2</v>
      </c>
      <c r="F146" s="41">
        <v>0</v>
      </c>
      <c r="G146" s="41">
        <v>0</v>
      </c>
      <c r="H146" s="41">
        <v>62867.99</v>
      </c>
      <c r="I146" s="43">
        <v>90</v>
      </c>
      <c r="J146" s="43">
        <v>9</v>
      </c>
      <c r="K146" s="44">
        <v>3000000</v>
      </c>
      <c r="L146" s="43" t="s">
        <v>992</v>
      </c>
      <c r="M146" s="45">
        <v>45984</v>
      </c>
      <c r="N146" s="41">
        <v>62867.99</v>
      </c>
      <c r="O146" s="42">
        <v>45940</v>
      </c>
      <c r="P146" s="46"/>
      <c r="Q146" s="41">
        <v>62867.99</v>
      </c>
    </row>
    <row r="147" spans="1:17" ht="12" customHeight="1" x14ac:dyDescent="0.3">
      <c r="A147" s="39"/>
      <c r="B147" s="40" t="s">
        <v>1136</v>
      </c>
      <c r="C147" s="41">
        <v>62867.99</v>
      </c>
      <c r="D147" s="42">
        <v>45894</v>
      </c>
      <c r="E147" s="43" t="s">
        <v>2</v>
      </c>
      <c r="F147" s="41">
        <v>0</v>
      </c>
      <c r="G147" s="41">
        <v>0</v>
      </c>
      <c r="H147" s="41">
        <v>62867.99</v>
      </c>
      <c r="I147" s="43">
        <v>90</v>
      </c>
      <c r="J147" s="43">
        <v>9</v>
      </c>
      <c r="K147" s="44">
        <v>3000000</v>
      </c>
      <c r="L147" s="43" t="s">
        <v>992</v>
      </c>
      <c r="M147" s="45">
        <v>45984</v>
      </c>
      <c r="N147" s="41">
        <v>62867.99</v>
      </c>
      <c r="O147" s="42">
        <v>45940</v>
      </c>
      <c r="P147" s="46"/>
      <c r="Q147" s="41">
        <v>62867.99</v>
      </c>
    </row>
    <row r="148" spans="1:17" ht="12" customHeight="1" x14ac:dyDescent="0.3">
      <c r="A148" s="39"/>
      <c r="B148" s="40" t="s">
        <v>1137</v>
      </c>
      <c r="C148" s="41">
        <v>62867.99</v>
      </c>
      <c r="D148" s="42">
        <v>45894</v>
      </c>
      <c r="E148" s="43" t="s">
        <v>2</v>
      </c>
      <c r="F148" s="41">
        <v>0</v>
      </c>
      <c r="G148" s="41">
        <v>0</v>
      </c>
      <c r="H148" s="41">
        <v>62867.99</v>
      </c>
      <c r="I148" s="43">
        <v>90</v>
      </c>
      <c r="J148" s="43">
        <v>9</v>
      </c>
      <c r="K148" s="44">
        <v>3000000</v>
      </c>
      <c r="L148" s="43" t="s">
        <v>992</v>
      </c>
      <c r="M148" s="45">
        <v>45984</v>
      </c>
      <c r="N148" s="41">
        <v>62867.99</v>
      </c>
      <c r="O148" s="42">
        <v>45940</v>
      </c>
      <c r="P148" s="46"/>
      <c r="Q148" s="41">
        <v>62867.99</v>
      </c>
    </row>
    <row r="149" spans="1:17" ht="12" customHeight="1" x14ac:dyDescent="0.3">
      <c r="A149" s="39"/>
      <c r="B149" s="40" t="s">
        <v>1138</v>
      </c>
      <c r="C149" s="41">
        <v>6539.19</v>
      </c>
      <c r="D149" s="42">
        <v>45894</v>
      </c>
      <c r="E149" s="43" t="s">
        <v>2</v>
      </c>
      <c r="F149" s="41">
        <v>0</v>
      </c>
      <c r="G149" s="41">
        <v>0</v>
      </c>
      <c r="H149" s="41">
        <v>6539.19</v>
      </c>
      <c r="I149" s="43">
        <v>90</v>
      </c>
      <c r="J149" s="43">
        <v>9</v>
      </c>
      <c r="K149" s="44">
        <v>3000000</v>
      </c>
      <c r="L149" s="43" t="s">
        <v>992</v>
      </c>
      <c r="M149" s="45">
        <v>45984</v>
      </c>
      <c r="N149" s="41">
        <v>6539.19</v>
      </c>
      <c r="O149" s="42">
        <v>45940</v>
      </c>
      <c r="P149" s="46"/>
      <c r="Q149" s="41">
        <v>6539.19</v>
      </c>
    </row>
    <row r="150" spans="1:17" ht="12" customHeight="1" x14ac:dyDescent="0.3">
      <c r="A150" s="39"/>
      <c r="B150" s="40" t="s">
        <v>1139</v>
      </c>
      <c r="C150" s="41">
        <v>10810</v>
      </c>
      <c r="D150" s="42">
        <v>45894</v>
      </c>
      <c r="E150" s="43" t="s">
        <v>2</v>
      </c>
      <c r="F150" s="41">
        <v>0</v>
      </c>
      <c r="G150" s="41">
        <v>0</v>
      </c>
      <c r="H150" s="41">
        <v>10810</v>
      </c>
      <c r="I150" s="43">
        <v>90</v>
      </c>
      <c r="J150" s="43">
        <v>9</v>
      </c>
      <c r="K150" s="44">
        <v>3000000</v>
      </c>
      <c r="L150" s="43" t="s">
        <v>992</v>
      </c>
      <c r="M150" s="45">
        <v>45984</v>
      </c>
      <c r="N150" s="41">
        <v>10810</v>
      </c>
      <c r="O150" s="42">
        <v>45940</v>
      </c>
      <c r="P150" s="46"/>
      <c r="Q150" s="41">
        <v>10810</v>
      </c>
    </row>
    <row r="151" spans="1:17" ht="12" customHeight="1" x14ac:dyDescent="0.3">
      <c r="A151" s="39"/>
      <c r="B151" s="40" t="s">
        <v>1140</v>
      </c>
      <c r="C151" s="41">
        <v>269.10000000000002</v>
      </c>
      <c r="D151" s="42">
        <v>45894</v>
      </c>
      <c r="E151" s="43" t="s">
        <v>2</v>
      </c>
      <c r="F151" s="41">
        <v>0</v>
      </c>
      <c r="G151" s="41">
        <v>0</v>
      </c>
      <c r="H151" s="41">
        <v>269.10000000000002</v>
      </c>
      <c r="I151" s="43">
        <v>90</v>
      </c>
      <c r="J151" s="43">
        <v>9</v>
      </c>
      <c r="K151" s="44">
        <v>3000000</v>
      </c>
      <c r="L151" s="43" t="s">
        <v>992</v>
      </c>
      <c r="M151" s="45">
        <v>45984</v>
      </c>
      <c r="N151" s="41">
        <v>269.10000000000002</v>
      </c>
      <c r="O151" s="42">
        <v>45940</v>
      </c>
      <c r="P151" s="46"/>
      <c r="Q151" s="41">
        <v>269.10000000000002</v>
      </c>
    </row>
    <row r="152" spans="1:17" ht="12" customHeight="1" x14ac:dyDescent="0.3">
      <c r="A152" s="39"/>
      <c r="B152" s="40" t="s">
        <v>1141</v>
      </c>
      <c r="C152" s="41">
        <v>6018</v>
      </c>
      <c r="D152" s="42">
        <v>45894</v>
      </c>
      <c r="E152" s="43" t="s">
        <v>2</v>
      </c>
      <c r="F152" s="41">
        <v>0</v>
      </c>
      <c r="G152" s="41">
        <v>0</v>
      </c>
      <c r="H152" s="41">
        <v>6018</v>
      </c>
      <c r="I152" s="43">
        <v>90</v>
      </c>
      <c r="J152" s="43">
        <v>9</v>
      </c>
      <c r="K152" s="44">
        <v>3000000</v>
      </c>
      <c r="L152" s="43" t="s">
        <v>992</v>
      </c>
      <c r="M152" s="45">
        <v>45984</v>
      </c>
      <c r="N152" s="41">
        <v>6018</v>
      </c>
      <c r="O152" s="42">
        <v>45940</v>
      </c>
      <c r="P152" s="46"/>
      <c r="Q152" s="41">
        <v>6018</v>
      </c>
    </row>
    <row r="153" spans="1:17" ht="12" customHeight="1" x14ac:dyDescent="0.3">
      <c r="A153" s="39"/>
      <c r="B153" s="40" t="s">
        <v>1142</v>
      </c>
      <c r="C153" s="41">
        <v>62867.99</v>
      </c>
      <c r="D153" s="42">
        <v>45894</v>
      </c>
      <c r="E153" s="43" t="s">
        <v>2</v>
      </c>
      <c r="F153" s="41">
        <v>0</v>
      </c>
      <c r="G153" s="41">
        <v>0</v>
      </c>
      <c r="H153" s="41">
        <v>62867.99</v>
      </c>
      <c r="I153" s="43">
        <v>90</v>
      </c>
      <c r="J153" s="43">
        <v>9</v>
      </c>
      <c r="K153" s="44">
        <v>3000000</v>
      </c>
      <c r="L153" s="43" t="s">
        <v>992</v>
      </c>
      <c r="M153" s="45">
        <v>45984</v>
      </c>
      <c r="N153" s="41">
        <v>62867.99</v>
      </c>
      <c r="O153" s="42">
        <v>45940</v>
      </c>
      <c r="P153" s="46"/>
      <c r="Q153" s="41">
        <v>62867.99</v>
      </c>
    </row>
    <row r="154" spans="1:17" ht="12" customHeight="1" x14ac:dyDescent="0.3">
      <c r="A154" s="39"/>
      <c r="B154" s="40" t="s">
        <v>1143</v>
      </c>
      <c r="C154" s="41">
        <v>62868</v>
      </c>
      <c r="D154" s="42">
        <v>45894</v>
      </c>
      <c r="E154" s="43" t="s">
        <v>2</v>
      </c>
      <c r="F154" s="41">
        <v>0</v>
      </c>
      <c r="G154" s="41">
        <v>0</v>
      </c>
      <c r="H154" s="41">
        <v>62868</v>
      </c>
      <c r="I154" s="43">
        <v>90</v>
      </c>
      <c r="J154" s="43">
        <v>9</v>
      </c>
      <c r="K154" s="44">
        <v>3000000</v>
      </c>
      <c r="L154" s="43" t="s">
        <v>992</v>
      </c>
      <c r="M154" s="45">
        <v>45984</v>
      </c>
      <c r="N154" s="41">
        <v>62868</v>
      </c>
      <c r="O154" s="42">
        <v>45940</v>
      </c>
      <c r="P154" s="46"/>
      <c r="Q154" s="41">
        <v>62868</v>
      </c>
    </row>
    <row r="155" spans="1:17" ht="12" customHeight="1" x14ac:dyDescent="0.3">
      <c r="A155" s="39"/>
      <c r="B155" s="40" t="s">
        <v>1144</v>
      </c>
      <c r="C155" s="41">
        <v>172114.8</v>
      </c>
      <c r="D155" s="42">
        <v>45895</v>
      </c>
      <c r="E155" s="43" t="s">
        <v>2</v>
      </c>
      <c r="F155" s="41">
        <v>0</v>
      </c>
      <c r="G155" s="41">
        <v>0</v>
      </c>
      <c r="H155" s="41">
        <v>172114.8</v>
      </c>
      <c r="I155" s="43">
        <v>90</v>
      </c>
      <c r="J155" s="43">
        <v>197</v>
      </c>
      <c r="K155" s="44">
        <v>5000000</v>
      </c>
      <c r="L155" s="43" t="s">
        <v>992</v>
      </c>
      <c r="M155" s="45">
        <v>45985</v>
      </c>
      <c r="N155" s="41">
        <v>172114.8</v>
      </c>
      <c r="O155" s="42">
        <v>45901</v>
      </c>
      <c r="P155" s="46"/>
      <c r="Q155" s="41">
        <v>172114.8</v>
      </c>
    </row>
    <row r="156" spans="1:17" ht="12" customHeight="1" x14ac:dyDescent="0.3">
      <c r="A156" s="39"/>
      <c r="B156" s="40" t="s">
        <v>1145</v>
      </c>
      <c r="C156" s="41">
        <v>172114.8</v>
      </c>
      <c r="D156" s="42">
        <v>45895</v>
      </c>
      <c r="E156" s="43" t="s">
        <v>2</v>
      </c>
      <c r="F156" s="41">
        <v>0</v>
      </c>
      <c r="G156" s="41">
        <v>0</v>
      </c>
      <c r="H156" s="41">
        <v>172114.8</v>
      </c>
      <c r="I156" s="43">
        <v>90</v>
      </c>
      <c r="J156" s="43">
        <v>197</v>
      </c>
      <c r="K156" s="44">
        <v>5000000</v>
      </c>
      <c r="L156" s="43" t="s">
        <v>992</v>
      </c>
      <c r="M156" s="45">
        <v>45985</v>
      </c>
      <c r="N156" s="41">
        <v>172114.8</v>
      </c>
      <c r="O156" s="42">
        <v>45901</v>
      </c>
      <c r="P156" s="46"/>
      <c r="Q156" s="41">
        <v>172114.8</v>
      </c>
    </row>
    <row r="157" spans="1:17" ht="12" customHeight="1" x14ac:dyDescent="0.3">
      <c r="A157" s="39"/>
      <c r="B157" s="40" t="s">
        <v>1146</v>
      </c>
      <c r="C157" s="41">
        <v>468</v>
      </c>
      <c r="D157" s="42">
        <v>45895</v>
      </c>
      <c r="E157" s="43" t="s">
        <v>2</v>
      </c>
      <c r="F157" s="41">
        <v>0</v>
      </c>
      <c r="G157" s="41">
        <v>0</v>
      </c>
      <c r="H157" s="41">
        <v>468</v>
      </c>
      <c r="I157" s="43">
        <v>90</v>
      </c>
      <c r="J157" s="43">
        <v>9</v>
      </c>
      <c r="K157" s="44">
        <v>3000000</v>
      </c>
      <c r="L157" s="43" t="s">
        <v>992</v>
      </c>
      <c r="M157" s="45">
        <v>45985</v>
      </c>
      <c r="N157" s="41">
        <v>468</v>
      </c>
      <c r="O157" s="42">
        <v>45940</v>
      </c>
      <c r="P157" s="46"/>
      <c r="Q157" s="41">
        <v>468</v>
      </c>
    </row>
    <row r="158" spans="1:17" ht="12" customHeight="1" x14ac:dyDescent="0.3">
      <c r="A158" s="39"/>
      <c r="B158" s="40" t="s">
        <v>1147</v>
      </c>
      <c r="C158" s="41">
        <v>15148.42</v>
      </c>
      <c r="D158" s="42">
        <v>45895</v>
      </c>
      <c r="E158" s="43" t="s">
        <v>2</v>
      </c>
      <c r="F158" s="41">
        <v>0</v>
      </c>
      <c r="G158" s="41">
        <v>0</v>
      </c>
      <c r="H158" s="41">
        <v>15148.42</v>
      </c>
      <c r="I158" s="43">
        <v>90</v>
      </c>
      <c r="J158" s="43">
        <v>9</v>
      </c>
      <c r="K158" s="44">
        <v>3000000</v>
      </c>
      <c r="L158" s="43" t="s">
        <v>992</v>
      </c>
      <c r="M158" s="45">
        <v>45985</v>
      </c>
      <c r="N158" s="41">
        <v>15148.42</v>
      </c>
      <c r="O158" s="42">
        <v>45940</v>
      </c>
      <c r="P158" s="46"/>
      <c r="Q158" s="41">
        <v>15148.42</v>
      </c>
    </row>
    <row r="159" spans="1:17" ht="12" customHeight="1" x14ac:dyDescent="0.3">
      <c r="A159" s="39"/>
      <c r="B159" s="40" t="s">
        <v>1148</v>
      </c>
      <c r="C159" s="41">
        <v>413700</v>
      </c>
      <c r="D159" s="42">
        <v>45895</v>
      </c>
      <c r="E159" s="43" t="s">
        <v>2</v>
      </c>
      <c r="F159" s="41">
        <v>0</v>
      </c>
      <c r="G159" s="41">
        <v>0</v>
      </c>
      <c r="H159" s="41">
        <v>413700</v>
      </c>
      <c r="I159" s="43">
        <v>90</v>
      </c>
      <c r="J159" s="43">
        <v>197</v>
      </c>
      <c r="K159" s="44">
        <v>5000000</v>
      </c>
      <c r="L159" s="43" t="s">
        <v>992</v>
      </c>
      <c r="M159" s="45">
        <v>45985</v>
      </c>
      <c r="N159" s="41">
        <v>413700</v>
      </c>
      <c r="O159" s="42">
        <v>45901</v>
      </c>
      <c r="P159" s="46"/>
      <c r="Q159" s="41">
        <v>413700</v>
      </c>
    </row>
    <row r="160" spans="1:17" ht="12" customHeight="1" x14ac:dyDescent="0.3">
      <c r="A160" s="39"/>
      <c r="B160" s="40" t="s">
        <v>1149</v>
      </c>
      <c r="C160" s="41">
        <v>336.38</v>
      </c>
      <c r="D160" s="42">
        <v>45896</v>
      </c>
      <c r="E160" s="43" t="s">
        <v>2</v>
      </c>
      <c r="F160" s="41">
        <v>0</v>
      </c>
      <c r="G160" s="41">
        <v>0</v>
      </c>
      <c r="H160" s="41">
        <v>336.38</v>
      </c>
      <c r="I160" s="43">
        <v>90</v>
      </c>
      <c r="J160" s="43">
        <v>9</v>
      </c>
      <c r="K160" s="44">
        <v>3000000</v>
      </c>
      <c r="L160" s="43" t="s">
        <v>992</v>
      </c>
      <c r="M160" s="45">
        <v>45986</v>
      </c>
      <c r="N160" s="41">
        <v>336.38</v>
      </c>
      <c r="O160" s="42">
        <v>45940</v>
      </c>
      <c r="P160" s="46"/>
      <c r="Q160" s="41">
        <v>336.38</v>
      </c>
    </row>
    <row r="161" spans="1:17" ht="12" customHeight="1" x14ac:dyDescent="0.3">
      <c r="A161" s="39"/>
      <c r="B161" s="40" t="s">
        <v>1150</v>
      </c>
      <c r="C161" s="41">
        <v>301.5</v>
      </c>
      <c r="D161" s="42">
        <v>45896</v>
      </c>
      <c r="E161" s="43" t="s">
        <v>2</v>
      </c>
      <c r="F161" s="41">
        <v>0</v>
      </c>
      <c r="G161" s="41">
        <v>0</v>
      </c>
      <c r="H161" s="41">
        <v>301.5</v>
      </c>
      <c r="I161" s="43">
        <v>90</v>
      </c>
      <c r="J161" s="43">
        <v>9</v>
      </c>
      <c r="K161" s="44">
        <v>3000000</v>
      </c>
      <c r="L161" s="43" t="s">
        <v>992</v>
      </c>
      <c r="M161" s="45">
        <v>45986</v>
      </c>
      <c r="N161" s="41">
        <v>301.5</v>
      </c>
      <c r="O161" s="42">
        <v>45940</v>
      </c>
      <c r="P161" s="46"/>
      <c r="Q161" s="41">
        <v>301.5</v>
      </c>
    </row>
    <row r="162" spans="1:17" ht="12" customHeight="1" x14ac:dyDescent="0.3">
      <c r="A162" s="39"/>
      <c r="B162" s="40" t="s">
        <v>1151</v>
      </c>
      <c r="C162" s="41">
        <v>7664.61</v>
      </c>
      <c r="D162" s="42">
        <v>45896</v>
      </c>
      <c r="E162" s="43" t="s">
        <v>2</v>
      </c>
      <c r="F162" s="41">
        <v>0</v>
      </c>
      <c r="G162" s="41">
        <v>0</v>
      </c>
      <c r="H162" s="41">
        <v>7664.61</v>
      </c>
      <c r="I162" s="43">
        <v>90</v>
      </c>
      <c r="J162" s="43">
        <v>9</v>
      </c>
      <c r="K162" s="44">
        <v>3000000</v>
      </c>
      <c r="L162" s="43" t="s">
        <v>992</v>
      </c>
      <c r="M162" s="45">
        <v>45986</v>
      </c>
      <c r="N162" s="41">
        <v>7664.61</v>
      </c>
      <c r="O162" s="42">
        <v>45940</v>
      </c>
      <c r="P162" s="46"/>
      <c r="Q162" s="41">
        <v>7664.61</v>
      </c>
    </row>
    <row r="163" spans="1:17" ht="12" customHeight="1" x14ac:dyDescent="0.3">
      <c r="A163" s="39"/>
      <c r="B163" s="40" t="s">
        <v>1152</v>
      </c>
      <c r="C163" s="41">
        <v>3106.89</v>
      </c>
      <c r="D163" s="42">
        <v>45896</v>
      </c>
      <c r="E163" s="43" t="s">
        <v>2</v>
      </c>
      <c r="F163" s="41">
        <v>0</v>
      </c>
      <c r="G163" s="41">
        <v>0</v>
      </c>
      <c r="H163" s="41">
        <v>3106.89</v>
      </c>
      <c r="I163" s="43">
        <v>90</v>
      </c>
      <c r="J163" s="43">
        <v>9</v>
      </c>
      <c r="K163" s="44">
        <v>3000000</v>
      </c>
      <c r="L163" s="43" t="s">
        <v>992</v>
      </c>
      <c r="M163" s="45">
        <v>45986</v>
      </c>
      <c r="N163" s="41">
        <v>3106.89</v>
      </c>
      <c r="O163" s="42">
        <v>45940</v>
      </c>
      <c r="P163" s="46"/>
      <c r="Q163" s="41">
        <v>3106.89</v>
      </c>
    </row>
    <row r="164" spans="1:17" ht="12" customHeight="1" x14ac:dyDescent="0.3">
      <c r="A164" s="39"/>
      <c r="B164" s="40" t="s">
        <v>1153</v>
      </c>
      <c r="C164" s="41">
        <v>12961.51</v>
      </c>
      <c r="D164" s="42">
        <v>45896</v>
      </c>
      <c r="E164" s="43" t="s">
        <v>2</v>
      </c>
      <c r="F164" s="41">
        <v>0</v>
      </c>
      <c r="G164" s="41">
        <v>0</v>
      </c>
      <c r="H164" s="41">
        <v>12961.51</v>
      </c>
      <c r="I164" s="43">
        <v>90</v>
      </c>
      <c r="J164" s="43">
        <v>9</v>
      </c>
      <c r="K164" s="44">
        <v>3000000</v>
      </c>
      <c r="L164" s="43" t="s">
        <v>992</v>
      </c>
      <c r="M164" s="45">
        <v>45986</v>
      </c>
      <c r="N164" s="41">
        <v>12961.51</v>
      </c>
      <c r="O164" s="42">
        <v>45940</v>
      </c>
      <c r="P164" s="46"/>
      <c r="Q164" s="41">
        <v>12961.51</v>
      </c>
    </row>
    <row r="165" spans="1:17" ht="12" customHeight="1" x14ac:dyDescent="0.3">
      <c r="A165" s="39"/>
      <c r="B165" s="40" t="s">
        <v>1154</v>
      </c>
      <c r="C165" s="41">
        <v>616090.68000000005</v>
      </c>
      <c r="D165" s="42">
        <v>45896</v>
      </c>
      <c r="E165" s="43" t="s">
        <v>2</v>
      </c>
      <c r="F165" s="41">
        <v>0</v>
      </c>
      <c r="G165" s="41">
        <v>0</v>
      </c>
      <c r="H165" s="41">
        <v>616090.68000000005</v>
      </c>
      <c r="I165" s="43">
        <v>90</v>
      </c>
      <c r="J165" s="43">
        <v>8</v>
      </c>
      <c r="K165" s="44">
        <v>3000000</v>
      </c>
      <c r="L165" s="43" t="s">
        <v>992</v>
      </c>
      <c r="M165" s="45">
        <v>45986</v>
      </c>
      <c r="N165" s="41">
        <v>616090.68000000005</v>
      </c>
      <c r="O165" s="42">
        <v>45930</v>
      </c>
      <c r="P165" s="46"/>
      <c r="Q165" s="41">
        <v>616090.68000000005</v>
      </c>
    </row>
    <row r="166" spans="1:17" ht="12" customHeight="1" x14ac:dyDescent="0.3">
      <c r="A166" s="39"/>
      <c r="B166" s="40" t="s">
        <v>1155</v>
      </c>
      <c r="C166" s="41">
        <v>114323.34</v>
      </c>
      <c r="D166" s="42">
        <v>45896</v>
      </c>
      <c r="E166" s="43" t="s">
        <v>2</v>
      </c>
      <c r="F166" s="41">
        <v>0</v>
      </c>
      <c r="G166" s="41">
        <v>0</v>
      </c>
      <c r="H166" s="41">
        <v>114323.34</v>
      </c>
      <c r="I166" s="43">
        <v>90</v>
      </c>
      <c r="J166" s="43">
        <v>197</v>
      </c>
      <c r="K166" s="44">
        <v>5000000</v>
      </c>
      <c r="L166" s="43" t="s">
        <v>992</v>
      </c>
      <c r="M166" s="45">
        <v>45986</v>
      </c>
      <c r="N166" s="41">
        <v>114323.34</v>
      </c>
      <c r="O166" s="42">
        <v>45901</v>
      </c>
      <c r="P166" s="46"/>
      <c r="Q166" s="41">
        <v>114323.34</v>
      </c>
    </row>
    <row r="167" spans="1:17" ht="12" customHeight="1" x14ac:dyDescent="0.3">
      <c r="A167" s="39"/>
      <c r="B167" s="40" t="s">
        <v>1156</v>
      </c>
      <c r="C167" s="41">
        <v>539.99</v>
      </c>
      <c r="D167" s="42">
        <v>45897</v>
      </c>
      <c r="E167" s="43" t="s">
        <v>2</v>
      </c>
      <c r="F167" s="41">
        <v>0</v>
      </c>
      <c r="G167" s="41">
        <v>0</v>
      </c>
      <c r="H167" s="41">
        <v>539.99</v>
      </c>
      <c r="I167" s="43">
        <v>90</v>
      </c>
      <c r="J167" s="43">
        <v>9</v>
      </c>
      <c r="K167" s="44">
        <v>3000000</v>
      </c>
      <c r="L167" s="43" t="s">
        <v>992</v>
      </c>
      <c r="M167" s="45">
        <v>45987</v>
      </c>
      <c r="N167" s="41">
        <v>539.99</v>
      </c>
      <c r="O167" s="42">
        <v>45940</v>
      </c>
      <c r="P167" s="46"/>
      <c r="Q167" s="41">
        <v>539.99</v>
      </c>
    </row>
    <row r="168" spans="1:17" ht="12" customHeight="1" x14ac:dyDescent="0.3">
      <c r="A168" s="39"/>
      <c r="B168" s="40" t="s">
        <v>1157</v>
      </c>
      <c r="C168" s="41">
        <v>3802.93</v>
      </c>
      <c r="D168" s="42">
        <v>45897</v>
      </c>
      <c r="E168" s="43" t="s">
        <v>2</v>
      </c>
      <c r="F168" s="41">
        <v>0</v>
      </c>
      <c r="G168" s="41">
        <v>0</v>
      </c>
      <c r="H168" s="41">
        <v>3802.93</v>
      </c>
      <c r="I168" s="43">
        <v>90</v>
      </c>
      <c r="J168" s="43">
        <v>9</v>
      </c>
      <c r="K168" s="44">
        <v>3000000</v>
      </c>
      <c r="L168" s="43" t="s">
        <v>992</v>
      </c>
      <c r="M168" s="45">
        <v>45987</v>
      </c>
      <c r="N168" s="41">
        <v>3802.93</v>
      </c>
      <c r="O168" s="42">
        <v>45940</v>
      </c>
      <c r="P168" s="46"/>
      <c r="Q168" s="41">
        <v>3802.93</v>
      </c>
    </row>
    <row r="169" spans="1:17" ht="12" customHeight="1" x14ac:dyDescent="0.3">
      <c r="A169" s="39"/>
      <c r="B169" s="40" t="s">
        <v>1158</v>
      </c>
      <c r="C169" s="41">
        <v>7418</v>
      </c>
      <c r="D169" s="42">
        <v>45897</v>
      </c>
      <c r="E169" s="43" t="s">
        <v>2</v>
      </c>
      <c r="F169" s="41">
        <v>0</v>
      </c>
      <c r="G169" s="41">
        <v>0</v>
      </c>
      <c r="H169" s="41">
        <v>7418</v>
      </c>
      <c r="I169" s="43">
        <v>90</v>
      </c>
      <c r="J169" s="43">
        <v>9</v>
      </c>
      <c r="K169" s="44">
        <v>3000000</v>
      </c>
      <c r="L169" s="43" t="s">
        <v>992</v>
      </c>
      <c r="M169" s="45">
        <v>45987</v>
      </c>
      <c r="N169" s="41">
        <v>7418</v>
      </c>
      <c r="O169" s="42">
        <v>45940</v>
      </c>
      <c r="P169" s="46"/>
      <c r="Q169" s="41">
        <v>7418</v>
      </c>
    </row>
    <row r="170" spans="1:17" ht="12" customHeight="1" x14ac:dyDescent="0.3">
      <c r="A170" s="39"/>
      <c r="B170" s="40" t="s">
        <v>1159</v>
      </c>
      <c r="C170" s="41">
        <v>7787.97</v>
      </c>
      <c r="D170" s="42">
        <v>45897</v>
      </c>
      <c r="E170" s="43" t="s">
        <v>2</v>
      </c>
      <c r="F170" s="41">
        <v>0</v>
      </c>
      <c r="G170" s="41">
        <v>0</v>
      </c>
      <c r="H170" s="41">
        <v>7787.97</v>
      </c>
      <c r="I170" s="43">
        <v>90</v>
      </c>
      <c r="J170" s="43">
        <v>9</v>
      </c>
      <c r="K170" s="44">
        <v>3000000</v>
      </c>
      <c r="L170" s="43" t="s">
        <v>992</v>
      </c>
      <c r="M170" s="45">
        <v>45987</v>
      </c>
      <c r="N170" s="41">
        <v>7787.97</v>
      </c>
      <c r="O170" s="42">
        <v>45940</v>
      </c>
      <c r="P170" s="46"/>
      <c r="Q170" s="41">
        <v>7787.97</v>
      </c>
    </row>
    <row r="171" spans="1:17" ht="12" customHeight="1" x14ac:dyDescent="0.3">
      <c r="A171" s="39"/>
      <c r="B171" s="40" t="s">
        <v>1160</v>
      </c>
      <c r="C171" s="41">
        <v>612.89</v>
      </c>
      <c r="D171" s="42">
        <v>45897</v>
      </c>
      <c r="E171" s="43" t="s">
        <v>2</v>
      </c>
      <c r="F171" s="41">
        <v>0</v>
      </c>
      <c r="G171" s="41">
        <v>0</v>
      </c>
      <c r="H171" s="41">
        <v>612.89</v>
      </c>
      <c r="I171" s="43">
        <v>90</v>
      </c>
      <c r="J171" s="43">
        <v>9</v>
      </c>
      <c r="K171" s="44">
        <v>3000000</v>
      </c>
      <c r="L171" s="43" t="s">
        <v>992</v>
      </c>
      <c r="M171" s="45">
        <v>45987</v>
      </c>
      <c r="N171" s="41">
        <v>612.89</v>
      </c>
      <c r="O171" s="42">
        <v>45940</v>
      </c>
      <c r="P171" s="46"/>
      <c r="Q171" s="41">
        <v>612.89</v>
      </c>
    </row>
    <row r="172" spans="1:17" ht="12" customHeight="1" x14ac:dyDescent="0.3">
      <c r="A172" s="39"/>
      <c r="B172" s="40" t="s">
        <v>1161</v>
      </c>
      <c r="C172" s="41">
        <v>134.55000000000001</v>
      </c>
      <c r="D172" s="42">
        <v>45897</v>
      </c>
      <c r="E172" s="43" t="s">
        <v>2</v>
      </c>
      <c r="F172" s="41">
        <v>0</v>
      </c>
      <c r="G172" s="41">
        <v>0</v>
      </c>
      <c r="H172" s="41">
        <v>134.55000000000001</v>
      </c>
      <c r="I172" s="43">
        <v>90</v>
      </c>
      <c r="J172" s="43">
        <v>9</v>
      </c>
      <c r="K172" s="44">
        <v>3000000</v>
      </c>
      <c r="L172" s="43" t="s">
        <v>992</v>
      </c>
      <c r="M172" s="45">
        <v>45987</v>
      </c>
      <c r="N172" s="41">
        <v>134.55000000000001</v>
      </c>
      <c r="O172" s="42">
        <v>45940</v>
      </c>
      <c r="P172" s="46"/>
      <c r="Q172" s="41">
        <v>134.55000000000001</v>
      </c>
    </row>
    <row r="173" spans="1:17" ht="12" customHeight="1" x14ac:dyDescent="0.3">
      <c r="A173" s="39"/>
      <c r="B173" s="40" t="s">
        <v>1162</v>
      </c>
      <c r="C173" s="41">
        <v>432</v>
      </c>
      <c r="D173" s="42">
        <v>45897</v>
      </c>
      <c r="E173" s="43" t="s">
        <v>2</v>
      </c>
      <c r="F173" s="41">
        <v>0</v>
      </c>
      <c r="G173" s="41">
        <v>0</v>
      </c>
      <c r="H173" s="41">
        <v>432</v>
      </c>
      <c r="I173" s="43">
        <v>90</v>
      </c>
      <c r="J173" s="43">
        <v>9</v>
      </c>
      <c r="K173" s="44">
        <v>3000000</v>
      </c>
      <c r="L173" s="43" t="s">
        <v>992</v>
      </c>
      <c r="M173" s="45">
        <v>45987</v>
      </c>
      <c r="N173" s="41">
        <v>432</v>
      </c>
      <c r="O173" s="42">
        <v>45940</v>
      </c>
      <c r="P173" s="46"/>
      <c r="Q173" s="41">
        <v>432</v>
      </c>
    </row>
    <row r="174" spans="1:17" ht="12" customHeight="1" x14ac:dyDescent="0.3">
      <c r="A174" s="39"/>
      <c r="B174" s="40" t="s">
        <v>1163</v>
      </c>
      <c r="C174" s="41">
        <v>1425</v>
      </c>
      <c r="D174" s="42">
        <v>45897</v>
      </c>
      <c r="E174" s="43" t="s">
        <v>2</v>
      </c>
      <c r="F174" s="41">
        <v>0</v>
      </c>
      <c r="G174" s="41">
        <v>0</v>
      </c>
      <c r="H174" s="41">
        <v>1425</v>
      </c>
      <c r="I174" s="43">
        <v>90</v>
      </c>
      <c r="J174" s="43">
        <v>9</v>
      </c>
      <c r="K174" s="44">
        <v>3000000</v>
      </c>
      <c r="L174" s="43" t="s">
        <v>992</v>
      </c>
      <c r="M174" s="45">
        <v>45987</v>
      </c>
      <c r="N174" s="41">
        <v>1425</v>
      </c>
      <c r="O174" s="42">
        <v>45940</v>
      </c>
      <c r="P174" s="46"/>
      <c r="Q174" s="41">
        <v>1425</v>
      </c>
    </row>
    <row r="175" spans="1:17" ht="12" customHeight="1" x14ac:dyDescent="0.3">
      <c r="A175" s="39"/>
      <c r="B175" s="40" t="s">
        <v>1164</v>
      </c>
      <c r="C175" s="41">
        <v>746.99</v>
      </c>
      <c r="D175" s="42">
        <v>45900</v>
      </c>
      <c r="E175" s="43" t="s">
        <v>2</v>
      </c>
      <c r="F175" s="41">
        <v>0</v>
      </c>
      <c r="G175" s="41">
        <v>0</v>
      </c>
      <c r="H175" s="41">
        <v>746.99</v>
      </c>
      <c r="I175" s="43">
        <v>90</v>
      </c>
      <c r="J175" s="43">
        <v>9</v>
      </c>
      <c r="K175" s="44">
        <v>3000000</v>
      </c>
      <c r="L175" s="43" t="s">
        <v>992</v>
      </c>
      <c r="M175" s="45">
        <v>45991</v>
      </c>
      <c r="N175" s="41">
        <v>746.99</v>
      </c>
      <c r="O175" s="42">
        <v>45940</v>
      </c>
      <c r="P175" s="46"/>
      <c r="Q175" s="41">
        <v>746.99</v>
      </c>
    </row>
    <row r="176" spans="1:17" ht="12" customHeight="1" x14ac:dyDescent="0.3">
      <c r="A176" s="39"/>
      <c r="B176" s="40" t="s">
        <v>1165</v>
      </c>
      <c r="C176" s="41">
        <v>700</v>
      </c>
      <c r="D176" s="42">
        <v>45900</v>
      </c>
      <c r="E176" s="43" t="s">
        <v>2</v>
      </c>
      <c r="F176" s="41">
        <v>0</v>
      </c>
      <c r="G176" s="41">
        <v>0</v>
      </c>
      <c r="H176" s="41">
        <v>700</v>
      </c>
      <c r="I176" s="43">
        <v>90</v>
      </c>
      <c r="J176" s="43">
        <v>9</v>
      </c>
      <c r="K176" s="44">
        <v>3000000</v>
      </c>
      <c r="L176" s="43" t="s">
        <v>992</v>
      </c>
      <c r="M176" s="45">
        <v>45991</v>
      </c>
      <c r="N176" s="41">
        <v>700</v>
      </c>
      <c r="O176" s="42">
        <v>45940</v>
      </c>
      <c r="P176" s="46"/>
      <c r="Q176" s="41">
        <v>700</v>
      </c>
    </row>
    <row r="177" spans="1:17" ht="12" customHeight="1" x14ac:dyDescent="0.3">
      <c r="A177" s="39"/>
      <c r="B177" s="40" t="s">
        <v>1166</v>
      </c>
      <c r="C177" s="41">
        <v>470.93</v>
      </c>
      <c r="D177" s="42">
        <v>45900</v>
      </c>
      <c r="E177" s="43" t="s">
        <v>2</v>
      </c>
      <c r="F177" s="41">
        <v>0</v>
      </c>
      <c r="G177" s="41">
        <v>0</v>
      </c>
      <c r="H177" s="41">
        <v>470.93</v>
      </c>
      <c r="I177" s="43">
        <v>90</v>
      </c>
      <c r="J177" s="43">
        <v>9</v>
      </c>
      <c r="K177" s="44">
        <v>3000000</v>
      </c>
      <c r="L177" s="43" t="s">
        <v>992</v>
      </c>
      <c r="M177" s="45">
        <v>45991</v>
      </c>
      <c r="N177" s="41">
        <v>470.93</v>
      </c>
      <c r="O177" s="42">
        <v>45940</v>
      </c>
      <c r="P177" s="46"/>
      <c r="Q177" s="41">
        <v>470.93</v>
      </c>
    </row>
    <row r="178" spans="1:17" ht="12" customHeight="1" x14ac:dyDescent="0.3">
      <c r="A178" s="39"/>
      <c r="B178" s="40" t="s">
        <v>1167</v>
      </c>
      <c r="C178" s="41">
        <v>2070</v>
      </c>
      <c r="D178" s="42">
        <v>45900</v>
      </c>
      <c r="E178" s="43" t="s">
        <v>2</v>
      </c>
      <c r="F178" s="41">
        <v>0</v>
      </c>
      <c r="G178" s="41">
        <v>0</v>
      </c>
      <c r="H178" s="41">
        <v>2070</v>
      </c>
      <c r="I178" s="43">
        <v>90</v>
      </c>
      <c r="J178" s="43">
        <v>9</v>
      </c>
      <c r="K178" s="44">
        <v>3000000</v>
      </c>
      <c r="L178" s="43" t="s">
        <v>992</v>
      </c>
      <c r="M178" s="45">
        <v>45991</v>
      </c>
      <c r="N178" s="41">
        <v>2070</v>
      </c>
      <c r="O178" s="42">
        <v>45940</v>
      </c>
      <c r="P178" s="46"/>
      <c r="Q178" s="41">
        <v>2070</v>
      </c>
    </row>
    <row r="179" spans="1:17" ht="12" customHeight="1" x14ac:dyDescent="0.3">
      <c r="A179" s="39"/>
      <c r="B179" s="40" t="s">
        <v>1168</v>
      </c>
      <c r="C179" s="41">
        <v>8448</v>
      </c>
      <c r="D179" s="42">
        <v>45900</v>
      </c>
      <c r="E179" s="43" t="s">
        <v>2</v>
      </c>
      <c r="F179" s="41">
        <v>0</v>
      </c>
      <c r="G179" s="41">
        <v>0</v>
      </c>
      <c r="H179" s="41">
        <v>8448</v>
      </c>
      <c r="I179" s="43">
        <v>90</v>
      </c>
      <c r="J179" s="43">
        <v>9</v>
      </c>
      <c r="K179" s="44">
        <v>3000000</v>
      </c>
      <c r="L179" s="43" t="s">
        <v>992</v>
      </c>
      <c r="M179" s="45">
        <v>45991</v>
      </c>
      <c r="N179" s="41">
        <v>8448</v>
      </c>
      <c r="O179" s="42">
        <v>45946</v>
      </c>
      <c r="P179" s="46"/>
      <c r="Q179" s="41">
        <v>8448</v>
      </c>
    </row>
    <row r="180" spans="1:17" ht="12" customHeight="1" x14ac:dyDescent="0.3">
      <c r="A180" s="39"/>
      <c r="B180" s="40" t="s">
        <v>1169</v>
      </c>
      <c r="C180" s="41">
        <v>1606.22</v>
      </c>
      <c r="D180" s="42">
        <v>45900</v>
      </c>
      <c r="E180" s="43" t="s">
        <v>2</v>
      </c>
      <c r="F180" s="41">
        <v>0</v>
      </c>
      <c r="G180" s="41">
        <v>0</v>
      </c>
      <c r="H180" s="41">
        <v>1606.22</v>
      </c>
      <c r="I180" s="43">
        <v>90</v>
      </c>
      <c r="J180" s="43">
        <v>9</v>
      </c>
      <c r="K180" s="44">
        <v>3000000</v>
      </c>
      <c r="L180" s="43" t="s">
        <v>992</v>
      </c>
      <c r="M180" s="45">
        <v>45991</v>
      </c>
      <c r="N180" s="41">
        <v>1606.22</v>
      </c>
      <c r="O180" s="42">
        <v>45946</v>
      </c>
      <c r="P180" s="46"/>
      <c r="Q180" s="41">
        <v>1606.22</v>
      </c>
    </row>
    <row r="181" spans="1:17" ht="12" customHeight="1" x14ac:dyDescent="0.3">
      <c r="A181" s="39"/>
      <c r="B181" s="40" t="s">
        <v>1170</v>
      </c>
      <c r="C181" s="41">
        <v>7166.8</v>
      </c>
      <c r="D181" s="42">
        <v>45900</v>
      </c>
      <c r="E181" s="43" t="s">
        <v>2</v>
      </c>
      <c r="F181" s="41">
        <v>0</v>
      </c>
      <c r="G181" s="41">
        <v>0</v>
      </c>
      <c r="H181" s="41">
        <v>7166.8</v>
      </c>
      <c r="I181" s="43">
        <v>90</v>
      </c>
      <c r="J181" s="43">
        <v>9</v>
      </c>
      <c r="K181" s="44">
        <v>3000000</v>
      </c>
      <c r="L181" s="43" t="s">
        <v>992</v>
      </c>
      <c r="M181" s="45">
        <v>45991</v>
      </c>
      <c r="N181" s="41">
        <v>7166.8</v>
      </c>
      <c r="O181" s="42">
        <v>45946</v>
      </c>
      <c r="P181" s="46"/>
      <c r="Q181" s="41">
        <v>7166.8</v>
      </c>
    </row>
    <row r="182" spans="1:17" ht="12" customHeight="1" x14ac:dyDescent="0.3">
      <c r="A182" s="39"/>
      <c r="B182" s="40" t="s">
        <v>1171</v>
      </c>
      <c r="C182" s="41">
        <v>84292.800000000003</v>
      </c>
      <c r="D182" s="42">
        <v>45900</v>
      </c>
      <c r="E182" s="43" t="s">
        <v>2</v>
      </c>
      <c r="F182" s="41">
        <v>0</v>
      </c>
      <c r="G182" s="41">
        <v>0</v>
      </c>
      <c r="H182" s="41">
        <v>84292.800000000003</v>
      </c>
      <c r="I182" s="43">
        <v>90</v>
      </c>
      <c r="J182" s="43">
        <v>197</v>
      </c>
      <c r="K182" s="44">
        <v>5000000</v>
      </c>
      <c r="L182" s="43" t="s">
        <v>992</v>
      </c>
      <c r="M182" s="45">
        <v>45991</v>
      </c>
      <c r="N182" s="41">
        <v>84292.800000000003</v>
      </c>
      <c r="O182" s="42">
        <v>45901</v>
      </c>
      <c r="P182" s="46"/>
      <c r="Q182" s="41">
        <v>84292.800000000003</v>
      </c>
    </row>
    <row r="183" spans="1:17" ht="12" customHeight="1" x14ac:dyDescent="0.3">
      <c r="A183" s="39"/>
      <c r="B183" s="40" t="s">
        <v>1172</v>
      </c>
      <c r="C183" s="41">
        <v>84307.199999999997</v>
      </c>
      <c r="D183" s="42">
        <v>45900</v>
      </c>
      <c r="E183" s="43" t="s">
        <v>2</v>
      </c>
      <c r="F183" s="41">
        <v>0</v>
      </c>
      <c r="G183" s="41">
        <v>0</v>
      </c>
      <c r="H183" s="41">
        <v>84307.199999999997</v>
      </c>
      <c r="I183" s="43">
        <v>90</v>
      </c>
      <c r="J183" s="43">
        <v>197</v>
      </c>
      <c r="K183" s="44">
        <v>5000000</v>
      </c>
      <c r="L183" s="43" t="s">
        <v>992</v>
      </c>
      <c r="M183" s="45">
        <v>45991</v>
      </c>
      <c r="N183" s="41">
        <v>84307.199999999997</v>
      </c>
      <c r="O183" s="42">
        <v>45901</v>
      </c>
      <c r="P183" s="46"/>
      <c r="Q183" s="41">
        <v>84307.199999999997</v>
      </c>
    </row>
    <row r="184" spans="1:17" ht="12" customHeight="1" x14ac:dyDescent="0.3">
      <c r="A184" s="39"/>
      <c r="B184" s="40" t="s">
        <v>1173</v>
      </c>
      <c r="C184" s="41">
        <v>69187.199999999997</v>
      </c>
      <c r="D184" s="42">
        <v>45900</v>
      </c>
      <c r="E184" s="43" t="s">
        <v>2</v>
      </c>
      <c r="F184" s="41">
        <v>0</v>
      </c>
      <c r="G184" s="41">
        <v>0</v>
      </c>
      <c r="H184" s="41">
        <v>69187.199999999997</v>
      </c>
      <c r="I184" s="43">
        <v>90</v>
      </c>
      <c r="J184" s="43">
        <v>197</v>
      </c>
      <c r="K184" s="44">
        <v>5000000</v>
      </c>
      <c r="L184" s="43" t="s">
        <v>992</v>
      </c>
      <c r="M184" s="45">
        <v>45991</v>
      </c>
      <c r="N184" s="41">
        <v>69187.199999999997</v>
      </c>
      <c r="O184" s="42">
        <v>45901</v>
      </c>
      <c r="P184" s="46"/>
      <c r="Q184" s="41">
        <v>69187.199999999997</v>
      </c>
    </row>
    <row r="185" spans="1:17" ht="12" customHeight="1" x14ac:dyDescent="0.3">
      <c r="A185" s="39"/>
      <c r="B185" s="40" t="s">
        <v>1174</v>
      </c>
      <c r="C185" s="41">
        <v>69187.199999999997</v>
      </c>
      <c r="D185" s="42">
        <v>45900</v>
      </c>
      <c r="E185" s="43" t="s">
        <v>2</v>
      </c>
      <c r="F185" s="41">
        <v>0</v>
      </c>
      <c r="G185" s="41">
        <v>0</v>
      </c>
      <c r="H185" s="41">
        <v>69187.199999999997</v>
      </c>
      <c r="I185" s="43">
        <v>90</v>
      </c>
      <c r="J185" s="43">
        <v>197</v>
      </c>
      <c r="K185" s="44">
        <v>5000000</v>
      </c>
      <c r="L185" s="43" t="s">
        <v>992</v>
      </c>
      <c r="M185" s="45">
        <v>45991</v>
      </c>
      <c r="N185" s="41">
        <v>69187.199999999997</v>
      </c>
      <c r="O185" s="42">
        <v>45901</v>
      </c>
      <c r="P185" s="46"/>
      <c r="Q185" s="41">
        <v>69187.199999999997</v>
      </c>
    </row>
    <row r="186" spans="1:17" ht="12" customHeight="1" x14ac:dyDescent="0.3">
      <c r="A186" s="39"/>
      <c r="B186" s="40" t="s">
        <v>1175</v>
      </c>
      <c r="C186" s="41">
        <v>84307.199999999997</v>
      </c>
      <c r="D186" s="42">
        <v>45900</v>
      </c>
      <c r="E186" s="43" t="s">
        <v>2</v>
      </c>
      <c r="F186" s="41">
        <v>0</v>
      </c>
      <c r="G186" s="41">
        <v>0</v>
      </c>
      <c r="H186" s="41">
        <v>84307.199999999997</v>
      </c>
      <c r="I186" s="43">
        <v>90</v>
      </c>
      <c r="J186" s="43">
        <v>197</v>
      </c>
      <c r="K186" s="44">
        <v>5000000</v>
      </c>
      <c r="L186" s="43" t="s">
        <v>992</v>
      </c>
      <c r="M186" s="45">
        <v>45991</v>
      </c>
      <c r="N186" s="41">
        <v>84307.199999999997</v>
      </c>
      <c r="O186" s="42">
        <v>45901</v>
      </c>
      <c r="P186" s="46"/>
      <c r="Q186" s="41">
        <v>84307.199999999997</v>
      </c>
    </row>
    <row r="187" spans="1:17" ht="12" customHeight="1" x14ac:dyDescent="0.3">
      <c r="A187" s="39"/>
      <c r="B187" s="40" t="s">
        <v>1176</v>
      </c>
      <c r="C187" s="41">
        <v>69187.199999999997</v>
      </c>
      <c r="D187" s="42">
        <v>45900</v>
      </c>
      <c r="E187" s="43" t="s">
        <v>2</v>
      </c>
      <c r="F187" s="41">
        <v>0</v>
      </c>
      <c r="G187" s="41">
        <v>0</v>
      </c>
      <c r="H187" s="41">
        <v>69187.199999999997</v>
      </c>
      <c r="I187" s="43">
        <v>90</v>
      </c>
      <c r="J187" s="43">
        <v>197</v>
      </c>
      <c r="K187" s="44">
        <v>5000000</v>
      </c>
      <c r="L187" s="43" t="s">
        <v>992</v>
      </c>
      <c r="M187" s="45">
        <v>45991</v>
      </c>
      <c r="N187" s="41">
        <v>69187.199999999997</v>
      </c>
      <c r="O187" s="42">
        <v>45901</v>
      </c>
      <c r="P187" s="46"/>
      <c r="Q187" s="41">
        <v>69187.199999999997</v>
      </c>
    </row>
    <row r="188" spans="1:17" ht="12" customHeight="1" x14ac:dyDescent="0.3">
      <c r="A188" s="39"/>
      <c r="B188" s="40" t="s">
        <v>1177</v>
      </c>
      <c r="C188" s="41">
        <v>69187.199999999997</v>
      </c>
      <c r="D188" s="42">
        <v>45900</v>
      </c>
      <c r="E188" s="43" t="s">
        <v>2</v>
      </c>
      <c r="F188" s="41">
        <v>0</v>
      </c>
      <c r="G188" s="41">
        <v>0</v>
      </c>
      <c r="H188" s="41">
        <v>69187.199999999997</v>
      </c>
      <c r="I188" s="43">
        <v>90</v>
      </c>
      <c r="J188" s="43">
        <v>197</v>
      </c>
      <c r="K188" s="44">
        <v>5000000</v>
      </c>
      <c r="L188" s="43" t="s">
        <v>992</v>
      </c>
      <c r="M188" s="45">
        <v>45991</v>
      </c>
      <c r="N188" s="41">
        <v>69187.199999999997</v>
      </c>
      <c r="O188" s="42">
        <v>45904</v>
      </c>
      <c r="P188" s="46"/>
      <c r="Q188" s="41">
        <v>69187.199999999997</v>
      </c>
    </row>
    <row r="189" spans="1:17" ht="12" customHeight="1" x14ac:dyDescent="0.3">
      <c r="A189" s="39"/>
      <c r="B189" s="40" t="s">
        <v>1178</v>
      </c>
      <c r="C189" s="41">
        <v>26479.200000000001</v>
      </c>
      <c r="D189" s="42">
        <v>45900</v>
      </c>
      <c r="E189" s="43" t="s">
        <v>2</v>
      </c>
      <c r="F189" s="41">
        <v>0</v>
      </c>
      <c r="G189" s="41">
        <v>0</v>
      </c>
      <c r="H189" s="41">
        <v>26479.200000000001</v>
      </c>
      <c r="I189" s="43">
        <v>90</v>
      </c>
      <c r="J189" s="43">
        <v>197</v>
      </c>
      <c r="K189" s="44">
        <v>5000000</v>
      </c>
      <c r="L189" s="43" t="s">
        <v>992</v>
      </c>
      <c r="M189" s="45">
        <v>45991</v>
      </c>
      <c r="N189" s="41">
        <v>26479.200000000001</v>
      </c>
      <c r="O189" s="42">
        <v>45904</v>
      </c>
      <c r="P189" s="46"/>
      <c r="Q189" s="41">
        <v>26479.200000000001</v>
      </c>
    </row>
    <row r="190" spans="1:17" ht="12" customHeight="1" x14ac:dyDescent="0.3">
      <c r="A190" s="39"/>
      <c r="B190" s="40" t="s">
        <v>1179</v>
      </c>
      <c r="C190" s="41">
        <v>62403.6</v>
      </c>
      <c r="D190" s="42">
        <v>45901</v>
      </c>
      <c r="E190" s="43" t="s">
        <v>2</v>
      </c>
      <c r="F190" s="41">
        <v>0</v>
      </c>
      <c r="G190" s="41">
        <v>0</v>
      </c>
      <c r="H190" s="41">
        <v>62403.6</v>
      </c>
      <c r="I190" s="43">
        <v>90</v>
      </c>
      <c r="J190" s="43">
        <v>9</v>
      </c>
      <c r="K190" s="44">
        <v>3000000</v>
      </c>
      <c r="L190" s="43" t="s">
        <v>992</v>
      </c>
      <c r="M190" s="45">
        <v>45991</v>
      </c>
      <c r="N190" s="41">
        <v>62403.6</v>
      </c>
      <c r="O190" s="42">
        <v>45946</v>
      </c>
      <c r="P190" s="46"/>
      <c r="Q190" s="41">
        <v>62403.6</v>
      </c>
    </row>
    <row r="191" spans="1:17" ht="12" customHeight="1" x14ac:dyDescent="0.3">
      <c r="A191" s="39"/>
      <c r="B191" s="40" t="s">
        <v>1180</v>
      </c>
      <c r="C191" s="41">
        <v>62195.59</v>
      </c>
      <c r="D191" s="42">
        <v>45901</v>
      </c>
      <c r="E191" s="43" t="s">
        <v>2</v>
      </c>
      <c r="F191" s="41">
        <v>0</v>
      </c>
      <c r="G191" s="41">
        <v>0</v>
      </c>
      <c r="H191" s="41">
        <v>62195.59</v>
      </c>
      <c r="I191" s="43">
        <v>90</v>
      </c>
      <c r="J191" s="43">
        <v>9</v>
      </c>
      <c r="K191" s="44">
        <v>3000000</v>
      </c>
      <c r="L191" s="43" t="s">
        <v>992</v>
      </c>
      <c r="M191" s="45">
        <v>45991</v>
      </c>
      <c r="N191" s="41">
        <v>62195.59</v>
      </c>
      <c r="O191" s="42">
        <v>45946</v>
      </c>
      <c r="P191" s="46"/>
      <c r="Q191" s="41">
        <v>62195.59</v>
      </c>
    </row>
    <row r="192" spans="1:17" ht="12" customHeight="1" x14ac:dyDescent="0.3">
      <c r="A192" s="39"/>
      <c r="B192" s="40" t="s">
        <v>1181</v>
      </c>
      <c r="C192" s="41">
        <v>62247.59</v>
      </c>
      <c r="D192" s="42">
        <v>45901</v>
      </c>
      <c r="E192" s="43" t="s">
        <v>2</v>
      </c>
      <c r="F192" s="41">
        <v>0</v>
      </c>
      <c r="G192" s="41">
        <v>0</v>
      </c>
      <c r="H192" s="41">
        <v>62247.59</v>
      </c>
      <c r="I192" s="43">
        <v>90</v>
      </c>
      <c r="J192" s="43">
        <v>9</v>
      </c>
      <c r="K192" s="44">
        <v>3000000</v>
      </c>
      <c r="L192" s="43" t="s">
        <v>992</v>
      </c>
      <c r="M192" s="45">
        <v>45991</v>
      </c>
      <c r="N192" s="41">
        <v>62247.59</v>
      </c>
      <c r="O192" s="42">
        <v>45946</v>
      </c>
      <c r="P192" s="46"/>
      <c r="Q192" s="41">
        <v>62247.59</v>
      </c>
    </row>
    <row r="193" spans="1:17" ht="12" customHeight="1" x14ac:dyDescent="0.3">
      <c r="A193" s="39"/>
      <c r="B193" s="40" t="s">
        <v>1182</v>
      </c>
      <c r="C193" s="41">
        <v>62143.59</v>
      </c>
      <c r="D193" s="42">
        <v>45901</v>
      </c>
      <c r="E193" s="43" t="s">
        <v>2</v>
      </c>
      <c r="F193" s="41">
        <v>0</v>
      </c>
      <c r="G193" s="41">
        <v>0</v>
      </c>
      <c r="H193" s="41">
        <v>62143.59</v>
      </c>
      <c r="I193" s="43">
        <v>90</v>
      </c>
      <c r="J193" s="43">
        <v>9</v>
      </c>
      <c r="K193" s="44">
        <v>3000000</v>
      </c>
      <c r="L193" s="43" t="s">
        <v>992</v>
      </c>
      <c r="M193" s="45">
        <v>45991</v>
      </c>
      <c r="N193" s="41">
        <v>62143.59</v>
      </c>
      <c r="O193" s="42">
        <v>45946</v>
      </c>
      <c r="P193" s="46"/>
      <c r="Q193" s="41">
        <v>62143.59</v>
      </c>
    </row>
    <row r="194" spans="1:17" ht="12" customHeight="1" x14ac:dyDescent="0.3">
      <c r="A194" s="39"/>
      <c r="B194" s="40" t="s">
        <v>1183</v>
      </c>
      <c r="C194" s="41">
        <v>62039.58</v>
      </c>
      <c r="D194" s="42">
        <v>45901</v>
      </c>
      <c r="E194" s="43" t="s">
        <v>2</v>
      </c>
      <c r="F194" s="41">
        <v>0</v>
      </c>
      <c r="G194" s="41">
        <v>0</v>
      </c>
      <c r="H194" s="41">
        <v>62039.58</v>
      </c>
      <c r="I194" s="43">
        <v>90</v>
      </c>
      <c r="J194" s="43">
        <v>9</v>
      </c>
      <c r="K194" s="44">
        <v>3000000</v>
      </c>
      <c r="L194" s="43" t="s">
        <v>992</v>
      </c>
      <c r="M194" s="45">
        <v>45991</v>
      </c>
      <c r="N194" s="41">
        <v>62039.58</v>
      </c>
      <c r="O194" s="42">
        <v>45946</v>
      </c>
      <c r="P194" s="46"/>
      <c r="Q194" s="41">
        <v>62039.58</v>
      </c>
    </row>
    <row r="195" spans="1:17" ht="12" customHeight="1" x14ac:dyDescent="0.3">
      <c r="A195" s="39"/>
      <c r="B195" s="40" t="s">
        <v>1184</v>
      </c>
      <c r="C195" s="41">
        <v>470</v>
      </c>
      <c r="D195" s="42">
        <v>45901</v>
      </c>
      <c r="E195" s="43" t="s">
        <v>2</v>
      </c>
      <c r="F195" s="41">
        <v>0</v>
      </c>
      <c r="G195" s="41">
        <v>0</v>
      </c>
      <c r="H195" s="41">
        <v>470</v>
      </c>
      <c r="I195" s="43">
        <v>90</v>
      </c>
      <c r="J195" s="43">
        <v>9</v>
      </c>
      <c r="K195" s="44">
        <v>3000000</v>
      </c>
      <c r="L195" s="43" t="s">
        <v>992</v>
      </c>
      <c r="M195" s="45">
        <v>45991</v>
      </c>
      <c r="N195" s="41">
        <v>470</v>
      </c>
      <c r="O195" s="42">
        <v>45946</v>
      </c>
      <c r="P195" s="46"/>
      <c r="Q195" s="41">
        <v>470</v>
      </c>
    </row>
    <row r="196" spans="1:17" ht="12" customHeight="1" x14ac:dyDescent="0.3">
      <c r="A196" s="39"/>
      <c r="B196" s="40" t="s">
        <v>1185</v>
      </c>
      <c r="C196" s="41">
        <v>15329.1</v>
      </c>
      <c r="D196" s="42">
        <v>45901</v>
      </c>
      <c r="E196" s="43" t="s">
        <v>2</v>
      </c>
      <c r="F196" s="41">
        <v>0</v>
      </c>
      <c r="G196" s="41">
        <v>0</v>
      </c>
      <c r="H196" s="41">
        <v>15329.1</v>
      </c>
      <c r="I196" s="43">
        <v>90</v>
      </c>
      <c r="J196" s="43">
        <v>9</v>
      </c>
      <c r="K196" s="44">
        <v>3000000</v>
      </c>
      <c r="L196" s="43" t="s">
        <v>992</v>
      </c>
      <c r="M196" s="45">
        <v>45991</v>
      </c>
      <c r="N196" s="41">
        <v>15329.1</v>
      </c>
      <c r="O196" s="42">
        <v>45946</v>
      </c>
      <c r="P196" s="46"/>
      <c r="Q196" s="41">
        <v>15329.1</v>
      </c>
    </row>
    <row r="197" spans="1:17" ht="12" customHeight="1" x14ac:dyDescent="0.3">
      <c r="A197" s="39"/>
      <c r="B197" s="40" t="s">
        <v>1186</v>
      </c>
      <c r="C197" s="41">
        <v>62403.6</v>
      </c>
      <c r="D197" s="42">
        <v>45901</v>
      </c>
      <c r="E197" s="43" t="s">
        <v>2</v>
      </c>
      <c r="F197" s="41">
        <v>0</v>
      </c>
      <c r="G197" s="41">
        <v>0</v>
      </c>
      <c r="H197" s="41">
        <v>62403.6</v>
      </c>
      <c r="I197" s="43">
        <v>90</v>
      </c>
      <c r="J197" s="43">
        <v>9</v>
      </c>
      <c r="K197" s="44">
        <v>3000000</v>
      </c>
      <c r="L197" s="43" t="s">
        <v>992</v>
      </c>
      <c r="M197" s="45">
        <v>45991</v>
      </c>
      <c r="N197" s="41">
        <v>62403.6</v>
      </c>
      <c r="O197" s="42">
        <v>45957</v>
      </c>
      <c r="P197" s="46"/>
      <c r="Q197" s="41">
        <v>62403.6</v>
      </c>
    </row>
    <row r="198" spans="1:17" ht="12" customHeight="1" x14ac:dyDescent="0.3">
      <c r="A198" s="39"/>
      <c r="B198" s="40" t="s">
        <v>1187</v>
      </c>
      <c r="C198" s="41">
        <v>69187.199999999997</v>
      </c>
      <c r="D198" s="42">
        <v>45901</v>
      </c>
      <c r="E198" s="43" t="s">
        <v>2</v>
      </c>
      <c r="F198" s="41">
        <v>0</v>
      </c>
      <c r="G198" s="41">
        <v>0</v>
      </c>
      <c r="H198" s="41">
        <v>69187.199999999997</v>
      </c>
      <c r="I198" s="43">
        <v>90</v>
      </c>
      <c r="J198" s="43">
        <v>197</v>
      </c>
      <c r="K198" s="44">
        <v>5000000</v>
      </c>
      <c r="L198" s="43" t="s">
        <v>992</v>
      </c>
      <c r="M198" s="45">
        <v>45991</v>
      </c>
      <c r="N198" s="41">
        <v>69187.199999999997</v>
      </c>
      <c r="O198" s="42">
        <v>45904</v>
      </c>
      <c r="P198" s="46"/>
      <c r="Q198" s="41">
        <v>69187.199999999997</v>
      </c>
    </row>
    <row r="199" spans="1:17" ht="12" customHeight="1" x14ac:dyDescent="0.3">
      <c r="A199" s="39"/>
      <c r="B199" s="40" t="s">
        <v>1188</v>
      </c>
      <c r="C199" s="41">
        <v>84307.199999999997</v>
      </c>
      <c r="D199" s="42">
        <v>45901</v>
      </c>
      <c r="E199" s="43" t="s">
        <v>2</v>
      </c>
      <c r="F199" s="41">
        <v>0</v>
      </c>
      <c r="G199" s="41">
        <v>0</v>
      </c>
      <c r="H199" s="41">
        <v>84307.199999999997</v>
      </c>
      <c r="I199" s="43">
        <v>90</v>
      </c>
      <c r="J199" s="43">
        <v>197</v>
      </c>
      <c r="K199" s="44">
        <v>5000000</v>
      </c>
      <c r="L199" s="43" t="s">
        <v>992</v>
      </c>
      <c r="M199" s="45">
        <v>45991</v>
      </c>
      <c r="N199" s="41">
        <v>84307.199999999997</v>
      </c>
      <c r="O199" s="42">
        <v>45914</v>
      </c>
      <c r="P199" s="46"/>
      <c r="Q199" s="41">
        <v>84307.199999999997</v>
      </c>
    </row>
    <row r="200" spans="1:17" ht="12" customHeight="1" x14ac:dyDescent="0.3">
      <c r="A200" s="39"/>
      <c r="B200" s="40" t="s">
        <v>1189</v>
      </c>
      <c r="C200" s="41">
        <v>84307.199999999997</v>
      </c>
      <c r="D200" s="42">
        <v>45901</v>
      </c>
      <c r="E200" s="43" t="s">
        <v>2</v>
      </c>
      <c r="F200" s="41">
        <v>0</v>
      </c>
      <c r="G200" s="41">
        <v>0</v>
      </c>
      <c r="H200" s="41">
        <v>84307.199999999997</v>
      </c>
      <c r="I200" s="43">
        <v>90</v>
      </c>
      <c r="J200" s="43">
        <v>197</v>
      </c>
      <c r="K200" s="44">
        <v>5000000</v>
      </c>
      <c r="L200" s="43" t="s">
        <v>992</v>
      </c>
      <c r="M200" s="45">
        <v>45991</v>
      </c>
      <c r="N200" s="41">
        <v>84307.199999999997</v>
      </c>
      <c r="O200" s="42">
        <v>45914</v>
      </c>
      <c r="P200" s="46"/>
      <c r="Q200" s="41">
        <v>84307.199999999997</v>
      </c>
    </row>
    <row r="201" spans="1:17" ht="12" customHeight="1" x14ac:dyDescent="0.3">
      <c r="A201" s="39"/>
      <c r="B201" s="40" t="s">
        <v>1190</v>
      </c>
      <c r="C201" s="41">
        <v>137645.76000000001</v>
      </c>
      <c r="D201" s="42">
        <v>45902</v>
      </c>
      <c r="E201" s="43" t="s">
        <v>2</v>
      </c>
      <c r="F201" s="41">
        <v>0</v>
      </c>
      <c r="G201" s="41">
        <v>0</v>
      </c>
      <c r="H201" s="41">
        <v>137645.76000000001</v>
      </c>
      <c r="I201" s="43">
        <v>90</v>
      </c>
      <c r="J201" s="43">
        <v>9</v>
      </c>
      <c r="K201" s="44">
        <v>3000000</v>
      </c>
      <c r="L201" s="43" t="s">
        <v>992</v>
      </c>
      <c r="M201" s="45">
        <v>45992</v>
      </c>
      <c r="N201" s="41">
        <v>137645.76000000001</v>
      </c>
      <c r="O201" s="42">
        <v>45957</v>
      </c>
      <c r="P201" s="46"/>
      <c r="Q201" s="41">
        <v>137645.76000000001</v>
      </c>
    </row>
    <row r="202" spans="1:17" ht="12" customHeight="1" x14ac:dyDescent="0.3">
      <c r="A202" s="39"/>
      <c r="B202" s="40" t="s">
        <v>1191</v>
      </c>
      <c r="C202" s="41">
        <v>11152.41</v>
      </c>
      <c r="D202" s="42">
        <v>45902</v>
      </c>
      <c r="E202" s="43" t="s">
        <v>2</v>
      </c>
      <c r="F202" s="41">
        <v>0</v>
      </c>
      <c r="G202" s="41">
        <v>0</v>
      </c>
      <c r="H202" s="41">
        <v>11152.41</v>
      </c>
      <c r="I202" s="43">
        <v>90</v>
      </c>
      <c r="J202" s="43">
        <v>9</v>
      </c>
      <c r="K202" s="44">
        <v>3000000</v>
      </c>
      <c r="L202" s="43" t="s">
        <v>992</v>
      </c>
      <c r="M202" s="45">
        <v>45992</v>
      </c>
      <c r="N202" s="41">
        <v>11152.41</v>
      </c>
      <c r="O202" s="42">
        <v>45957</v>
      </c>
      <c r="P202" s="46"/>
      <c r="Q202" s="41">
        <v>11152.41</v>
      </c>
    </row>
    <row r="203" spans="1:17" ht="12" customHeight="1" x14ac:dyDescent="0.3">
      <c r="A203" s="39"/>
      <c r="B203" s="40" t="s">
        <v>1192</v>
      </c>
      <c r="C203" s="41">
        <v>370.01</v>
      </c>
      <c r="D203" s="42">
        <v>45902</v>
      </c>
      <c r="E203" s="43" t="s">
        <v>2</v>
      </c>
      <c r="F203" s="41">
        <v>0</v>
      </c>
      <c r="G203" s="41">
        <v>0</v>
      </c>
      <c r="H203" s="41">
        <v>370.01</v>
      </c>
      <c r="I203" s="43">
        <v>90</v>
      </c>
      <c r="J203" s="43">
        <v>9</v>
      </c>
      <c r="K203" s="44">
        <v>3000000</v>
      </c>
      <c r="L203" s="43" t="s">
        <v>992</v>
      </c>
      <c r="M203" s="45">
        <v>45992</v>
      </c>
      <c r="N203" s="41">
        <v>370.01</v>
      </c>
      <c r="O203" s="42">
        <v>45957</v>
      </c>
      <c r="P203" s="46"/>
      <c r="Q203" s="41">
        <v>370.01</v>
      </c>
    </row>
    <row r="204" spans="1:17" ht="12" customHeight="1" x14ac:dyDescent="0.3">
      <c r="A204" s="39"/>
      <c r="B204" s="40" t="s">
        <v>1193</v>
      </c>
      <c r="C204" s="41">
        <v>12700.97</v>
      </c>
      <c r="D204" s="42">
        <v>45902</v>
      </c>
      <c r="E204" s="43" t="s">
        <v>2</v>
      </c>
      <c r="F204" s="41">
        <v>0</v>
      </c>
      <c r="G204" s="41">
        <v>0</v>
      </c>
      <c r="H204" s="41">
        <v>12700.97</v>
      </c>
      <c r="I204" s="43">
        <v>90</v>
      </c>
      <c r="J204" s="43">
        <v>9</v>
      </c>
      <c r="K204" s="44">
        <v>3000000</v>
      </c>
      <c r="L204" s="43" t="s">
        <v>992</v>
      </c>
      <c r="M204" s="45">
        <v>45992</v>
      </c>
      <c r="N204" s="41">
        <v>12700.97</v>
      </c>
      <c r="O204" s="42">
        <v>45957</v>
      </c>
      <c r="P204" s="46"/>
      <c r="Q204" s="41">
        <v>12700.97</v>
      </c>
    </row>
    <row r="205" spans="1:17" ht="12" customHeight="1" x14ac:dyDescent="0.3">
      <c r="A205" s="39"/>
      <c r="B205" s="40" t="s">
        <v>1194</v>
      </c>
      <c r="C205" s="41">
        <v>3602.11</v>
      </c>
      <c r="D205" s="42">
        <v>45902</v>
      </c>
      <c r="E205" s="43" t="s">
        <v>2</v>
      </c>
      <c r="F205" s="41">
        <v>0</v>
      </c>
      <c r="G205" s="41">
        <v>0</v>
      </c>
      <c r="H205" s="41">
        <v>3602.11</v>
      </c>
      <c r="I205" s="43">
        <v>90</v>
      </c>
      <c r="J205" s="43">
        <v>9</v>
      </c>
      <c r="K205" s="44">
        <v>3000000</v>
      </c>
      <c r="L205" s="43" t="s">
        <v>992</v>
      </c>
      <c r="M205" s="45">
        <v>45992</v>
      </c>
      <c r="N205" s="41">
        <v>3602.11</v>
      </c>
      <c r="O205" s="42">
        <v>45957</v>
      </c>
      <c r="P205" s="46"/>
      <c r="Q205" s="41">
        <v>3602.11</v>
      </c>
    </row>
    <row r="206" spans="1:17" ht="12" customHeight="1" x14ac:dyDescent="0.3">
      <c r="A206" s="39"/>
      <c r="B206" s="40" t="s">
        <v>1195</v>
      </c>
      <c r="C206" s="41">
        <v>538</v>
      </c>
      <c r="D206" s="42">
        <v>45902</v>
      </c>
      <c r="E206" s="43" t="s">
        <v>2</v>
      </c>
      <c r="F206" s="41">
        <v>0</v>
      </c>
      <c r="G206" s="41">
        <v>0</v>
      </c>
      <c r="H206" s="41">
        <v>538</v>
      </c>
      <c r="I206" s="43">
        <v>90</v>
      </c>
      <c r="J206" s="43">
        <v>9</v>
      </c>
      <c r="K206" s="44">
        <v>3000000</v>
      </c>
      <c r="L206" s="43" t="s">
        <v>992</v>
      </c>
      <c r="M206" s="45">
        <v>45992</v>
      </c>
      <c r="N206" s="41">
        <v>538</v>
      </c>
      <c r="O206" s="42">
        <v>45957</v>
      </c>
      <c r="P206" s="46"/>
      <c r="Q206" s="41">
        <v>538</v>
      </c>
    </row>
    <row r="207" spans="1:17" ht="12" customHeight="1" x14ac:dyDescent="0.3">
      <c r="A207" s="39"/>
      <c r="B207" s="40" t="s">
        <v>1196</v>
      </c>
      <c r="C207" s="41">
        <v>297</v>
      </c>
      <c r="D207" s="42">
        <v>45902</v>
      </c>
      <c r="E207" s="43" t="s">
        <v>2</v>
      </c>
      <c r="F207" s="41">
        <v>0</v>
      </c>
      <c r="G207" s="41">
        <v>0</v>
      </c>
      <c r="H207" s="41">
        <v>297</v>
      </c>
      <c r="I207" s="43">
        <v>90</v>
      </c>
      <c r="J207" s="43">
        <v>9</v>
      </c>
      <c r="K207" s="44">
        <v>3000000</v>
      </c>
      <c r="L207" s="43" t="s">
        <v>992</v>
      </c>
      <c r="M207" s="45">
        <v>45992</v>
      </c>
      <c r="N207" s="41">
        <v>297</v>
      </c>
      <c r="O207" s="42">
        <v>45957</v>
      </c>
      <c r="P207" s="46"/>
      <c r="Q207" s="41">
        <v>297</v>
      </c>
    </row>
    <row r="208" spans="1:17" ht="12" customHeight="1" x14ac:dyDescent="0.3">
      <c r="A208" s="39"/>
      <c r="B208" s="40" t="s">
        <v>1197</v>
      </c>
      <c r="C208" s="41">
        <v>9847.5</v>
      </c>
      <c r="D208" s="42">
        <v>45902</v>
      </c>
      <c r="E208" s="43" t="s">
        <v>2</v>
      </c>
      <c r="F208" s="41">
        <v>0</v>
      </c>
      <c r="G208" s="41">
        <v>0</v>
      </c>
      <c r="H208" s="41">
        <v>9847.5</v>
      </c>
      <c r="I208" s="43">
        <v>90</v>
      </c>
      <c r="J208" s="43">
        <v>9</v>
      </c>
      <c r="K208" s="44">
        <v>3000000</v>
      </c>
      <c r="L208" s="43" t="s">
        <v>992</v>
      </c>
      <c r="M208" s="45">
        <v>45992</v>
      </c>
      <c r="N208" s="41">
        <v>9847.5</v>
      </c>
      <c r="O208" s="42">
        <v>45957</v>
      </c>
      <c r="P208" s="46"/>
      <c r="Q208" s="41">
        <v>9847.5</v>
      </c>
    </row>
    <row r="209" spans="1:17" ht="12" customHeight="1" x14ac:dyDescent="0.3">
      <c r="A209" s="39"/>
      <c r="B209" s="40" t="s">
        <v>1198</v>
      </c>
      <c r="C209" s="41">
        <v>62039.58</v>
      </c>
      <c r="D209" s="42">
        <v>45902</v>
      </c>
      <c r="E209" s="43" t="s">
        <v>2</v>
      </c>
      <c r="F209" s="41">
        <v>0</v>
      </c>
      <c r="G209" s="41">
        <v>0</v>
      </c>
      <c r="H209" s="41">
        <v>62039.58</v>
      </c>
      <c r="I209" s="43">
        <v>90</v>
      </c>
      <c r="J209" s="43">
        <v>9</v>
      </c>
      <c r="K209" s="44">
        <v>3000000</v>
      </c>
      <c r="L209" s="43" t="s">
        <v>992</v>
      </c>
      <c r="M209" s="45">
        <v>45992</v>
      </c>
      <c r="N209" s="41">
        <v>62039.58</v>
      </c>
      <c r="O209" s="42">
        <v>45957</v>
      </c>
      <c r="P209" s="46"/>
      <c r="Q209" s="41">
        <v>62039.58</v>
      </c>
    </row>
    <row r="210" spans="1:17" ht="12" customHeight="1" x14ac:dyDescent="0.3">
      <c r="A210" s="39"/>
      <c r="B210" s="40" t="s">
        <v>1199</v>
      </c>
      <c r="C210" s="41">
        <v>208000</v>
      </c>
      <c r="D210" s="42">
        <v>45902</v>
      </c>
      <c r="E210" s="43" t="s">
        <v>2</v>
      </c>
      <c r="F210" s="41">
        <v>0</v>
      </c>
      <c r="G210" s="41">
        <v>0</v>
      </c>
      <c r="H210" s="41">
        <v>208000</v>
      </c>
      <c r="I210" s="43">
        <v>90</v>
      </c>
      <c r="J210" s="43">
        <v>197</v>
      </c>
      <c r="K210" s="44">
        <v>5000000</v>
      </c>
      <c r="L210" s="43" t="s">
        <v>992</v>
      </c>
      <c r="M210" s="45">
        <v>45992</v>
      </c>
      <c r="N210" s="41">
        <v>208000</v>
      </c>
      <c r="O210" s="42">
        <v>45916</v>
      </c>
      <c r="P210" s="46"/>
      <c r="Q210" s="41">
        <v>208000</v>
      </c>
    </row>
    <row r="211" spans="1:17" ht="12" customHeight="1" x14ac:dyDescent="0.3">
      <c r="A211" s="39"/>
      <c r="B211" s="40" t="s">
        <v>1200</v>
      </c>
      <c r="C211" s="41">
        <v>99</v>
      </c>
      <c r="D211" s="42">
        <v>45903</v>
      </c>
      <c r="E211" s="43" t="s">
        <v>2</v>
      </c>
      <c r="F211" s="41">
        <v>0</v>
      </c>
      <c r="G211" s="41">
        <v>0</v>
      </c>
      <c r="H211" s="41">
        <v>99</v>
      </c>
      <c r="I211" s="43">
        <v>90</v>
      </c>
      <c r="J211" s="43">
        <v>9</v>
      </c>
      <c r="K211" s="44">
        <v>3000000</v>
      </c>
      <c r="L211" s="43" t="s">
        <v>992</v>
      </c>
      <c r="M211" s="45">
        <v>45993</v>
      </c>
      <c r="N211" s="41">
        <v>99</v>
      </c>
      <c r="O211" s="42">
        <v>45957</v>
      </c>
      <c r="P211" s="46"/>
      <c r="Q211" s="41">
        <v>99</v>
      </c>
    </row>
    <row r="212" spans="1:17" ht="12" customHeight="1" x14ac:dyDescent="0.3">
      <c r="A212" s="39"/>
      <c r="B212" s="40" t="s">
        <v>1201</v>
      </c>
      <c r="C212" s="41">
        <v>99</v>
      </c>
      <c r="D212" s="42">
        <v>45903</v>
      </c>
      <c r="E212" s="43" t="s">
        <v>2</v>
      </c>
      <c r="F212" s="41">
        <v>0</v>
      </c>
      <c r="G212" s="41">
        <v>0</v>
      </c>
      <c r="H212" s="41">
        <v>99</v>
      </c>
      <c r="I212" s="43">
        <v>90</v>
      </c>
      <c r="J212" s="43">
        <v>9</v>
      </c>
      <c r="K212" s="44">
        <v>3000000</v>
      </c>
      <c r="L212" s="43" t="s">
        <v>992</v>
      </c>
      <c r="M212" s="45">
        <v>45993</v>
      </c>
      <c r="N212" s="41">
        <v>99</v>
      </c>
      <c r="O212" s="42">
        <v>45957</v>
      </c>
      <c r="P212" s="46"/>
      <c r="Q212" s="41">
        <v>99</v>
      </c>
    </row>
    <row r="213" spans="1:17" ht="12" customHeight="1" x14ac:dyDescent="0.3">
      <c r="A213" s="39"/>
      <c r="B213" s="40" t="s">
        <v>1202</v>
      </c>
      <c r="C213" s="41">
        <v>14392.76</v>
      </c>
      <c r="D213" s="42">
        <v>45903</v>
      </c>
      <c r="E213" s="43" t="s">
        <v>2</v>
      </c>
      <c r="F213" s="41">
        <v>0</v>
      </c>
      <c r="G213" s="41">
        <v>0</v>
      </c>
      <c r="H213" s="41">
        <v>14392.76</v>
      </c>
      <c r="I213" s="43">
        <v>90</v>
      </c>
      <c r="J213" s="43">
        <v>9</v>
      </c>
      <c r="K213" s="44">
        <v>3000000</v>
      </c>
      <c r="L213" s="43" t="s">
        <v>992</v>
      </c>
      <c r="M213" s="45">
        <v>45993</v>
      </c>
      <c r="N213" s="41">
        <v>14392.76</v>
      </c>
      <c r="O213" s="42">
        <v>45957</v>
      </c>
      <c r="P213" s="46"/>
      <c r="Q213" s="41">
        <v>14392.76</v>
      </c>
    </row>
    <row r="214" spans="1:17" ht="12" customHeight="1" x14ac:dyDescent="0.3">
      <c r="A214" s="39"/>
      <c r="B214" s="40" t="s">
        <v>1203</v>
      </c>
      <c r="C214" s="41">
        <v>450</v>
      </c>
      <c r="D214" s="42">
        <v>45903</v>
      </c>
      <c r="E214" s="43" t="s">
        <v>2</v>
      </c>
      <c r="F214" s="41">
        <v>0</v>
      </c>
      <c r="G214" s="41">
        <v>0</v>
      </c>
      <c r="H214" s="41">
        <v>450</v>
      </c>
      <c r="I214" s="43">
        <v>90</v>
      </c>
      <c r="J214" s="43">
        <v>9</v>
      </c>
      <c r="K214" s="44">
        <v>3000000</v>
      </c>
      <c r="L214" s="43" t="s">
        <v>992</v>
      </c>
      <c r="M214" s="45">
        <v>45993</v>
      </c>
      <c r="N214" s="41">
        <v>450</v>
      </c>
      <c r="O214" s="42">
        <v>45957</v>
      </c>
      <c r="P214" s="46"/>
      <c r="Q214" s="41">
        <v>450</v>
      </c>
    </row>
    <row r="215" spans="1:17" ht="12" customHeight="1" x14ac:dyDescent="0.3">
      <c r="A215" s="39"/>
      <c r="B215" s="40" t="s">
        <v>1204</v>
      </c>
      <c r="C215" s="41">
        <v>25112.33</v>
      </c>
      <c r="D215" s="42">
        <v>45903</v>
      </c>
      <c r="E215" s="43" t="s">
        <v>2</v>
      </c>
      <c r="F215" s="41">
        <v>0</v>
      </c>
      <c r="G215" s="41">
        <v>0</v>
      </c>
      <c r="H215" s="41">
        <v>25112.33</v>
      </c>
      <c r="I215" s="43">
        <v>90</v>
      </c>
      <c r="J215" s="43">
        <v>9</v>
      </c>
      <c r="K215" s="44">
        <v>3000000</v>
      </c>
      <c r="L215" s="43" t="s">
        <v>992</v>
      </c>
      <c r="M215" s="45">
        <v>45993</v>
      </c>
      <c r="N215" s="41">
        <v>25112.33</v>
      </c>
      <c r="O215" s="42">
        <v>45957</v>
      </c>
      <c r="P215" s="46"/>
      <c r="Q215" s="41">
        <v>25112.33</v>
      </c>
    </row>
    <row r="216" spans="1:17" ht="12" customHeight="1" x14ac:dyDescent="0.3">
      <c r="A216" s="39"/>
      <c r="B216" s="40" t="s">
        <v>1205</v>
      </c>
      <c r="C216" s="41">
        <v>490</v>
      </c>
      <c r="D216" s="42">
        <v>45903</v>
      </c>
      <c r="E216" s="43" t="s">
        <v>2</v>
      </c>
      <c r="F216" s="41">
        <v>0</v>
      </c>
      <c r="G216" s="41">
        <v>0</v>
      </c>
      <c r="H216" s="41">
        <v>490</v>
      </c>
      <c r="I216" s="43">
        <v>90</v>
      </c>
      <c r="J216" s="43">
        <v>9</v>
      </c>
      <c r="K216" s="44">
        <v>3000000</v>
      </c>
      <c r="L216" s="43" t="s">
        <v>992</v>
      </c>
      <c r="M216" s="45">
        <v>45993</v>
      </c>
      <c r="N216" s="41">
        <v>490</v>
      </c>
      <c r="O216" s="42">
        <v>45957</v>
      </c>
      <c r="P216" s="46"/>
      <c r="Q216" s="41">
        <v>490</v>
      </c>
    </row>
    <row r="217" spans="1:17" ht="12" customHeight="1" x14ac:dyDescent="0.3">
      <c r="A217" s="39"/>
      <c r="B217" s="40" t="s">
        <v>1206</v>
      </c>
      <c r="C217" s="41">
        <v>917.84</v>
      </c>
      <c r="D217" s="42">
        <v>45903</v>
      </c>
      <c r="E217" s="43" t="s">
        <v>2</v>
      </c>
      <c r="F217" s="41">
        <v>0</v>
      </c>
      <c r="G217" s="41">
        <v>0</v>
      </c>
      <c r="H217" s="41">
        <v>917.84</v>
      </c>
      <c r="I217" s="43">
        <v>90</v>
      </c>
      <c r="J217" s="43">
        <v>9</v>
      </c>
      <c r="K217" s="44">
        <v>3000000</v>
      </c>
      <c r="L217" s="43" t="s">
        <v>992</v>
      </c>
      <c r="M217" s="45">
        <v>45993</v>
      </c>
      <c r="N217" s="41">
        <v>917.84</v>
      </c>
      <c r="O217" s="42">
        <v>45957</v>
      </c>
      <c r="P217" s="46"/>
      <c r="Q217" s="41">
        <v>917.84</v>
      </c>
    </row>
    <row r="218" spans="1:17" ht="12" customHeight="1" x14ac:dyDescent="0.3">
      <c r="A218" s="39"/>
      <c r="B218" s="40" t="s">
        <v>1207</v>
      </c>
      <c r="C218" s="41">
        <v>1036.8</v>
      </c>
      <c r="D218" s="42">
        <v>45903</v>
      </c>
      <c r="E218" s="43" t="s">
        <v>2</v>
      </c>
      <c r="F218" s="41">
        <v>0</v>
      </c>
      <c r="G218" s="41">
        <v>0</v>
      </c>
      <c r="H218" s="41">
        <v>1036.8</v>
      </c>
      <c r="I218" s="43">
        <v>90</v>
      </c>
      <c r="J218" s="43">
        <v>9</v>
      </c>
      <c r="K218" s="44">
        <v>3000000</v>
      </c>
      <c r="L218" s="43" t="s">
        <v>992</v>
      </c>
      <c r="M218" s="45">
        <v>45993</v>
      </c>
      <c r="N218" s="41">
        <v>1036.8</v>
      </c>
      <c r="O218" s="42">
        <v>45957</v>
      </c>
      <c r="P218" s="46"/>
      <c r="Q218" s="41">
        <v>1036.8</v>
      </c>
    </row>
    <row r="219" spans="1:17" ht="12" customHeight="1" x14ac:dyDescent="0.3">
      <c r="A219" s="39"/>
      <c r="B219" s="40" t="s">
        <v>1208</v>
      </c>
      <c r="C219" s="41">
        <v>69187.199999999997</v>
      </c>
      <c r="D219" s="42">
        <v>45904</v>
      </c>
      <c r="E219" s="43" t="s">
        <v>2</v>
      </c>
      <c r="F219" s="41">
        <v>0</v>
      </c>
      <c r="G219" s="41">
        <v>0</v>
      </c>
      <c r="H219" s="41">
        <v>69187.199999999997</v>
      </c>
      <c r="I219" s="43">
        <v>90</v>
      </c>
      <c r="J219" s="43">
        <v>197</v>
      </c>
      <c r="K219" s="44">
        <v>5000000</v>
      </c>
      <c r="L219" s="43" t="s">
        <v>992</v>
      </c>
      <c r="M219" s="45">
        <v>45994</v>
      </c>
      <c r="N219" s="41">
        <v>69187.199999999997</v>
      </c>
      <c r="O219" s="42">
        <v>45924</v>
      </c>
      <c r="P219" s="46"/>
      <c r="Q219" s="41">
        <v>69187.199999999997</v>
      </c>
    </row>
    <row r="220" spans="1:17" ht="12" customHeight="1" x14ac:dyDescent="0.3">
      <c r="A220" s="39"/>
      <c r="B220" s="40" t="s">
        <v>1209</v>
      </c>
      <c r="C220" s="41">
        <v>84307.199999999997</v>
      </c>
      <c r="D220" s="42">
        <v>45904</v>
      </c>
      <c r="E220" s="43" t="s">
        <v>2</v>
      </c>
      <c r="F220" s="41">
        <v>0</v>
      </c>
      <c r="G220" s="41">
        <v>0</v>
      </c>
      <c r="H220" s="41">
        <v>84307.199999999997</v>
      </c>
      <c r="I220" s="43">
        <v>90</v>
      </c>
      <c r="J220" s="43">
        <v>197</v>
      </c>
      <c r="K220" s="44">
        <v>5000000</v>
      </c>
      <c r="L220" s="43" t="s">
        <v>992</v>
      </c>
      <c r="M220" s="45">
        <v>45994</v>
      </c>
      <c r="N220" s="41">
        <v>84307.199999999997</v>
      </c>
      <c r="O220" s="42">
        <v>45924</v>
      </c>
      <c r="P220" s="46"/>
      <c r="Q220" s="41">
        <v>84307.199999999997</v>
      </c>
    </row>
    <row r="221" spans="1:17" ht="12" customHeight="1" x14ac:dyDescent="0.3">
      <c r="A221" s="39"/>
      <c r="B221" s="40" t="s">
        <v>1210</v>
      </c>
      <c r="C221" s="41">
        <v>84307.199999999997</v>
      </c>
      <c r="D221" s="42">
        <v>45904</v>
      </c>
      <c r="E221" s="43" t="s">
        <v>2</v>
      </c>
      <c r="F221" s="41">
        <v>0</v>
      </c>
      <c r="G221" s="41">
        <v>0</v>
      </c>
      <c r="H221" s="41">
        <v>84307.199999999997</v>
      </c>
      <c r="I221" s="43">
        <v>90</v>
      </c>
      <c r="J221" s="43">
        <v>197</v>
      </c>
      <c r="K221" s="44">
        <v>5000000</v>
      </c>
      <c r="L221" s="43" t="s">
        <v>992</v>
      </c>
      <c r="M221" s="45">
        <v>45994</v>
      </c>
      <c r="N221" s="41">
        <v>84307.199999999997</v>
      </c>
      <c r="O221" s="42">
        <v>45924</v>
      </c>
      <c r="P221" s="46"/>
      <c r="Q221" s="41">
        <v>84307.199999999997</v>
      </c>
    </row>
    <row r="222" spans="1:17" ht="12" customHeight="1" x14ac:dyDescent="0.3">
      <c r="A222" s="39"/>
      <c r="B222" s="40" t="s">
        <v>1211</v>
      </c>
      <c r="C222" s="41">
        <v>84307.199999999997</v>
      </c>
      <c r="D222" s="42">
        <v>45904</v>
      </c>
      <c r="E222" s="43" t="s">
        <v>2</v>
      </c>
      <c r="F222" s="41">
        <v>0</v>
      </c>
      <c r="G222" s="41">
        <v>0</v>
      </c>
      <c r="H222" s="41">
        <v>84307.199999999997</v>
      </c>
      <c r="I222" s="43">
        <v>90</v>
      </c>
      <c r="J222" s="43">
        <v>197</v>
      </c>
      <c r="K222" s="44">
        <v>5000000</v>
      </c>
      <c r="L222" s="43" t="s">
        <v>992</v>
      </c>
      <c r="M222" s="45">
        <v>45994</v>
      </c>
      <c r="N222" s="41">
        <v>84307.199999999997</v>
      </c>
      <c r="O222" s="42">
        <v>45924</v>
      </c>
      <c r="P222" s="46"/>
      <c r="Q222" s="41">
        <v>84307.199999999997</v>
      </c>
    </row>
    <row r="223" spans="1:17" ht="12" customHeight="1" x14ac:dyDescent="0.3">
      <c r="A223" s="39"/>
      <c r="B223" s="40" t="s">
        <v>1212</v>
      </c>
      <c r="C223" s="41">
        <v>84307.199999999997</v>
      </c>
      <c r="D223" s="42">
        <v>45904</v>
      </c>
      <c r="E223" s="43" t="s">
        <v>2</v>
      </c>
      <c r="F223" s="41">
        <v>0</v>
      </c>
      <c r="G223" s="41">
        <v>0</v>
      </c>
      <c r="H223" s="41">
        <v>84307.199999999997</v>
      </c>
      <c r="I223" s="43">
        <v>90</v>
      </c>
      <c r="J223" s="43">
        <v>197</v>
      </c>
      <c r="K223" s="44">
        <v>5000000</v>
      </c>
      <c r="L223" s="43" t="s">
        <v>992</v>
      </c>
      <c r="M223" s="45">
        <v>45994</v>
      </c>
      <c r="N223" s="41">
        <v>84307.199999999997</v>
      </c>
      <c r="O223" s="42">
        <v>45924</v>
      </c>
      <c r="P223" s="46"/>
      <c r="Q223" s="41">
        <v>84307.199999999997</v>
      </c>
    </row>
    <row r="224" spans="1:17" ht="12" customHeight="1" x14ac:dyDescent="0.3">
      <c r="A224" s="39"/>
      <c r="B224" s="40" t="s">
        <v>1213</v>
      </c>
      <c r="C224" s="41">
        <v>48544.01</v>
      </c>
      <c r="D224" s="42">
        <v>45904</v>
      </c>
      <c r="E224" s="43" t="s">
        <v>2</v>
      </c>
      <c r="F224" s="41">
        <v>0</v>
      </c>
      <c r="G224" s="41">
        <v>0</v>
      </c>
      <c r="H224" s="41">
        <v>48544.01</v>
      </c>
      <c r="I224" s="43">
        <v>90</v>
      </c>
      <c r="J224" s="43">
        <v>197</v>
      </c>
      <c r="K224" s="44">
        <v>5000000</v>
      </c>
      <c r="L224" s="43" t="s">
        <v>992</v>
      </c>
      <c r="M224" s="45">
        <v>45994</v>
      </c>
      <c r="N224" s="41">
        <v>48544.01</v>
      </c>
      <c r="O224" s="42">
        <v>45924</v>
      </c>
      <c r="P224" s="46"/>
      <c r="Q224" s="41">
        <v>48544.01</v>
      </c>
    </row>
    <row r="225" spans="1:17" ht="12" customHeight="1" x14ac:dyDescent="0.3">
      <c r="A225" s="39"/>
      <c r="B225" s="40" t="s">
        <v>1214</v>
      </c>
      <c r="C225" s="41">
        <v>912</v>
      </c>
      <c r="D225" s="42">
        <v>45904</v>
      </c>
      <c r="E225" s="43" t="s">
        <v>2</v>
      </c>
      <c r="F225" s="41">
        <v>0</v>
      </c>
      <c r="G225" s="41">
        <v>0</v>
      </c>
      <c r="H225" s="41">
        <v>912</v>
      </c>
      <c r="I225" s="43">
        <v>90</v>
      </c>
      <c r="J225" s="43">
        <v>9</v>
      </c>
      <c r="K225" s="44">
        <v>3000000</v>
      </c>
      <c r="L225" s="43" t="s">
        <v>992</v>
      </c>
      <c r="M225" s="45">
        <v>45994</v>
      </c>
      <c r="N225" s="41">
        <v>912</v>
      </c>
      <c r="O225" s="42">
        <v>45957</v>
      </c>
      <c r="P225" s="46"/>
      <c r="Q225" s="41">
        <v>912</v>
      </c>
    </row>
    <row r="226" spans="1:17" ht="12" customHeight="1" x14ac:dyDescent="0.3">
      <c r="A226" s="39"/>
      <c r="B226" s="40" t="s">
        <v>1215</v>
      </c>
      <c r="C226" s="41">
        <v>5783.96</v>
      </c>
      <c r="D226" s="42">
        <v>45904</v>
      </c>
      <c r="E226" s="43" t="s">
        <v>2</v>
      </c>
      <c r="F226" s="41">
        <v>0</v>
      </c>
      <c r="G226" s="41">
        <v>0</v>
      </c>
      <c r="H226" s="41">
        <v>5783.96</v>
      </c>
      <c r="I226" s="43">
        <v>90</v>
      </c>
      <c r="J226" s="43">
        <v>9</v>
      </c>
      <c r="K226" s="44">
        <v>3000000</v>
      </c>
      <c r="L226" s="43" t="s">
        <v>992</v>
      </c>
      <c r="M226" s="45">
        <v>45994</v>
      </c>
      <c r="N226" s="41">
        <v>5783.96</v>
      </c>
      <c r="O226" s="42">
        <v>45957</v>
      </c>
      <c r="P226" s="46"/>
      <c r="Q226" s="41">
        <v>5783.96</v>
      </c>
    </row>
    <row r="227" spans="1:17" ht="12" customHeight="1" x14ac:dyDescent="0.3">
      <c r="A227" s="39"/>
      <c r="B227" s="40" t="s">
        <v>1216</v>
      </c>
      <c r="C227" s="41">
        <v>764.99</v>
      </c>
      <c r="D227" s="42">
        <v>45904</v>
      </c>
      <c r="E227" s="43" t="s">
        <v>2</v>
      </c>
      <c r="F227" s="41">
        <v>0</v>
      </c>
      <c r="G227" s="41">
        <v>0</v>
      </c>
      <c r="H227" s="41">
        <v>764.99</v>
      </c>
      <c r="I227" s="43">
        <v>90</v>
      </c>
      <c r="J227" s="43">
        <v>9</v>
      </c>
      <c r="K227" s="44">
        <v>3000000</v>
      </c>
      <c r="L227" s="43" t="s">
        <v>992</v>
      </c>
      <c r="M227" s="45">
        <v>45994</v>
      </c>
      <c r="N227" s="41">
        <v>764.99</v>
      </c>
      <c r="O227" s="42">
        <v>45957</v>
      </c>
      <c r="P227" s="46"/>
      <c r="Q227" s="41">
        <v>764.99</v>
      </c>
    </row>
    <row r="228" spans="1:17" ht="12" customHeight="1" x14ac:dyDescent="0.3">
      <c r="A228" s="39"/>
      <c r="B228" s="40" t="s">
        <v>1217</v>
      </c>
      <c r="C228" s="41">
        <v>134.55000000000001</v>
      </c>
      <c r="D228" s="42">
        <v>45904</v>
      </c>
      <c r="E228" s="43" t="s">
        <v>2</v>
      </c>
      <c r="F228" s="41">
        <v>0</v>
      </c>
      <c r="G228" s="41">
        <v>0</v>
      </c>
      <c r="H228" s="41">
        <v>134.55000000000001</v>
      </c>
      <c r="I228" s="43">
        <v>90</v>
      </c>
      <c r="J228" s="43">
        <v>9</v>
      </c>
      <c r="K228" s="44">
        <v>3000000</v>
      </c>
      <c r="L228" s="43" t="s">
        <v>992</v>
      </c>
      <c r="M228" s="45">
        <v>45994</v>
      </c>
      <c r="N228" s="41">
        <v>134.55000000000001</v>
      </c>
      <c r="O228" s="42">
        <v>45957</v>
      </c>
      <c r="P228" s="46"/>
      <c r="Q228" s="41">
        <v>134.55000000000001</v>
      </c>
    </row>
    <row r="229" spans="1:17" ht="12" customHeight="1" x14ac:dyDescent="0.3">
      <c r="A229" s="39"/>
      <c r="B229" s="40" t="s">
        <v>1218</v>
      </c>
      <c r="C229" s="41">
        <v>630</v>
      </c>
      <c r="D229" s="42">
        <v>45904</v>
      </c>
      <c r="E229" s="43" t="s">
        <v>2</v>
      </c>
      <c r="F229" s="41">
        <v>0</v>
      </c>
      <c r="G229" s="41">
        <v>0</v>
      </c>
      <c r="H229" s="41">
        <v>630</v>
      </c>
      <c r="I229" s="43">
        <v>90</v>
      </c>
      <c r="J229" s="43">
        <v>9</v>
      </c>
      <c r="K229" s="44">
        <v>3000000</v>
      </c>
      <c r="L229" s="43" t="s">
        <v>992</v>
      </c>
      <c r="M229" s="45">
        <v>45994</v>
      </c>
      <c r="N229" s="41">
        <v>630</v>
      </c>
      <c r="O229" s="42">
        <v>45957</v>
      </c>
      <c r="P229" s="46"/>
      <c r="Q229" s="41">
        <v>630</v>
      </c>
    </row>
    <row r="230" spans="1:17" ht="12" customHeight="1" x14ac:dyDescent="0.3">
      <c r="A230" s="39"/>
      <c r="B230" s="40" t="s">
        <v>1219</v>
      </c>
      <c r="C230" s="41">
        <v>8968.91</v>
      </c>
      <c r="D230" s="42">
        <v>45904</v>
      </c>
      <c r="E230" s="43" t="s">
        <v>2</v>
      </c>
      <c r="F230" s="41">
        <v>0</v>
      </c>
      <c r="G230" s="41">
        <v>0</v>
      </c>
      <c r="H230" s="41">
        <v>8968.91</v>
      </c>
      <c r="I230" s="43">
        <v>90</v>
      </c>
      <c r="J230" s="43">
        <v>9</v>
      </c>
      <c r="K230" s="44">
        <v>3000000</v>
      </c>
      <c r="L230" s="43" t="s">
        <v>992</v>
      </c>
      <c r="M230" s="45">
        <v>45994</v>
      </c>
      <c r="N230" s="41">
        <v>8968.91</v>
      </c>
      <c r="O230" s="42">
        <v>45957</v>
      </c>
      <c r="P230" s="46"/>
      <c r="Q230" s="41">
        <v>8968.91</v>
      </c>
    </row>
    <row r="231" spans="1:17" ht="12" customHeight="1" x14ac:dyDescent="0.3">
      <c r="A231" s="39"/>
      <c r="B231" s="40" t="s">
        <v>1220</v>
      </c>
      <c r="C231" s="41">
        <v>8968.91</v>
      </c>
      <c r="D231" s="42">
        <v>45904</v>
      </c>
      <c r="E231" s="43" t="s">
        <v>2</v>
      </c>
      <c r="F231" s="41">
        <v>0</v>
      </c>
      <c r="G231" s="41">
        <v>0</v>
      </c>
      <c r="H231" s="41">
        <v>8968.91</v>
      </c>
      <c r="I231" s="43">
        <v>90</v>
      </c>
      <c r="J231" s="43">
        <v>9</v>
      </c>
      <c r="K231" s="44">
        <v>3000000</v>
      </c>
      <c r="L231" s="43" t="s">
        <v>992</v>
      </c>
      <c r="M231" s="45">
        <v>45994</v>
      </c>
      <c r="N231" s="41">
        <v>8968.91</v>
      </c>
      <c r="O231" s="42">
        <v>45957</v>
      </c>
      <c r="P231" s="46"/>
      <c r="Q231" s="41">
        <v>8968.91</v>
      </c>
    </row>
    <row r="232" spans="1:17" ht="12" customHeight="1" x14ac:dyDescent="0.3">
      <c r="A232" s="39"/>
      <c r="B232" s="40" t="s">
        <v>1221</v>
      </c>
      <c r="C232" s="41">
        <v>336.38</v>
      </c>
      <c r="D232" s="42">
        <v>45907</v>
      </c>
      <c r="E232" s="43" t="s">
        <v>2</v>
      </c>
      <c r="F232" s="41">
        <v>0</v>
      </c>
      <c r="G232" s="41">
        <v>0</v>
      </c>
      <c r="H232" s="41">
        <v>336.38</v>
      </c>
      <c r="I232" s="43">
        <v>90</v>
      </c>
      <c r="J232" s="43">
        <v>9</v>
      </c>
      <c r="K232" s="44">
        <v>3000000</v>
      </c>
      <c r="L232" s="43" t="s">
        <v>992</v>
      </c>
      <c r="M232" s="45">
        <v>45998</v>
      </c>
      <c r="N232" s="41">
        <v>336.38</v>
      </c>
      <c r="O232" s="42">
        <v>45957</v>
      </c>
      <c r="P232" s="46"/>
      <c r="Q232" s="41">
        <v>336.38</v>
      </c>
    </row>
    <row r="233" spans="1:17" ht="12" customHeight="1" x14ac:dyDescent="0.3">
      <c r="A233" s="39"/>
      <c r="B233" s="40" t="s">
        <v>1222</v>
      </c>
      <c r="C233" s="41">
        <v>2524.0500000000002</v>
      </c>
      <c r="D233" s="42">
        <v>45907</v>
      </c>
      <c r="E233" s="43" t="s">
        <v>2</v>
      </c>
      <c r="F233" s="41">
        <v>0</v>
      </c>
      <c r="G233" s="41">
        <v>0</v>
      </c>
      <c r="H233" s="41">
        <v>2524.0500000000002</v>
      </c>
      <c r="I233" s="43">
        <v>90</v>
      </c>
      <c r="J233" s="43">
        <v>9</v>
      </c>
      <c r="K233" s="44">
        <v>3000000</v>
      </c>
      <c r="L233" s="43" t="s">
        <v>992</v>
      </c>
      <c r="M233" s="45">
        <v>45998</v>
      </c>
      <c r="N233" s="41">
        <v>2524.0500000000002</v>
      </c>
      <c r="O233" s="42">
        <v>45957</v>
      </c>
      <c r="P233" s="46"/>
      <c r="Q233" s="41">
        <v>2524.0500000000002</v>
      </c>
    </row>
    <row r="234" spans="1:17" ht="12" customHeight="1" x14ac:dyDescent="0.3">
      <c r="A234" s="39"/>
      <c r="B234" s="40" t="s">
        <v>1223</v>
      </c>
      <c r="C234" s="41">
        <v>10701.9</v>
      </c>
      <c r="D234" s="42">
        <v>45907</v>
      </c>
      <c r="E234" s="43" t="s">
        <v>2</v>
      </c>
      <c r="F234" s="41">
        <v>0</v>
      </c>
      <c r="G234" s="41">
        <v>0</v>
      </c>
      <c r="H234" s="41">
        <v>10701.9</v>
      </c>
      <c r="I234" s="43">
        <v>90</v>
      </c>
      <c r="J234" s="43">
        <v>9</v>
      </c>
      <c r="K234" s="44">
        <v>3000000</v>
      </c>
      <c r="L234" s="43" t="s">
        <v>992</v>
      </c>
      <c r="M234" s="45">
        <v>45998</v>
      </c>
      <c r="N234" s="41">
        <v>10701.9</v>
      </c>
      <c r="O234" s="42">
        <v>45957</v>
      </c>
      <c r="P234" s="46"/>
      <c r="Q234" s="41">
        <v>10701.9</v>
      </c>
    </row>
    <row r="235" spans="1:17" ht="12" customHeight="1" x14ac:dyDescent="0.3">
      <c r="A235" s="39"/>
      <c r="B235" s="40" t="s">
        <v>1224</v>
      </c>
      <c r="C235" s="41">
        <v>713696.9</v>
      </c>
      <c r="D235" s="42">
        <v>45907</v>
      </c>
      <c r="E235" s="43" t="s">
        <v>2</v>
      </c>
      <c r="F235" s="41">
        <v>0</v>
      </c>
      <c r="G235" s="41">
        <v>0</v>
      </c>
      <c r="H235" s="41">
        <v>713696.9</v>
      </c>
      <c r="I235" s="43">
        <v>90</v>
      </c>
      <c r="J235" s="43">
        <v>8</v>
      </c>
      <c r="K235" s="44">
        <v>3000000</v>
      </c>
      <c r="L235" s="43" t="s">
        <v>992</v>
      </c>
      <c r="M235" s="45">
        <v>45998</v>
      </c>
      <c r="N235" s="41">
        <v>713696.9</v>
      </c>
      <c r="O235" s="42">
        <v>45930</v>
      </c>
      <c r="P235" s="46"/>
      <c r="Q235" s="41">
        <v>713696.9</v>
      </c>
    </row>
    <row r="236" spans="1:17" ht="12" customHeight="1" x14ac:dyDescent="0.3">
      <c r="A236" s="39"/>
      <c r="B236" s="40" t="s">
        <v>1225</v>
      </c>
      <c r="C236" s="41">
        <v>1099.54</v>
      </c>
      <c r="D236" s="42">
        <v>45907</v>
      </c>
      <c r="E236" s="43" t="s">
        <v>2</v>
      </c>
      <c r="F236" s="41">
        <v>0</v>
      </c>
      <c r="G236" s="41">
        <v>0</v>
      </c>
      <c r="H236" s="41">
        <v>1099.54</v>
      </c>
      <c r="I236" s="43">
        <v>90</v>
      </c>
      <c r="J236" s="43">
        <v>9</v>
      </c>
      <c r="K236" s="44">
        <v>3000000</v>
      </c>
      <c r="L236" s="43" t="s">
        <v>992</v>
      </c>
      <c r="M236" s="45">
        <v>45998</v>
      </c>
      <c r="N236" s="41">
        <v>1099.54</v>
      </c>
      <c r="O236" s="42">
        <v>45957</v>
      </c>
      <c r="P236" s="46"/>
      <c r="Q236" s="41">
        <v>1099.54</v>
      </c>
    </row>
    <row r="237" spans="1:17" ht="12" customHeight="1" x14ac:dyDescent="0.3">
      <c r="A237" s="39"/>
      <c r="B237" s="40" t="s">
        <v>1226</v>
      </c>
      <c r="C237" s="41">
        <v>269.10000000000002</v>
      </c>
      <c r="D237" s="42">
        <v>45909</v>
      </c>
      <c r="E237" s="43" t="s">
        <v>2</v>
      </c>
      <c r="F237" s="41">
        <v>0</v>
      </c>
      <c r="G237" s="41">
        <v>0</v>
      </c>
      <c r="H237" s="41">
        <v>269.10000000000002</v>
      </c>
      <c r="I237" s="43">
        <v>90</v>
      </c>
      <c r="J237" s="43">
        <v>9</v>
      </c>
      <c r="K237" s="44">
        <v>3000000</v>
      </c>
      <c r="L237" s="43" t="s">
        <v>992</v>
      </c>
      <c r="M237" s="45">
        <v>45999</v>
      </c>
      <c r="N237" s="41">
        <v>269.10000000000002</v>
      </c>
      <c r="O237" s="42">
        <v>45957</v>
      </c>
      <c r="P237" s="46"/>
      <c r="Q237" s="41">
        <v>269.10000000000002</v>
      </c>
    </row>
    <row r="238" spans="1:17" ht="12" customHeight="1" x14ac:dyDescent="0.3">
      <c r="A238" s="39"/>
      <c r="B238" s="40" t="s">
        <v>1227</v>
      </c>
      <c r="C238" s="41">
        <v>70</v>
      </c>
      <c r="D238" s="42">
        <v>45909</v>
      </c>
      <c r="E238" s="43" t="s">
        <v>2</v>
      </c>
      <c r="F238" s="41">
        <v>0</v>
      </c>
      <c r="G238" s="41">
        <v>0</v>
      </c>
      <c r="H238" s="41">
        <v>70</v>
      </c>
      <c r="I238" s="43">
        <v>90</v>
      </c>
      <c r="J238" s="43">
        <v>9</v>
      </c>
      <c r="K238" s="44">
        <v>3000000</v>
      </c>
      <c r="L238" s="43" t="s">
        <v>992</v>
      </c>
      <c r="M238" s="45">
        <v>45999</v>
      </c>
      <c r="N238" s="41">
        <v>70</v>
      </c>
      <c r="O238" s="42">
        <v>45957</v>
      </c>
      <c r="P238" s="46"/>
      <c r="Q238" s="41">
        <v>70</v>
      </c>
    </row>
    <row r="239" spans="1:17" ht="12" customHeight="1" x14ac:dyDescent="0.3">
      <c r="A239" s="39"/>
      <c r="B239" s="40" t="s">
        <v>1228</v>
      </c>
      <c r="C239" s="41">
        <v>2410</v>
      </c>
      <c r="D239" s="42">
        <v>45909</v>
      </c>
      <c r="E239" s="43" t="s">
        <v>2</v>
      </c>
      <c r="F239" s="41">
        <v>0</v>
      </c>
      <c r="G239" s="41">
        <v>0</v>
      </c>
      <c r="H239" s="41">
        <v>2410</v>
      </c>
      <c r="I239" s="43">
        <v>90</v>
      </c>
      <c r="J239" s="43">
        <v>9</v>
      </c>
      <c r="K239" s="44">
        <v>3000000</v>
      </c>
      <c r="L239" s="43" t="s">
        <v>992</v>
      </c>
      <c r="M239" s="45">
        <v>45999</v>
      </c>
      <c r="N239" s="41">
        <v>2410</v>
      </c>
      <c r="O239" s="42">
        <v>45957</v>
      </c>
      <c r="P239" s="46"/>
      <c r="Q239" s="41">
        <v>2410</v>
      </c>
    </row>
    <row r="240" spans="1:17" ht="12" customHeight="1" x14ac:dyDescent="0.3">
      <c r="A240" s="39"/>
      <c r="B240" s="40" t="s">
        <v>1229</v>
      </c>
      <c r="C240" s="41">
        <v>134.55000000000001</v>
      </c>
      <c r="D240" s="42">
        <v>45909</v>
      </c>
      <c r="E240" s="43" t="s">
        <v>2</v>
      </c>
      <c r="F240" s="41">
        <v>0</v>
      </c>
      <c r="G240" s="41">
        <v>0</v>
      </c>
      <c r="H240" s="41">
        <v>134.55000000000001</v>
      </c>
      <c r="I240" s="43">
        <v>90</v>
      </c>
      <c r="J240" s="43">
        <v>9</v>
      </c>
      <c r="K240" s="44">
        <v>3000000</v>
      </c>
      <c r="L240" s="43" t="s">
        <v>992</v>
      </c>
      <c r="M240" s="45">
        <v>45999</v>
      </c>
      <c r="N240" s="41">
        <v>134.55000000000001</v>
      </c>
      <c r="O240" s="42">
        <v>45957</v>
      </c>
      <c r="P240" s="46"/>
      <c r="Q240" s="41">
        <v>134.55000000000001</v>
      </c>
    </row>
    <row r="241" spans="1:17" ht="12" customHeight="1" x14ac:dyDescent="0.3">
      <c r="A241" s="39"/>
      <c r="B241" s="40" t="s">
        <v>1230</v>
      </c>
      <c r="C241" s="41">
        <v>420</v>
      </c>
      <c r="D241" s="42">
        <v>45909</v>
      </c>
      <c r="E241" s="43" t="s">
        <v>2</v>
      </c>
      <c r="F241" s="41">
        <v>0</v>
      </c>
      <c r="G241" s="41">
        <v>0</v>
      </c>
      <c r="H241" s="41">
        <v>420</v>
      </c>
      <c r="I241" s="43">
        <v>90</v>
      </c>
      <c r="J241" s="43">
        <v>9</v>
      </c>
      <c r="K241" s="44">
        <v>3000000</v>
      </c>
      <c r="L241" s="43" t="s">
        <v>992</v>
      </c>
      <c r="M241" s="45">
        <v>45999</v>
      </c>
      <c r="N241" s="41">
        <v>420</v>
      </c>
      <c r="O241" s="42">
        <v>45957</v>
      </c>
      <c r="P241" s="46"/>
      <c r="Q241" s="41">
        <v>420</v>
      </c>
    </row>
    <row r="242" spans="1:17" ht="12" customHeight="1" x14ac:dyDescent="0.3">
      <c r="A242" s="39"/>
      <c r="B242" s="40" t="s">
        <v>1231</v>
      </c>
      <c r="C242" s="41">
        <v>252</v>
      </c>
      <c r="D242" s="42">
        <v>45909</v>
      </c>
      <c r="E242" s="43" t="s">
        <v>2</v>
      </c>
      <c r="F242" s="41">
        <v>0</v>
      </c>
      <c r="G242" s="41">
        <v>0</v>
      </c>
      <c r="H242" s="41">
        <v>252</v>
      </c>
      <c r="I242" s="43">
        <v>90</v>
      </c>
      <c r="J242" s="43">
        <v>9</v>
      </c>
      <c r="K242" s="44">
        <v>3000000</v>
      </c>
      <c r="L242" s="43" t="s">
        <v>992</v>
      </c>
      <c r="M242" s="45">
        <v>45999</v>
      </c>
      <c r="N242" s="41">
        <v>252</v>
      </c>
      <c r="O242" s="42">
        <v>45957</v>
      </c>
      <c r="P242" s="46"/>
      <c r="Q242" s="41">
        <v>252</v>
      </c>
    </row>
    <row r="243" spans="1:17" ht="12" customHeight="1" x14ac:dyDescent="0.3">
      <c r="A243" s="39"/>
      <c r="B243" s="40" t="s">
        <v>1232</v>
      </c>
      <c r="C243" s="41">
        <v>4799</v>
      </c>
      <c r="D243" s="42">
        <v>45909</v>
      </c>
      <c r="E243" s="43" t="s">
        <v>2</v>
      </c>
      <c r="F243" s="41">
        <v>0</v>
      </c>
      <c r="G243" s="41">
        <v>0</v>
      </c>
      <c r="H243" s="41">
        <v>4799</v>
      </c>
      <c r="I243" s="43">
        <v>90</v>
      </c>
      <c r="J243" s="43">
        <v>9</v>
      </c>
      <c r="K243" s="44">
        <v>3000000</v>
      </c>
      <c r="L243" s="43" t="s">
        <v>992</v>
      </c>
      <c r="M243" s="45">
        <v>45999</v>
      </c>
      <c r="N243" s="41">
        <v>4799</v>
      </c>
      <c r="O243" s="42">
        <v>45957</v>
      </c>
      <c r="P243" s="46"/>
      <c r="Q243" s="41">
        <v>4799</v>
      </c>
    </row>
    <row r="244" spans="1:17" ht="12" customHeight="1" x14ac:dyDescent="0.3">
      <c r="A244" s="39"/>
      <c r="B244" s="40" t="s">
        <v>1233</v>
      </c>
      <c r="C244" s="41">
        <v>2753.51</v>
      </c>
      <c r="D244" s="42">
        <v>45909</v>
      </c>
      <c r="E244" s="43" t="s">
        <v>2</v>
      </c>
      <c r="F244" s="41">
        <v>0</v>
      </c>
      <c r="G244" s="41">
        <v>0</v>
      </c>
      <c r="H244" s="41">
        <v>2753.51</v>
      </c>
      <c r="I244" s="43">
        <v>90</v>
      </c>
      <c r="J244" s="43">
        <v>9</v>
      </c>
      <c r="K244" s="44">
        <v>3000000</v>
      </c>
      <c r="L244" s="43" t="s">
        <v>992</v>
      </c>
      <c r="M244" s="45">
        <v>45999</v>
      </c>
      <c r="N244" s="41">
        <v>2753.51</v>
      </c>
      <c r="O244" s="42">
        <v>45957</v>
      </c>
      <c r="P244" s="46"/>
      <c r="Q244" s="41">
        <v>2753.51</v>
      </c>
    </row>
    <row r="245" spans="1:17" ht="12" customHeight="1" x14ac:dyDescent="0.3">
      <c r="A245" s="39"/>
      <c r="B245" s="40" t="s">
        <v>1234</v>
      </c>
      <c r="C245" s="41">
        <v>208000</v>
      </c>
      <c r="D245" s="42">
        <v>45909</v>
      </c>
      <c r="E245" s="43" t="s">
        <v>2</v>
      </c>
      <c r="F245" s="41">
        <v>0</v>
      </c>
      <c r="G245" s="41">
        <v>0</v>
      </c>
      <c r="H245" s="41">
        <v>208000</v>
      </c>
      <c r="I245" s="43">
        <v>90</v>
      </c>
      <c r="J245" s="43">
        <v>197</v>
      </c>
      <c r="K245" s="44">
        <v>5000000</v>
      </c>
      <c r="L245" s="43" t="s">
        <v>992</v>
      </c>
      <c r="M245" s="45">
        <v>45999</v>
      </c>
      <c r="N245" s="41">
        <v>208000</v>
      </c>
      <c r="O245" s="42">
        <v>45930</v>
      </c>
      <c r="P245" s="46"/>
      <c r="Q245" s="41">
        <v>208000</v>
      </c>
    </row>
    <row r="246" spans="1:17" ht="12" customHeight="1" x14ac:dyDescent="0.3">
      <c r="A246" s="39"/>
      <c r="B246" s="40" t="s">
        <v>1235</v>
      </c>
      <c r="C246" s="41">
        <v>139.5</v>
      </c>
      <c r="D246" s="42">
        <v>45910</v>
      </c>
      <c r="E246" s="43" t="s">
        <v>2</v>
      </c>
      <c r="F246" s="41">
        <v>0</v>
      </c>
      <c r="G246" s="41">
        <v>0</v>
      </c>
      <c r="H246" s="41">
        <v>139.5</v>
      </c>
      <c r="I246" s="43">
        <v>90</v>
      </c>
      <c r="J246" s="43">
        <v>9</v>
      </c>
      <c r="K246" s="44">
        <v>3000000</v>
      </c>
      <c r="L246" s="43" t="s">
        <v>992</v>
      </c>
      <c r="M246" s="45">
        <v>46000</v>
      </c>
      <c r="N246" s="41">
        <v>139.5</v>
      </c>
      <c r="O246" s="42">
        <v>45957</v>
      </c>
      <c r="P246" s="46"/>
      <c r="Q246" s="41">
        <v>139.5</v>
      </c>
    </row>
    <row r="247" spans="1:17" ht="12" customHeight="1" x14ac:dyDescent="0.3">
      <c r="A247" s="39"/>
      <c r="B247" s="40" t="s">
        <v>1236</v>
      </c>
      <c r="C247" s="41">
        <v>793.5</v>
      </c>
      <c r="D247" s="42">
        <v>45910</v>
      </c>
      <c r="E247" s="43" t="s">
        <v>2</v>
      </c>
      <c r="F247" s="41">
        <v>0</v>
      </c>
      <c r="G247" s="41">
        <v>0</v>
      </c>
      <c r="H247" s="41">
        <v>793.5</v>
      </c>
      <c r="I247" s="43">
        <v>90</v>
      </c>
      <c r="J247" s="43">
        <v>9</v>
      </c>
      <c r="K247" s="44">
        <v>3000000</v>
      </c>
      <c r="L247" s="43" t="s">
        <v>992</v>
      </c>
      <c r="M247" s="45">
        <v>46000</v>
      </c>
      <c r="N247" s="41">
        <v>793.5</v>
      </c>
      <c r="O247" s="42">
        <v>45957</v>
      </c>
      <c r="P247" s="46"/>
      <c r="Q247" s="41">
        <v>793.5</v>
      </c>
    </row>
    <row r="248" spans="1:17" ht="12" customHeight="1" x14ac:dyDescent="0.3">
      <c r="A248" s="39"/>
      <c r="B248" s="40" t="s">
        <v>1237</v>
      </c>
      <c r="C248" s="41">
        <v>12276.01</v>
      </c>
      <c r="D248" s="42">
        <v>45910</v>
      </c>
      <c r="E248" s="43" t="s">
        <v>2</v>
      </c>
      <c r="F248" s="41">
        <v>0</v>
      </c>
      <c r="G248" s="41">
        <v>0</v>
      </c>
      <c r="H248" s="41">
        <v>12276.01</v>
      </c>
      <c r="I248" s="43">
        <v>90</v>
      </c>
      <c r="J248" s="43">
        <v>9</v>
      </c>
      <c r="K248" s="44">
        <v>3000000</v>
      </c>
      <c r="L248" s="43" t="s">
        <v>992</v>
      </c>
      <c r="M248" s="45">
        <v>46000</v>
      </c>
      <c r="N248" s="41">
        <v>12276.01</v>
      </c>
      <c r="O248" s="42">
        <v>45957</v>
      </c>
      <c r="P248" s="46"/>
      <c r="Q248" s="41">
        <v>12276.01</v>
      </c>
    </row>
    <row r="249" spans="1:17" ht="12" customHeight="1" x14ac:dyDescent="0.3">
      <c r="A249" s="39"/>
      <c r="B249" s="40" t="s">
        <v>1238</v>
      </c>
      <c r="C249" s="41">
        <v>22296.91</v>
      </c>
      <c r="D249" s="42">
        <v>45910</v>
      </c>
      <c r="E249" s="43" t="s">
        <v>2</v>
      </c>
      <c r="F249" s="41">
        <v>0</v>
      </c>
      <c r="G249" s="41">
        <v>0</v>
      </c>
      <c r="H249" s="41">
        <v>22296.91</v>
      </c>
      <c r="I249" s="43">
        <v>90</v>
      </c>
      <c r="J249" s="43">
        <v>9</v>
      </c>
      <c r="K249" s="44">
        <v>3000000</v>
      </c>
      <c r="L249" s="43" t="s">
        <v>992</v>
      </c>
      <c r="M249" s="45">
        <v>46000</v>
      </c>
      <c r="N249" s="41">
        <v>22296.91</v>
      </c>
      <c r="O249" s="42">
        <v>45957</v>
      </c>
      <c r="P249" s="46"/>
      <c r="Q249" s="41">
        <v>22296.91</v>
      </c>
    </row>
    <row r="250" spans="1:17" ht="12" customHeight="1" x14ac:dyDescent="0.3">
      <c r="A250" s="39"/>
      <c r="B250" s="40" t="s">
        <v>1239</v>
      </c>
      <c r="C250" s="41">
        <v>21279.09</v>
      </c>
      <c r="D250" s="42">
        <v>45910</v>
      </c>
      <c r="E250" s="43" t="s">
        <v>2</v>
      </c>
      <c r="F250" s="41">
        <v>0</v>
      </c>
      <c r="G250" s="41">
        <v>0</v>
      </c>
      <c r="H250" s="41">
        <v>21279.09</v>
      </c>
      <c r="I250" s="43">
        <v>90</v>
      </c>
      <c r="J250" s="43">
        <v>9</v>
      </c>
      <c r="K250" s="44">
        <v>3000000</v>
      </c>
      <c r="L250" s="43" t="s">
        <v>992</v>
      </c>
      <c r="M250" s="45">
        <v>46000</v>
      </c>
      <c r="N250" s="41">
        <v>21279.09</v>
      </c>
      <c r="O250" s="42">
        <v>45957</v>
      </c>
      <c r="P250" s="46"/>
      <c r="Q250" s="41">
        <v>21279.09</v>
      </c>
    </row>
    <row r="251" spans="1:17" ht="12" customHeight="1" x14ac:dyDescent="0.3">
      <c r="A251" s="39"/>
      <c r="B251" s="40" t="s">
        <v>1240</v>
      </c>
      <c r="C251" s="41">
        <v>134.55000000000001</v>
      </c>
      <c r="D251" s="42">
        <v>45910</v>
      </c>
      <c r="E251" s="43" t="s">
        <v>2</v>
      </c>
      <c r="F251" s="41">
        <v>0</v>
      </c>
      <c r="G251" s="41">
        <v>0</v>
      </c>
      <c r="H251" s="41">
        <v>134.55000000000001</v>
      </c>
      <c r="I251" s="43">
        <v>90</v>
      </c>
      <c r="J251" s="43">
        <v>9</v>
      </c>
      <c r="K251" s="44">
        <v>3000000</v>
      </c>
      <c r="L251" s="43" t="s">
        <v>992</v>
      </c>
      <c r="M251" s="45">
        <v>46000</v>
      </c>
      <c r="N251" s="41">
        <v>134.55000000000001</v>
      </c>
      <c r="O251" s="42">
        <v>45957</v>
      </c>
      <c r="P251" s="46"/>
      <c r="Q251" s="41">
        <v>134.55000000000001</v>
      </c>
    </row>
    <row r="252" spans="1:17" ht="12" customHeight="1" x14ac:dyDescent="0.3">
      <c r="A252" s="39"/>
      <c r="B252" s="40" t="s">
        <v>1241</v>
      </c>
      <c r="C252" s="41">
        <v>409.5</v>
      </c>
      <c r="D252" s="42">
        <v>45910</v>
      </c>
      <c r="E252" s="43" t="s">
        <v>2</v>
      </c>
      <c r="F252" s="41">
        <v>0</v>
      </c>
      <c r="G252" s="41">
        <v>0</v>
      </c>
      <c r="H252" s="41">
        <v>409.5</v>
      </c>
      <c r="I252" s="43">
        <v>90</v>
      </c>
      <c r="J252" s="43">
        <v>9</v>
      </c>
      <c r="K252" s="44">
        <v>3000000</v>
      </c>
      <c r="L252" s="43" t="s">
        <v>992</v>
      </c>
      <c r="M252" s="45">
        <v>46000</v>
      </c>
      <c r="N252" s="41">
        <v>409.5</v>
      </c>
      <c r="O252" s="42">
        <v>45957</v>
      </c>
      <c r="P252" s="46"/>
      <c r="Q252" s="41">
        <v>409.5</v>
      </c>
    </row>
    <row r="253" spans="1:17" ht="12" customHeight="1" x14ac:dyDescent="0.3">
      <c r="A253" s="39"/>
      <c r="B253" s="40" t="s">
        <v>1242</v>
      </c>
      <c r="C253" s="41">
        <v>3217.71</v>
      </c>
      <c r="D253" s="42">
        <v>45911</v>
      </c>
      <c r="E253" s="43" t="s">
        <v>2</v>
      </c>
      <c r="F253" s="41">
        <v>0</v>
      </c>
      <c r="G253" s="41">
        <v>0</v>
      </c>
      <c r="H253" s="41">
        <v>3217.71</v>
      </c>
      <c r="I253" s="43">
        <v>90</v>
      </c>
      <c r="J253" s="43">
        <v>9</v>
      </c>
      <c r="K253" s="44">
        <v>3000000</v>
      </c>
      <c r="L253" s="43" t="s">
        <v>992</v>
      </c>
      <c r="M253" s="45">
        <v>46001</v>
      </c>
      <c r="N253" s="41">
        <v>3217.71</v>
      </c>
      <c r="O253" s="42">
        <v>45957</v>
      </c>
      <c r="P253" s="46"/>
      <c r="Q253" s="41">
        <v>3217.71</v>
      </c>
    </row>
    <row r="254" spans="1:17" ht="12" customHeight="1" x14ac:dyDescent="0.3">
      <c r="A254" s="39"/>
      <c r="B254" s="40" t="s">
        <v>1243</v>
      </c>
      <c r="C254" s="41">
        <v>443</v>
      </c>
      <c r="D254" s="42">
        <v>45911</v>
      </c>
      <c r="E254" s="43" t="s">
        <v>2</v>
      </c>
      <c r="F254" s="41">
        <v>0</v>
      </c>
      <c r="G254" s="41">
        <v>0</v>
      </c>
      <c r="H254" s="41">
        <v>443</v>
      </c>
      <c r="I254" s="43">
        <v>90</v>
      </c>
      <c r="J254" s="43">
        <v>9</v>
      </c>
      <c r="K254" s="44">
        <v>3000000</v>
      </c>
      <c r="L254" s="43" t="s">
        <v>992</v>
      </c>
      <c r="M254" s="45">
        <v>46001</v>
      </c>
      <c r="N254" s="41">
        <v>443</v>
      </c>
      <c r="O254" s="42">
        <v>45957</v>
      </c>
      <c r="P254" s="46"/>
      <c r="Q254" s="41">
        <v>443</v>
      </c>
    </row>
    <row r="255" spans="1:17" ht="12" customHeight="1" x14ac:dyDescent="0.3">
      <c r="A255" s="39"/>
      <c r="B255" s="40" t="s">
        <v>1244</v>
      </c>
      <c r="C255" s="41">
        <v>270</v>
      </c>
      <c r="D255" s="42">
        <v>45911</v>
      </c>
      <c r="E255" s="43" t="s">
        <v>2</v>
      </c>
      <c r="F255" s="41">
        <v>0</v>
      </c>
      <c r="G255" s="41">
        <v>0</v>
      </c>
      <c r="H255" s="41">
        <v>270</v>
      </c>
      <c r="I255" s="43">
        <v>90</v>
      </c>
      <c r="J255" s="43">
        <v>9</v>
      </c>
      <c r="K255" s="44">
        <v>3000000</v>
      </c>
      <c r="L255" s="43" t="s">
        <v>992</v>
      </c>
      <c r="M255" s="45">
        <v>46001</v>
      </c>
      <c r="N255" s="41">
        <v>270</v>
      </c>
      <c r="O255" s="42">
        <v>45957</v>
      </c>
      <c r="P255" s="46"/>
      <c r="Q255" s="41">
        <v>270</v>
      </c>
    </row>
    <row r="256" spans="1:17" ht="12" customHeight="1" x14ac:dyDescent="0.3">
      <c r="A256" s="39"/>
      <c r="B256" s="40" t="s">
        <v>1245</v>
      </c>
      <c r="C256" s="41">
        <v>74</v>
      </c>
      <c r="D256" s="42">
        <v>45911</v>
      </c>
      <c r="E256" s="43" t="s">
        <v>2</v>
      </c>
      <c r="F256" s="41">
        <v>0</v>
      </c>
      <c r="G256" s="41">
        <v>0</v>
      </c>
      <c r="H256" s="41">
        <v>74</v>
      </c>
      <c r="I256" s="43">
        <v>90</v>
      </c>
      <c r="J256" s="43">
        <v>9</v>
      </c>
      <c r="K256" s="44">
        <v>3000000</v>
      </c>
      <c r="L256" s="43" t="s">
        <v>992</v>
      </c>
      <c r="M256" s="45">
        <v>46001</v>
      </c>
      <c r="N256" s="41">
        <v>74</v>
      </c>
      <c r="O256" s="42">
        <v>45957</v>
      </c>
      <c r="P256" s="46"/>
      <c r="Q256" s="41">
        <v>74</v>
      </c>
    </row>
    <row r="257" spans="1:17" ht="12" customHeight="1" x14ac:dyDescent="0.3">
      <c r="A257" s="39"/>
      <c r="B257" s="40" t="s">
        <v>1246</v>
      </c>
      <c r="C257" s="41">
        <v>1805</v>
      </c>
      <c r="D257" s="42">
        <v>45911</v>
      </c>
      <c r="E257" s="43" t="s">
        <v>2</v>
      </c>
      <c r="F257" s="41">
        <v>0</v>
      </c>
      <c r="G257" s="41">
        <v>0</v>
      </c>
      <c r="H257" s="41">
        <v>1805</v>
      </c>
      <c r="I257" s="43">
        <v>90</v>
      </c>
      <c r="J257" s="43">
        <v>9</v>
      </c>
      <c r="K257" s="44">
        <v>3000000</v>
      </c>
      <c r="L257" s="43" t="s">
        <v>992</v>
      </c>
      <c r="M257" s="45">
        <v>46001</v>
      </c>
      <c r="N257" s="41">
        <v>1805</v>
      </c>
      <c r="O257" s="42">
        <v>45957</v>
      </c>
      <c r="P257" s="46"/>
      <c r="Q257" s="41">
        <v>1805</v>
      </c>
    </row>
    <row r="258" spans="1:17" ht="12" customHeight="1" x14ac:dyDescent="0.3">
      <c r="A258" s="39"/>
      <c r="B258" s="40" t="s">
        <v>1247</v>
      </c>
      <c r="C258" s="41">
        <v>5100</v>
      </c>
      <c r="D258" s="42">
        <v>45911</v>
      </c>
      <c r="E258" s="43" t="s">
        <v>2</v>
      </c>
      <c r="F258" s="41">
        <v>0</v>
      </c>
      <c r="G258" s="41">
        <v>0</v>
      </c>
      <c r="H258" s="41">
        <v>5100</v>
      </c>
      <c r="I258" s="43">
        <v>90</v>
      </c>
      <c r="J258" s="43">
        <v>9</v>
      </c>
      <c r="K258" s="44">
        <v>3000000</v>
      </c>
      <c r="L258" s="43" t="s">
        <v>992</v>
      </c>
      <c r="M258" s="45">
        <v>46001</v>
      </c>
      <c r="N258" s="41">
        <v>5100</v>
      </c>
      <c r="O258" s="42">
        <v>45957</v>
      </c>
      <c r="P258" s="46"/>
      <c r="Q258" s="41">
        <v>5100</v>
      </c>
    </row>
    <row r="259" spans="1:17" ht="12" customHeight="1" x14ac:dyDescent="0.3">
      <c r="A259" s="39"/>
      <c r="B259" s="40" t="s">
        <v>1248</v>
      </c>
      <c r="C259" s="41">
        <v>4701.8</v>
      </c>
      <c r="D259" s="42">
        <v>45912</v>
      </c>
      <c r="E259" s="43" t="s">
        <v>2</v>
      </c>
      <c r="F259" s="41">
        <v>0</v>
      </c>
      <c r="G259" s="41">
        <v>0</v>
      </c>
      <c r="H259" s="41">
        <v>4701.8</v>
      </c>
      <c r="I259" s="43">
        <v>90</v>
      </c>
      <c r="J259" s="43">
        <v>9</v>
      </c>
      <c r="K259" s="44">
        <v>3000000</v>
      </c>
      <c r="L259" s="43" t="s">
        <v>992</v>
      </c>
      <c r="M259" s="45">
        <v>46002</v>
      </c>
      <c r="N259" s="41">
        <v>4701.8</v>
      </c>
      <c r="O259" s="42">
        <v>45957</v>
      </c>
      <c r="P259" s="46"/>
      <c r="Q259" s="41">
        <v>4701.8</v>
      </c>
    </row>
    <row r="260" spans="1:17" ht="12" customHeight="1" x14ac:dyDescent="0.3">
      <c r="A260" s="39"/>
      <c r="B260" s="40" t="s">
        <v>1249</v>
      </c>
      <c r="C260" s="41">
        <v>7504.62</v>
      </c>
      <c r="D260" s="42">
        <v>45914</v>
      </c>
      <c r="E260" s="43" t="s">
        <v>2</v>
      </c>
      <c r="F260" s="41">
        <v>0</v>
      </c>
      <c r="G260" s="41">
        <v>0</v>
      </c>
      <c r="H260" s="41">
        <v>7504.62</v>
      </c>
      <c r="I260" s="43">
        <v>90</v>
      </c>
      <c r="J260" s="43">
        <v>9</v>
      </c>
      <c r="K260" s="44">
        <v>3000000</v>
      </c>
      <c r="L260" s="43" t="s">
        <v>992</v>
      </c>
      <c r="M260" s="45">
        <v>46005</v>
      </c>
      <c r="N260" s="41">
        <v>7504.62</v>
      </c>
      <c r="O260" s="42">
        <v>45957</v>
      </c>
      <c r="P260" s="46"/>
      <c r="Q260" s="41">
        <v>7504.62</v>
      </c>
    </row>
    <row r="261" spans="1:17" ht="12" customHeight="1" x14ac:dyDescent="0.3">
      <c r="A261" s="39"/>
      <c r="B261" s="40" t="s">
        <v>1250</v>
      </c>
      <c r="C261" s="41">
        <v>201.83</v>
      </c>
      <c r="D261" s="42">
        <v>45914</v>
      </c>
      <c r="E261" s="43" t="s">
        <v>2</v>
      </c>
      <c r="F261" s="41">
        <v>0</v>
      </c>
      <c r="G261" s="41">
        <v>0</v>
      </c>
      <c r="H261" s="41">
        <v>201.83</v>
      </c>
      <c r="I261" s="43">
        <v>90</v>
      </c>
      <c r="J261" s="43">
        <v>9</v>
      </c>
      <c r="K261" s="44">
        <v>3000000</v>
      </c>
      <c r="L261" s="43" t="s">
        <v>992</v>
      </c>
      <c r="M261" s="45">
        <v>46005</v>
      </c>
      <c r="N261" s="41">
        <v>201.83</v>
      </c>
      <c r="O261" s="42">
        <v>45957</v>
      </c>
      <c r="P261" s="46"/>
      <c r="Q261" s="41">
        <v>201.83</v>
      </c>
    </row>
    <row r="262" spans="1:17" ht="12" customHeight="1" x14ac:dyDescent="0.3">
      <c r="A262" s="39"/>
      <c r="B262" s="40" t="s">
        <v>1251</v>
      </c>
      <c r="C262" s="41">
        <v>420</v>
      </c>
      <c r="D262" s="42">
        <v>45914</v>
      </c>
      <c r="E262" s="43" t="s">
        <v>2</v>
      </c>
      <c r="F262" s="41">
        <v>0</v>
      </c>
      <c r="G262" s="41">
        <v>0</v>
      </c>
      <c r="H262" s="41">
        <v>420</v>
      </c>
      <c r="I262" s="43">
        <v>90</v>
      </c>
      <c r="J262" s="43">
        <v>9</v>
      </c>
      <c r="K262" s="44">
        <v>3000000</v>
      </c>
      <c r="L262" s="43" t="s">
        <v>992</v>
      </c>
      <c r="M262" s="45">
        <v>46005</v>
      </c>
      <c r="N262" s="41">
        <v>420</v>
      </c>
      <c r="O262" s="42">
        <v>45957</v>
      </c>
      <c r="P262" s="46"/>
      <c r="Q262" s="41">
        <v>420</v>
      </c>
    </row>
    <row r="263" spans="1:17" ht="12" customHeight="1" x14ac:dyDescent="0.3">
      <c r="A263" s="39"/>
      <c r="B263" s="40" t="s">
        <v>1252</v>
      </c>
      <c r="C263" s="41">
        <v>405</v>
      </c>
      <c r="D263" s="42">
        <v>45914</v>
      </c>
      <c r="E263" s="43" t="s">
        <v>2</v>
      </c>
      <c r="F263" s="41">
        <v>0</v>
      </c>
      <c r="G263" s="41">
        <v>0</v>
      </c>
      <c r="H263" s="41">
        <v>405</v>
      </c>
      <c r="I263" s="43">
        <v>90</v>
      </c>
      <c r="J263" s="43">
        <v>9</v>
      </c>
      <c r="K263" s="44">
        <v>3000000</v>
      </c>
      <c r="L263" s="43" t="s">
        <v>992</v>
      </c>
      <c r="M263" s="45">
        <v>46005</v>
      </c>
      <c r="N263" s="41">
        <v>405</v>
      </c>
      <c r="O263" s="42">
        <v>45957</v>
      </c>
      <c r="P263" s="46"/>
      <c r="Q263" s="41">
        <v>405</v>
      </c>
    </row>
    <row r="264" spans="1:17" ht="12" customHeight="1" x14ac:dyDescent="0.3">
      <c r="A264" s="39"/>
      <c r="B264" s="40" t="s">
        <v>1253</v>
      </c>
      <c r="C264" s="41">
        <v>3722.29</v>
      </c>
      <c r="D264" s="42">
        <v>45914</v>
      </c>
      <c r="E264" s="43" t="s">
        <v>2</v>
      </c>
      <c r="F264" s="41">
        <v>0</v>
      </c>
      <c r="G264" s="41">
        <v>0</v>
      </c>
      <c r="H264" s="41">
        <v>3722.29</v>
      </c>
      <c r="I264" s="43">
        <v>90</v>
      </c>
      <c r="J264" s="43">
        <v>9</v>
      </c>
      <c r="K264" s="44">
        <v>3000000</v>
      </c>
      <c r="L264" s="43" t="s">
        <v>992</v>
      </c>
      <c r="M264" s="45">
        <v>46005</v>
      </c>
      <c r="N264" s="41">
        <v>3722.29</v>
      </c>
      <c r="O264" s="42">
        <v>45957</v>
      </c>
      <c r="P264" s="46"/>
      <c r="Q264" s="41">
        <v>3722.29</v>
      </c>
    </row>
    <row r="265" spans="1:17" ht="12" customHeight="1" x14ac:dyDescent="0.3">
      <c r="A265" s="39"/>
      <c r="B265" s="40" t="s">
        <v>1254</v>
      </c>
      <c r="C265" s="41">
        <v>5690</v>
      </c>
      <c r="D265" s="42">
        <v>45916</v>
      </c>
      <c r="E265" s="43" t="s">
        <v>2</v>
      </c>
      <c r="F265" s="41">
        <v>0</v>
      </c>
      <c r="G265" s="41">
        <v>0</v>
      </c>
      <c r="H265" s="41">
        <v>5690</v>
      </c>
      <c r="I265" s="43">
        <v>90</v>
      </c>
      <c r="J265" s="43">
        <v>9</v>
      </c>
      <c r="K265" s="44">
        <v>3000000</v>
      </c>
      <c r="L265" s="43" t="s">
        <v>992</v>
      </c>
      <c r="M265" s="45">
        <v>46006</v>
      </c>
      <c r="N265" s="41">
        <v>5690</v>
      </c>
      <c r="O265" s="42">
        <v>45962</v>
      </c>
      <c r="P265" s="46"/>
      <c r="Q265" s="41">
        <v>5690</v>
      </c>
    </row>
    <row r="266" spans="1:17" ht="12" customHeight="1" x14ac:dyDescent="0.3">
      <c r="A266" s="39"/>
      <c r="B266" s="40" t="s">
        <v>1255</v>
      </c>
      <c r="C266" s="41">
        <v>340013.6</v>
      </c>
      <c r="D266" s="42">
        <v>45916</v>
      </c>
      <c r="E266" s="43" t="s">
        <v>2</v>
      </c>
      <c r="F266" s="41">
        <v>0</v>
      </c>
      <c r="G266" s="41">
        <v>0</v>
      </c>
      <c r="H266" s="41">
        <v>340013.6</v>
      </c>
      <c r="I266" s="43">
        <v>90</v>
      </c>
      <c r="J266" s="43">
        <v>197</v>
      </c>
      <c r="K266" s="44">
        <v>5000000</v>
      </c>
      <c r="L266" s="43" t="s">
        <v>992</v>
      </c>
      <c r="M266" s="45">
        <v>46006</v>
      </c>
      <c r="N266" s="41">
        <v>340013.6</v>
      </c>
      <c r="O266" s="42">
        <v>45930</v>
      </c>
      <c r="P266" s="46"/>
      <c r="Q266" s="41">
        <v>340013.6</v>
      </c>
    </row>
    <row r="267" spans="1:17" ht="12" customHeight="1" x14ac:dyDescent="0.3">
      <c r="A267" s="39"/>
      <c r="B267" s="40" t="s">
        <v>1256</v>
      </c>
      <c r="C267" s="41">
        <v>612.89</v>
      </c>
      <c r="D267" s="42">
        <v>45916</v>
      </c>
      <c r="E267" s="43" t="s">
        <v>2</v>
      </c>
      <c r="F267" s="41">
        <v>0</v>
      </c>
      <c r="G267" s="41">
        <v>0</v>
      </c>
      <c r="H267" s="41">
        <v>612.89</v>
      </c>
      <c r="I267" s="43">
        <v>90</v>
      </c>
      <c r="J267" s="43">
        <v>9</v>
      </c>
      <c r="K267" s="44">
        <v>3000000</v>
      </c>
      <c r="L267" s="43" t="s">
        <v>992</v>
      </c>
      <c r="M267" s="45">
        <v>46006</v>
      </c>
      <c r="N267" s="41">
        <v>612.89</v>
      </c>
      <c r="O267" s="42">
        <v>45962</v>
      </c>
      <c r="P267" s="46"/>
      <c r="Q267" s="41">
        <v>612.89</v>
      </c>
    </row>
    <row r="268" spans="1:17" ht="12" customHeight="1" x14ac:dyDescent="0.3">
      <c r="A268" s="39"/>
      <c r="B268" s="40" t="s">
        <v>1257</v>
      </c>
      <c r="C268" s="41">
        <v>201.81</v>
      </c>
      <c r="D268" s="42">
        <v>45916</v>
      </c>
      <c r="E268" s="43" t="s">
        <v>2</v>
      </c>
      <c r="F268" s="41">
        <v>0</v>
      </c>
      <c r="G268" s="41">
        <v>0</v>
      </c>
      <c r="H268" s="41">
        <v>201.81</v>
      </c>
      <c r="I268" s="43">
        <v>90</v>
      </c>
      <c r="J268" s="43">
        <v>9</v>
      </c>
      <c r="K268" s="44">
        <v>3000000</v>
      </c>
      <c r="L268" s="43" t="s">
        <v>992</v>
      </c>
      <c r="M268" s="45">
        <v>46006</v>
      </c>
      <c r="N268" s="41">
        <v>201.81</v>
      </c>
      <c r="O268" s="42">
        <v>45962</v>
      </c>
      <c r="P268" s="46"/>
      <c r="Q268" s="41">
        <v>201.81</v>
      </c>
    </row>
    <row r="269" spans="1:17" ht="12" customHeight="1" x14ac:dyDescent="0.3">
      <c r="A269" s="39"/>
      <c r="B269" s="40" t="s">
        <v>1258</v>
      </c>
      <c r="C269" s="41">
        <v>1780.52</v>
      </c>
      <c r="D269" s="42">
        <v>45916</v>
      </c>
      <c r="E269" s="43" t="s">
        <v>2</v>
      </c>
      <c r="F269" s="41">
        <v>0</v>
      </c>
      <c r="G269" s="41">
        <v>0</v>
      </c>
      <c r="H269" s="41">
        <v>1780.52</v>
      </c>
      <c r="I269" s="43">
        <v>90</v>
      </c>
      <c r="J269" s="43">
        <v>9</v>
      </c>
      <c r="K269" s="44">
        <v>3000000</v>
      </c>
      <c r="L269" s="43" t="s">
        <v>992</v>
      </c>
      <c r="M269" s="45">
        <v>46006</v>
      </c>
      <c r="N269" s="41">
        <v>1780.52</v>
      </c>
      <c r="O269" s="42">
        <v>45962</v>
      </c>
      <c r="P269" s="46"/>
      <c r="Q269" s="41">
        <v>1780.52</v>
      </c>
    </row>
    <row r="270" spans="1:17" ht="12" customHeight="1" x14ac:dyDescent="0.3">
      <c r="A270" s="39"/>
      <c r="B270" s="40" t="s">
        <v>1259</v>
      </c>
      <c r="C270" s="41">
        <v>62403.6</v>
      </c>
      <c r="D270" s="42">
        <v>45916</v>
      </c>
      <c r="E270" s="43" t="s">
        <v>2</v>
      </c>
      <c r="F270" s="41">
        <v>0</v>
      </c>
      <c r="G270" s="41">
        <v>0</v>
      </c>
      <c r="H270" s="41">
        <v>62403.6</v>
      </c>
      <c r="I270" s="43">
        <v>90</v>
      </c>
      <c r="J270" s="43">
        <v>9</v>
      </c>
      <c r="K270" s="44">
        <v>3000000</v>
      </c>
      <c r="L270" s="43" t="s">
        <v>992</v>
      </c>
      <c r="M270" s="45">
        <v>46006</v>
      </c>
      <c r="N270" s="41">
        <v>62403.6</v>
      </c>
      <c r="O270" s="42">
        <v>45963</v>
      </c>
      <c r="P270" s="46"/>
      <c r="Q270" s="41">
        <v>62403.6</v>
      </c>
    </row>
    <row r="271" spans="1:17" ht="12" customHeight="1" x14ac:dyDescent="0.3">
      <c r="A271" s="39"/>
      <c r="B271" s="40" t="s">
        <v>1260</v>
      </c>
      <c r="C271" s="41">
        <v>62403.6</v>
      </c>
      <c r="D271" s="42">
        <v>45916</v>
      </c>
      <c r="E271" s="43" t="s">
        <v>2</v>
      </c>
      <c r="F271" s="41">
        <v>0</v>
      </c>
      <c r="G271" s="41">
        <v>0</v>
      </c>
      <c r="H271" s="41">
        <v>62403.6</v>
      </c>
      <c r="I271" s="43">
        <v>90</v>
      </c>
      <c r="J271" s="43">
        <v>9</v>
      </c>
      <c r="K271" s="44">
        <v>3000000</v>
      </c>
      <c r="L271" s="43" t="s">
        <v>992</v>
      </c>
      <c r="M271" s="45">
        <v>46006</v>
      </c>
      <c r="N271" s="41">
        <v>62403.6</v>
      </c>
      <c r="O271" s="42">
        <v>45963</v>
      </c>
      <c r="P271" s="46"/>
      <c r="Q271" s="41">
        <v>62403.6</v>
      </c>
    </row>
    <row r="272" spans="1:17" ht="12" customHeight="1" x14ac:dyDescent="0.3">
      <c r="A272" s="39"/>
      <c r="B272" s="40" t="s">
        <v>1261</v>
      </c>
      <c r="C272" s="41">
        <v>62403.6</v>
      </c>
      <c r="D272" s="42">
        <v>45916</v>
      </c>
      <c r="E272" s="43" t="s">
        <v>2</v>
      </c>
      <c r="F272" s="41">
        <v>0</v>
      </c>
      <c r="G272" s="41">
        <v>0</v>
      </c>
      <c r="H272" s="41">
        <v>62403.6</v>
      </c>
      <c r="I272" s="43">
        <v>90</v>
      </c>
      <c r="J272" s="43">
        <v>9</v>
      </c>
      <c r="K272" s="44">
        <v>3000000</v>
      </c>
      <c r="L272" s="43" t="s">
        <v>992</v>
      </c>
      <c r="M272" s="45">
        <v>46006</v>
      </c>
      <c r="N272" s="41">
        <v>62403.6</v>
      </c>
      <c r="O272" s="42">
        <v>45963</v>
      </c>
      <c r="P272" s="46"/>
      <c r="Q272" s="41">
        <v>62403.6</v>
      </c>
    </row>
    <row r="273" spans="1:17" ht="12" customHeight="1" x14ac:dyDescent="0.3">
      <c r="A273" s="39"/>
      <c r="B273" s="40" t="s">
        <v>1262</v>
      </c>
      <c r="C273" s="41">
        <v>62403.6</v>
      </c>
      <c r="D273" s="42">
        <v>45916</v>
      </c>
      <c r="E273" s="43" t="s">
        <v>2</v>
      </c>
      <c r="F273" s="41">
        <v>0</v>
      </c>
      <c r="G273" s="41">
        <v>0</v>
      </c>
      <c r="H273" s="41">
        <v>62403.6</v>
      </c>
      <c r="I273" s="43">
        <v>90</v>
      </c>
      <c r="J273" s="43">
        <v>9</v>
      </c>
      <c r="K273" s="44">
        <v>3000000</v>
      </c>
      <c r="L273" s="43" t="s">
        <v>992</v>
      </c>
      <c r="M273" s="45">
        <v>46006</v>
      </c>
      <c r="N273" s="41">
        <v>62403.6</v>
      </c>
      <c r="O273" s="42">
        <v>45963</v>
      </c>
      <c r="P273" s="46"/>
      <c r="Q273" s="41">
        <v>62403.6</v>
      </c>
    </row>
    <row r="274" spans="1:17" ht="12" customHeight="1" x14ac:dyDescent="0.3">
      <c r="A274" s="39"/>
      <c r="B274" s="40" t="s">
        <v>1263</v>
      </c>
      <c r="C274" s="41">
        <v>62403.6</v>
      </c>
      <c r="D274" s="42">
        <v>45916</v>
      </c>
      <c r="E274" s="43" t="s">
        <v>2</v>
      </c>
      <c r="F274" s="41">
        <v>0</v>
      </c>
      <c r="G274" s="41">
        <v>0</v>
      </c>
      <c r="H274" s="41">
        <v>62403.6</v>
      </c>
      <c r="I274" s="43">
        <v>90</v>
      </c>
      <c r="J274" s="43">
        <v>9</v>
      </c>
      <c r="K274" s="44">
        <v>3000000</v>
      </c>
      <c r="L274" s="43" t="s">
        <v>992</v>
      </c>
      <c r="M274" s="45">
        <v>46006</v>
      </c>
      <c r="N274" s="41">
        <v>62403.6</v>
      </c>
      <c r="O274" s="42">
        <v>45967</v>
      </c>
      <c r="P274" s="46"/>
      <c r="Q274" s="41">
        <v>62403.6</v>
      </c>
    </row>
    <row r="275" spans="1:17" ht="12" customHeight="1" x14ac:dyDescent="0.3">
      <c r="A275" s="39"/>
      <c r="B275" s="40" t="s">
        <v>1264</v>
      </c>
      <c r="C275" s="41">
        <v>7504.61</v>
      </c>
      <c r="D275" s="42">
        <v>45917</v>
      </c>
      <c r="E275" s="43" t="s">
        <v>2</v>
      </c>
      <c r="F275" s="41">
        <v>0</v>
      </c>
      <c r="G275" s="41">
        <v>0</v>
      </c>
      <c r="H275" s="41">
        <v>7504.61</v>
      </c>
      <c r="I275" s="43">
        <v>90</v>
      </c>
      <c r="J275" s="43">
        <v>9</v>
      </c>
      <c r="K275" s="44">
        <v>3000000</v>
      </c>
      <c r="L275" s="43" t="s">
        <v>992</v>
      </c>
      <c r="M275" s="45">
        <v>46007</v>
      </c>
      <c r="N275" s="41">
        <v>7504.61</v>
      </c>
      <c r="O275" s="42">
        <v>45967</v>
      </c>
      <c r="P275" s="46"/>
      <c r="Q275" s="41">
        <v>7504.61</v>
      </c>
    </row>
    <row r="276" spans="1:17" ht="12" customHeight="1" x14ac:dyDescent="0.3">
      <c r="A276" s="39"/>
      <c r="B276" s="40" t="s">
        <v>1265</v>
      </c>
      <c r="C276" s="41">
        <v>420</v>
      </c>
      <c r="D276" s="42">
        <v>45918</v>
      </c>
      <c r="E276" s="43" t="s">
        <v>2</v>
      </c>
      <c r="F276" s="41">
        <v>0</v>
      </c>
      <c r="G276" s="41">
        <v>0</v>
      </c>
      <c r="H276" s="41">
        <v>420</v>
      </c>
      <c r="I276" s="43">
        <v>90</v>
      </c>
      <c r="J276" s="43">
        <v>9</v>
      </c>
      <c r="K276" s="44">
        <v>3000000</v>
      </c>
      <c r="L276" s="43" t="s">
        <v>992</v>
      </c>
      <c r="M276" s="45">
        <v>46008</v>
      </c>
      <c r="N276" s="41">
        <v>420</v>
      </c>
      <c r="O276" s="42">
        <v>45967</v>
      </c>
      <c r="P276" s="46"/>
      <c r="Q276" s="41">
        <v>420</v>
      </c>
    </row>
    <row r="277" spans="1:17" ht="12" customHeight="1" x14ac:dyDescent="0.3">
      <c r="A277" s="39"/>
      <c r="B277" s="40" t="s">
        <v>1266</v>
      </c>
      <c r="C277" s="41">
        <v>201.83</v>
      </c>
      <c r="D277" s="42">
        <v>45918</v>
      </c>
      <c r="E277" s="43" t="s">
        <v>2</v>
      </c>
      <c r="F277" s="41">
        <v>0</v>
      </c>
      <c r="G277" s="41">
        <v>0</v>
      </c>
      <c r="H277" s="41">
        <v>201.83</v>
      </c>
      <c r="I277" s="43">
        <v>90</v>
      </c>
      <c r="J277" s="43">
        <v>9</v>
      </c>
      <c r="K277" s="44">
        <v>3000000</v>
      </c>
      <c r="L277" s="43" t="s">
        <v>992</v>
      </c>
      <c r="M277" s="45">
        <v>46008</v>
      </c>
      <c r="N277" s="41">
        <v>201.83</v>
      </c>
      <c r="O277" s="42">
        <v>45967</v>
      </c>
      <c r="P277" s="46"/>
      <c r="Q277" s="41">
        <v>201.83</v>
      </c>
    </row>
    <row r="278" spans="1:17" ht="12" customHeight="1" x14ac:dyDescent="0.3">
      <c r="A278" s="39"/>
      <c r="B278" s="40" t="s">
        <v>1267</v>
      </c>
      <c r="C278" s="41">
        <v>62403.6</v>
      </c>
      <c r="D278" s="42">
        <v>45918</v>
      </c>
      <c r="E278" s="43" t="s">
        <v>2</v>
      </c>
      <c r="F278" s="41">
        <v>0</v>
      </c>
      <c r="G278" s="41">
        <v>0</v>
      </c>
      <c r="H278" s="41">
        <v>62403.6</v>
      </c>
      <c r="I278" s="43">
        <v>90</v>
      </c>
      <c r="J278" s="43">
        <v>9</v>
      </c>
      <c r="K278" s="44">
        <v>3000000</v>
      </c>
      <c r="L278" s="43" t="s">
        <v>992</v>
      </c>
      <c r="M278" s="45">
        <v>46008</v>
      </c>
      <c r="N278" s="41">
        <v>62403.6</v>
      </c>
      <c r="O278" s="42">
        <v>45967</v>
      </c>
      <c r="P278" s="46"/>
      <c r="Q278" s="41">
        <v>62403.6</v>
      </c>
    </row>
    <row r="279" spans="1:17" ht="12" customHeight="1" x14ac:dyDescent="0.3">
      <c r="A279" s="39"/>
      <c r="B279" s="40" t="s">
        <v>1268</v>
      </c>
      <c r="C279" s="41">
        <v>29440</v>
      </c>
      <c r="D279" s="42">
        <v>45918</v>
      </c>
      <c r="E279" s="43" t="s">
        <v>2</v>
      </c>
      <c r="F279" s="41">
        <v>0</v>
      </c>
      <c r="G279" s="41">
        <v>0</v>
      </c>
      <c r="H279" s="41">
        <v>29440</v>
      </c>
      <c r="I279" s="43">
        <v>90</v>
      </c>
      <c r="J279" s="43">
        <v>9</v>
      </c>
      <c r="K279" s="44">
        <v>3000000</v>
      </c>
      <c r="L279" s="43" t="s">
        <v>992</v>
      </c>
      <c r="M279" s="45">
        <v>46008</v>
      </c>
      <c r="N279" s="41">
        <v>29440</v>
      </c>
      <c r="O279" s="42">
        <v>45967</v>
      </c>
      <c r="P279" s="46"/>
      <c r="Q279" s="41">
        <v>29440</v>
      </c>
    </row>
    <row r="280" spans="1:17" ht="12" customHeight="1" x14ac:dyDescent="0.3">
      <c r="A280" s="39"/>
      <c r="B280" s="40" t="s">
        <v>1269</v>
      </c>
      <c r="C280" s="41">
        <v>62403.6</v>
      </c>
      <c r="D280" s="42">
        <v>45918</v>
      </c>
      <c r="E280" s="43" t="s">
        <v>2</v>
      </c>
      <c r="F280" s="41">
        <v>0</v>
      </c>
      <c r="G280" s="41">
        <v>0</v>
      </c>
      <c r="H280" s="41">
        <v>62403.6</v>
      </c>
      <c r="I280" s="43">
        <v>90</v>
      </c>
      <c r="J280" s="43">
        <v>9</v>
      </c>
      <c r="K280" s="44">
        <v>3000000</v>
      </c>
      <c r="L280" s="43" t="s">
        <v>992</v>
      </c>
      <c r="M280" s="45">
        <v>46008</v>
      </c>
      <c r="N280" s="41">
        <v>62403.6</v>
      </c>
      <c r="O280" s="42">
        <v>45967</v>
      </c>
      <c r="P280" s="46"/>
      <c r="Q280" s="41">
        <v>62403.6</v>
      </c>
    </row>
    <row r="281" spans="1:17" ht="12" customHeight="1" x14ac:dyDescent="0.3">
      <c r="A281" s="39"/>
      <c r="B281" s="40" t="s">
        <v>1270</v>
      </c>
      <c r="C281" s="41">
        <v>62403.6</v>
      </c>
      <c r="D281" s="42">
        <v>45918</v>
      </c>
      <c r="E281" s="43" t="s">
        <v>2</v>
      </c>
      <c r="F281" s="41">
        <v>0</v>
      </c>
      <c r="G281" s="41">
        <v>0</v>
      </c>
      <c r="H281" s="41">
        <v>62403.6</v>
      </c>
      <c r="I281" s="43">
        <v>90</v>
      </c>
      <c r="J281" s="43">
        <v>9</v>
      </c>
      <c r="K281" s="44">
        <v>3000000</v>
      </c>
      <c r="L281" s="43" t="s">
        <v>992</v>
      </c>
      <c r="M281" s="45">
        <v>46008</v>
      </c>
      <c r="N281" s="41">
        <v>62403.6</v>
      </c>
      <c r="O281" s="42">
        <v>45967</v>
      </c>
      <c r="P281" s="46"/>
      <c r="Q281" s="41">
        <v>62403.6</v>
      </c>
    </row>
    <row r="282" spans="1:17" ht="12" customHeight="1" x14ac:dyDescent="0.3">
      <c r="A282" s="39"/>
      <c r="B282" s="40" t="s">
        <v>1271</v>
      </c>
      <c r="C282" s="41">
        <v>14557.62</v>
      </c>
      <c r="D282" s="42">
        <v>45918</v>
      </c>
      <c r="E282" s="43" t="s">
        <v>2</v>
      </c>
      <c r="F282" s="41">
        <v>0</v>
      </c>
      <c r="G282" s="41">
        <v>0</v>
      </c>
      <c r="H282" s="41">
        <v>14557.62</v>
      </c>
      <c r="I282" s="43">
        <v>90</v>
      </c>
      <c r="J282" s="43">
        <v>9</v>
      </c>
      <c r="K282" s="44">
        <v>3000000</v>
      </c>
      <c r="L282" s="43" t="s">
        <v>992</v>
      </c>
      <c r="M282" s="45">
        <v>46008</v>
      </c>
      <c r="N282" s="41">
        <v>14557.62</v>
      </c>
      <c r="O282" s="42">
        <v>45967</v>
      </c>
      <c r="P282" s="46"/>
      <c r="Q282" s="41">
        <v>14557.62</v>
      </c>
    </row>
    <row r="283" spans="1:17" ht="12" customHeight="1" x14ac:dyDescent="0.3">
      <c r="A283" s="39"/>
      <c r="B283" s="40" t="s">
        <v>1272</v>
      </c>
      <c r="C283" s="41">
        <v>283.5</v>
      </c>
      <c r="D283" s="42">
        <v>45918</v>
      </c>
      <c r="E283" s="43" t="s">
        <v>2</v>
      </c>
      <c r="F283" s="41">
        <v>0</v>
      </c>
      <c r="G283" s="41">
        <v>0</v>
      </c>
      <c r="H283" s="41">
        <v>283.5</v>
      </c>
      <c r="I283" s="43">
        <v>90</v>
      </c>
      <c r="J283" s="43">
        <v>9</v>
      </c>
      <c r="K283" s="44">
        <v>3000000</v>
      </c>
      <c r="L283" s="43" t="s">
        <v>992</v>
      </c>
      <c r="M283" s="45">
        <v>46008</v>
      </c>
      <c r="N283" s="41">
        <v>283.5</v>
      </c>
      <c r="O283" s="42">
        <v>45967</v>
      </c>
      <c r="P283" s="46"/>
      <c r="Q283" s="41">
        <v>283.5</v>
      </c>
    </row>
    <row r="284" spans="1:17" ht="12" customHeight="1" x14ac:dyDescent="0.3">
      <c r="A284" s="39"/>
      <c r="B284" s="40" t="s">
        <v>1273</v>
      </c>
      <c r="C284" s="41">
        <v>201.83</v>
      </c>
      <c r="D284" s="42">
        <v>45921</v>
      </c>
      <c r="E284" s="43" t="s">
        <v>2</v>
      </c>
      <c r="F284" s="41">
        <v>0</v>
      </c>
      <c r="G284" s="41">
        <v>0</v>
      </c>
      <c r="H284" s="41">
        <v>201.83</v>
      </c>
      <c r="I284" s="43">
        <v>90</v>
      </c>
      <c r="J284" s="43">
        <v>9</v>
      </c>
      <c r="K284" s="44">
        <v>3000000</v>
      </c>
      <c r="L284" s="43" t="s">
        <v>992</v>
      </c>
      <c r="M284" s="45">
        <v>46012</v>
      </c>
      <c r="N284" s="41">
        <v>201.83</v>
      </c>
      <c r="O284" s="42">
        <v>45967</v>
      </c>
      <c r="P284" s="46"/>
      <c r="Q284" s="41">
        <v>201.83</v>
      </c>
    </row>
    <row r="285" spans="1:17" ht="12" customHeight="1" x14ac:dyDescent="0.3">
      <c r="A285" s="39"/>
      <c r="B285" s="40" t="s">
        <v>1274</v>
      </c>
      <c r="C285" s="41">
        <v>207</v>
      </c>
      <c r="D285" s="42">
        <v>45921</v>
      </c>
      <c r="E285" s="43" t="s">
        <v>2</v>
      </c>
      <c r="F285" s="41">
        <v>0</v>
      </c>
      <c r="G285" s="41">
        <v>0</v>
      </c>
      <c r="H285" s="41">
        <v>207</v>
      </c>
      <c r="I285" s="43">
        <v>90</v>
      </c>
      <c r="J285" s="43">
        <v>9</v>
      </c>
      <c r="K285" s="44">
        <v>3000000</v>
      </c>
      <c r="L285" s="43" t="s">
        <v>992</v>
      </c>
      <c r="M285" s="45">
        <v>46012</v>
      </c>
      <c r="N285" s="41">
        <v>207</v>
      </c>
      <c r="O285" s="42">
        <v>45967</v>
      </c>
      <c r="P285" s="46"/>
      <c r="Q285" s="41">
        <v>207</v>
      </c>
    </row>
    <row r="286" spans="1:17" ht="12" customHeight="1" x14ac:dyDescent="0.3">
      <c r="A286" s="39"/>
      <c r="B286" s="40" t="s">
        <v>1275</v>
      </c>
      <c r="C286" s="41">
        <v>719</v>
      </c>
      <c r="D286" s="42">
        <v>45921</v>
      </c>
      <c r="E286" s="43" t="s">
        <v>2</v>
      </c>
      <c r="F286" s="41">
        <v>0</v>
      </c>
      <c r="G286" s="41">
        <v>0</v>
      </c>
      <c r="H286" s="41">
        <v>719</v>
      </c>
      <c r="I286" s="43">
        <v>90</v>
      </c>
      <c r="J286" s="43">
        <v>9</v>
      </c>
      <c r="K286" s="44">
        <v>3000000</v>
      </c>
      <c r="L286" s="43" t="s">
        <v>992</v>
      </c>
      <c r="M286" s="45">
        <v>46012</v>
      </c>
      <c r="N286" s="41">
        <v>719</v>
      </c>
      <c r="O286" s="42">
        <v>45967</v>
      </c>
      <c r="P286" s="46"/>
      <c r="Q286" s="41">
        <v>719</v>
      </c>
    </row>
    <row r="287" spans="1:17" ht="12" customHeight="1" x14ac:dyDescent="0.3">
      <c r="A287" s="39"/>
      <c r="B287" s="40" t="s">
        <v>1276</v>
      </c>
      <c r="C287" s="41">
        <v>276</v>
      </c>
      <c r="D287" s="42">
        <v>45921</v>
      </c>
      <c r="E287" s="43" t="s">
        <v>2</v>
      </c>
      <c r="F287" s="41">
        <v>0</v>
      </c>
      <c r="G287" s="41">
        <v>0</v>
      </c>
      <c r="H287" s="41">
        <v>276</v>
      </c>
      <c r="I287" s="43">
        <v>90</v>
      </c>
      <c r="J287" s="43">
        <v>9</v>
      </c>
      <c r="K287" s="44">
        <v>3000000</v>
      </c>
      <c r="L287" s="43" t="s">
        <v>992</v>
      </c>
      <c r="M287" s="45">
        <v>46012</v>
      </c>
      <c r="N287" s="41">
        <v>276</v>
      </c>
      <c r="O287" s="42">
        <v>45967</v>
      </c>
      <c r="P287" s="46"/>
      <c r="Q287" s="41">
        <v>276</v>
      </c>
    </row>
    <row r="288" spans="1:17" ht="12" customHeight="1" x14ac:dyDescent="0.3">
      <c r="A288" s="39"/>
      <c r="B288" s="40" t="s">
        <v>1277</v>
      </c>
      <c r="C288" s="41">
        <v>269</v>
      </c>
      <c r="D288" s="42">
        <v>45921</v>
      </c>
      <c r="E288" s="43" t="s">
        <v>2</v>
      </c>
      <c r="F288" s="41">
        <v>0</v>
      </c>
      <c r="G288" s="41">
        <v>0</v>
      </c>
      <c r="H288" s="41">
        <v>269</v>
      </c>
      <c r="I288" s="43">
        <v>90</v>
      </c>
      <c r="J288" s="43">
        <v>9</v>
      </c>
      <c r="K288" s="44">
        <v>3000000</v>
      </c>
      <c r="L288" s="43" t="s">
        <v>992</v>
      </c>
      <c r="M288" s="45">
        <v>46012</v>
      </c>
      <c r="N288" s="41">
        <v>269</v>
      </c>
      <c r="O288" s="42">
        <v>45967</v>
      </c>
      <c r="P288" s="46"/>
      <c r="Q288" s="41">
        <v>269</v>
      </c>
    </row>
    <row r="289" spans="1:17" ht="12" customHeight="1" x14ac:dyDescent="0.3">
      <c r="A289" s="39"/>
      <c r="B289" s="40" t="s">
        <v>1278</v>
      </c>
      <c r="C289" s="41">
        <v>90</v>
      </c>
      <c r="D289" s="42">
        <v>45921</v>
      </c>
      <c r="E289" s="43" t="s">
        <v>2</v>
      </c>
      <c r="F289" s="41">
        <v>0</v>
      </c>
      <c r="G289" s="41">
        <v>0</v>
      </c>
      <c r="H289" s="41">
        <v>90</v>
      </c>
      <c r="I289" s="43">
        <v>90</v>
      </c>
      <c r="J289" s="43">
        <v>9</v>
      </c>
      <c r="K289" s="44">
        <v>3000000</v>
      </c>
      <c r="L289" s="43" t="s">
        <v>992</v>
      </c>
      <c r="M289" s="45">
        <v>46012</v>
      </c>
      <c r="N289" s="41">
        <v>90</v>
      </c>
      <c r="O289" s="42">
        <v>45967</v>
      </c>
      <c r="P289" s="46"/>
      <c r="Q289" s="41">
        <v>90</v>
      </c>
    </row>
    <row r="290" spans="1:17" ht="12" customHeight="1" x14ac:dyDescent="0.3">
      <c r="A290" s="39"/>
      <c r="B290" s="40" t="s">
        <v>1279</v>
      </c>
      <c r="C290" s="41">
        <v>189</v>
      </c>
      <c r="D290" s="42">
        <v>45921</v>
      </c>
      <c r="E290" s="43" t="s">
        <v>2</v>
      </c>
      <c r="F290" s="41">
        <v>0</v>
      </c>
      <c r="G290" s="41">
        <v>0</v>
      </c>
      <c r="H290" s="41">
        <v>189</v>
      </c>
      <c r="I290" s="43">
        <v>90</v>
      </c>
      <c r="J290" s="43">
        <v>9</v>
      </c>
      <c r="K290" s="44">
        <v>3000000</v>
      </c>
      <c r="L290" s="43" t="s">
        <v>992</v>
      </c>
      <c r="M290" s="45">
        <v>46012</v>
      </c>
      <c r="N290" s="41">
        <v>189</v>
      </c>
      <c r="O290" s="42">
        <v>45967</v>
      </c>
      <c r="P290" s="46"/>
      <c r="Q290" s="41">
        <v>189</v>
      </c>
    </row>
    <row r="291" spans="1:17" ht="12" customHeight="1" x14ac:dyDescent="0.3">
      <c r="A291" s="39"/>
      <c r="B291" s="40" t="s">
        <v>1280</v>
      </c>
      <c r="C291" s="41">
        <v>566.32000000000005</v>
      </c>
      <c r="D291" s="42">
        <v>45922</v>
      </c>
      <c r="E291" s="43" t="s">
        <v>2</v>
      </c>
      <c r="F291" s="41">
        <v>0</v>
      </c>
      <c r="G291" s="41">
        <v>0</v>
      </c>
      <c r="H291" s="41">
        <v>566.32000000000005</v>
      </c>
      <c r="I291" s="43">
        <v>90</v>
      </c>
      <c r="J291" s="43">
        <v>9</v>
      </c>
      <c r="K291" s="44">
        <v>3000000</v>
      </c>
      <c r="L291" s="43" t="s">
        <v>992</v>
      </c>
      <c r="M291" s="45">
        <v>46012</v>
      </c>
      <c r="N291" s="41">
        <v>566.32000000000005</v>
      </c>
      <c r="O291" s="42">
        <v>45967</v>
      </c>
      <c r="P291" s="46"/>
      <c r="Q291" s="41">
        <v>566.32000000000005</v>
      </c>
    </row>
    <row r="292" spans="1:17" ht="12" customHeight="1" x14ac:dyDescent="0.3">
      <c r="A292" s="39"/>
      <c r="B292" s="40" t="s">
        <v>1281</v>
      </c>
      <c r="C292" s="41">
        <v>5664</v>
      </c>
      <c r="D292" s="42">
        <v>45924</v>
      </c>
      <c r="E292" s="43" t="s">
        <v>2</v>
      </c>
      <c r="F292" s="41">
        <v>0</v>
      </c>
      <c r="G292" s="41">
        <v>0</v>
      </c>
      <c r="H292" s="41">
        <v>5664</v>
      </c>
      <c r="I292" s="43">
        <v>90</v>
      </c>
      <c r="J292" s="43">
        <v>9</v>
      </c>
      <c r="K292" s="44">
        <v>3000000</v>
      </c>
      <c r="L292" s="43" t="s">
        <v>992</v>
      </c>
      <c r="M292" s="45">
        <v>46014</v>
      </c>
      <c r="N292" s="41">
        <v>5664</v>
      </c>
      <c r="O292" s="42">
        <v>45967</v>
      </c>
      <c r="P292" s="46"/>
      <c r="Q292" s="41">
        <v>5664</v>
      </c>
    </row>
    <row r="293" spans="1:17" ht="12" customHeight="1" x14ac:dyDescent="0.3">
      <c r="A293" s="39"/>
      <c r="B293" s="40" t="s">
        <v>1282</v>
      </c>
      <c r="C293" s="41">
        <v>3420</v>
      </c>
      <c r="D293" s="42">
        <v>45924</v>
      </c>
      <c r="E293" s="43" t="s">
        <v>2</v>
      </c>
      <c r="F293" s="41">
        <v>0</v>
      </c>
      <c r="G293" s="41">
        <v>0</v>
      </c>
      <c r="H293" s="41">
        <v>3420</v>
      </c>
      <c r="I293" s="43">
        <v>90</v>
      </c>
      <c r="J293" s="43">
        <v>9</v>
      </c>
      <c r="K293" s="44">
        <v>3000000</v>
      </c>
      <c r="L293" s="43" t="s">
        <v>992</v>
      </c>
      <c r="M293" s="45">
        <v>46014</v>
      </c>
      <c r="N293" s="41">
        <v>3420</v>
      </c>
      <c r="O293" s="42">
        <v>45967</v>
      </c>
      <c r="P293" s="46"/>
      <c r="Q293" s="41">
        <v>3420</v>
      </c>
    </row>
    <row r="294" spans="1:17" ht="12" customHeight="1" x14ac:dyDescent="0.3">
      <c r="A294" s="39"/>
      <c r="B294" s="40" t="s">
        <v>1283</v>
      </c>
      <c r="C294" s="41">
        <v>180</v>
      </c>
      <c r="D294" s="42">
        <v>45924</v>
      </c>
      <c r="E294" s="43" t="s">
        <v>2</v>
      </c>
      <c r="F294" s="41">
        <v>0</v>
      </c>
      <c r="G294" s="41">
        <v>0</v>
      </c>
      <c r="H294" s="41">
        <v>180</v>
      </c>
      <c r="I294" s="43">
        <v>90</v>
      </c>
      <c r="J294" s="43">
        <v>9</v>
      </c>
      <c r="K294" s="44">
        <v>3000000</v>
      </c>
      <c r="L294" s="43" t="s">
        <v>992</v>
      </c>
      <c r="M294" s="45">
        <v>46014</v>
      </c>
      <c r="N294" s="41">
        <v>180</v>
      </c>
      <c r="O294" s="42">
        <v>45967</v>
      </c>
      <c r="P294" s="46"/>
      <c r="Q294" s="41">
        <v>180</v>
      </c>
    </row>
    <row r="295" spans="1:17" ht="12" customHeight="1" x14ac:dyDescent="0.3">
      <c r="A295" s="39"/>
      <c r="B295" s="40" t="s">
        <v>1284</v>
      </c>
      <c r="C295" s="41">
        <v>80.73</v>
      </c>
      <c r="D295" s="42">
        <v>45924</v>
      </c>
      <c r="E295" s="43" t="s">
        <v>2</v>
      </c>
      <c r="F295" s="41">
        <v>0</v>
      </c>
      <c r="G295" s="41">
        <v>0</v>
      </c>
      <c r="H295" s="41">
        <v>80.73</v>
      </c>
      <c r="I295" s="43">
        <v>90</v>
      </c>
      <c r="J295" s="43">
        <v>9</v>
      </c>
      <c r="K295" s="44">
        <v>3000000</v>
      </c>
      <c r="L295" s="43" t="s">
        <v>992</v>
      </c>
      <c r="M295" s="45">
        <v>46014</v>
      </c>
      <c r="N295" s="41">
        <v>80.73</v>
      </c>
      <c r="O295" s="42">
        <v>45967</v>
      </c>
      <c r="P295" s="46"/>
      <c r="Q295" s="41">
        <v>80.73</v>
      </c>
    </row>
    <row r="296" spans="1:17" ht="12" customHeight="1" x14ac:dyDescent="0.3">
      <c r="A296" s="39"/>
      <c r="B296" s="40" t="s">
        <v>1285</v>
      </c>
      <c r="C296" s="41">
        <v>12961.51</v>
      </c>
      <c r="D296" s="42">
        <v>45924</v>
      </c>
      <c r="E296" s="43" t="s">
        <v>2</v>
      </c>
      <c r="F296" s="41">
        <v>0</v>
      </c>
      <c r="G296" s="41">
        <v>0</v>
      </c>
      <c r="H296" s="41">
        <v>12961.51</v>
      </c>
      <c r="I296" s="43">
        <v>90</v>
      </c>
      <c r="J296" s="43">
        <v>9</v>
      </c>
      <c r="K296" s="44">
        <v>3000000</v>
      </c>
      <c r="L296" s="43" t="s">
        <v>992</v>
      </c>
      <c r="M296" s="45">
        <v>46014</v>
      </c>
      <c r="N296" s="41">
        <v>12961.51</v>
      </c>
      <c r="O296" s="42">
        <v>45967</v>
      </c>
      <c r="P296" s="46"/>
      <c r="Q296" s="41">
        <v>12961.51</v>
      </c>
    </row>
    <row r="297" spans="1:17" ht="12" customHeight="1" x14ac:dyDescent="0.3">
      <c r="A297" s="39"/>
      <c r="B297" s="40" t="s">
        <v>1286</v>
      </c>
      <c r="C297" s="41">
        <v>1992</v>
      </c>
      <c r="D297" s="42">
        <v>45924</v>
      </c>
      <c r="E297" s="43" t="s">
        <v>2</v>
      </c>
      <c r="F297" s="41">
        <v>0</v>
      </c>
      <c r="G297" s="41">
        <v>0</v>
      </c>
      <c r="H297" s="41">
        <v>1992</v>
      </c>
      <c r="I297" s="43">
        <v>90</v>
      </c>
      <c r="J297" s="43">
        <v>9</v>
      </c>
      <c r="K297" s="44">
        <v>3000000</v>
      </c>
      <c r="L297" s="43" t="s">
        <v>992</v>
      </c>
      <c r="M297" s="45">
        <v>46014</v>
      </c>
      <c r="N297" s="41">
        <v>1992</v>
      </c>
      <c r="O297" s="42">
        <v>45967</v>
      </c>
      <c r="P297" s="46"/>
      <c r="Q297" s="41">
        <v>1992</v>
      </c>
    </row>
    <row r="298" spans="1:17" ht="12" customHeight="1" x14ac:dyDescent="0.3">
      <c r="A298" s="39"/>
      <c r="B298" s="40" t="s">
        <v>1287</v>
      </c>
      <c r="C298" s="41">
        <v>4479.8</v>
      </c>
      <c r="D298" s="42">
        <v>45924</v>
      </c>
      <c r="E298" s="43" t="s">
        <v>2</v>
      </c>
      <c r="F298" s="41">
        <v>0</v>
      </c>
      <c r="G298" s="41">
        <v>0</v>
      </c>
      <c r="H298" s="41">
        <v>4479.8</v>
      </c>
      <c r="I298" s="43">
        <v>90</v>
      </c>
      <c r="J298" s="43">
        <v>9</v>
      </c>
      <c r="K298" s="44">
        <v>3000000</v>
      </c>
      <c r="L298" s="43" t="s">
        <v>992</v>
      </c>
      <c r="M298" s="45">
        <v>46014</v>
      </c>
      <c r="N298" s="41">
        <v>4479.8</v>
      </c>
      <c r="O298" s="42">
        <v>45967</v>
      </c>
      <c r="P298" s="46"/>
      <c r="Q298" s="41">
        <v>4479.8</v>
      </c>
    </row>
    <row r="299" spans="1:17" ht="12" customHeight="1" x14ac:dyDescent="0.3">
      <c r="A299" s="39"/>
      <c r="B299" s="40" t="s">
        <v>1288</v>
      </c>
      <c r="C299" s="41">
        <v>629.99</v>
      </c>
      <c r="D299" s="42">
        <v>45919</v>
      </c>
      <c r="E299" s="43" t="s">
        <v>2</v>
      </c>
      <c r="F299" s="41">
        <v>0</v>
      </c>
      <c r="G299" s="41">
        <v>0</v>
      </c>
      <c r="H299" s="41">
        <v>629.99</v>
      </c>
      <c r="I299" s="43">
        <v>90</v>
      </c>
      <c r="J299" s="43">
        <v>9</v>
      </c>
      <c r="K299" s="44">
        <v>3000000</v>
      </c>
      <c r="L299" s="43" t="s">
        <v>992</v>
      </c>
      <c r="M299" s="45">
        <v>46009</v>
      </c>
      <c r="N299" s="41">
        <v>629.99</v>
      </c>
      <c r="O299" s="42">
        <v>45967</v>
      </c>
      <c r="P299" s="46"/>
      <c r="Q299" s="41">
        <v>629.99</v>
      </c>
    </row>
    <row r="300" spans="1:17" ht="12" customHeight="1" x14ac:dyDescent="0.3">
      <c r="A300" s="39"/>
      <c r="B300" s="40" t="s">
        <v>1289</v>
      </c>
      <c r="C300" s="41">
        <v>90</v>
      </c>
      <c r="D300" s="42">
        <v>45919</v>
      </c>
      <c r="E300" s="43" t="s">
        <v>2</v>
      </c>
      <c r="F300" s="41">
        <v>0</v>
      </c>
      <c r="G300" s="41">
        <v>0</v>
      </c>
      <c r="H300" s="41">
        <v>90</v>
      </c>
      <c r="I300" s="43">
        <v>90</v>
      </c>
      <c r="J300" s="43">
        <v>9</v>
      </c>
      <c r="K300" s="44">
        <v>3000000</v>
      </c>
      <c r="L300" s="43" t="s">
        <v>992</v>
      </c>
      <c r="M300" s="45">
        <v>46009</v>
      </c>
      <c r="N300" s="41">
        <v>90</v>
      </c>
      <c r="O300" s="42">
        <v>45967</v>
      </c>
      <c r="P300" s="46"/>
      <c r="Q300" s="41">
        <v>90</v>
      </c>
    </row>
    <row r="301" spans="1:17" ht="12" customHeight="1" x14ac:dyDescent="0.3">
      <c r="A301" s="39"/>
      <c r="B301" s="40" t="s">
        <v>1290</v>
      </c>
      <c r="C301" s="41">
        <v>269.10000000000002</v>
      </c>
      <c r="D301" s="42">
        <v>45919</v>
      </c>
      <c r="E301" s="43" t="s">
        <v>2</v>
      </c>
      <c r="F301" s="41">
        <v>0</v>
      </c>
      <c r="G301" s="41">
        <v>0</v>
      </c>
      <c r="H301" s="41">
        <v>269.10000000000002</v>
      </c>
      <c r="I301" s="43">
        <v>90</v>
      </c>
      <c r="J301" s="43">
        <v>9</v>
      </c>
      <c r="K301" s="44">
        <v>3000000</v>
      </c>
      <c r="L301" s="43" t="s">
        <v>992</v>
      </c>
      <c r="M301" s="45">
        <v>46009</v>
      </c>
      <c r="N301" s="41">
        <v>269.10000000000002</v>
      </c>
      <c r="O301" s="42">
        <v>45967</v>
      </c>
      <c r="P301" s="46"/>
      <c r="Q301" s="41">
        <v>269.10000000000002</v>
      </c>
    </row>
    <row r="302" spans="1:17" ht="12" customHeight="1" x14ac:dyDescent="0.3">
      <c r="A302" s="39"/>
      <c r="B302" s="40" t="s">
        <v>1291</v>
      </c>
      <c r="C302" s="41">
        <v>95</v>
      </c>
      <c r="D302" s="42">
        <v>45919</v>
      </c>
      <c r="E302" s="43" t="s">
        <v>2</v>
      </c>
      <c r="F302" s="41">
        <v>0</v>
      </c>
      <c r="G302" s="41">
        <v>0</v>
      </c>
      <c r="H302" s="41">
        <v>95</v>
      </c>
      <c r="I302" s="43">
        <v>90</v>
      </c>
      <c r="J302" s="43">
        <v>9</v>
      </c>
      <c r="K302" s="44">
        <v>3000000</v>
      </c>
      <c r="L302" s="43" t="s">
        <v>992</v>
      </c>
      <c r="M302" s="45">
        <v>46009</v>
      </c>
      <c r="N302" s="41">
        <v>95</v>
      </c>
      <c r="O302" s="42">
        <v>45967</v>
      </c>
      <c r="P302" s="46"/>
      <c r="Q302" s="41">
        <v>95</v>
      </c>
    </row>
    <row r="303" spans="1:17" ht="12" customHeight="1" x14ac:dyDescent="0.3">
      <c r="A303" s="39"/>
      <c r="B303" s="40" t="s">
        <v>1292</v>
      </c>
      <c r="C303" s="41">
        <v>680</v>
      </c>
      <c r="D303" s="42">
        <v>45919</v>
      </c>
      <c r="E303" s="43" t="s">
        <v>2</v>
      </c>
      <c r="F303" s="41">
        <v>0</v>
      </c>
      <c r="G303" s="41">
        <v>0</v>
      </c>
      <c r="H303" s="41">
        <v>680</v>
      </c>
      <c r="I303" s="43">
        <v>90</v>
      </c>
      <c r="J303" s="43">
        <v>9</v>
      </c>
      <c r="K303" s="44">
        <v>3000000</v>
      </c>
      <c r="L303" s="43" t="s">
        <v>992</v>
      </c>
      <c r="M303" s="45">
        <v>46009</v>
      </c>
      <c r="N303" s="41">
        <v>680</v>
      </c>
      <c r="O303" s="42">
        <v>45967</v>
      </c>
      <c r="P303" s="46"/>
      <c r="Q303" s="41">
        <v>680</v>
      </c>
    </row>
    <row r="304" spans="1:17" ht="12" customHeight="1" x14ac:dyDescent="0.3">
      <c r="A304" s="39"/>
      <c r="B304" s="40" t="s">
        <v>1293</v>
      </c>
      <c r="C304" s="41">
        <v>688.38</v>
      </c>
      <c r="D304" s="42">
        <v>45921</v>
      </c>
      <c r="E304" s="43" t="s">
        <v>2</v>
      </c>
      <c r="F304" s="41">
        <v>0</v>
      </c>
      <c r="G304" s="41">
        <v>0</v>
      </c>
      <c r="H304" s="41">
        <v>688.38</v>
      </c>
      <c r="I304" s="43">
        <v>90</v>
      </c>
      <c r="J304" s="43">
        <v>9</v>
      </c>
      <c r="K304" s="44">
        <v>3000000</v>
      </c>
      <c r="L304" s="43" t="s">
        <v>992</v>
      </c>
      <c r="M304" s="45">
        <v>46012</v>
      </c>
      <c r="N304" s="41">
        <v>688.38</v>
      </c>
      <c r="O304" s="42">
        <v>45967</v>
      </c>
      <c r="P304" s="46"/>
      <c r="Q304" s="41">
        <v>688.38</v>
      </c>
    </row>
    <row r="305" spans="1:17" ht="12" customHeight="1" x14ac:dyDescent="0.3">
      <c r="A305" s="39"/>
      <c r="B305" s="40" t="s">
        <v>1294</v>
      </c>
      <c r="C305" s="41">
        <v>2524.0500000000002</v>
      </c>
      <c r="D305" s="42">
        <v>45928</v>
      </c>
      <c r="E305" s="43" t="s">
        <v>2</v>
      </c>
      <c r="F305" s="41">
        <v>0</v>
      </c>
      <c r="G305" s="41">
        <v>0</v>
      </c>
      <c r="H305" s="41">
        <v>2524.0500000000002</v>
      </c>
      <c r="I305" s="43">
        <v>90</v>
      </c>
      <c r="J305" s="43">
        <v>9</v>
      </c>
      <c r="K305" s="44">
        <v>3000000</v>
      </c>
      <c r="L305" s="43" t="s">
        <v>992</v>
      </c>
      <c r="M305" s="45">
        <v>46019</v>
      </c>
      <c r="N305" s="41">
        <v>2524.0500000000002</v>
      </c>
      <c r="O305" s="42">
        <v>45967</v>
      </c>
      <c r="P305" s="46"/>
      <c r="Q305" s="41">
        <v>2524.0500000000002</v>
      </c>
    </row>
    <row r="306" spans="1:17" ht="12" customHeight="1" x14ac:dyDescent="0.3">
      <c r="A306" s="39"/>
      <c r="B306" s="40" t="s">
        <v>1295</v>
      </c>
      <c r="C306" s="41">
        <v>262.37</v>
      </c>
      <c r="D306" s="42">
        <v>45928</v>
      </c>
      <c r="E306" s="43" t="s">
        <v>2</v>
      </c>
      <c r="F306" s="41">
        <v>0</v>
      </c>
      <c r="G306" s="41">
        <v>0</v>
      </c>
      <c r="H306" s="41">
        <v>262.37</v>
      </c>
      <c r="I306" s="43">
        <v>90</v>
      </c>
      <c r="J306" s="43">
        <v>9</v>
      </c>
      <c r="K306" s="44">
        <v>3000000</v>
      </c>
      <c r="L306" s="43" t="s">
        <v>992</v>
      </c>
      <c r="M306" s="45">
        <v>46019</v>
      </c>
      <c r="N306" s="41">
        <v>262.37</v>
      </c>
      <c r="O306" s="42">
        <v>45967</v>
      </c>
      <c r="P306" s="46"/>
      <c r="Q306" s="41">
        <v>262.37</v>
      </c>
    </row>
    <row r="307" spans="1:17" ht="12" customHeight="1" x14ac:dyDescent="0.3">
      <c r="A307" s="39"/>
      <c r="B307" s="40" t="s">
        <v>1296</v>
      </c>
      <c r="C307" s="41">
        <v>350</v>
      </c>
      <c r="D307" s="42">
        <v>45928</v>
      </c>
      <c r="E307" s="43" t="s">
        <v>2</v>
      </c>
      <c r="F307" s="41">
        <v>0</v>
      </c>
      <c r="G307" s="41">
        <v>0</v>
      </c>
      <c r="H307" s="41">
        <v>350</v>
      </c>
      <c r="I307" s="43">
        <v>90</v>
      </c>
      <c r="J307" s="43">
        <v>9</v>
      </c>
      <c r="K307" s="44">
        <v>3000000</v>
      </c>
      <c r="L307" s="43" t="s">
        <v>992</v>
      </c>
      <c r="M307" s="45">
        <v>46019</v>
      </c>
      <c r="N307" s="41">
        <v>350</v>
      </c>
      <c r="O307" s="42">
        <v>45967</v>
      </c>
      <c r="P307" s="46"/>
      <c r="Q307" s="41">
        <v>350</v>
      </c>
    </row>
    <row r="308" spans="1:17" ht="12" customHeight="1" x14ac:dyDescent="0.3">
      <c r="A308" s="39"/>
      <c r="B308" s="40" t="s">
        <v>1297</v>
      </c>
      <c r="C308" s="41">
        <v>800</v>
      </c>
      <c r="D308" s="42">
        <v>45928</v>
      </c>
      <c r="E308" s="43" t="s">
        <v>2</v>
      </c>
      <c r="F308" s="41">
        <v>0</v>
      </c>
      <c r="G308" s="41">
        <v>0</v>
      </c>
      <c r="H308" s="41">
        <v>800</v>
      </c>
      <c r="I308" s="43">
        <v>90</v>
      </c>
      <c r="J308" s="43">
        <v>9</v>
      </c>
      <c r="K308" s="44">
        <v>3000000</v>
      </c>
      <c r="L308" s="43" t="s">
        <v>992</v>
      </c>
      <c r="M308" s="45">
        <v>46019</v>
      </c>
      <c r="N308" s="41">
        <v>800</v>
      </c>
      <c r="O308" s="42">
        <v>45967</v>
      </c>
      <c r="P308" s="46"/>
      <c r="Q308" s="41">
        <v>800</v>
      </c>
    </row>
    <row r="309" spans="1:17" ht="12" customHeight="1" x14ac:dyDescent="0.3">
      <c r="A309" s="39"/>
      <c r="B309" s="40" t="s">
        <v>1298</v>
      </c>
      <c r="C309" s="41">
        <v>793.5</v>
      </c>
      <c r="D309" s="42">
        <v>45928</v>
      </c>
      <c r="E309" s="43" t="s">
        <v>2</v>
      </c>
      <c r="F309" s="41">
        <v>0</v>
      </c>
      <c r="G309" s="41">
        <v>0</v>
      </c>
      <c r="H309" s="41">
        <v>793.5</v>
      </c>
      <c r="I309" s="43">
        <v>90</v>
      </c>
      <c r="J309" s="43">
        <v>9</v>
      </c>
      <c r="K309" s="44">
        <v>3000000</v>
      </c>
      <c r="L309" s="43" t="s">
        <v>992</v>
      </c>
      <c r="M309" s="45">
        <v>46019</v>
      </c>
      <c r="N309" s="41">
        <v>793.5</v>
      </c>
      <c r="O309" s="42">
        <v>45967</v>
      </c>
      <c r="P309" s="46"/>
      <c r="Q309" s="41">
        <v>793.5</v>
      </c>
    </row>
    <row r="310" spans="1:17" ht="12" customHeight="1" x14ac:dyDescent="0.3">
      <c r="A310" s="39"/>
      <c r="B310" s="40" t="s">
        <v>1299</v>
      </c>
      <c r="C310" s="41">
        <v>6739.85</v>
      </c>
      <c r="D310" s="42">
        <v>45928</v>
      </c>
      <c r="E310" s="43" t="s">
        <v>2</v>
      </c>
      <c r="F310" s="41">
        <v>0</v>
      </c>
      <c r="G310" s="41">
        <v>0</v>
      </c>
      <c r="H310" s="41">
        <v>6739.85</v>
      </c>
      <c r="I310" s="43">
        <v>90</v>
      </c>
      <c r="J310" s="43">
        <v>9</v>
      </c>
      <c r="K310" s="44">
        <v>3000000</v>
      </c>
      <c r="L310" s="43" t="s">
        <v>992</v>
      </c>
      <c r="M310" s="45">
        <v>46019</v>
      </c>
      <c r="N310" s="41">
        <v>6739.85</v>
      </c>
      <c r="O310" s="42">
        <v>45967</v>
      </c>
      <c r="P310" s="46"/>
      <c r="Q310" s="41">
        <v>6739.85</v>
      </c>
    </row>
    <row r="311" spans="1:17" ht="12" customHeight="1" x14ac:dyDescent="0.3">
      <c r="A311" s="39"/>
      <c r="B311" s="40" t="s">
        <v>1300</v>
      </c>
      <c r="C311" s="41">
        <v>168.18</v>
      </c>
      <c r="D311" s="42">
        <v>45928</v>
      </c>
      <c r="E311" s="43" t="s">
        <v>2</v>
      </c>
      <c r="F311" s="41">
        <v>0</v>
      </c>
      <c r="G311" s="41">
        <v>0</v>
      </c>
      <c r="H311" s="41">
        <v>168.18</v>
      </c>
      <c r="I311" s="43">
        <v>90</v>
      </c>
      <c r="J311" s="43">
        <v>9</v>
      </c>
      <c r="K311" s="44">
        <v>3000000</v>
      </c>
      <c r="L311" s="43" t="s">
        <v>992</v>
      </c>
      <c r="M311" s="45">
        <v>46019</v>
      </c>
      <c r="N311" s="41">
        <v>168.18</v>
      </c>
      <c r="O311" s="42">
        <v>45967</v>
      </c>
      <c r="P311" s="46"/>
      <c r="Q311" s="41">
        <v>168.18</v>
      </c>
    </row>
    <row r="312" spans="1:17" ht="12" customHeight="1" x14ac:dyDescent="0.3">
      <c r="A312" s="39"/>
      <c r="B312" s="40" t="s">
        <v>1301</v>
      </c>
      <c r="C312" s="41">
        <v>201.83</v>
      </c>
      <c r="D312" s="42">
        <v>45928</v>
      </c>
      <c r="E312" s="43" t="s">
        <v>2</v>
      </c>
      <c r="F312" s="41">
        <v>0</v>
      </c>
      <c r="G312" s="41">
        <v>0</v>
      </c>
      <c r="H312" s="41">
        <v>201.83</v>
      </c>
      <c r="I312" s="43">
        <v>90</v>
      </c>
      <c r="J312" s="43">
        <v>9</v>
      </c>
      <c r="K312" s="44">
        <v>3000000</v>
      </c>
      <c r="L312" s="43" t="s">
        <v>992</v>
      </c>
      <c r="M312" s="45">
        <v>46019</v>
      </c>
      <c r="N312" s="41">
        <v>201.83</v>
      </c>
      <c r="O312" s="42">
        <v>45967</v>
      </c>
      <c r="P312" s="46"/>
      <c r="Q312" s="41">
        <v>201.83</v>
      </c>
    </row>
    <row r="313" spans="1:17" ht="12" customHeight="1" x14ac:dyDescent="0.3">
      <c r="A313" s="39"/>
      <c r="B313" s="40" t="s">
        <v>1302</v>
      </c>
      <c r="C313" s="41">
        <v>350</v>
      </c>
      <c r="D313" s="42">
        <v>45928</v>
      </c>
      <c r="E313" s="43" t="s">
        <v>2</v>
      </c>
      <c r="F313" s="41">
        <v>0</v>
      </c>
      <c r="G313" s="41">
        <v>0</v>
      </c>
      <c r="H313" s="41">
        <v>350</v>
      </c>
      <c r="I313" s="43">
        <v>90</v>
      </c>
      <c r="J313" s="43">
        <v>9</v>
      </c>
      <c r="K313" s="44">
        <v>3000000</v>
      </c>
      <c r="L313" s="43" t="s">
        <v>992</v>
      </c>
      <c r="M313" s="45">
        <v>46019</v>
      </c>
      <c r="N313" s="41">
        <v>350</v>
      </c>
      <c r="O313" s="42">
        <v>45967</v>
      </c>
      <c r="P313" s="46"/>
      <c r="Q313" s="41">
        <v>350</v>
      </c>
    </row>
    <row r="314" spans="1:17" ht="12" customHeight="1" x14ac:dyDescent="0.3">
      <c r="A314" s="39"/>
      <c r="B314" s="40" t="s">
        <v>1303</v>
      </c>
      <c r="C314" s="41">
        <v>1102.5</v>
      </c>
      <c r="D314" s="42">
        <v>45928</v>
      </c>
      <c r="E314" s="43" t="s">
        <v>2</v>
      </c>
      <c r="F314" s="41">
        <v>0</v>
      </c>
      <c r="G314" s="41">
        <v>0</v>
      </c>
      <c r="H314" s="41">
        <v>1102.5</v>
      </c>
      <c r="I314" s="43">
        <v>90</v>
      </c>
      <c r="J314" s="43">
        <v>9</v>
      </c>
      <c r="K314" s="44">
        <v>3000000</v>
      </c>
      <c r="L314" s="43" t="s">
        <v>992</v>
      </c>
      <c r="M314" s="45">
        <v>46019</v>
      </c>
      <c r="N314" s="41">
        <v>1102.5</v>
      </c>
      <c r="O314" s="42">
        <v>45967</v>
      </c>
      <c r="P314" s="46"/>
      <c r="Q314" s="41">
        <v>1102.5</v>
      </c>
    </row>
    <row r="315" spans="1:17" ht="12" customHeight="1" x14ac:dyDescent="0.3">
      <c r="A315" s="39"/>
      <c r="B315" s="40" t="s">
        <v>1304</v>
      </c>
      <c r="C315" s="41">
        <v>134.66</v>
      </c>
      <c r="D315" s="42">
        <v>45928</v>
      </c>
      <c r="E315" s="43" t="s">
        <v>2</v>
      </c>
      <c r="F315" s="41">
        <v>0</v>
      </c>
      <c r="G315" s="41">
        <v>0</v>
      </c>
      <c r="H315" s="41">
        <v>134.66</v>
      </c>
      <c r="I315" s="43">
        <v>90</v>
      </c>
      <c r="J315" s="43">
        <v>9</v>
      </c>
      <c r="K315" s="44">
        <v>3000000</v>
      </c>
      <c r="L315" s="43" t="s">
        <v>992</v>
      </c>
      <c r="M315" s="45">
        <v>46019</v>
      </c>
      <c r="N315" s="41">
        <v>134.66</v>
      </c>
      <c r="O315" s="42">
        <v>45967</v>
      </c>
      <c r="P315" s="46"/>
      <c r="Q315" s="41">
        <v>134.66</v>
      </c>
    </row>
    <row r="316" spans="1:17" ht="12" customHeight="1" x14ac:dyDescent="0.3">
      <c r="A316" s="39"/>
      <c r="B316" s="40" t="s">
        <v>1305</v>
      </c>
      <c r="C316" s="41">
        <v>130</v>
      </c>
      <c r="D316" s="42">
        <v>45928</v>
      </c>
      <c r="E316" s="43" t="s">
        <v>2</v>
      </c>
      <c r="F316" s="41">
        <v>0</v>
      </c>
      <c r="G316" s="41">
        <v>0</v>
      </c>
      <c r="H316" s="41">
        <v>130</v>
      </c>
      <c r="I316" s="43">
        <v>90</v>
      </c>
      <c r="J316" s="43">
        <v>9</v>
      </c>
      <c r="K316" s="44">
        <v>3000000</v>
      </c>
      <c r="L316" s="43" t="s">
        <v>992</v>
      </c>
      <c r="M316" s="45">
        <v>46019</v>
      </c>
      <c r="N316" s="41">
        <v>130</v>
      </c>
      <c r="O316" s="42">
        <v>45967</v>
      </c>
      <c r="P316" s="46"/>
      <c r="Q316" s="41">
        <v>130</v>
      </c>
    </row>
    <row r="317" spans="1:17" ht="12" customHeight="1" x14ac:dyDescent="0.3">
      <c r="A317" s="39"/>
      <c r="B317" s="40" t="s">
        <v>1306</v>
      </c>
      <c r="C317" s="41">
        <v>8098.13</v>
      </c>
      <c r="D317" s="42">
        <v>45928</v>
      </c>
      <c r="E317" s="43" t="s">
        <v>2</v>
      </c>
      <c r="F317" s="41">
        <v>0</v>
      </c>
      <c r="G317" s="41">
        <v>0</v>
      </c>
      <c r="H317" s="41">
        <v>8098.13</v>
      </c>
      <c r="I317" s="43">
        <v>90</v>
      </c>
      <c r="J317" s="43">
        <v>9</v>
      </c>
      <c r="K317" s="44">
        <v>3000000</v>
      </c>
      <c r="L317" s="43" t="s">
        <v>992</v>
      </c>
      <c r="M317" s="45">
        <v>46019</v>
      </c>
      <c r="N317" s="41">
        <v>8098.13</v>
      </c>
      <c r="O317" s="42">
        <v>45967</v>
      </c>
      <c r="P317" s="46"/>
      <c r="Q317" s="41">
        <v>8098.13</v>
      </c>
    </row>
    <row r="318" spans="1:17" ht="12" customHeight="1" x14ac:dyDescent="0.3">
      <c r="A318" s="39"/>
      <c r="B318" s="40" t="s">
        <v>1307</v>
      </c>
      <c r="C318" s="41">
        <v>8098.13</v>
      </c>
      <c r="D318" s="42">
        <v>45928</v>
      </c>
      <c r="E318" s="43" t="s">
        <v>2</v>
      </c>
      <c r="F318" s="41">
        <v>0</v>
      </c>
      <c r="G318" s="41">
        <v>0</v>
      </c>
      <c r="H318" s="41">
        <v>8098.13</v>
      </c>
      <c r="I318" s="43">
        <v>90</v>
      </c>
      <c r="J318" s="43">
        <v>9</v>
      </c>
      <c r="K318" s="44">
        <v>3000000</v>
      </c>
      <c r="L318" s="43" t="s">
        <v>992</v>
      </c>
      <c r="M318" s="45">
        <v>46019</v>
      </c>
      <c r="N318" s="41">
        <v>8098.13</v>
      </c>
      <c r="O318" s="42">
        <v>45967</v>
      </c>
      <c r="P318" s="46"/>
      <c r="Q318" s="41">
        <v>8098.13</v>
      </c>
    </row>
    <row r="319" spans="1:17" ht="12" customHeight="1" x14ac:dyDescent="0.3">
      <c r="A319" s="39"/>
      <c r="B319" s="40" t="s">
        <v>1308</v>
      </c>
      <c r="C319" s="41">
        <v>15695.57</v>
      </c>
      <c r="D319" s="42">
        <v>45928</v>
      </c>
      <c r="E319" s="43" t="s">
        <v>2</v>
      </c>
      <c r="F319" s="41">
        <v>0</v>
      </c>
      <c r="G319" s="41">
        <v>0</v>
      </c>
      <c r="H319" s="41">
        <v>15695.57</v>
      </c>
      <c r="I319" s="43">
        <v>90</v>
      </c>
      <c r="J319" s="43">
        <v>9</v>
      </c>
      <c r="K319" s="44">
        <v>3000000</v>
      </c>
      <c r="L319" s="43" t="s">
        <v>992</v>
      </c>
      <c r="M319" s="45">
        <v>46019</v>
      </c>
      <c r="N319" s="41">
        <v>15695.57</v>
      </c>
      <c r="O319" s="42">
        <v>45967</v>
      </c>
      <c r="P319" s="46"/>
      <c r="Q319" s="41">
        <v>15695.57</v>
      </c>
    </row>
    <row r="320" spans="1:17" ht="12" customHeight="1" x14ac:dyDescent="0.3">
      <c r="A320" s="39"/>
      <c r="B320" s="40" t="s">
        <v>1309</v>
      </c>
      <c r="C320" s="41">
        <v>9264.51</v>
      </c>
      <c r="D320" s="42">
        <v>45928</v>
      </c>
      <c r="E320" s="43" t="s">
        <v>2</v>
      </c>
      <c r="F320" s="41">
        <v>0</v>
      </c>
      <c r="G320" s="41">
        <v>0</v>
      </c>
      <c r="H320" s="41">
        <v>9264.51</v>
      </c>
      <c r="I320" s="43">
        <v>90</v>
      </c>
      <c r="J320" s="43">
        <v>9</v>
      </c>
      <c r="K320" s="44">
        <v>3000000</v>
      </c>
      <c r="L320" s="43" t="s">
        <v>992</v>
      </c>
      <c r="M320" s="45">
        <v>46019</v>
      </c>
      <c r="N320" s="41">
        <v>9264.51</v>
      </c>
      <c r="O320" s="42">
        <v>45967</v>
      </c>
      <c r="P320" s="46"/>
      <c r="Q320" s="41">
        <v>9264.51</v>
      </c>
    </row>
    <row r="321" spans="1:17" ht="12" customHeight="1" x14ac:dyDescent="0.3">
      <c r="A321" s="39"/>
      <c r="B321" s="40" t="s">
        <v>1310</v>
      </c>
      <c r="C321" s="41">
        <v>5940.01</v>
      </c>
      <c r="D321" s="42">
        <v>45928</v>
      </c>
      <c r="E321" s="43" t="s">
        <v>2</v>
      </c>
      <c r="F321" s="41">
        <v>0</v>
      </c>
      <c r="G321" s="41">
        <v>0</v>
      </c>
      <c r="H321" s="41">
        <v>5940.01</v>
      </c>
      <c r="I321" s="43">
        <v>90</v>
      </c>
      <c r="J321" s="43">
        <v>9</v>
      </c>
      <c r="K321" s="44">
        <v>3000000</v>
      </c>
      <c r="L321" s="43" t="s">
        <v>992</v>
      </c>
      <c r="M321" s="45">
        <v>46019</v>
      </c>
      <c r="N321" s="41">
        <v>5940.01</v>
      </c>
      <c r="O321" s="42">
        <v>45967</v>
      </c>
      <c r="P321" s="46"/>
      <c r="Q321" s="41">
        <v>5940.01</v>
      </c>
    </row>
    <row r="322" spans="1:17" ht="12" customHeight="1" x14ac:dyDescent="0.3">
      <c r="A322" s="39"/>
      <c r="B322" s="40" t="s">
        <v>1311</v>
      </c>
      <c r="C322" s="41">
        <v>134.65</v>
      </c>
      <c r="D322" s="42">
        <v>45929</v>
      </c>
      <c r="E322" s="43" t="s">
        <v>2</v>
      </c>
      <c r="F322" s="41">
        <v>0</v>
      </c>
      <c r="G322" s="41">
        <v>0</v>
      </c>
      <c r="H322" s="41">
        <v>134.65</v>
      </c>
      <c r="I322" s="43">
        <v>90</v>
      </c>
      <c r="J322" s="43">
        <v>9</v>
      </c>
      <c r="K322" s="44">
        <v>3000000</v>
      </c>
      <c r="L322" s="43" t="s">
        <v>992</v>
      </c>
      <c r="M322" s="45">
        <v>46019</v>
      </c>
      <c r="N322" s="41">
        <v>134.65</v>
      </c>
      <c r="O322" s="42">
        <v>45967</v>
      </c>
      <c r="P322" s="46"/>
      <c r="Q322" s="41">
        <v>134.65</v>
      </c>
    </row>
    <row r="323" spans="1:17" ht="12" customHeight="1" x14ac:dyDescent="0.3">
      <c r="A323" s="39"/>
      <c r="B323" s="40" t="s">
        <v>1312</v>
      </c>
      <c r="C323" s="41">
        <v>612.89</v>
      </c>
      <c r="D323" s="42">
        <v>45929</v>
      </c>
      <c r="E323" s="43" t="s">
        <v>2</v>
      </c>
      <c r="F323" s="41">
        <v>0</v>
      </c>
      <c r="G323" s="41">
        <v>0</v>
      </c>
      <c r="H323" s="41">
        <v>612.89</v>
      </c>
      <c r="I323" s="43">
        <v>90</v>
      </c>
      <c r="J323" s="43">
        <v>9</v>
      </c>
      <c r="K323" s="44">
        <v>3000000</v>
      </c>
      <c r="L323" s="43" t="s">
        <v>992</v>
      </c>
      <c r="M323" s="45">
        <v>46019</v>
      </c>
      <c r="N323" s="41">
        <v>612.89</v>
      </c>
      <c r="O323" s="42">
        <v>45967</v>
      </c>
      <c r="P323" s="46"/>
      <c r="Q323" s="41">
        <v>612.89</v>
      </c>
    </row>
    <row r="324" spans="1:17" ht="12" customHeight="1" x14ac:dyDescent="0.3">
      <c r="A324" s="39"/>
      <c r="B324" s="40" t="s">
        <v>1313</v>
      </c>
      <c r="C324" s="41">
        <v>2640</v>
      </c>
      <c r="D324" s="42">
        <v>45929</v>
      </c>
      <c r="E324" s="43" t="s">
        <v>2</v>
      </c>
      <c r="F324" s="41">
        <v>0</v>
      </c>
      <c r="G324" s="41">
        <v>0</v>
      </c>
      <c r="H324" s="41">
        <v>2640</v>
      </c>
      <c r="I324" s="43">
        <v>90</v>
      </c>
      <c r="J324" s="43">
        <v>9</v>
      </c>
      <c r="K324" s="44">
        <v>3000000</v>
      </c>
      <c r="L324" s="43" t="s">
        <v>992</v>
      </c>
      <c r="M324" s="45">
        <v>46019</v>
      </c>
      <c r="N324" s="41">
        <v>2640</v>
      </c>
      <c r="O324" s="42">
        <v>45967</v>
      </c>
      <c r="P324" s="46"/>
      <c r="Q324" s="41">
        <v>2640</v>
      </c>
    </row>
    <row r="325" spans="1:17" ht="12" customHeight="1" x14ac:dyDescent="0.3">
      <c r="A325" s="39"/>
      <c r="B325" s="40" t="s">
        <v>1314</v>
      </c>
      <c r="C325" s="41">
        <v>1425</v>
      </c>
      <c r="D325" s="42">
        <v>45929</v>
      </c>
      <c r="E325" s="43" t="s">
        <v>2</v>
      </c>
      <c r="F325" s="41">
        <v>0</v>
      </c>
      <c r="G325" s="41">
        <v>0</v>
      </c>
      <c r="H325" s="41">
        <v>1425</v>
      </c>
      <c r="I325" s="43">
        <v>90</v>
      </c>
      <c r="J325" s="43">
        <v>9</v>
      </c>
      <c r="K325" s="44">
        <v>3000000</v>
      </c>
      <c r="L325" s="43" t="s">
        <v>992</v>
      </c>
      <c r="M325" s="45">
        <v>46019</v>
      </c>
      <c r="N325" s="41">
        <v>1425</v>
      </c>
      <c r="O325" s="42">
        <v>45967</v>
      </c>
      <c r="P325" s="46"/>
      <c r="Q325" s="41">
        <v>1425</v>
      </c>
    </row>
    <row r="326" spans="1:17" ht="12" customHeight="1" x14ac:dyDescent="0.3">
      <c r="A326" s="39"/>
      <c r="B326" s="40" t="s">
        <v>1315</v>
      </c>
      <c r="C326" s="41">
        <v>162</v>
      </c>
      <c r="D326" s="42">
        <v>45929</v>
      </c>
      <c r="E326" s="43" t="s">
        <v>2</v>
      </c>
      <c r="F326" s="41">
        <v>0</v>
      </c>
      <c r="G326" s="41">
        <v>0</v>
      </c>
      <c r="H326" s="41">
        <v>162</v>
      </c>
      <c r="I326" s="43">
        <v>90</v>
      </c>
      <c r="J326" s="43">
        <v>9</v>
      </c>
      <c r="K326" s="44">
        <v>3000000</v>
      </c>
      <c r="L326" s="43" t="s">
        <v>992</v>
      </c>
      <c r="M326" s="45">
        <v>46019</v>
      </c>
      <c r="N326" s="41">
        <v>162</v>
      </c>
      <c r="O326" s="42">
        <v>45967</v>
      </c>
      <c r="P326" s="46"/>
      <c r="Q326" s="41">
        <v>162</v>
      </c>
    </row>
    <row r="327" spans="1:17" ht="12" customHeight="1" x14ac:dyDescent="0.3">
      <c r="A327" s="39"/>
      <c r="B327" s="40" t="s">
        <v>1316</v>
      </c>
      <c r="C327" s="41">
        <v>490</v>
      </c>
      <c r="D327" s="42">
        <v>45929</v>
      </c>
      <c r="E327" s="43" t="s">
        <v>2</v>
      </c>
      <c r="F327" s="41">
        <v>0</v>
      </c>
      <c r="G327" s="41">
        <v>0</v>
      </c>
      <c r="H327" s="41">
        <v>490</v>
      </c>
      <c r="I327" s="43">
        <v>90</v>
      </c>
      <c r="J327" s="43">
        <v>9</v>
      </c>
      <c r="K327" s="44">
        <v>3000000</v>
      </c>
      <c r="L327" s="43" t="s">
        <v>992</v>
      </c>
      <c r="M327" s="45">
        <v>46019</v>
      </c>
      <c r="N327" s="41">
        <v>490</v>
      </c>
      <c r="O327" s="42">
        <v>45967</v>
      </c>
      <c r="P327" s="46"/>
      <c r="Q327" s="41">
        <v>490</v>
      </c>
    </row>
    <row r="328" spans="1:17" ht="12" customHeight="1" x14ac:dyDescent="0.3">
      <c r="A328" s="39"/>
      <c r="B328" s="40" t="s">
        <v>1317</v>
      </c>
      <c r="C328" s="41">
        <v>450000</v>
      </c>
      <c r="D328" s="42">
        <v>45929</v>
      </c>
      <c r="E328" s="43" t="s">
        <v>2</v>
      </c>
      <c r="F328" s="41">
        <v>0</v>
      </c>
      <c r="G328" s="41">
        <v>0</v>
      </c>
      <c r="H328" s="41">
        <v>450000</v>
      </c>
      <c r="I328" s="43">
        <v>90</v>
      </c>
      <c r="J328" s="43">
        <v>9</v>
      </c>
      <c r="K328" s="44">
        <v>3000000</v>
      </c>
      <c r="L328" s="43" t="s">
        <v>992</v>
      </c>
      <c r="M328" s="45">
        <v>46019</v>
      </c>
      <c r="N328" s="41">
        <v>450000</v>
      </c>
      <c r="O328" s="42">
        <v>45972</v>
      </c>
      <c r="P328" s="46"/>
      <c r="Q328" s="41">
        <v>450000</v>
      </c>
    </row>
    <row r="329" spans="1:17" ht="12" customHeight="1" x14ac:dyDescent="0.3">
      <c r="A329" s="39"/>
      <c r="B329" s="40" t="s">
        <v>1318</v>
      </c>
      <c r="C329" s="41">
        <v>9264.5300000000007</v>
      </c>
      <c r="D329" s="42">
        <v>45929</v>
      </c>
      <c r="E329" s="43" t="s">
        <v>2</v>
      </c>
      <c r="F329" s="41">
        <v>0</v>
      </c>
      <c r="G329" s="41">
        <v>0</v>
      </c>
      <c r="H329" s="41">
        <v>9264.5300000000007</v>
      </c>
      <c r="I329" s="43">
        <v>90</v>
      </c>
      <c r="J329" s="43">
        <v>9</v>
      </c>
      <c r="K329" s="44">
        <v>3000000</v>
      </c>
      <c r="L329" s="43" t="s">
        <v>992</v>
      </c>
      <c r="M329" s="45">
        <v>46019</v>
      </c>
      <c r="N329" s="41">
        <v>9264.5300000000007</v>
      </c>
      <c r="O329" s="42">
        <v>45972</v>
      </c>
      <c r="P329" s="46"/>
      <c r="Q329" s="41">
        <v>9264.5300000000007</v>
      </c>
    </row>
    <row r="330" spans="1:17" ht="12" customHeight="1" x14ac:dyDescent="0.3">
      <c r="A330" s="39"/>
      <c r="B330" s="40" t="s">
        <v>1319</v>
      </c>
      <c r="C330" s="41">
        <v>329330</v>
      </c>
      <c r="D330" s="42">
        <v>45930</v>
      </c>
      <c r="E330" s="43" t="s">
        <v>2</v>
      </c>
      <c r="F330" s="41">
        <v>0</v>
      </c>
      <c r="G330" s="41">
        <v>0</v>
      </c>
      <c r="H330" s="41">
        <v>329330</v>
      </c>
      <c r="I330" s="43">
        <v>90</v>
      </c>
      <c r="J330" s="43">
        <v>8</v>
      </c>
      <c r="K330" s="44">
        <v>3000000</v>
      </c>
      <c r="L330" s="43" t="s">
        <v>992</v>
      </c>
      <c r="M330" s="45">
        <v>46020</v>
      </c>
      <c r="N330" s="41">
        <v>329330</v>
      </c>
      <c r="O330" s="42">
        <v>45930</v>
      </c>
      <c r="P330" s="46"/>
      <c r="Q330" s="41">
        <v>329330</v>
      </c>
    </row>
    <row r="331" spans="1:17" ht="12" customHeight="1" x14ac:dyDescent="0.3">
      <c r="A331" s="39"/>
      <c r="B331" s="40" t="s">
        <v>1320</v>
      </c>
      <c r="C331" s="41">
        <v>750000</v>
      </c>
      <c r="D331" s="42">
        <v>45930</v>
      </c>
      <c r="E331" s="43" t="s">
        <v>2</v>
      </c>
      <c r="F331" s="41">
        <v>0</v>
      </c>
      <c r="G331" s="41">
        <v>0</v>
      </c>
      <c r="H331" s="41">
        <v>750000</v>
      </c>
      <c r="I331" s="43">
        <v>90</v>
      </c>
      <c r="J331" s="43">
        <v>8</v>
      </c>
      <c r="K331" s="44">
        <v>3000000</v>
      </c>
      <c r="L331" s="43" t="s">
        <v>992</v>
      </c>
      <c r="M331" s="45">
        <v>46020</v>
      </c>
      <c r="N331" s="41">
        <v>750000</v>
      </c>
      <c r="O331" s="42">
        <v>45935</v>
      </c>
      <c r="P331" s="46"/>
      <c r="Q331" s="41">
        <v>750000</v>
      </c>
    </row>
    <row r="332" spans="1:17" ht="12" customHeight="1" x14ac:dyDescent="0.3">
      <c r="A332" s="39"/>
      <c r="B332" s="40" t="s">
        <v>1321</v>
      </c>
      <c r="C332" s="41">
        <v>750001.23</v>
      </c>
      <c r="D332" s="42">
        <v>45930</v>
      </c>
      <c r="E332" s="43" t="s">
        <v>2</v>
      </c>
      <c r="F332" s="41">
        <v>0</v>
      </c>
      <c r="G332" s="41">
        <v>0</v>
      </c>
      <c r="H332" s="41">
        <v>750001.23</v>
      </c>
      <c r="I332" s="43">
        <v>90</v>
      </c>
      <c r="J332" s="43">
        <v>8</v>
      </c>
      <c r="K332" s="44">
        <v>3000000</v>
      </c>
      <c r="L332" s="43" t="s">
        <v>992</v>
      </c>
      <c r="M332" s="45">
        <v>46020</v>
      </c>
      <c r="N332" s="41">
        <v>750001.23</v>
      </c>
      <c r="O332" s="42">
        <v>45938</v>
      </c>
      <c r="P332" s="46"/>
      <c r="Q332" s="41">
        <v>750001.23</v>
      </c>
    </row>
    <row r="333" spans="1:17" ht="12" customHeight="1" x14ac:dyDescent="0.3">
      <c r="A333" s="39"/>
      <c r="B333" s="40" t="s">
        <v>1322</v>
      </c>
      <c r="C333" s="41">
        <v>750000</v>
      </c>
      <c r="D333" s="42">
        <v>45930</v>
      </c>
      <c r="E333" s="43" t="s">
        <v>2</v>
      </c>
      <c r="F333" s="41">
        <v>0</v>
      </c>
      <c r="G333" s="41">
        <v>0</v>
      </c>
      <c r="H333" s="41">
        <v>750000</v>
      </c>
      <c r="I333" s="43">
        <v>90</v>
      </c>
      <c r="J333" s="43">
        <v>8</v>
      </c>
      <c r="K333" s="44">
        <v>3000000</v>
      </c>
      <c r="L333" s="43" t="s">
        <v>992</v>
      </c>
      <c r="M333" s="45">
        <v>46020</v>
      </c>
      <c r="N333" s="41">
        <v>750000</v>
      </c>
      <c r="O333" s="42">
        <v>45939</v>
      </c>
      <c r="P333" s="46"/>
      <c r="Q333" s="41">
        <v>750000</v>
      </c>
    </row>
    <row r="334" spans="1:17" ht="12" customHeight="1" x14ac:dyDescent="0.3">
      <c r="A334" s="39"/>
      <c r="B334" s="40" t="s">
        <v>1323</v>
      </c>
      <c r="C334" s="41">
        <v>750000</v>
      </c>
      <c r="D334" s="42">
        <v>45930</v>
      </c>
      <c r="E334" s="43" t="s">
        <v>2</v>
      </c>
      <c r="F334" s="41">
        <v>0</v>
      </c>
      <c r="G334" s="41">
        <v>0</v>
      </c>
      <c r="H334" s="41">
        <v>750000</v>
      </c>
      <c r="I334" s="43">
        <v>90</v>
      </c>
      <c r="J334" s="43">
        <v>8</v>
      </c>
      <c r="K334" s="44">
        <v>3000000</v>
      </c>
      <c r="L334" s="43" t="s">
        <v>992</v>
      </c>
      <c r="M334" s="45">
        <v>46020</v>
      </c>
      <c r="N334" s="41">
        <v>750000</v>
      </c>
      <c r="O334" s="42">
        <v>45945</v>
      </c>
      <c r="P334" s="46"/>
      <c r="Q334" s="41">
        <v>750000</v>
      </c>
    </row>
    <row r="335" spans="1:17" ht="12" customHeight="1" x14ac:dyDescent="0.3">
      <c r="A335" s="39"/>
      <c r="B335" s="40" t="s">
        <v>1324</v>
      </c>
      <c r="C335" s="41">
        <v>3182.39</v>
      </c>
      <c r="D335" s="42">
        <v>45930</v>
      </c>
      <c r="E335" s="43" t="s">
        <v>2</v>
      </c>
      <c r="F335" s="41">
        <v>0</v>
      </c>
      <c r="G335" s="41">
        <v>0</v>
      </c>
      <c r="H335" s="41">
        <v>3182.39</v>
      </c>
      <c r="I335" s="43">
        <v>90</v>
      </c>
      <c r="J335" s="43">
        <v>9</v>
      </c>
      <c r="K335" s="44">
        <v>3000000</v>
      </c>
      <c r="L335" s="43" t="s">
        <v>992</v>
      </c>
      <c r="M335" s="45">
        <v>46020</v>
      </c>
      <c r="N335" s="41">
        <v>3182.39</v>
      </c>
      <c r="O335" s="42">
        <v>45972</v>
      </c>
      <c r="P335" s="46"/>
      <c r="Q335" s="41">
        <v>3182.39</v>
      </c>
    </row>
    <row r="336" spans="1:17" ht="12" customHeight="1" x14ac:dyDescent="0.3">
      <c r="A336" s="39"/>
      <c r="B336" s="40" t="s">
        <v>1325</v>
      </c>
      <c r="C336" s="41">
        <v>7668.14</v>
      </c>
      <c r="D336" s="42">
        <v>45930</v>
      </c>
      <c r="E336" s="43" t="s">
        <v>2</v>
      </c>
      <c r="F336" s="41">
        <v>0</v>
      </c>
      <c r="G336" s="41">
        <v>0</v>
      </c>
      <c r="H336" s="41">
        <v>7668.14</v>
      </c>
      <c r="I336" s="43">
        <v>90</v>
      </c>
      <c r="J336" s="43">
        <v>9</v>
      </c>
      <c r="K336" s="44">
        <v>3000000</v>
      </c>
      <c r="L336" s="43" t="s">
        <v>992</v>
      </c>
      <c r="M336" s="45">
        <v>46020</v>
      </c>
      <c r="N336" s="41">
        <v>7668.14</v>
      </c>
      <c r="O336" s="42">
        <v>45972</v>
      </c>
      <c r="P336" s="46"/>
      <c r="Q336" s="41">
        <v>7668.14</v>
      </c>
    </row>
    <row r="337" spans="1:17" ht="12" customHeight="1" x14ac:dyDescent="0.3">
      <c r="A337" s="39"/>
      <c r="B337" s="40" t="s">
        <v>1326</v>
      </c>
      <c r="C337" s="41">
        <v>500050.5</v>
      </c>
      <c r="D337" s="42">
        <v>45930</v>
      </c>
      <c r="E337" s="43" t="s">
        <v>2</v>
      </c>
      <c r="F337" s="41">
        <v>0</v>
      </c>
      <c r="G337" s="41">
        <v>0</v>
      </c>
      <c r="H337" s="41">
        <v>500050.5</v>
      </c>
      <c r="I337" s="43">
        <v>90</v>
      </c>
      <c r="J337" s="43">
        <v>197</v>
      </c>
      <c r="K337" s="44">
        <v>4000000</v>
      </c>
      <c r="L337" s="43" t="s">
        <v>992</v>
      </c>
      <c r="M337" s="45">
        <v>46020</v>
      </c>
      <c r="N337" s="41">
        <v>500050.5</v>
      </c>
      <c r="O337" s="42">
        <v>45931</v>
      </c>
      <c r="P337" s="46"/>
      <c r="Q337" s="41">
        <v>500050.5</v>
      </c>
    </row>
    <row r="338" spans="1:17" ht="12" customHeight="1" x14ac:dyDescent="0.3">
      <c r="A338" s="39"/>
      <c r="B338" s="40" t="s">
        <v>1327</v>
      </c>
      <c r="C338" s="41">
        <v>500020</v>
      </c>
      <c r="D338" s="42">
        <v>45930</v>
      </c>
      <c r="E338" s="43" t="s">
        <v>2</v>
      </c>
      <c r="F338" s="41">
        <v>0</v>
      </c>
      <c r="G338" s="41">
        <v>0</v>
      </c>
      <c r="H338" s="41">
        <v>500020</v>
      </c>
      <c r="I338" s="43">
        <v>90</v>
      </c>
      <c r="J338" s="43">
        <v>197</v>
      </c>
      <c r="K338" s="44">
        <v>4000000</v>
      </c>
      <c r="L338" s="43" t="s">
        <v>992</v>
      </c>
      <c r="M338" s="45">
        <v>46020</v>
      </c>
      <c r="N338" s="41">
        <v>500020</v>
      </c>
      <c r="O338" s="42">
        <v>45950</v>
      </c>
      <c r="P338" s="46"/>
      <c r="Q338" s="41">
        <v>500020</v>
      </c>
    </row>
    <row r="339" spans="1:17" ht="12" customHeight="1" x14ac:dyDescent="0.3">
      <c r="A339" s="39"/>
      <c r="B339" s="40" t="s">
        <v>1328</v>
      </c>
      <c r="C339" s="41">
        <v>500004</v>
      </c>
      <c r="D339" s="42">
        <v>45930</v>
      </c>
      <c r="E339" s="43" t="s">
        <v>2</v>
      </c>
      <c r="F339" s="41">
        <v>0</v>
      </c>
      <c r="G339" s="41">
        <v>0</v>
      </c>
      <c r="H339" s="41">
        <v>500004</v>
      </c>
      <c r="I339" s="43">
        <v>90</v>
      </c>
      <c r="J339" s="43">
        <v>197</v>
      </c>
      <c r="K339" s="44">
        <v>4000000</v>
      </c>
      <c r="L339" s="43" t="s">
        <v>992</v>
      </c>
      <c r="M339" s="45">
        <v>46020</v>
      </c>
      <c r="N339" s="41">
        <v>500004</v>
      </c>
      <c r="O339" s="42">
        <v>45958</v>
      </c>
      <c r="P339" s="46"/>
      <c r="Q339" s="41">
        <v>500004</v>
      </c>
    </row>
    <row r="340" spans="1:17" ht="12" customHeight="1" x14ac:dyDescent="0.3">
      <c r="A340" s="39"/>
      <c r="B340" s="40" t="s">
        <v>1329</v>
      </c>
      <c r="C340" s="41">
        <v>500013.5</v>
      </c>
      <c r="D340" s="42">
        <v>45930</v>
      </c>
      <c r="E340" s="43" t="s">
        <v>2</v>
      </c>
      <c r="F340" s="41">
        <v>0</v>
      </c>
      <c r="G340" s="41">
        <v>0</v>
      </c>
      <c r="H340" s="41">
        <v>500013.5</v>
      </c>
      <c r="I340" s="43">
        <v>90</v>
      </c>
      <c r="J340" s="43">
        <v>197</v>
      </c>
      <c r="K340" s="44">
        <v>4000000</v>
      </c>
      <c r="L340" s="43" t="s">
        <v>992</v>
      </c>
      <c r="M340" s="45">
        <v>46020</v>
      </c>
      <c r="N340" s="41">
        <v>500013.5</v>
      </c>
      <c r="O340" s="42">
        <v>45958</v>
      </c>
      <c r="P340" s="46"/>
      <c r="Q340" s="41">
        <v>500013.5</v>
      </c>
    </row>
    <row r="341" spans="1:17" ht="12" customHeight="1" x14ac:dyDescent="0.3">
      <c r="A341" s="39"/>
      <c r="B341" s="40" t="s">
        <v>1330</v>
      </c>
      <c r="C341" s="41">
        <v>500009.5</v>
      </c>
      <c r="D341" s="42">
        <v>45930</v>
      </c>
      <c r="E341" s="43" t="s">
        <v>2</v>
      </c>
      <c r="F341" s="41">
        <v>0</v>
      </c>
      <c r="G341" s="41">
        <v>0</v>
      </c>
      <c r="H341" s="41">
        <v>500009.5</v>
      </c>
      <c r="I341" s="43">
        <v>90</v>
      </c>
      <c r="J341" s="43">
        <v>197</v>
      </c>
      <c r="K341" s="44">
        <v>4000000</v>
      </c>
      <c r="L341" s="43" t="s">
        <v>992</v>
      </c>
      <c r="M341" s="45">
        <v>46020</v>
      </c>
      <c r="N341" s="41">
        <v>500009.5</v>
      </c>
      <c r="O341" s="42">
        <v>45958</v>
      </c>
      <c r="P341" s="46"/>
      <c r="Q341" s="41">
        <v>500009.5</v>
      </c>
    </row>
    <row r="342" spans="1:17" ht="12" customHeight="1" x14ac:dyDescent="0.3">
      <c r="A342" s="39"/>
      <c r="B342" s="40" t="s">
        <v>1331</v>
      </c>
      <c r="C342" s="41">
        <v>500050.98</v>
      </c>
      <c r="D342" s="42">
        <v>45930</v>
      </c>
      <c r="E342" s="43" t="s">
        <v>2</v>
      </c>
      <c r="F342" s="41">
        <v>0</v>
      </c>
      <c r="G342" s="41">
        <v>0</v>
      </c>
      <c r="H342" s="41">
        <v>500050.98</v>
      </c>
      <c r="I342" s="43">
        <v>90</v>
      </c>
      <c r="J342" s="43">
        <v>197</v>
      </c>
      <c r="K342" s="44">
        <v>4000000</v>
      </c>
      <c r="L342" s="43" t="s">
        <v>992</v>
      </c>
      <c r="M342" s="45">
        <v>46020</v>
      </c>
      <c r="N342" s="41">
        <v>500050.98</v>
      </c>
      <c r="O342" s="42">
        <v>45958</v>
      </c>
      <c r="P342" s="46"/>
      <c r="Q342" s="41">
        <v>500050.98</v>
      </c>
    </row>
    <row r="343" spans="1:17" ht="12" customHeight="1" x14ac:dyDescent="0.3">
      <c r="A343" s="39"/>
      <c r="B343" s="40" t="s">
        <v>1332</v>
      </c>
      <c r="C343" s="41">
        <v>500023.47</v>
      </c>
      <c r="D343" s="42">
        <v>45930</v>
      </c>
      <c r="E343" s="43" t="s">
        <v>2</v>
      </c>
      <c r="F343" s="41">
        <v>0</v>
      </c>
      <c r="G343" s="41">
        <v>0</v>
      </c>
      <c r="H343" s="41">
        <v>500023.47</v>
      </c>
      <c r="I343" s="43">
        <v>90</v>
      </c>
      <c r="J343" s="43">
        <v>197</v>
      </c>
      <c r="K343" s="44">
        <v>4000000</v>
      </c>
      <c r="L343" s="43" t="s">
        <v>992</v>
      </c>
      <c r="M343" s="45">
        <v>46020</v>
      </c>
      <c r="N343" s="41">
        <v>500023.47</v>
      </c>
      <c r="O343" s="42">
        <v>45958</v>
      </c>
      <c r="P343" s="46"/>
      <c r="Q343" s="41">
        <v>500023.47</v>
      </c>
    </row>
    <row r="344" spans="1:17" ht="12" customHeight="1" x14ac:dyDescent="0.3">
      <c r="A344" s="39"/>
      <c r="B344" s="40" t="s">
        <v>1333</v>
      </c>
      <c r="C344" s="41">
        <v>500004</v>
      </c>
      <c r="D344" s="42">
        <v>45930</v>
      </c>
      <c r="E344" s="43" t="s">
        <v>2</v>
      </c>
      <c r="F344" s="41">
        <v>0</v>
      </c>
      <c r="G344" s="41">
        <v>0</v>
      </c>
      <c r="H344" s="41">
        <v>500004</v>
      </c>
      <c r="I344" s="43">
        <v>90</v>
      </c>
      <c r="J344" s="43">
        <v>197</v>
      </c>
      <c r="K344" s="44">
        <v>4000000</v>
      </c>
      <c r="L344" s="43" t="s">
        <v>992</v>
      </c>
      <c r="M344" s="45">
        <v>46020</v>
      </c>
      <c r="N344" s="41">
        <v>500004</v>
      </c>
      <c r="O344" s="42">
        <v>45958</v>
      </c>
      <c r="P344" s="46"/>
      <c r="Q344" s="41">
        <v>500004</v>
      </c>
    </row>
    <row r="345" spans="1:17" ht="12" customHeight="1" x14ac:dyDescent="0.3">
      <c r="A345" s="39"/>
      <c r="B345" s="40" t="s">
        <v>1334</v>
      </c>
      <c r="C345" s="41">
        <v>134</v>
      </c>
      <c r="D345" s="42">
        <v>45930</v>
      </c>
      <c r="E345" s="43" t="s">
        <v>2</v>
      </c>
      <c r="F345" s="41">
        <v>0</v>
      </c>
      <c r="G345" s="41">
        <v>0</v>
      </c>
      <c r="H345" s="41">
        <v>134</v>
      </c>
      <c r="I345" s="43">
        <v>90</v>
      </c>
      <c r="J345" s="43">
        <v>9</v>
      </c>
      <c r="K345" s="44">
        <v>3000000</v>
      </c>
      <c r="L345" s="43" t="s">
        <v>992</v>
      </c>
      <c r="M345" s="45">
        <v>46020</v>
      </c>
      <c r="N345" s="41">
        <v>134</v>
      </c>
      <c r="O345" s="42">
        <v>45972</v>
      </c>
      <c r="P345" s="46"/>
      <c r="Q345" s="41">
        <v>134</v>
      </c>
    </row>
    <row r="346" spans="1:17" ht="12" customHeight="1" x14ac:dyDescent="0.3">
      <c r="A346" s="39"/>
      <c r="B346" s="40" t="s">
        <v>1335</v>
      </c>
      <c r="C346" s="41">
        <v>900</v>
      </c>
      <c r="D346" s="42">
        <v>45930</v>
      </c>
      <c r="E346" s="43" t="s">
        <v>2</v>
      </c>
      <c r="F346" s="41">
        <v>0</v>
      </c>
      <c r="G346" s="41">
        <v>0</v>
      </c>
      <c r="H346" s="41">
        <v>900</v>
      </c>
      <c r="I346" s="43">
        <v>90</v>
      </c>
      <c r="J346" s="43">
        <v>9</v>
      </c>
      <c r="K346" s="44">
        <v>3000000</v>
      </c>
      <c r="L346" s="43" t="s">
        <v>992</v>
      </c>
      <c r="M346" s="45">
        <v>46020</v>
      </c>
      <c r="N346" s="41">
        <v>900</v>
      </c>
      <c r="O346" s="42">
        <v>45972</v>
      </c>
      <c r="P346" s="46"/>
      <c r="Q346" s="41">
        <v>900</v>
      </c>
    </row>
    <row r="347" spans="1:17" ht="12" customHeight="1" x14ac:dyDescent="0.3">
      <c r="A347" s="39"/>
      <c r="B347" s="40" t="s">
        <v>1336</v>
      </c>
      <c r="C347" s="41">
        <v>3436.8</v>
      </c>
      <c r="D347" s="42">
        <v>45931</v>
      </c>
      <c r="E347" s="43" t="s">
        <v>2</v>
      </c>
      <c r="F347" s="41">
        <v>0</v>
      </c>
      <c r="G347" s="41">
        <v>0</v>
      </c>
      <c r="H347" s="41">
        <v>3436.8</v>
      </c>
      <c r="I347" s="43">
        <v>90</v>
      </c>
      <c r="J347" s="43">
        <v>9</v>
      </c>
      <c r="K347" s="44">
        <v>4000000</v>
      </c>
      <c r="L347" s="43" t="s">
        <v>992</v>
      </c>
      <c r="M347" s="45">
        <v>46021</v>
      </c>
      <c r="N347" s="41">
        <v>3436.8</v>
      </c>
      <c r="O347" s="42">
        <v>45972</v>
      </c>
      <c r="P347" s="46"/>
      <c r="Q347" s="41">
        <v>3436.8</v>
      </c>
    </row>
    <row r="348" spans="1:17" ht="12" customHeight="1" x14ac:dyDescent="0.3">
      <c r="A348" s="39"/>
      <c r="B348" s="40" t="s">
        <v>1337</v>
      </c>
      <c r="C348" s="41">
        <v>3703.8</v>
      </c>
      <c r="D348" s="42">
        <v>45931</v>
      </c>
      <c r="E348" s="43" t="s">
        <v>2</v>
      </c>
      <c r="F348" s="41">
        <v>0</v>
      </c>
      <c r="G348" s="41">
        <v>0</v>
      </c>
      <c r="H348" s="41">
        <v>3703.8</v>
      </c>
      <c r="I348" s="43">
        <v>90</v>
      </c>
      <c r="J348" s="43">
        <v>9</v>
      </c>
      <c r="K348" s="44">
        <v>4000000</v>
      </c>
      <c r="L348" s="43" t="s">
        <v>992</v>
      </c>
      <c r="M348" s="45">
        <v>46021</v>
      </c>
      <c r="N348" s="41">
        <v>3703.8</v>
      </c>
      <c r="O348" s="42">
        <v>45972</v>
      </c>
      <c r="P348" s="46"/>
      <c r="Q348" s="41">
        <v>3703.8</v>
      </c>
    </row>
    <row r="349" spans="1:17" ht="12" customHeight="1" x14ac:dyDescent="0.3">
      <c r="A349" s="39"/>
      <c r="B349" s="40" t="s">
        <v>1338</v>
      </c>
      <c r="C349" s="41">
        <v>644203.62</v>
      </c>
      <c r="D349" s="42">
        <v>45931</v>
      </c>
      <c r="E349" s="43" t="s">
        <v>2</v>
      </c>
      <c r="F349" s="41">
        <v>0</v>
      </c>
      <c r="G349" s="41">
        <v>0</v>
      </c>
      <c r="H349" s="41">
        <v>644203.62</v>
      </c>
      <c r="I349" s="43">
        <v>90</v>
      </c>
      <c r="J349" s="43">
        <v>8</v>
      </c>
      <c r="K349" s="44">
        <v>3000000</v>
      </c>
      <c r="L349" s="43" t="s">
        <v>992</v>
      </c>
      <c r="M349" s="45">
        <v>46021</v>
      </c>
      <c r="N349" s="41">
        <v>644203.62</v>
      </c>
      <c r="O349" s="42">
        <v>45945</v>
      </c>
      <c r="P349" s="46"/>
      <c r="Q349" s="41">
        <v>644203.62</v>
      </c>
    </row>
    <row r="350" spans="1:17" ht="12" customHeight="1" x14ac:dyDescent="0.3">
      <c r="A350" s="39"/>
      <c r="B350" s="40" t="s">
        <v>1339</v>
      </c>
      <c r="C350" s="41">
        <v>20196</v>
      </c>
      <c r="D350" s="42">
        <v>45932</v>
      </c>
      <c r="E350" s="43" t="s">
        <v>2</v>
      </c>
      <c r="F350" s="41">
        <v>0</v>
      </c>
      <c r="G350" s="41">
        <v>0</v>
      </c>
      <c r="H350" s="41">
        <v>20196</v>
      </c>
      <c r="I350" s="43">
        <v>90</v>
      </c>
      <c r="J350" s="43">
        <v>9</v>
      </c>
      <c r="K350" s="44">
        <v>4000000</v>
      </c>
      <c r="L350" s="43" t="s">
        <v>992</v>
      </c>
      <c r="M350" s="45">
        <v>46022</v>
      </c>
      <c r="N350" s="41">
        <v>20196</v>
      </c>
      <c r="O350" s="42">
        <v>45972</v>
      </c>
      <c r="P350" s="46"/>
      <c r="Q350" s="41">
        <v>20196</v>
      </c>
    </row>
    <row r="351" spans="1:17" ht="12" customHeight="1" x14ac:dyDescent="0.3">
      <c r="A351" s="39"/>
      <c r="B351" s="40" t="s">
        <v>1340</v>
      </c>
      <c r="C351" s="41">
        <v>1606.22</v>
      </c>
      <c r="D351" s="42">
        <v>45932</v>
      </c>
      <c r="E351" s="43" t="s">
        <v>2</v>
      </c>
      <c r="F351" s="41">
        <v>0</v>
      </c>
      <c r="G351" s="41">
        <v>0</v>
      </c>
      <c r="H351" s="41">
        <v>1606.22</v>
      </c>
      <c r="I351" s="43">
        <v>90</v>
      </c>
      <c r="J351" s="43">
        <v>9</v>
      </c>
      <c r="K351" s="44">
        <v>4000000</v>
      </c>
      <c r="L351" s="43" t="s">
        <v>992</v>
      </c>
      <c r="M351" s="45">
        <v>46022</v>
      </c>
      <c r="N351" s="41">
        <v>1606.22</v>
      </c>
      <c r="O351" s="42">
        <v>45972</v>
      </c>
      <c r="P351" s="46"/>
      <c r="Q351" s="41">
        <v>1606.22</v>
      </c>
    </row>
    <row r="352" spans="1:17" ht="12" customHeight="1" x14ac:dyDescent="0.3">
      <c r="A352" s="39"/>
      <c r="B352" s="40" t="s">
        <v>1341</v>
      </c>
      <c r="C352" s="41">
        <v>872.9</v>
      </c>
      <c r="D352" s="42">
        <v>45932</v>
      </c>
      <c r="E352" s="43" t="s">
        <v>2</v>
      </c>
      <c r="F352" s="41">
        <v>0</v>
      </c>
      <c r="G352" s="41">
        <v>0</v>
      </c>
      <c r="H352" s="41">
        <v>872.9</v>
      </c>
      <c r="I352" s="43">
        <v>90</v>
      </c>
      <c r="J352" s="43">
        <v>9</v>
      </c>
      <c r="K352" s="44">
        <v>4000000</v>
      </c>
      <c r="L352" s="43" t="s">
        <v>992</v>
      </c>
      <c r="M352" s="45">
        <v>46022</v>
      </c>
      <c r="N352" s="41">
        <v>872.9</v>
      </c>
      <c r="O352" s="42">
        <v>45972</v>
      </c>
      <c r="P352" s="46"/>
      <c r="Q352" s="41">
        <v>872.9</v>
      </c>
    </row>
    <row r="353" spans="1:17" ht="12" customHeight="1" x14ac:dyDescent="0.3">
      <c r="A353" s="39"/>
      <c r="B353" s="40" t="s">
        <v>1342</v>
      </c>
      <c r="C353" s="41">
        <v>201.83</v>
      </c>
      <c r="D353" s="42">
        <v>45932</v>
      </c>
      <c r="E353" s="43" t="s">
        <v>2</v>
      </c>
      <c r="F353" s="41">
        <v>0</v>
      </c>
      <c r="G353" s="41">
        <v>0</v>
      </c>
      <c r="H353" s="41">
        <v>201.83</v>
      </c>
      <c r="I353" s="43">
        <v>90</v>
      </c>
      <c r="J353" s="43">
        <v>9</v>
      </c>
      <c r="K353" s="44">
        <v>4000000</v>
      </c>
      <c r="L353" s="43" t="s">
        <v>992</v>
      </c>
      <c r="M353" s="45">
        <v>46022</v>
      </c>
      <c r="N353" s="41">
        <v>201.83</v>
      </c>
      <c r="O353" s="42">
        <v>45972</v>
      </c>
      <c r="P353" s="46"/>
      <c r="Q353" s="41">
        <v>201.83</v>
      </c>
    </row>
    <row r="354" spans="1:17" ht="12" customHeight="1" x14ac:dyDescent="0.3">
      <c r="A354" s="39"/>
      <c r="B354" s="40" t="s">
        <v>1343</v>
      </c>
      <c r="C354" s="41">
        <v>196459.05</v>
      </c>
      <c r="D354" s="42">
        <v>45935</v>
      </c>
      <c r="E354" s="43" t="s">
        <v>2</v>
      </c>
      <c r="F354" s="41">
        <v>0</v>
      </c>
      <c r="G354" s="41">
        <v>0</v>
      </c>
      <c r="H354" s="41">
        <v>196459.05</v>
      </c>
      <c r="I354" s="43">
        <v>90</v>
      </c>
      <c r="J354" s="43">
        <v>8</v>
      </c>
      <c r="K354" s="44">
        <v>3000000</v>
      </c>
      <c r="L354" s="43" t="s">
        <v>992</v>
      </c>
      <c r="M354" s="45">
        <v>46026</v>
      </c>
      <c r="N354" s="41">
        <v>196459.05</v>
      </c>
      <c r="O354" s="42">
        <v>45960</v>
      </c>
      <c r="P354" s="46"/>
      <c r="Q354" s="41">
        <v>196459.05</v>
      </c>
    </row>
    <row r="355" spans="1:17" ht="12" customHeight="1" x14ac:dyDescent="0.3">
      <c r="A355" s="39"/>
      <c r="B355" s="40" t="s">
        <v>1344</v>
      </c>
      <c r="C355" s="41">
        <v>6642.51</v>
      </c>
      <c r="D355" s="42">
        <v>45936</v>
      </c>
      <c r="E355" s="43" t="s">
        <v>2</v>
      </c>
      <c r="F355" s="41">
        <v>0</v>
      </c>
      <c r="G355" s="41">
        <v>0</v>
      </c>
      <c r="H355" s="41">
        <v>6642.51</v>
      </c>
      <c r="I355" s="43">
        <v>90</v>
      </c>
      <c r="J355" s="43">
        <v>9</v>
      </c>
      <c r="K355" s="44">
        <v>4000000</v>
      </c>
      <c r="L355" s="43" t="s">
        <v>992</v>
      </c>
      <c r="M355" s="45">
        <v>46026</v>
      </c>
      <c r="N355" s="41">
        <v>6642.51</v>
      </c>
      <c r="O355" s="42">
        <v>45972</v>
      </c>
      <c r="P355" s="46"/>
      <c r="Q355" s="41">
        <v>6642.51</v>
      </c>
    </row>
    <row r="356" spans="1:17" ht="12" customHeight="1" x14ac:dyDescent="0.3">
      <c r="A356" s="39"/>
      <c r="B356" s="40" t="s">
        <v>1345</v>
      </c>
      <c r="C356" s="41">
        <v>700</v>
      </c>
      <c r="D356" s="42">
        <v>45936</v>
      </c>
      <c r="E356" s="43" t="s">
        <v>2</v>
      </c>
      <c r="F356" s="41">
        <v>0</v>
      </c>
      <c r="G356" s="41">
        <v>0</v>
      </c>
      <c r="H356" s="41">
        <v>700</v>
      </c>
      <c r="I356" s="43">
        <v>90</v>
      </c>
      <c r="J356" s="43">
        <v>9</v>
      </c>
      <c r="K356" s="44">
        <v>4000000</v>
      </c>
      <c r="L356" s="43" t="s">
        <v>992</v>
      </c>
      <c r="M356" s="45">
        <v>46026</v>
      </c>
      <c r="N356" s="41">
        <v>700</v>
      </c>
      <c r="O356" s="42">
        <v>45972</v>
      </c>
      <c r="P356" s="46"/>
      <c r="Q356" s="41">
        <v>700</v>
      </c>
    </row>
    <row r="357" spans="1:17" ht="12" customHeight="1" x14ac:dyDescent="0.3">
      <c r="A357" s="39"/>
      <c r="B357" s="40" t="s">
        <v>1346</v>
      </c>
      <c r="C357" s="41">
        <v>148.01</v>
      </c>
      <c r="D357" s="42">
        <v>45936</v>
      </c>
      <c r="E357" s="43" t="s">
        <v>2</v>
      </c>
      <c r="F357" s="41">
        <v>0</v>
      </c>
      <c r="G357" s="41">
        <v>0</v>
      </c>
      <c r="H357" s="41">
        <v>148.01</v>
      </c>
      <c r="I357" s="43">
        <v>90</v>
      </c>
      <c r="J357" s="43">
        <v>9</v>
      </c>
      <c r="K357" s="44">
        <v>4000000</v>
      </c>
      <c r="L357" s="43" t="s">
        <v>992</v>
      </c>
      <c r="M357" s="45">
        <v>46026</v>
      </c>
      <c r="N357" s="41">
        <v>148.01</v>
      </c>
      <c r="O357" s="42">
        <v>45972</v>
      </c>
      <c r="P357" s="46"/>
      <c r="Q357" s="41">
        <v>148.01</v>
      </c>
    </row>
    <row r="358" spans="1:17" ht="12" customHeight="1" x14ac:dyDescent="0.3">
      <c r="A358" s="39"/>
      <c r="B358" s="40" t="s">
        <v>1347</v>
      </c>
      <c r="C358" s="41">
        <v>612.89</v>
      </c>
      <c r="D358" s="42">
        <v>45936</v>
      </c>
      <c r="E358" s="43" t="s">
        <v>2</v>
      </c>
      <c r="F358" s="41">
        <v>0</v>
      </c>
      <c r="G358" s="41">
        <v>0</v>
      </c>
      <c r="H358" s="41">
        <v>612.89</v>
      </c>
      <c r="I358" s="43">
        <v>90</v>
      </c>
      <c r="J358" s="43">
        <v>9</v>
      </c>
      <c r="K358" s="44">
        <v>4000000</v>
      </c>
      <c r="L358" s="43" t="s">
        <v>992</v>
      </c>
      <c r="M358" s="45">
        <v>46026</v>
      </c>
      <c r="N358" s="41">
        <v>612.89</v>
      </c>
      <c r="O358" s="42">
        <v>45972</v>
      </c>
      <c r="P358" s="46"/>
      <c r="Q358" s="41">
        <v>612.89</v>
      </c>
    </row>
    <row r="359" spans="1:17" ht="12" customHeight="1" x14ac:dyDescent="0.3">
      <c r="A359" s="39"/>
      <c r="B359" s="40" t="s">
        <v>1348</v>
      </c>
      <c r="C359" s="41">
        <v>357.01</v>
      </c>
      <c r="D359" s="42">
        <v>45936</v>
      </c>
      <c r="E359" s="43" t="s">
        <v>2</v>
      </c>
      <c r="F359" s="41">
        <v>0</v>
      </c>
      <c r="G359" s="41">
        <v>0</v>
      </c>
      <c r="H359" s="41">
        <v>357.01</v>
      </c>
      <c r="I359" s="43">
        <v>90</v>
      </c>
      <c r="J359" s="43">
        <v>9</v>
      </c>
      <c r="K359" s="44">
        <v>4000000</v>
      </c>
      <c r="L359" s="43" t="s">
        <v>992</v>
      </c>
      <c r="M359" s="45">
        <v>46026</v>
      </c>
      <c r="N359" s="41">
        <v>357.01</v>
      </c>
      <c r="O359" s="42">
        <v>45972</v>
      </c>
      <c r="P359" s="46"/>
      <c r="Q359" s="41">
        <v>357.01</v>
      </c>
    </row>
    <row r="360" spans="1:17" ht="12" customHeight="1" x14ac:dyDescent="0.3">
      <c r="A360" s="39"/>
      <c r="B360" s="40" t="s">
        <v>1349</v>
      </c>
      <c r="C360" s="41">
        <v>324374.13</v>
      </c>
      <c r="D360" s="42">
        <v>45937</v>
      </c>
      <c r="E360" s="43" t="s">
        <v>2</v>
      </c>
      <c r="F360" s="41">
        <v>0</v>
      </c>
      <c r="G360" s="41">
        <v>0</v>
      </c>
      <c r="H360" s="41">
        <v>324374.13</v>
      </c>
      <c r="I360" s="43">
        <v>90</v>
      </c>
      <c r="J360" s="43">
        <v>8</v>
      </c>
      <c r="K360" s="44">
        <v>3000000</v>
      </c>
      <c r="L360" s="43" t="s">
        <v>992</v>
      </c>
      <c r="M360" s="45">
        <v>46027</v>
      </c>
      <c r="N360" s="41">
        <v>324374.13</v>
      </c>
      <c r="O360" s="42">
        <v>45960</v>
      </c>
      <c r="P360" s="46"/>
      <c r="Q360" s="41">
        <v>324374.13</v>
      </c>
    </row>
    <row r="361" spans="1:17" ht="12" customHeight="1" x14ac:dyDescent="0.3">
      <c r="A361" s="39"/>
      <c r="B361" s="40" t="s">
        <v>1350</v>
      </c>
      <c r="C361" s="41">
        <v>443222.6</v>
      </c>
      <c r="D361" s="42">
        <v>45938</v>
      </c>
      <c r="E361" s="43" t="s">
        <v>2</v>
      </c>
      <c r="F361" s="41">
        <v>0</v>
      </c>
      <c r="G361" s="41">
        <v>0</v>
      </c>
      <c r="H361" s="41">
        <v>443222.6</v>
      </c>
      <c r="I361" s="43">
        <v>90</v>
      </c>
      <c r="J361" s="43">
        <v>8</v>
      </c>
      <c r="K361" s="44">
        <v>3000000</v>
      </c>
      <c r="L361" s="43" t="s">
        <v>992</v>
      </c>
      <c r="M361" s="45">
        <v>46028</v>
      </c>
      <c r="N361" s="41">
        <v>443222.6</v>
      </c>
      <c r="O361" s="42">
        <v>45960</v>
      </c>
      <c r="P361" s="46"/>
      <c r="Q361" s="41">
        <v>443222.6</v>
      </c>
    </row>
    <row r="362" spans="1:17" ht="12" customHeight="1" x14ac:dyDescent="0.3">
      <c r="A362" s="39"/>
      <c r="B362" s="40" t="s">
        <v>1351</v>
      </c>
      <c r="C362" s="41">
        <v>62403.6</v>
      </c>
      <c r="D362" s="42">
        <v>45938</v>
      </c>
      <c r="E362" s="43" t="s">
        <v>2</v>
      </c>
      <c r="F362" s="41">
        <v>0</v>
      </c>
      <c r="G362" s="41">
        <v>0</v>
      </c>
      <c r="H362" s="41">
        <v>62403.6</v>
      </c>
      <c r="I362" s="43">
        <v>90</v>
      </c>
      <c r="J362" s="43">
        <v>9</v>
      </c>
      <c r="K362" s="44">
        <v>4000000</v>
      </c>
      <c r="L362" s="43" t="s">
        <v>992</v>
      </c>
      <c r="M362" s="45">
        <v>46028</v>
      </c>
      <c r="N362" s="41">
        <v>62403.6</v>
      </c>
      <c r="O362" s="42">
        <v>45972</v>
      </c>
      <c r="P362" s="46"/>
      <c r="Q362" s="41">
        <v>62403.6</v>
      </c>
    </row>
    <row r="363" spans="1:17" ht="12" customHeight="1" x14ac:dyDescent="0.3">
      <c r="A363" s="39"/>
      <c r="B363" s="40" t="s">
        <v>1352</v>
      </c>
      <c r="C363" s="41">
        <v>62403.6</v>
      </c>
      <c r="D363" s="42">
        <v>45938</v>
      </c>
      <c r="E363" s="43" t="s">
        <v>2</v>
      </c>
      <c r="F363" s="41">
        <v>0</v>
      </c>
      <c r="G363" s="41">
        <v>0</v>
      </c>
      <c r="H363" s="41">
        <v>62403.6</v>
      </c>
      <c r="I363" s="43">
        <v>90</v>
      </c>
      <c r="J363" s="43">
        <v>9</v>
      </c>
      <c r="K363" s="44">
        <v>4000000</v>
      </c>
      <c r="L363" s="43" t="s">
        <v>992</v>
      </c>
      <c r="M363" s="45">
        <v>46028</v>
      </c>
      <c r="N363" s="41">
        <v>62403.6</v>
      </c>
      <c r="O363" s="42">
        <v>45972</v>
      </c>
      <c r="P363" s="46"/>
      <c r="Q363" s="41">
        <v>62403.6</v>
      </c>
    </row>
    <row r="364" spans="1:17" ht="12" customHeight="1" x14ac:dyDescent="0.3">
      <c r="A364" s="39"/>
      <c r="B364" s="40" t="s">
        <v>1353</v>
      </c>
      <c r="C364" s="41">
        <v>62403.6</v>
      </c>
      <c r="D364" s="42">
        <v>45938</v>
      </c>
      <c r="E364" s="43" t="s">
        <v>2</v>
      </c>
      <c r="F364" s="41">
        <v>0</v>
      </c>
      <c r="G364" s="41">
        <v>0</v>
      </c>
      <c r="H364" s="41">
        <v>62403.6</v>
      </c>
      <c r="I364" s="43">
        <v>90</v>
      </c>
      <c r="J364" s="43">
        <v>9</v>
      </c>
      <c r="K364" s="44">
        <v>4000000</v>
      </c>
      <c r="L364" s="43" t="s">
        <v>992</v>
      </c>
      <c r="M364" s="45">
        <v>46028</v>
      </c>
      <c r="N364" s="41">
        <v>62403.6</v>
      </c>
      <c r="O364" s="42">
        <v>45972</v>
      </c>
      <c r="P364" s="46"/>
      <c r="Q364" s="41">
        <v>62403.6</v>
      </c>
    </row>
    <row r="365" spans="1:17" ht="12" customHeight="1" x14ac:dyDescent="0.3">
      <c r="A365" s="39"/>
      <c r="B365" s="40" t="s">
        <v>1354</v>
      </c>
      <c r="C365" s="41">
        <v>62403.6</v>
      </c>
      <c r="D365" s="42">
        <v>45938</v>
      </c>
      <c r="E365" s="43" t="s">
        <v>2</v>
      </c>
      <c r="F365" s="41">
        <v>0</v>
      </c>
      <c r="G365" s="41">
        <v>0</v>
      </c>
      <c r="H365" s="41">
        <v>62403.6</v>
      </c>
      <c r="I365" s="43">
        <v>90</v>
      </c>
      <c r="J365" s="43">
        <v>9</v>
      </c>
      <c r="K365" s="44">
        <v>4000000</v>
      </c>
      <c r="L365" s="43" t="s">
        <v>992</v>
      </c>
      <c r="M365" s="45">
        <v>46028</v>
      </c>
      <c r="N365" s="41">
        <v>62403.6</v>
      </c>
      <c r="O365" s="42">
        <v>45972</v>
      </c>
      <c r="P365" s="46"/>
      <c r="Q365" s="41">
        <v>62403.6</v>
      </c>
    </row>
    <row r="366" spans="1:17" ht="12" customHeight="1" x14ac:dyDescent="0.3">
      <c r="A366" s="39"/>
      <c r="B366" s="40" t="s">
        <v>1355</v>
      </c>
      <c r="C366" s="41">
        <v>62403.6</v>
      </c>
      <c r="D366" s="42">
        <v>45938</v>
      </c>
      <c r="E366" s="43" t="s">
        <v>2</v>
      </c>
      <c r="F366" s="41">
        <v>0</v>
      </c>
      <c r="G366" s="41">
        <v>0</v>
      </c>
      <c r="H366" s="41">
        <v>62403.6</v>
      </c>
      <c r="I366" s="43">
        <v>90</v>
      </c>
      <c r="J366" s="43">
        <v>9</v>
      </c>
      <c r="K366" s="44">
        <v>4000000</v>
      </c>
      <c r="L366" s="43" t="s">
        <v>992</v>
      </c>
      <c r="M366" s="45">
        <v>46028</v>
      </c>
      <c r="N366" s="41">
        <v>62403.6</v>
      </c>
      <c r="O366" s="42">
        <v>45974</v>
      </c>
      <c r="P366" s="46"/>
      <c r="Q366" s="41">
        <v>62403.6</v>
      </c>
    </row>
    <row r="367" spans="1:17" ht="12" customHeight="1" x14ac:dyDescent="0.3">
      <c r="A367" s="39"/>
      <c r="B367" s="40" t="s">
        <v>1356</v>
      </c>
      <c r="C367" s="41">
        <v>62403.6</v>
      </c>
      <c r="D367" s="42">
        <v>45938</v>
      </c>
      <c r="E367" s="43" t="s">
        <v>2</v>
      </c>
      <c r="F367" s="41">
        <v>0</v>
      </c>
      <c r="G367" s="41">
        <v>0</v>
      </c>
      <c r="H367" s="41">
        <v>62403.6</v>
      </c>
      <c r="I367" s="43">
        <v>90</v>
      </c>
      <c r="J367" s="43">
        <v>9</v>
      </c>
      <c r="K367" s="44">
        <v>4000000</v>
      </c>
      <c r="L367" s="43" t="s">
        <v>992</v>
      </c>
      <c r="M367" s="45">
        <v>46028</v>
      </c>
      <c r="N367" s="41">
        <v>62403.6</v>
      </c>
      <c r="O367" s="42">
        <v>45974</v>
      </c>
      <c r="P367" s="46"/>
      <c r="Q367" s="41">
        <v>62403.6</v>
      </c>
    </row>
    <row r="368" spans="1:17" ht="12" customHeight="1" x14ac:dyDescent="0.3">
      <c r="A368" s="39"/>
      <c r="B368" s="40" t="s">
        <v>1357</v>
      </c>
      <c r="C368" s="41">
        <v>62403.6</v>
      </c>
      <c r="D368" s="42">
        <v>45938</v>
      </c>
      <c r="E368" s="43" t="s">
        <v>2</v>
      </c>
      <c r="F368" s="41">
        <v>0</v>
      </c>
      <c r="G368" s="41">
        <v>0</v>
      </c>
      <c r="H368" s="41">
        <v>62403.6</v>
      </c>
      <c r="I368" s="43">
        <v>90</v>
      </c>
      <c r="J368" s="43">
        <v>9</v>
      </c>
      <c r="K368" s="44">
        <v>4000000</v>
      </c>
      <c r="L368" s="43" t="s">
        <v>992</v>
      </c>
      <c r="M368" s="45">
        <v>46028</v>
      </c>
      <c r="N368" s="41">
        <v>62403.6</v>
      </c>
      <c r="O368" s="42">
        <v>45977</v>
      </c>
      <c r="P368" s="46"/>
      <c r="Q368" s="41">
        <v>62403.6</v>
      </c>
    </row>
    <row r="369" spans="1:17" ht="12" customHeight="1" x14ac:dyDescent="0.3">
      <c r="A369" s="39"/>
      <c r="B369" s="40" t="s">
        <v>1358</v>
      </c>
      <c r="C369" s="41">
        <v>62403.6</v>
      </c>
      <c r="D369" s="42">
        <v>45938</v>
      </c>
      <c r="E369" s="43" t="s">
        <v>2</v>
      </c>
      <c r="F369" s="41">
        <v>0</v>
      </c>
      <c r="G369" s="41">
        <v>0</v>
      </c>
      <c r="H369" s="41">
        <v>62403.6</v>
      </c>
      <c r="I369" s="43">
        <v>90</v>
      </c>
      <c r="J369" s="43">
        <v>9</v>
      </c>
      <c r="K369" s="44">
        <v>4000000</v>
      </c>
      <c r="L369" s="43" t="s">
        <v>992</v>
      </c>
      <c r="M369" s="45">
        <v>46028</v>
      </c>
      <c r="N369" s="41">
        <v>62403.6</v>
      </c>
      <c r="O369" s="42">
        <v>45979</v>
      </c>
      <c r="P369" s="46"/>
      <c r="Q369" s="41">
        <v>62403.6</v>
      </c>
    </row>
    <row r="370" spans="1:17" ht="12" customHeight="1" x14ac:dyDescent="0.3">
      <c r="A370" s="39"/>
      <c r="B370" s="40" t="s">
        <v>1359</v>
      </c>
      <c r="C370" s="41">
        <v>62403.6</v>
      </c>
      <c r="D370" s="42">
        <v>45938</v>
      </c>
      <c r="E370" s="43" t="s">
        <v>2</v>
      </c>
      <c r="F370" s="41">
        <v>0</v>
      </c>
      <c r="G370" s="41">
        <v>0</v>
      </c>
      <c r="H370" s="41">
        <v>62403.6</v>
      </c>
      <c r="I370" s="43">
        <v>90</v>
      </c>
      <c r="J370" s="43">
        <v>9</v>
      </c>
      <c r="K370" s="44">
        <v>4000000</v>
      </c>
      <c r="L370" s="43" t="s">
        <v>992</v>
      </c>
      <c r="M370" s="45">
        <v>46028</v>
      </c>
      <c r="N370" s="41">
        <v>62403.6</v>
      </c>
      <c r="O370" s="42">
        <v>45979</v>
      </c>
      <c r="P370" s="46"/>
      <c r="Q370" s="41">
        <v>62403.6</v>
      </c>
    </row>
    <row r="371" spans="1:17" ht="12" customHeight="1" x14ac:dyDescent="0.3">
      <c r="A371" s="39"/>
      <c r="B371" s="40" t="s">
        <v>1360</v>
      </c>
      <c r="C371" s="41">
        <v>864</v>
      </c>
      <c r="D371" s="42">
        <v>45938</v>
      </c>
      <c r="E371" s="43" t="s">
        <v>2</v>
      </c>
      <c r="F371" s="41">
        <v>0</v>
      </c>
      <c r="G371" s="41">
        <v>0</v>
      </c>
      <c r="H371" s="41">
        <v>864</v>
      </c>
      <c r="I371" s="43">
        <v>90</v>
      </c>
      <c r="J371" s="43">
        <v>9</v>
      </c>
      <c r="K371" s="44">
        <v>4000000</v>
      </c>
      <c r="L371" s="43" t="s">
        <v>992</v>
      </c>
      <c r="M371" s="45">
        <v>46028</v>
      </c>
      <c r="N371" s="41">
        <v>864</v>
      </c>
      <c r="O371" s="42">
        <v>45979</v>
      </c>
      <c r="P371" s="46"/>
      <c r="Q371" s="41">
        <v>864</v>
      </c>
    </row>
    <row r="372" spans="1:17" ht="12" customHeight="1" x14ac:dyDescent="0.3">
      <c r="A372" s="39"/>
      <c r="B372" s="40" t="s">
        <v>1361</v>
      </c>
      <c r="C372" s="41">
        <v>350</v>
      </c>
      <c r="D372" s="42">
        <v>45938</v>
      </c>
      <c r="E372" s="43" t="s">
        <v>2</v>
      </c>
      <c r="F372" s="41">
        <v>0</v>
      </c>
      <c r="G372" s="41">
        <v>0</v>
      </c>
      <c r="H372" s="41">
        <v>350</v>
      </c>
      <c r="I372" s="43">
        <v>90</v>
      </c>
      <c r="J372" s="43">
        <v>9</v>
      </c>
      <c r="K372" s="44">
        <v>4000000</v>
      </c>
      <c r="L372" s="43" t="s">
        <v>992</v>
      </c>
      <c r="M372" s="45">
        <v>46028</v>
      </c>
      <c r="N372" s="41">
        <v>350</v>
      </c>
      <c r="O372" s="42">
        <v>45979</v>
      </c>
      <c r="P372" s="46"/>
      <c r="Q372" s="41">
        <v>350</v>
      </c>
    </row>
    <row r="373" spans="1:17" ht="12" customHeight="1" x14ac:dyDescent="0.3">
      <c r="A373" s="39"/>
      <c r="B373" s="40" t="s">
        <v>1362</v>
      </c>
      <c r="C373" s="41">
        <v>9192.4500000000007</v>
      </c>
      <c r="D373" s="42">
        <v>45938</v>
      </c>
      <c r="E373" s="43" t="s">
        <v>2</v>
      </c>
      <c r="F373" s="41">
        <v>0</v>
      </c>
      <c r="G373" s="41">
        <v>0</v>
      </c>
      <c r="H373" s="41">
        <v>9192.4500000000007</v>
      </c>
      <c r="I373" s="43">
        <v>90</v>
      </c>
      <c r="J373" s="43">
        <v>9</v>
      </c>
      <c r="K373" s="44">
        <v>4000000</v>
      </c>
      <c r="L373" s="43" t="s">
        <v>992</v>
      </c>
      <c r="M373" s="45">
        <v>46028</v>
      </c>
      <c r="N373" s="41">
        <v>9192.4500000000007</v>
      </c>
      <c r="O373" s="42">
        <v>45979</v>
      </c>
      <c r="P373" s="46"/>
      <c r="Q373" s="41">
        <v>9192.4500000000007</v>
      </c>
    </row>
    <row r="374" spans="1:17" ht="12" customHeight="1" x14ac:dyDescent="0.3">
      <c r="A374" s="39"/>
      <c r="B374" s="40" t="s">
        <v>1363</v>
      </c>
      <c r="C374" s="41">
        <v>231</v>
      </c>
      <c r="D374" s="42">
        <v>45938</v>
      </c>
      <c r="E374" s="43" t="s">
        <v>2</v>
      </c>
      <c r="F374" s="41">
        <v>0</v>
      </c>
      <c r="G374" s="41">
        <v>0</v>
      </c>
      <c r="H374" s="41">
        <v>231</v>
      </c>
      <c r="I374" s="43">
        <v>90</v>
      </c>
      <c r="J374" s="43">
        <v>9</v>
      </c>
      <c r="K374" s="44">
        <v>4000000</v>
      </c>
      <c r="L374" s="43" t="s">
        <v>992</v>
      </c>
      <c r="M374" s="45">
        <v>46028</v>
      </c>
      <c r="N374" s="41">
        <v>231</v>
      </c>
      <c r="O374" s="42">
        <v>45979</v>
      </c>
      <c r="P374" s="46"/>
      <c r="Q374" s="41">
        <v>231</v>
      </c>
    </row>
    <row r="375" spans="1:17" ht="12" customHeight="1" x14ac:dyDescent="0.3">
      <c r="A375" s="39"/>
      <c r="B375" s="40" t="s">
        <v>1364</v>
      </c>
      <c r="C375" s="41">
        <v>522364.5</v>
      </c>
      <c r="D375" s="42">
        <v>45939</v>
      </c>
      <c r="E375" s="43" t="s">
        <v>2</v>
      </c>
      <c r="F375" s="41">
        <v>0</v>
      </c>
      <c r="G375" s="41">
        <v>0</v>
      </c>
      <c r="H375" s="41">
        <v>522364.5</v>
      </c>
      <c r="I375" s="43">
        <v>90</v>
      </c>
      <c r="J375" s="43">
        <v>8</v>
      </c>
      <c r="K375" s="44">
        <v>3000000</v>
      </c>
      <c r="L375" s="43" t="s">
        <v>992</v>
      </c>
      <c r="M375" s="45">
        <v>46029</v>
      </c>
      <c r="N375" s="41">
        <v>522364.5</v>
      </c>
      <c r="O375" s="42">
        <v>45960</v>
      </c>
      <c r="P375" s="46"/>
      <c r="Q375" s="41">
        <v>522364.5</v>
      </c>
    </row>
    <row r="376" spans="1:17" ht="12" customHeight="1" x14ac:dyDescent="0.3">
      <c r="A376" s="39"/>
      <c r="B376" s="40" t="s">
        <v>1365</v>
      </c>
      <c r="C376" s="41">
        <v>148</v>
      </c>
      <c r="D376" s="42">
        <v>45939</v>
      </c>
      <c r="E376" s="43" t="s">
        <v>2</v>
      </c>
      <c r="F376" s="41">
        <v>0</v>
      </c>
      <c r="G376" s="41">
        <v>0</v>
      </c>
      <c r="H376" s="41">
        <v>148</v>
      </c>
      <c r="I376" s="43">
        <v>90</v>
      </c>
      <c r="J376" s="43">
        <v>9</v>
      </c>
      <c r="K376" s="44">
        <v>4000000</v>
      </c>
      <c r="L376" s="43" t="s">
        <v>992</v>
      </c>
      <c r="M376" s="45">
        <v>46029</v>
      </c>
      <c r="N376" s="41">
        <v>148</v>
      </c>
      <c r="O376" s="42">
        <v>45979</v>
      </c>
      <c r="P376" s="46"/>
      <c r="Q376" s="41">
        <v>148</v>
      </c>
    </row>
    <row r="377" spans="1:17" ht="12" customHeight="1" x14ac:dyDescent="0.3">
      <c r="A377" s="39"/>
      <c r="B377" s="40" t="s">
        <v>1366</v>
      </c>
      <c r="C377" s="41">
        <v>1835.68</v>
      </c>
      <c r="D377" s="42">
        <v>45939</v>
      </c>
      <c r="E377" s="43" t="s">
        <v>2</v>
      </c>
      <c r="F377" s="41">
        <v>0</v>
      </c>
      <c r="G377" s="41">
        <v>0</v>
      </c>
      <c r="H377" s="41">
        <v>1835.68</v>
      </c>
      <c r="I377" s="43">
        <v>90</v>
      </c>
      <c r="J377" s="43">
        <v>9</v>
      </c>
      <c r="K377" s="44">
        <v>4000000</v>
      </c>
      <c r="L377" s="43" t="s">
        <v>992</v>
      </c>
      <c r="M377" s="45">
        <v>46029</v>
      </c>
      <c r="N377" s="41">
        <v>1835.68</v>
      </c>
      <c r="O377" s="42">
        <v>45979</v>
      </c>
      <c r="P377" s="46"/>
      <c r="Q377" s="41">
        <v>1835.68</v>
      </c>
    </row>
    <row r="378" spans="1:17" ht="12" customHeight="1" x14ac:dyDescent="0.3">
      <c r="A378" s="39"/>
      <c r="B378" s="40" t="s">
        <v>1367</v>
      </c>
      <c r="C378" s="41">
        <v>688.56</v>
      </c>
      <c r="D378" s="42">
        <v>45939</v>
      </c>
      <c r="E378" s="43" t="s">
        <v>2</v>
      </c>
      <c r="F378" s="41">
        <v>0</v>
      </c>
      <c r="G378" s="41">
        <v>0</v>
      </c>
      <c r="H378" s="41">
        <v>688.56</v>
      </c>
      <c r="I378" s="43">
        <v>90</v>
      </c>
      <c r="J378" s="43">
        <v>9</v>
      </c>
      <c r="K378" s="44">
        <v>4000000</v>
      </c>
      <c r="L378" s="43" t="s">
        <v>992</v>
      </c>
      <c r="M378" s="45">
        <v>46029</v>
      </c>
      <c r="N378" s="41">
        <v>688.56</v>
      </c>
      <c r="O378" s="42">
        <v>45979</v>
      </c>
      <c r="P378" s="46"/>
      <c r="Q378" s="41">
        <v>688.56</v>
      </c>
    </row>
    <row r="379" spans="1:17" ht="12" customHeight="1" x14ac:dyDescent="0.3">
      <c r="A379" s="39"/>
      <c r="B379" s="40" t="s">
        <v>1368</v>
      </c>
      <c r="C379" s="41">
        <v>252</v>
      </c>
      <c r="D379" s="42">
        <v>45939</v>
      </c>
      <c r="E379" s="43" t="s">
        <v>2</v>
      </c>
      <c r="F379" s="41">
        <v>0</v>
      </c>
      <c r="G379" s="41">
        <v>0</v>
      </c>
      <c r="H379" s="41">
        <v>252</v>
      </c>
      <c r="I379" s="43">
        <v>90</v>
      </c>
      <c r="J379" s="43">
        <v>9</v>
      </c>
      <c r="K379" s="44">
        <v>4000000</v>
      </c>
      <c r="L379" s="43" t="s">
        <v>992</v>
      </c>
      <c r="M379" s="45">
        <v>46029</v>
      </c>
      <c r="N379" s="41">
        <v>252</v>
      </c>
      <c r="O379" s="42">
        <v>45979</v>
      </c>
      <c r="P379" s="46"/>
      <c r="Q379" s="41">
        <v>252</v>
      </c>
    </row>
    <row r="380" spans="1:17" ht="12" customHeight="1" x14ac:dyDescent="0.3">
      <c r="A380" s="39"/>
      <c r="B380" s="40" t="s">
        <v>1369</v>
      </c>
      <c r="C380" s="41">
        <v>313418.7</v>
      </c>
      <c r="D380" s="42">
        <v>45939</v>
      </c>
      <c r="E380" s="43" t="s">
        <v>2</v>
      </c>
      <c r="F380" s="41">
        <v>0</v>
      </c>
      <c r="G380" s="41">
        <v>0</v>
      </c>
      <c r="H380" s="41">
        <v>313418.7</v>
      </c>
      <c r="I380" s="43">
        <v>90</v>
      </c>
      <c r="J380" s="43">
        <v>8</v>
      </c>
      <c r="K380" s="44">
        <v>3000000</v>
      </c>
      <c r="L380" s="43" t="s">
        <v>992</v>
      </c>
      <c r="M380" s="45">
        <v>46029</v>
      </c>
      <c r="N380" s="41">
        <v>313418.7</v>
      </c>
      <c r="O380" s="42">
        <v>45960</v>
      </c>
      <c r="P380" s="46"/>
      <c r="Q380" s="41">
        <v>313418.7</v>
      </c>
    </row>
    <row r="381" spans="1:17" ht="12" customHeight="1" x14ac:dyDescent="0.3">
      <c r="A381" s="39"/>
      <c r="B381" s="40" t="s">
        <v>1370</v>
      </c>
      <c r="C381" s="41">
        <v>654660.5</v>
      </c>
      <c r="D381" s="42">
        <v>45941</v>
      </c>
      <c r="E381" s="43" t="s">
        <v>2</v>
      </c>
      <c r="F381" s="41">
        <v>0</v>
      </c>
      <c r="G381" s="41">
        <v>0</v>
      </c>
      <c r="H381" s="41">
        <v>654660.5</v>
      </c>
      <c r="I381" s="43">
        <v>90</v>
      </c>
      <c r="J381" s="43">
        <v>9</v>
      </c>
      <c r="K381" s="44">
        <v>4000000</v>
      </c>
      <c r="L381" s="43" t="s">
        <v>992</v>
      </c>
      <c r="M381" s="45">
        <v>46033</v>
      </c>
      <c r="N381" s="41">
        <v>654660.5</v>
      </c>
      <c r="O381" s="42">
        <v>45988</v>
      </c>
      <c r="P381" s="46"/>
      <c r="Q381" s="41">
        <v>654660.5</v>
      </c>
    </row>
    <row r="382" spans="1:17" ht="12" customHeight="1" x14ac:dyDescent="0.3">
      <c r="A382" s="39"/>
      <c r="B382" s="40" t="s">
        <v>1371</v>
      </c>
      <c r="C382" s="41">
        <v>337881.9</v>
      </c>
      <c r="D382" s="42">
        <v>45941</v>
      </c>
      <c r="E382" s="43" t="s">
        <v>2</v>
      </c>
      <c r="F382" s="41">
        <v>0</v>
      </c>
      <c r="G382" s="41">
        <v>0</v>
      </c>
      <c r="H382" s="41">
        <v>337881.9</v>
      </c>
      <c r="I382" s="43">
        <v>90</v>
      </c>
      <c r="J382" s="43">
        <v>9</v>
      </c>
      <c r="K382" s="44">
        <v>4000000</v>
      </c>
      <c r="L382" s="43" t="s">
        <v>992</v>
      </c>
      <c r="M382" s="45">
        <v>46033</v>
      </c>
      <c r="N382" s="41">
        <v>337881.9</v>
      </c>
      <c r="O382" s="42">
        <v>45988</v>
      </c>
      <c r="P382" s="46"/>
      <c r="Q382" s="41">
        <v>337881.9</v>
      </c>
    </row>
    <row r="383" spans="1:17" ht="12" customHeight="1" x14ac:dyDescent="0.3">
      <c r="A383" s="39"/>
      <c r="B383" s="40" t="s">
        <v>1372</v>
      </c>
      <c r="C383" s="41">
        <v>260000</v>
      </c>
      <c r="D383" s="42">
        <v>45942</v>
      </c>
      <c r="E383" s="43" t="s">
        <v>2</v>
      </c>
      <c r="F383" s="41">
        <v>0</v>
      </c>
      <c r="G383" s="41">
        <v>0</v>
      </c>
      <c r="H383" s="41">
        <v>260000</v>
      </c>
      <c r="I383" s="43">
        <v>90</v>
      </c>
      <c r="J383" s="43">
        <v>9</v>
      </c>
      <c r="K383" s="44">
        <v>4000000</v>
      </c>
      <c r="L383" s="43" t="s">
        <v>992</v>
      </c>
      <c r="M383" s="45">
        <v>46033</v>
      </c>
      <c r="N383" s="41">
        <v>260000</v>
      </c>
      <c r="O383" s="42">
        <v>45988</v>
      </c>
      <c r="P383" s="46"/>
      <c r="Q383" s="41">
        <v>260000</v>
      </c>
    </row>
    <row r="384" spans="1:17" ht="12" customHeight="1" x14ac:dyDescent="0.3">
      <c r="A384" s="39"/>
      <c r="B384" s="40" t="s">
        <v>1373</v>
      </c>
      <c r="C384" s="41">
        <v>2323.44</v>
      </c>
      <c r="D384" s="42">
        <v>45942</v>
      </c>
      <c r="E384" s="43" t="s">
        <v>2</v>
      </c>
      <c r="F384" s="41">
        <v>0</v>
      </c>
      <c r="G384" s="41">
        <v>0</v>
      </c>
      <c r="H384" s="41">
        <v>2323.44</v>
      </c>
      <c r="I384" s="43">
        <v>90</v>
      </c>
      <c r="J384" s="43">
        <v>9</v>
      </c>
      <c r="K384" s="44">
        <v>4000000</v>
      </c>
      <c r="L384" s="43" t="s">
        <v>992</v>
      </c>
      <c r="M384" s="45">
        <v>46033</v>
      </c>
      <c r="N384" s="41">
        <v>2323.44</v>
      </c>
      <c r="O384" s="42">
        <v>45988</v>
      </c>
      <c r="P384" s="46"/>
      <c r="Q384" s="41">
        <v>2323.44</v>
      </c>
    </row>
    <row r="385" spans="1:17" ht="12" customHeight="1" x14ac:dyDescent="0.3">
      <c r="A385" s="39"/>
      <c r="B385" s="40" t="s">
        <v>1374</v>
      </c>
      <c r="C385" s="41">
        <v>8101.73</v>
      </c>
      <c r="D385" s="42">
        <v>45942</v>
      </c>
      <c r="E385" s="43" t="s">
        <v>2</v>
      </c>
      <c r="F385" s="41">
        <v>0</v>
      </c>
      <c r="G385" s="41">
        <v>0</v>
      </c>
      <c r="H385" s="41">
        <v>8101.73</v>
      </c>
      <c r="I385" s="43">
        <v>90</v>
      </c>
      <c r="J385" s="43">
        <v>9</v>
      </c>
      <c r="K385" s="44">
        <v>4000000</v>
      </c>
      <c r="L385" s="43" t="s">
        <v>992</v>
      </c>
      <c r="M385" s="45">
        <v>46033</v>
      </c>
      <c r="N385" s="41">
        <v>8101.73</v>
      </c>
      <c r="O385" s="42">
        <v>45988</v>
      </c>
      <c r="P385" s="46"/>
      <c r="Q385" s="41">
        <v>8101.73</v>
      </c>
    </row>
    <row r="386" spans="1:17" ht="12" customHeight="1" x14ac:dyDescent="0.3">
      <c r="A386" s="39"/>
      <c r="B386" s="40" t="s">
        <v>1375</v>
      </c>
      <c r="C386" s="41">
        <v>207</v>
      </c>
      <c r="D386" s="42">
        <v>45942</v>
      </c>
      <c r="E386" s="43" t="s">
        <v>2</v>
      </c>
      <c r="F386" s="41">
        <v>0</v>
      </c>
      <c r="G386" s="41">
        <v>0</v>
      </c>
      <c r="H386" s="41">
        <v>207</v>
      </c>
      <c r="I386" s="43">
        <v>90</v>
      </c>
      <c r="J386" s="43">
        <v>9</v>
      </c>
      <c r="K386" s="44">
        <v>4000000</v>
      </c>
      <c r="L386" s="43" t="s">
        <v>992</v>
      </c>
      <c r="M386" s="45">
        <v>46033</v>
      </c>
      <c r="N386" s="41">
        <v>207</v>
      </c>
      <c r="O386" s="42">
        <v>45988</v>
      </c>
      <c r="P386" s="46"/>
      <c r="Q386" s="41">
        <v>207</v>
      </c>
    </row>
    <row r="387" spans="1:17" ht="12" customHeight="1" x14ac:dyDescent="0.3">
      <c r="A387" s="39"/>
      <c r="B387" s="40" t="s">
        <v>1376</v>
      </c>
      <c r="C387" s="41">
        <v>100.8</v>
      </c>
      <c r="D387" s="42">
        <v>45942</v>
      </c>
      <c r="E387" s="43" t="s">
        <v>2</v>
      </c>
      <c r="F387" s="41">
        <v>0</v>
      </c>
      <c r="G387" s="41">
        <v>0</v>
      </c>
      <c r="H387" s="41">
        <v>100.8</v>
      </c>
      <c r="I387" s="43">
        <v>90</v>
      </c>
      <c r="J387" s="43">
        <v>9</v>
      </c>
      <c r="K387" s="44">
        <v>4000000</v>
      </c>
      <c r="L387" s="43" t="s">
        <v>992</v>
      </c>
      <c r="M387" s="45">
        <v>46033</v>
      </c>
      <c r="N387" s="41">
        <v>100.8</v>
      </c>
      <c r="O387" s="42">
        <v>45988</v>
      </c>
      <c r="P387" s="46"/>
      <c r="Q387" s="41">
        <v>100.8</v>
      </c>
    </row>
    <row r="388" spans="1:17" ht="12" customHeight="1" x14ac:dyDescent="0.3">
      <c r="A388" s="39"/>
      <c r="B388" s="40" t="s">
        <v>1377</v>
      </c>
      <c r="C388" s="41">
        <v>612.89</v>
      </c>
      <c r="D388" s="42">
        <v>45942</v>
      </c>
      <c r="E388" s="43" t="s">
        <v>2</v>
      </c>
      <c r="F388" s="41">
        <v>0</v>
      </c>
      <c r="G388" s="41">
        <v>0</v>
      </c>
      <c r="H388" s="41">
        <v>612.89</v>
      </c>
      <c r="I388" s="43">
        <v>90</v>
      </c>
      <c r="J388" s="43">
        <v>9</v>
      </c>
      <c r="K388" s="44">
        <v>4000000</v>
      </c>
      <c r="L388" s="43" t="s">
        <v>992</v>
      </c>
      <c r="M388" s="45">
        <v>46033</v>
      </c>
      <c r="N388" s="41">
        <v>612.89</v>
      </c>
      <c r="O388" s="42">
        <v>45988</v>
      </c>
      <c r="P388" s="46"/>
      <c r="Q388" s="41">
        <v>612.89</v>
      </c>
    </row>
    <row r="389" spans="1:17" ht="12" customHeight="1" x14ac:dyDescent="0.3">
      <c r="A389" s="39"/>
      <c r="B389" s="40" t="s">
        <v>1378</v>
      </c>
      <c r="C389" s="41">
        <v>201.83</v>
      </c>
      <c r="D389" s="42">
        <v>45942</v>
      </c>
      <c r="E389" s="43" t="s">
        <v>2</v>
      </c>
      <c r="F389" s="41">
        <v>0</v>
      </c>
      <c r="G389" s="41">
        <v>0</v>
      </c>
      <c r="H389" s="41">
        <v>201.83</v>
      </c>
      <c r="I389" s="43">
        <v>90</v>
      </c>
      <c r="J389" s="43">
        <v>9</v>
      </c>
      <c r="K389" s="44">
        <v>4000000</v>
      </c>
      <c r="L389" s="43" t="s">
        <v>992</v>
      </c>
      <c r="M389" s="45">
        <v>46033</v>
      </c>
      <c r="N389" s="41">
        <v>201.83</v>
      </c>
      <c r="O389" s="42">
        <v>45988</v>
      </c>
      <c r="P389" s="46"/>
      <c r="Q389" s="41">
        <v>201.83</v>
      </c>
    </row>
    <row r="390" spans="1:17" ht="12" customHeight="1" x14ac:dyDescent="0.3">
      <c r="A390" s="39"/>
      <c r="B390" s="40" t="s">
        <v>1379</v>
      </c>
      <c r="C390" s="41">
        <v>411.6</v>
      </c>
      <c r="D390" s="42">
        <v>45942</v>
      </c>
      <c r="E390" s="43" t="s">
        <v>2</v>
      </c>
      <c r="F390" s="41">
        <v>0</v>
      </c>
      <c r="G390" s="41">
        <v>0</v>
      </c>
      <c r="H390" s="41">
        <v>411.6</v>
      </c>
      <c r="I390" s="43">
        <v>90</v>
      </c>
      <c r="J390" s="43">
        <v>9</v>
      </c>
      <c r="K390" s="44">
        <v>4000000</v>
      </c>
      <c r="L390" s="43" t="s">
        <v>992</v>
      </c>
      <c r="M390" s="45">
        <v>46033</v>
      </c>
      <c r="N390" s="41">
        <v>411.6</v>
      </c>
      <c r="O390" s="42">
        <v>45988</v>
      </c>
      <c r="P390" s="46"/>
      <c r="Q390" s="41">
        <v>411.6</v>
      </c>
    </row>
    <row r="391" spans="1:17" ht="12" customHeight="1" x14ac:dyDescent="0.3">
      <c r="A391" s="39"/>
      <c r="B391" s="40" t="s">
        <v>1380</v>
      </c>
      <c r="C391" s="41">
        <v>420</v>
      </c>
      <c r="D391" s="42">
        <v>45942</v>
      </c>
      <c r="E391" s="43" t="s">
        <v>2</v>
      </c>
      <c r="F391" s="41">
        <v>0</v>
      </c>
      <c r="G391" s="41">
        <v>0</v>
      </c>
      <c r="H391" s="41">
        <v>420</v>
      </c>
      <c r="I391" s="43">
        <v>90</v>
      </c>
      <c r="J391" s="43">
        <v>9</v>
      </c>
      <c r="K391" s="44">
        <v>4000000</v>
      </c>
      <c r="L391" s="43" t="s">
        <v>992</v>
      </c>
      <c r="M391" s="45">
        <v>46033</v>
      </c>
      <c r="N391" s="41">
        <v>420</v>
      </c>
      <c r="O391" s="42">
        <v>45988</v>
      </c>
      <c r="P391" s="46"/>
      <c r="Q391" s="41">
        <v>420</v>
      </c>
    </row>
    <row r="392" spans="1:17" ht="12" customHeight="1" x14ac:dyDescent="0.3">
      <c r="A392" s="39"/>
      <c r="B392" s="40" t="s">
        <v>1381</v>
      </c>
      <c r="C392" s="41">
        <v>1376.76</v>
      </c>
      <c r="D392" s="42">
        <v>45942</v>
      </c>
      <c r="E392" s="43" t="s">
        <v>2</v>
      </c>
      <c r="F392" s="41">
        <v>0</v>
      </c>
      <c r="G392" s="41">
        <v>0</v>
      </c>
      <c r="H392" s="41">
        <v>1376.76</v>
      </c>
      <c r="I392" s="43">
        <v>90</v>
      </c>
      <c r="J392" s="43">
        <v>9</v>
      </c>
      <c r="K392" s="44">
        <v>4000000</v>
      </c>
      <c r="L392" s="43" t="s">
        <v>992</v>
      </c>
      <c r="M392" s="45">
        <v>46033</v>
      </c>
      <c r="N392" s="41">
        <v>1376.76</v>
      </c>
      <c r="O392" s="42">
        <v>45988</v>
      </c>
      <c r="P392" s="46"/>
      <c r="Q392" s="41">
        <v>1376.76</v>
      </c>
    </row>
    <row r="393" spans="1:17" ht="12" customHeight="1" x14ac:dyDescent="0.3">
      <c r="A393" s="39"/>
      <c r="B393" s="40" t="s">
        <v>1382</v>
      </c>
      <c r="C393" s="41">
        <v>3142.8</v>
      </c>
      <c r="D393" s="42">
        <v>45942</v>
      </c>
      <c r="E393" s="43" t="s">
        <v>2</v>
      </c>
      <c r="F393" s="41">
        <v>0</v>
      </c>
      <c r="G393" s="41">
        <v>0</v>
      </c>
      <c r="H393" s="41">
        <v>3142.8</v>
      </c>
      <c r="I393" s="43">
        <v>90</v>
      </c>
      <c r="J393" s="43">
        <v>9</v>
      </c>
      <c r="K393" s="44">
        <v>4000000</v>
      </c>
      <c r="L393" s="43" t="s">
        <v>992</v>
      </c>
      <c r="M393" s="45">
        <v>46033</v>
      </c>
      <c r="N393" s="41">
        <v>3142.8</v>
      </c>
      <c r="O393" s="42">
        <v>45988</v>
      </c>
      <c r="P393" s="46"/>
      <c r="Q393" s="41">
        <v>3142.8</v>
      </c>
    </row>
    <row r="394" spans="1:17" ht="12" customHeight="1" x14ac:dyDescent="0.3">
      <c r="A394" s="39"/>
      <c r="B394" s="40" t="s">
        <v>1383</v>
      </c>
      <c r="C394" s="41">
        <v>4403</v>
      </c>
      <c r="D394" s="42">
        <v>45945</v>
      </c>
      <c r="E394" s="43" t="s">
        <v>2</v>
      </c>
      <c r="F394" s="41">
        <v>0</v>
      </c>
      <c r="G394" s="41">
        <v>0</v>
      </c>
      <c r="H394" s="41">
        <v>4403</v>
      </c>
      <c r="I394" s="43">
        <v>90</v>
      </c>
      <c r="J394" s="43">
        <v>9</v>
      </c>
      <c r="K394" s="44">
        <v>4000000</v>
      </c>
      <c r="L394" s="43" t="s">
        <v>992</v>
      </c>
      <c r="M394" s="45">
        <v>46035</v>
      </c>
      <c r="N394" s="41">
        <v>4403</v>
      </c>
      <c r="O394" s="42">
        <v>45988</v>
      </c>
      <c r="P394" s="46"/>
      <c r="Q394" s="41">
        <v>4403</v>
      </c>
    </row>
    <row r="395" spans="1:17" ht="12" customHeight="1" x14ac:dyDescent="0.3">
      <c r="A395" s="39"/>
      <c r="B395" s="40" t="s">
        <v>1384</v>
      </c>
      <c r="C395" s="41">
        <v>134.55000000000001</v>
      </c>
      <c r="D395" s="42">
        <v>45945</v>
      </c>
      <c r="E395" s="43" t="s">
        <v>2</v>
      </c>
      <c r="F395" s="41">
        <v>0</v>
      </c>
      <c r="G395" s="41">
        <v>0</v>
      </c>
      <c r="H395" s="41">
        <v>134.55000000000001</v>
      </c>
      <c r="I395" s="43">
        <v>90</v>
      </c>
      <c r="J395" s="43">
        <v>9</v>
      </c>
      <c r="K395" s="44">
        <v>4000000</v>
      </c>
      <c r="L395" s="43" t="s">
        <v>992</v>
      </c>
      <c r="M395" s="45">
        <v>46035</v>
      </c>
      <c r="N395" s="41">
        <v>134.55000000000001</v>
      </c>
      <c r="O395" s="42">
        <v>45988</v>
      </c>
      <c r="P395" s="46"/>
      <c r="Q395" s="41">
        <v>134.55000000000001</v>
      </c>
    </row>
    <row r="396" spans="1:17" ht="12" customHeight="1" x14ac:dyDescent="0.3">
      <c r="A396" s="39"/>
      <c r="B396" s="40" t="s">
        <v>1385</v>
      </c>
      <c r="C396" s="41">
        <v>917.84</v>
      </c>
      <c r="D396" s="42">
        <v>45945</v>
      </c>
      <c r="E396" s="43" t="s">
        <v>2</v>
      </c>
      <c r="F396" s="41">
        <v>0</v>
      </c>
      <c r="G396" s="41">
        <v>0</v>
      </c>
      <c r="H396" s="41">
        <v>917.84</v>
      </c>
      <c r="I396" s="43">
        <v>90</v>
      </c>
      <c r="J396" s="43">
        <v>9</v>
      </c>
      <c r="K396" s="44">
        <v>4000000</v>
      </c>
      <c r="L396" s="43" t="s">
        <v>992</v>
      </c>
      <c r="M396" s="45">
        <v>46035</v>
      </c>
      <c r="N396" s="41">
        <v>917.84</v>
      </c>
      <c r="O396" s="42">
        <v>45988</v>
      </c>
      <c r="P396" s="46"/>
      <c r="Q396" s="41">
        <v>917.84</v>
      </c>
    </row>
    <row r="397" spans="1:17" ht="12" customHeight="1" x14ac:dyDescent="0.3">
      <c r="A397" s="39"/>
      <c r="B397" s="40" t="s">
        <v>1386</v>
      </c>
      <c r="C397" s="41">
        <v>533779.6</v>
      </c>
      <c r="D397" s="42">
        <v>45945</v>
      </c>
      <c r="E397" s="43" t="s">
        <v>2</v>
      </c>
      <c r="F397" s="41">
        <v>0</v>
      </c>
      <c r="G397" s="41">
        <v>0</v>
      </c>
      <c r="H397" s="41">
        <v>533779.6</v>
      </c>
      <c r="I397" s="43">
        <v>90</v>
      </c>
      <c r="J397" s="43">
        <v>8</v>
      </c>
      <c r="K397" s="44">
        <v>3000000</v>
      </c>
      <c r="L397" s="43" t="s">
        <v>992</v>
      </c>
      <c r="M397" s="45">
        <v>46035</v>
      </c>
      <c r="N397" s="41">
        <v>533779.6</v>
      </c>
      <c r="O397" s="42">
        <v>45960</v>
      </c>
      <c r="P397" s="46"/>
      <c r="Q397" s="41">
        <v>533779.6</v>
      </c>
    </row>
    <row r="398" spans="1:17" ht="12" customHeight="1" x14ac:dyDescent="0.3">
      <c r="A398" s="39"/>
      <c r="B398" s="40" t="s">
        <v>1387</v>
      </c>
      <c r="C398" s="41">
        <v>7579.87</v>
      </c>
      <c r="D398" s="42">
        <v>45945</v>
      </c>
      <c r="E398" s="43" t="s">
        <v>2</v>
      </c>
      <c r="F398" s="41">
        <v>0</v>
      </c>
      <c r="G398" s="41">
        <v>0</v>
      </c>
      <c r="H398" s="41">
        <v>7579.87</v>
      </c>
      <c r="I398" s="43">
        <v>90</v>
      </c>
      <c r="J398" s="43">
        <v>9</v>
      </c>
      <c r="K398" s="44">
        <v>4000000</v>
      </c>
      <c r="L398" s="43" t="s">
        <v>992</v>
      </c>
      <c r="M398" s="45">
        <v>46035</v>
      </c>
      <c r="N398" s="41">
        <v>7579.87</v>
      </c>
      <c r="O398" s="42">
        <v>45988</v>
      </c>
      <c r="P398" s="46"/>
      <c r="Q398" s="41">
        <v>7579.87</v>
      </c>
    </row>
    <row r="399" spans="1:17" ht="12" customHeight="1" x14ac:dyDescent="0.3">
      <c r="A399" s="39"/>
      <c r="B399" s="40" t="s">
        <v>1388</v>
      </c>
      <c r="C399" s="41">
        <v>15120</v>
      </c>
      <c r="D399" s="42">
        <v>45946</v>
      </c>
      <c r="E399" s="43" t="s">
        <v>2</v>
      </c>
      <c r="F399" s="41">
        <v>0</v>
      </c>
      <c r="G399" s="41">
        <v>0</v>
      </c>
      <c r="H399" s="41">
        <v>15120</v>
      </c>
      <c r="I399" s="43">
        <v>90</v>
      </c>
      <c r="J399" s="43">
        <v>9</v>
      </c>
      <c r="K399" s="44">
        <v>4000000</v>
      </c>
      <c r="L399" s="43" t="s">
        <v>992</v>
      </c>
      <c r="M399" s="45">
        <v>46036</v>
      </c>
      <c r="N399" s="41">
        <v>15120</v>
      </c>
      <c r="O399" s="42">
        <v>45988</v>
      </c>
      <c r="P399" s="46"/>
      <c r="Q399" s="41">
        <v>15120</v>
      </c>
    </row>
    <row r="400" spans="1:17" ht="12" customHeight="1" x14ac:dyDescent="0.3">
      <c r="A400" s="39"/>
      <c r="B400" s="40" t="s">
        <v>1389</v>
      </c>
      <c r="C400" s="41">
        <v>26470.33</v>
      </c>
      <c r="D400" s="42">
        <v>45946</v>
      </c>
      <c r="E400" s="43" t="s">
        <v>2</v>
      </c>
      <c r="F400" s="41">
        <v>0</v>
      </c>
      <c r="G400" s="41">
        <v>0</v>
      </c>
      <c r="H400" s="41">
        <v>26470.33</v>
      </c>
      <c r="I400" s="43">
        <v>90</v>
      </c>
      <c r="J400" s="43">
        <v>9</v>
      </c>
      <c r="K400" s="44">
        <v>4000000</v>
      </c>
      <c r="L400" s="43" t="s">
        <v>992</v>
      </c>
      <c r="M400" s="45">
        <v>46036</v>
      </c>
      <c r="N400" s="41">
        <v>26470.33</v>
      </c>
      <c r="O400" s="42">
        <v>45988</v>
      </c>
      <c r="P400" s="46"/>
      <c r="Q400" s="41">
        <v>26470.33</v>
      </c>
    </row>
    <row r="401" spans="1:17" ht="12" customHeight="1" x14ac:dyDescent="0.3">
      <c r="A401" s="39"/>
      <c r="B401" s="40" t="s">
        <v>1390</v>
      </c>
      <c r="C401" s="41">
        <v>252</v>
      </c>
      <c r="D401" s="42">
        <v>45946</v>
      </c>
      <c r="E401" s="43" t="s">
        <v>2</v>
      </c>
      <c r="F401" s="41">
        <v>0</v>
      </c>
      <c r="G401" s="41">
        <v>0</v>
      </c>
      <c r="H401" s="41">
        <v>252</v>
      </c>
      <c r="I401" s="43">
        <v>90</v>
      </c>
      <c r="J401" s="43">
        <v>9</v>
      </c>
      <c r="K401" s="44">
        <v>4000000</v>
      </c>
      <c r="L401" s="43" t="s">
        <v>992</v>
      </c>
      <c r="M401" s="45">
        <v>46036</v>
      </c>
      <c r="N401" s="41">
        <v>252</v>
      </c>
      <c r="O401" s="42">
        <v>45988</v>
      </c>
      <c r="P401" s="46"/>
      <c r="Q401" s="41">
        <v>252</v>
      </c>
    </row>
    <row r="402" spans="1:17" ht="12" customHeight="1" x14ac:dyDescent="0.3">
      <c r="A402" s="39"/>
      <c r="B402" s="40" t="s">
        <v>1391</v>
      </c>
      <c r="C402" s="41">
        <v>252</v>
      </c>
      <c r="D402" s="42">
        <v>45946</v>
      </c>
      <c r="E402" s="43" t="s">
        <v>2</v>
      </c>
      <c r="F402" s="41">
        <v>0</v>
      </c>
      <c r="G402" s="41">
        <v>0</v>
      </c>
      <c r="H402" s="41">
        <v>252</v>
      </c>
      <c r="I402" s="43">
        <v>90</v>
      </c>
      <c r="J402" s="43">
        <v>9</v>
      </c>
      <c r="K402" s="44">
        <v>4000000</v>
      </c>
      <c r="L402" s="43" t="s">
        <v>992</v>
      </c>
      <c r="M402" s="45">
        <v>46036</v>
      </c>
      <c r="N402" s="41">
        <v>252</v>
      </c>
      <c r="O402" s="42">
        <v>45988</v>
      </c>
      <c r="P402" s="46"/>
      <c r="Q402" s="41">
        <v>252</v>
      </c>
    </row>
    <row r="403" spans="1:17" ht="12" customHeight="1" x14ac:dyDescent="0.3">
      <c r="A403" s="39"/>
      <c r="B403" s="40" t="s">
        <v>1392</v>
      </c>
      <c r="C403" s="41">
        <v>134.55000000000001</v>
      </c>
      <c r="D403" s="42">
        <v>45946</v>
      </c>
      <c r="E403" s="43" t="s">
        <v>2</v>
      </c>
      <c r="F403" s="41">
        <v>0</v>
      </c>
      <c r="G403" s="41">
        <v>0</v>
      </c>
      <c r="H403" s="41">
        <v>134.55000000000001</v>
      </c>
      <c r="I403" s="43">
        <v>90</v>
      </c>
      <c r="J403" s="43">
        <v>9</v>
      </c>
      <c r="K403" s="44">
        <v>4000000</v>
      </c>
      <c r="L403" s="43" t="s">
        <v>992</v>
      </c>
      <c r="M403" s="45">
        <v>46036</v>
      </c>
      <c r="N403" s="41">
        <v>134.55000000000001</v>
      </c>
      <c r="O403" s="42">
        <v>45988</v>
      </c>
      <c r="P403" s="46"/>
      <c r="Q403" s="41">
        <v>134.55000000000001</v>
      </c>
    </row>
    <row r="404" spans="1:17" ht="12" customHeight="1" x14ac:dyDescent="0.3">
      <c r="A404" s="39"/>
      <c r="B404" s="40" t="s">
        <v>1393</v>
      </c>
      <c r="C404" s="41">
        <v>350</v>
      </c>
      <c r="D404" s="42">
        <v>45946</v>
      </c>
      <c r="E404" s="43" t="s">
        <v>2</v>
      </c>
      <c r="F404" s="41">
        <v>0</v>
      </c>
      <c r="G404" s="41">
        <v>0</v>
      </c>
      <c r="H404" s="41">
        <v>350</v>
      </c>
      <c r="I404" s="43">
        <v>90</v>
      </c>
      <c r="J404" s="43">
        <v>9</v>
      </c>
      <c r="K404" s="44">
        <v>4000000</v>
      </c>
      <c r="L404" s="43" t="s">
        <v>992</v>
      </c>
      <c r="M404" s="45">
        <v>46036</v>
      </c>
      <c r="N404" s="41">
        <v>350</v>
      </c>
      <c r="O404" s="42">
        <v>45988</v>
      </c>
      <c r="P404" s="46"/>
      <c r="Q404" s="41">
        <v>350</v>
      </c>
    </row>
    <row r="405" spans="1:17" ht="12" customHeight="1" x14ac:dyDescent="0.3">
      <c r="A405" s="39"/>
      <c r="B405" s="40" t="s">
        <v>1394</v>
      </c>
      <c r="C405" s="41">
        <v>14942.18</v>
      </c>
      <c r="D405" s="42">
        <v>45950</v>
      </c>
      <c r="E405" s="43" t="s">
        <v>2</v>
      </c>
      <c r="F405" s="41">
        <v>0</v>
      </c>
      <c r="G405" s="41">
        <v>0</v>
      </c>
      <c r="H405" s="41">
        <v>14942.18</v>
      </c>
      <c r="I405" s="43">
        <v>90</v>
      </c>
      <c r="J405" s="43">
        <v>9</v>
      </c>
      <c r="K405" s="44">
        <v>4000000</v>
      </c>
      <c r="L405" s="43" t="s">
        <v>992</v>
      </c>
      <c r="M405" s="45">
        <v>46040</v>
      </c>
      <c r="N405" s="41">
        <v>14942.18</v>
      </c>
      <c r="O405" s="42">
        <v>45988</v>
      </c>
      <c r="P405" s="46"/>
      <c r="Q405" s="41">
        <v>14942.18</v>
      </c>
    </row>
    <row r="406" spans="1:17" ht="12" customHeight="1" x14ac:dyDescent="0.3">
      <c r="A406" s="39"/>
      <c r="B406" s="40" t="s">
        <v>1395</v>
      </c>
      <c r="C406" s="41">
        <v>201.83</v>
      </c>
      <c r="D406" s="42">
        <v>45950</v>
      </c>
      <c r="E406" s="43" t="s">
        <v>2</v>
      </c>
      <c r="F406" s="41">
        <v>0</v>
      </c>
      <c r="G406" s="41">
        <v>0</v>
      </c>
      <c r="H406" s="41">
        <v>201.83</v>
      </c>
      <c r="I406" s="43">
        <v>90</v>
      </c>
      <c r="J406" s="43">
        <v>9</v>
      </c>
      <c r="K406" s="44">
        <v>4000000</v>
      </c>
      <c r="L406" s="43" t="s">
        <v>992</v>
      </c>
      <c r="M406" s="45">
        <v>46040</v>
      </c>
      <c r="N406" s="41">
        <v>201.83</v>
      </c>
      <c r="O406" s="42">
        <v>45988</v>
      </c>
      <c r="P406" s="46"/>
      <c r="Q406" s="41">
        <v>201.83</v>
      </c>
    </row>
    <row r="407" spans="1:17" ht="12" customHeight="1" x14ac:dyDescent="0.3">
      <c r="A407" s="39"/>
      <c r="B407" s="40" t="s">
        <v>1396</v>
      </c>
      <c r="C407" s="41">
        <v>793.5</v>
      </c>
      <c r="D407" s="42">
        <v>45950</v>
      </c>
      <c r="E407" s="43" t="s">
        <v>2</v>
      </c>
      <c r="F407" s="41">
        <v>0</v>
      </c>
      <c r="G407" s="41">
        <v>0</v>
      </c>
      <c r="H407" s="41">
        <v>793.5</v>
      </c>
      <c r="I407" s="43">
        <v>90</v>
      </c>
      <c r="J407" s="43">
        <v>9</v>
      </c>
      <c r="K407" s="44">
        <v>4000000</v>
      </c>
      <c r="L407" s="43" t="s">
        <v>992</v>
      </c>
      <c r="M407" s="45">
        <v>46040</v>
      </c>
      <c r="N407" s="41">
        <v>793.5</v>
      </c>
      <c r="O407" s="42">
        <v>45988</v>
      </c>
      <c r="P407" s="46"/>
      <c r="Q407" s="41">
        <v>793.5</v>
      </c>
    </row>
    <row r="408" spans="1:17" ht="12" customHeight="1" x14ac:dyDescent="0.3">
      <c r="A408" s="39"/>
      <c r="B408" s="40" t="s">
        <v>1397</v>
      </c>
      <c r="C408" s="41">
        <v>50.4</v>
      </c>
      <c r="D408" s="42">
        <v>45950</v>
      </c>
      <c r="E408" s="43" t="s">
        <v>2</v>
      </c>
      <c r="F408" s="41">
        <v>0</v>
      </c>
      <c r="G408" s="41">
        <v>0</v>
      </c>
      <c r="H408" s="41">
        <v>50.4</v>
      </c>
      <c r="I408" s="43">
        <v>90</v>
      </c>
      <c r="J408" s="43">
        <v>9</v>
      </c>
      <c r="K408" s="44">
        <v>4000000</v>
      </c>
      <c r="L408" s="43" t="s">
        <v>992</v>
      </c>
      <c r="M408" s="45">
        <v>46040</v>
      </c>
      <c r="N408" s="41">
        <v>50.4</v>
      </c>
      <c r="O408" s="42">
        <v>45988</v>
      </c>
      <c r="P408" s="46"/>
      <c r="Q408" s="41">
        <v>50.4</v>
      </c>
    </row>
    <row r="409" spans="1:17" ht="12" customHeight="1" x14ac:dyDescent="0.3">
      <c r="A409" s="39"/>
      <c r="B409" s="40" t="s">
        <v>1398</v>
      </c>
      <c r="C409" s="41">
        <v>280</v>
      </c>
      <c r="D409" s="42">
        <v>45950</v>
      </c>
      <c r="E409" s="43" t="s">
        <v>2</v>
      </c>
      <c r="F409" s="41">
        <v>0</v>
      </c>
      <c r="G409" s="41">
        <v>0</v>
      </c>
      <c r="H409" s="41">
        <v>280</v>
      </c>
      <c r="I409" s="43">
        <v>90</v>
      </c>
      <c r="J409" s="43">
        <v>9</v>
      </c>
      <c r="K409" s="44">
        <v>4000000</v>
      </c>
      <c r="L409" s="43" t="s">
        <v>992</v>
      </c>
      <c r="M409" s="45">
        <v>46040</v>
      </c>
      <c r="N409" s="41">
        <v>280</v>
      </c>
      <c r="O409" s="42">
        <v>45988</v>
      </c>
      <c r="P409" s="46"/>
      <c r="Q409" s="41">
        <v>280</v>
      </c>
    </row>
    <row r="410" spans="1:17" ht="12" customHeight="1" x14ac:dyDescent="0.3">
      <c r="A410" s="39"/>
      <c r="B410" s="40" t="s">
        <v>1399</v>
      </c>
      <c r="C410" s="41">
        <v>3356.4</v>
      </c>
      <c r="D410" s="42">
        <v>45951</v>
      </c>
      <c r="E410" s="43" t="s">
        <v>2</v>
      </c>
      <c r="F410" s="41">
        <v>0</v>
      </c>
      <c r="G410" s="41">
        <v>0</v>
      </c>
      <c r="H410" s="41">
        <v>3356.4</v>
      </c>
      <c r="I410" s="43">
        <v>90</v>
      </c>
      <c r="J410" s="43">
        <v>9</v>
      </c>
      <c r="K410" s="44">
        <v>4000000</v>
      </c>
      <c r="L410" s="43" t="s">
        <v>992</v>
      </c>
      <c r="M410" s="45">
        <v>46041</v>
      </c>
      <c r="N410" s="41">
        <v>3356.4</v>
      </c>
      <c r="O410" s="42">
        <v>45988</v>
      </c>
      <c r="P410" s="46"/>
      <c r="Q410" s="41">
        <v>3356.4</v>
      </c>
    </row>
    <row r="411" spans="1:17" ht="12" customHeight="1" x14ac:dyDescent="0.3">
      <c r="A411" s="39"/>
      <c r="B411" s="40" t="s">
        <v>1400</v>
      </c>
      <c r="C411" s="41">
        <v>165593.93</v>
      </c>
      <c r="D411" s="42">
        <v>45951</v>
      </c>
      <c r="E411" s="43" t="s">
        <v>2</v>
      </c>
      <c r="F411" s="41">
        <v>0</v>
      </c>
      <c r="G411" s="41">
        <v>0</v>
      </c>
      <c r="H411" s="41">
        <v>165593.93</v>
      </c>
      <c r="I411" s="43">
        <v>90</v>
      </c>
      <c r="J411" s="43">
        <v>71</v>
      </c>
      <c r="K411" s="44">
        <v>2412263</v>
      </c>
      <c r="L411" s="43" t="s">
        <v>992</v>
      </c>
      <c r="M411" s="45">
        <v>46041</v>
      </c>
      <c r="N411" s="41">
        <v>165593.93</v>
      </c>
      <c r="O411" s="42">
        <v>45957</v>
      </c>
      <c r="P411" s="46"/>
      <c r="Q411" s="41">
        <v>165593.93</v>
      </c>
    </row>
    <row r="412" spans="1:17" ht="12" customHeight="1" x14ac:dyDescent="0.3">
      <c r="A412" s="39"/>
      <c r="B412" s="40" t="s">
        <v>1401</v>
      </c>
      <c r="C412" s="41">
        <v>165593.93</v>
      </c>
      <c r="D412" s="42">
        <v>45951</v>
      </c>
      <c r="E412" s="43" t="s">
        <v>2</v>
      </c>
      <c r="F412" s="41">
        <v>0</v>
      </c>
      <c r="G412" s="41">
        <v>0</v>
      </c>
      <c r="H412" s="41">
        <v>165593.93</v>
      </c>
      <c r="I412" s="43">
        <v>90</v>
      </c>
      <c r="J412" s="43">
        <v>71</v>
      </c>
      <c r="K412" s="44">
        <v>2412263</v>
      </c>
      <c r="L412" s="43" t="s">
        <v>992</v>
      </c>
      <c r="M412" s="45">
        <v>46041</v>
      </c>
      <c r="N412" s="41">
        <v>165593.93</v>
      </c>
      <c r="O412" s="42">
        <v>45957</v>
      </c>
      <c r="P412" s="46"/>
      <c r="Q412" s="41">
        <v>165593.93</v>
      </c>
    </row>
    <row r="413" spans="1:17" ht="12" customHeight="1" x14ac:dyDescent="0.3">
      <c r="A413" s="39"/>
      <c r="B413" s="40" t="s">
        <v>1402</v>
      </c>
      <c r="C413" s="41">
        <v>129163.86</v>
      </c>
      <c r="D413" s="42">
        <v>45951</v>
      </c>
      <c r="E413" s="43" t="s">
        <v>2</v>
      </c>
      <c r="F413" s="41">
        <v>0</v>
      </c>
      <c r="G413" s="41">
        <v>0</v>
      </c>
      <c r="H413" s="41">
        <v>129163.86</v>
      </c>
      <c r="I413" s="43">
        <v>90</v>
      </c>
      <c r="J413" s="43">
        <v>71</v>
      </c>
      <c r="K413" s="44">
        <v>2412263</v>
      </c>
      <c r="L413" s="43" t="s">
        <v>992</v>
      </c>
      <c r="M413" s="45">
        <v>46041</v>
      </c>
      <c r="N413" s="41">
        <v>129163.86</v>
      </c>
      <c r="O413" s="42">
        <v>45957</v>
      </c>
      <c r="P413" s="46"/>
      <c r="Q413" s="41">
        <v>129163.86</v>
      </c>
    </row>
    <row r="414" spans="1:17" ht="12" customHeight="1" x14ac:dyDescent="0.3">
      <c r="A414" s="39"/>
      <c r="B414" s="40" t="s">
        <v>1403</v>
      </c>
      <c r="C414" s="41">
        <v>500025</v>
      </c>
      <c r="D414" s="42">
        <v>45951</v>
      </c>
      <c r="E414" s="43" t="s">
        <v>2</v>
      </c>
      <c r="F414" s="41">
        <v>0</v>
      </c>
      <c r="G414" s="41">
        <v>0</v>
      </c>
      <c r="H414" s="41">
        <v>500025</v>
      </c>
      <c r="I414" s="43">
        <v>90</v>
      </c>
      <c r="J414" s="43">
        <v>71</v>
      </c>
      <c r="K414" s="44">
        <v>2412263</v>
      </c>
      <c r="L414" s="43" t="s">
        <v>992</v>
      </c>
      <c r="M414" s="45">
        <v>46041</v>
      </c>
      <c r="N414" s="41">
        <v>500025</v>
      </c>
      <c r="O414" s="42">
        <v>45972</v>
      </c>
      <c r="P414" s="46"/>
      <c r="Q414" s="41">
        <v>500025</v>
      </c>
    </row>
    <row r="415" spans="1:17" ht="12" customHeight="1" x14ac:dyDescent="0.3">
      <c r="A415" s="39"/>
      <c r="B415" s="40" t="s">
        <v>1404</v>
      </c>
      <c r="C415" s="41">
        <v>114750</v>
      </c>
      <c r="D415" s="42">
        <v>45951</v>
      </c>
      <c r="E415" s="43" t="s">
        <v>2</v>
      </c>
      <c r="F415" s="41">
        <v>0</v>
      </c>
      <c r="G415" s="41">
        <v>0</v>
      </c>
      <c r="H415" s="41">
        <v>114750</v>
      </c>
      <c r="I415" s="43">
        <v>90</v>
      </c>
      <c r="J415" s="43">
        <v>71</v>
      </c>
      <c r="K415" s="44">
        <v>2412263</v>
      </c>
      <c r="L415" s="43" t="s">
        <v>992</v>
      </c>
      <c r="M415" s="45">
        <v>46041</v>
      </c>
      <c r="N415" s="41">
        <v>114750</v>
      </c>
      <c r="O415" s="42">
        <v>45972</v>
      </c>
      <c r="P415" s="46"/>
      <c r="Q415" s="41">
        <v>114750</v>
      </c>
    </row>
    <row r="416" spans="1:17" ht="12" customHeight="1" x14ac:dyDescent="0.3">
      <c r="A416" s="39"/>
      <c r="B416" s="40" t="s">
        <v>1405</v>
      </c>
      <c r="C416" s="41">
        <v>114750</v>
      </c>
      <c r="D416" s="42">
        <v>45951</v>
      </c>
      <c r="E416" s="43" t="s">
        <v>2</v>
      </c>
      <c r="F416" s="41">
        <v>0</v>
      </c>
      <c r="G416" s="41">
        <v>0</v>
      </c>
      <c r="H416" s="41">
        <v>114750</v>
      </c>
      <c r="I416" s="43">
        <v>90</v>
      </c>
      <c r="J416" s="43">
        <v>71</v>
      </c>
      <c r="K416" s="44">
        <v>2412263</v>
      </c>
      <c r="L416" s="43" t="s">
        <v>992</v>
      </c>
      <c r="M416" s="45">
        <v>46041</v>
      </c>
      <c r="N416" s="41">
        <v>114750</v>
      </c>
      <c r="O416" s="42">
        <v>45974</v>
      </c>
      <c r="P416" s="46"/>
      <c r="Q416" s="41">
        <v>114750</v>
      </c>
    </row>
    <row r="417" spans="1:17" ht="12" customHeight="1" x14ac:dyDescent="0.3">
      <c r="A417" s="39"/>
      <c r="B417" s="40" t="s">
        <v>1406</v>
      </c>
      <c r="C417" s="41">
        <v>170000</v>
      </c>
      <c r="D417" s="42">
        <v>45951</v>
      </c>
      <c r="E417" s="43" t="s">
        <v>2</v>
      </c>
      <c r="F417" s="41">
        <v>0</v>
      </c>
      <c r="G417" s="41">
        <v>0</v>
      </c>
      <c r="H417" s="41">
        <v>170000</v>
      </c>
      <c r="I417" s="43">
        <v>90</v>
      </c>
      <c r="J417" s="43">
        <v>71</v>
      </c>
      <c r="K417" s="44">
        <v>2412263</v>
      </c>
      <c r="L417" s="43" t="s">
        <v>992</v>
      </c>
      <c r="M417" s="45">
        <v>46041</v>
      </c>
      <c r="N417" s="41">
        <v>170000</v>
      </c>
      <c r="O417" s="42">
        <v>45980</v>
      </c>
      <c r="P417" s="46"/>
      <c r="Q417" s="41">
        <v>170000</v>
      </c>
    </row>
    <row r="418" spans="1:17" ht="12" customHeight="1" x14ac:dyDescent="0.3">
      <c r="A418" s="39"/>
      <c r="B418" s="40" t="s">
        <v>1407</v>
      </c>
      <c r="C418" s="41">
        <v>171368.4</v>
      </c>
      <c r="D418" s="42">
        <v>45951</v>
      </c>
      <c r="E418" s="43" t="s">
        <v>2</v>
      </c>
      <c r="F418" s="41">
        <v>0</v>
      </c>
      <c r="G418" s="41">
        <v>0</v>
      </c>
      <c r="H418" s="41">
        <v>171368.4</v>
      </c>
      <c r="I418" s="43">
        <v>90</v>
      </c>
      <c r="J418" s="43">
        <v>71</v>
      </c>
      <c r="K418" s="44">
        <v>2412263</v>
      </c>
      <c r="L418" s="43" t="s">
        <v>992</v>
      </c>
      <c r="M418" s="45">
        <v>46041</v>
      </c>
      <c r="N418" s="41">
        <v>171368.4</v>
      </c>
      <c r="O418" s="42">
        <v>45988</v>
      </c>
      <c r="P418" s="46"/>
      <c r="Q418" s="41">
        <v>171368.4</v>
      </c>
    </row>
    <row r="419" spans="1:17" ht="12" customHeight="1" x14ac:dyDescent="0.3">
      <c r="A419" s="39"/>
      <c r="B419" s="40" t="s">
        <v>1408</v>
      </c>
      <c r="C419" s="41">
        <v>171368.4</v>
      </c>
      <c r="D419" s="42">
        <v>45951</v>
      </c>
      <c r="E419" s="43" t="s">
        <v>2</v>
      </c>
      <c r="F419" s="41">
        <v>0</v>
      </c>
      <c r="G419" s="41">
        <v>0</v>
      </c>
      <c r="H419" s="41">
        <v>171368.4</v>
      </c>
      <c r="I419" s="43">
        <v>90</v>
      </c>
      <c r="J419" s="43">
        <v>71</v>
      </c>
      <c r="K419" s="44">
        <v>2412263</v>
      </c>
      <c r="L419" s="43" t="s">
        <v>992</v>
      </c>
      <c r="M419" s="45">
        <v>46041</v>
      </c>
      <c r="N419" s="41">
        <v>171368.4</v>
      </c>
      <c r="O419" s="42">
        <v>45988</v>
      </c>
      <c r="P419" s="46"/>
      <c r="Q419" s="41">
        <v>171368.4</v>
      </c>
    </row>
    <row r="420" spans="1:17" ht="12" customHeight="1" x14ac:dyDescent="0.3">
      <c r="A420" s="39"/>
      <c r="B420" s="40" t="s">
        <v>1409</v>
      </c>
      <c r="C420" s="41">
        <v>340232.76</v>
      </c>
      <c r="D420" s="42">
        <v>45951</v>
      </c>
      <c r="E420" s="43" t="s">
        <v>2</v>
      </c>
      <c r="F420" s="41">
        <v>0</v>
      </c>
      <c r="G420" s="41">
        <v>0</v>
      </c>
      <c r="H420" s="41">
        <v>340232.76</v>
      </c>
      <c r="I420" s="43">
        <v>90</v>
      </c>
      <c r="J420" s="43">
        <v>71</v>
      </c>
      <c r="K420" s="44">
        <v>2412263</v>
      </c>
      <c r="L420" s="43" t="s">
        <v>992</v>
      </c>
      <c r="M420" s="45">
        <v>46041</v>
      </c>
      <c r="N420" s="41">
        <v>340232.76</v>
      </c>
      <c r="O420" s="42">
        <v>45995</v>
      </c>
      <c r="P420" s="46"/>
      <c r="Q420" s="41">
        <v>340232.76</v>
      </c>
    </row>
    <row r="421" spans="1:17" ht="12" customHeight="1" x14ac:dyDescent="0.3">
      <c r="A421" s="39"/>
      <c r="B421" s="40" t="s">
        <v>1410</v>
      </c>
      <c r="C421" s="41">
        <v>150499.99</v>
      </c>
      <c r="D421" s="42">
        <v>45951</v>
      </c>
      <c r="E421" s="43" t="s">
        <v>2</v>
      </c>
      <c r="F421" s="41">
        <v>0</v>
      </c>
      <c r="G421" s="41">
        <v>0</v>
      </c>
      <c r="H421" s="41">
        <v>150499.99</v>
      </c>
      <c r="I421" s="43">
        <v>90</v>
      </c>
      <c r="J421" s="43">
        <v>71</v>
      </c>
      <c r="K421" s="44">
        <v>2412263</v>
      </c>
      <c r="L421" s="43" t="s">
        <v>992</v>
      </c>
      <c r="M421" s="45">
        <v>46041</v>
      </c>
      <c r="N421" s="41">
        <v>150499.99</v>
      </c>
      <c r="O421" s="42">
        <v>45999</v>
      </c>
      <c r="P421" s="46"/>
      <c r="Q421" s="41">
        <v>150499.99</v>
      </c>
    </row>
    <row r="422" spans="1:17" ht="12" customHeight="1" x14ac:dyDescent="0.3">
      <c r="A422" s="39"/>
      <c r="B422" s="40" t="s">
        <v>1411</v>
      </c>
      <c r="C422" s="41">
        <v>800</v>
      </c>
      <c r="D422" s="42">
        <v>45951</v>
      </c>
      <c r="E422" s="43" t="s">
        <v>2</v>
      </c>
      <c r="F422" s="41">
        <v>0</v>
      </c>
      <c r="G422" s="41">
        <v>0</v>
      </c>
      <c r="H422" s="41">
        <v>800</v>
      </c>
      <c r="I422" s="43">
        <v>90</v>
      </c>
      <c r="J422" s="43">
        <v>9</v>
      </c>
      <c r="K422" s="44">
        <v>4000000</v>
      </c>
      <c r="L422" s="43" t="s">
        <v>992</v>
      </c>
      <c r="M422" s="45">
        <v>46041</v>
      </c>
      <c r="N422" s="41">
        <v>800</v>
      </c>
      <c r="O422" s="42">
        <v>45988</v>
      </c>
      <c r="P422" s="46"/>
      <c r="Q422" s="41">
        <v>800</v>
      </c>
    </row>
    <row r="423" spans="1:17" ht="12" customHeight="1" x14ac:dyDescent="0.3">
      <c r="A423" s="39"/>
      <c r="B423" s="40" t="s">
        <v>1412</v>
      </c>
      <c r="C423" s="41">
        <v>201.83</v>
      </c>
      <c r="D423" s="42">
        <v>45951</v>
      </c>
      <c r="E423" s="43" t="s">
        <v>2</v>
      </c>
      <c r="F423" s="41">
        <v>0</v>
      </c>
      <c r="G423" s="41">
        <v>0</v>
      </c>
      <c r="H423" s="41">
        <v>201.83</v>
      </c>
      <c r="I423" s="43">
        <v>90</v>
      </c>
      <c r="J423" s="43">
        <v>9</v>
      </c>
      <c r="K423" s="44">
        <v>4000000</v>
      </c>
      <c r="L423" s="43" t="s">
        <v>992</v>
      </c>
      <c r="M423" s="45">
        <v>46041</v>
      </c>
      <c r="N423" s="41">
        <v>201.83</v>
      </c>
      <c r="O423" s="42">
        <v>45988</v>
      </c>
      <c r="P423" s="46"/>
      <c r="Q423" s="41">
        <v>201.83</v>
      </c>
    </row>
    <row r="424" spans="1:17" ht="12" customHeight="1" x14ac:dyDescent="0.3">
      <c r="A424" s="39"/>
      <c r="B424" s="40" t="s">
        <v>1413</v>
      </c>
      <c r="C424" s="41">
        <v>320.5</v>
      </c>
      <c r="D424" s="42">
        <v>45951</v>
      </c>
      <c r="E424" s="43" t="s">
        <v>2</v>
      </c>
      <c r="F424" s="41">
        <v>0</v>
      </c>
      <c r="G424" s="41">
        <v>0</v>
      </c>
      <c r="H424" s="41">
        <v>320.5</v>
      </c>
      <c r="I424" s="43">
        <v>90</v>
      </c>
      <c r="J424" s="43">
        <v>9</v>
      </c>
      <c r="K424" s="44">
        <v>4000000</v>
      </c>
      <c r="L424" s="43" t="s">
        <v>992</v>
      </c>
      <c r="M424" s="45">
        <v>46041</v>
      </c>
      <c r="N424" s="41">
        <v>320.5</v>
      </c>
      <c r="O424" s="42">
        <v>45988</v>
      </c>
      <c r="P424" s="46"/>
      <c r="Q424" s="41">
        <v>320.5</v>
      </c>
    </row>
    <row r="425" spans="1:17" ht="12" customHeight="1" x14ac:dyDescent="0.3">
      <c r="A425" s="39"/>
      <c r="B425" s="40" t="s">
        <v>1414</v>
      </c>
      <c r="C425" s="41">
        <v>26740.01</v>
      </c>
      <c r="D425" s="42">
        <v>45951</v>
      </c>
      <c r="E425" s="43" t="s">
        <v>2</v>
      </c>
      <c r="F425" s="41">
        <v>0</v>
      </c>
      <c r="G425" s="41">
        <v>0</v>
      </c>
      <c r="H425" s="41">
        <v>26740.01</v>
      </c>
      <c r="I425" s="43">
        <v>90</v>
      </c>
      <c r="J425" s="43">
        <v>9</v>
      </c>
      <c r="K425" s="44">
        <v>4000000</v>
      </c>
      <c r="L425" s="43" t="s">
        <v>992</v>
      </c>
      <c r="M425" s="45">
        <v>46041</v>
      </c>
      <c r="N425" s="41">
        <v>26740.01</v>
      </c>
      <c r="O425" s="42">
        <v>45988</v>
      </c>
      <c r="P425" s="46"/>
      <c r="Q425" s="41">
        <v>26740.01</v>
      </c>
    </row>
    <row r="426" spans="1:17" ht="12" customHeight="1" x14ac:dyDescent="0.3">
      <c r="A426" s="39"/>
      <c r="B426" s="40" t="s">
        <v>1415</v>
      </c>
      <c r="C426" s="41">
        <v>13529.99</v>
      </c>
      <c r="D426" s="42">
        <v>45951</v>
      </c>
      <c r="E426" s="43" t="s">
        <v>2</v>
      </c>
      <c r="F426" s="41">
        <v>0</v>
      </c>
      <c r="G426" s="41">
        <v>0</v>
      </c>
      <c r="H426" s="41">
        <v>13529.99</v>
      </c>
      <c r="I426" s="43">
        <v>90</v>
      </c>
      <c r="J426" s="43">
        <v>9</v>
      </c>
      <c r="K426" s="44">
        <v>4000000</v>
      </c>
      <c r="L426" s="43" t="s">
        <v>992</v>
      </c>
      <c r="M426" s="45">
        <v>46041</v>
      </c>
      <c r="N426" s="41">
        <v>13529.99</v>
      </c>
      <c r="O426" s="42">
        <v>45988</v>
      </c>
      <c r="P426" s="46"/>
      <c r="Q426" s="41">
        <v>13529.99</v>
      </c>
    </row>
    <row r="427" spans="1:17" ht="12" customHeight="1" x14ac:dyDescent="0.3">
      <c r="A427" s="39"/>
      <c r="B427" s="40" t="s">
        <v>1416</v>
      </c>
      <c r="C427" s="41">
        <v>320.5</v>
      </c>
      <c r="D427" s="42">
        <v>45951</v>
      </c>
      <c r="E427" s="43" t="s">
        <v>2</v>
      </c>
      <c r="F427" s="41">
        <v>0</v>
      </c>
      <c r="G427" s="41">
        <v>0</v>
      </c>
      <c r="H427" s="41">
        <v>320.5</v>
      </c>
      <c r="I427" s="43">
        <v>90</v>
      </c>
      <c r="J427" s="43">
        <v>9</v>
      </c>
      <c r="K427" s="44">
        <v>4000000</v>
      </c>
      <c r="L427" s="43" t="s">
        <v>992</v>
      </c>
      <c r="M427" s="45">
        <v>46041</v>
      </c>
      <c r="N427" s="41">
        <v>320.5</v>
      </c>
      <c r="O427" s="42">
        <v>45988</v>
      </c>
      <c r="P427" s="46"/>
      <c r="Q427" s="41">
        <v>320.5</v>
      </c>
    </row>
    <row r="428" spans="1:17" ht="12" customHeight="1" x14ac:dyDescent="0.3">
      <c r="A428" s="39"/>
      <c r="B428" s="40" t="s">
        <v>1417</v>
      </c>
      <c r="C428" s="41">
        <v>302.39999999999998</v>
      </c>
      <c r="D428" s="42">
        <v>45951</v>
      </c>
      <c r="E428" s="43" t="s">
        <v>2</v>
      </c>
      <c r="F428" s="41">
        <v>0</v>
      </c>
      <c r="G428" s="41">
        <v>0</v>
      </c>
      <c r="H428" s="41">
        <v>302.39999999999998</v>
      </c>
      <c r="I428" s="43">
        <v>90</v>
      </c>
      <c r="J428" s="43">
        <v>9</v>
      </c>
      <c r="K428" s="44">
        <v>4000000</v>
      </c>
      <c r="L428" s="43" t="s">
        <v>992</v>
      </c>
      <c r="M428" s="45">
        <v>46041</v>
      </c>
      <c r="N428" s="41">
        <v>302.39999999999998</v>
      </c>
      <c r="O428" s="42">
        <v>45988</v>
      </c>
      <c r="P428" s="46"/>
      <c r="Q428" s="41">
        <v>302.39999999999998</v>
      </c>
    </row>
    <row r="429" spans="1:17" ht="12" customHeight="1" x14ac:dyDescent="0.3">
      <c r="A429" s="39"/>
      <c r="B429" s="40" t="s">
        <v>1418</v>
      </c>
      <c r="C429" s="41">
        <v>17947.189999999999</v>
      </c>
      <c r="D429" s="42">
        <v>45951</v>
      </c>
      <c r="E429" s="43" t="s">
        <v>2</v>
      </c>
      <c r="F429" s="41">
        <v>0</v>
      </c>
      <c r="G429" s="41">
        <v>0</v>
      </c>
      <c r="H429" s="41">
        <v>17947.189999999999</v>
      </c>
      <c r="I429" s="43">
        <v>90</v>
      </c>
      <c r="J429" s="43">
        <v>9</v>
      </c>
      <c r="K429" s="44">
        <v>4000000</v>
      </c>
      <c r="L429" s="43" t="s">
        <v>992</v>
      </c>
      <c r="M429" s="45">
        <v>46041</v>
      </c>
      <c r="N429" s="41">
        <v>17947.189999999999</v>
      </c>
      <c r="O429" s="42">
        <v>45988</v>
      </c>
      <c r="P429" s="46"/>
      <c r="Q429" s="41">
        <v>17947.189999999999</v>
      </c>
    </row>
    <row r="430" spans="1:17" ht="12" customHeight="1" x14ac:dyDescent="0.3">
      <c r="A430" s="39"/>
      <c r="B430" s="40" t="s">
        <v>1419</v>
      </c>
      <c r="C430" s="41">
        <v>32587.55</v>
      </c>
      <c r="D430" s="42">
        <v>45951</v>
      </c>
      <c r="E430" s="43" t="s">
        <v>2</v>
      </c>
      <c r="F430" s="41">
        <v>0</v>
      </c>
      <c r="G430" s="41">
        <v>0</v>
      </c>
      <c r="H430" s="41">
        <v>32587.55</v>
      </c>
      <c r="I430" s="43">
        <v>90</v>
      </c>
      <c r="J430" s="43">
        <v>9</v>
      </c>
      <c r="K430" s="44">
        <v>4000000</v>
      </c>
      <c r="L430" s="43" t="s">
        <v>992</v>
      </c>
      <c r="M430" s="45">
        <v>46041</v>
      </c>
      <c r="N430" s="41">
        <v>32587.55</v>
      </c>
      <c r="O430" s="42">
        <v>45988</v>
      </c>
      <c r="P430" s="46"/>
      <c r="Q430" s="41">
        <v>32587.55</v>
      </c>
    </row>
    <row r="431" spans="1:17" ht="12" customHeight="1" x14ac:dyDescent="0.3">
      <c r="A431" s="39"/>
      <c r="B431" s="40" t="s">
        <v>1420</v>
      </c>
      <c r="C431" s="41">
        <v>9192.4500000000007</v>
      </c>
      <c r="D431" s="42">
        <v>45951</v>
      </c>
      <c r="E431" s="43" t="s">
        <v>2</v>
      </c>
      <c r="F431" s="41">
        <v>0</v>
      </c>
      <c r="G431" s="41">
        <v>0</v>
      </c>
      <c r="H431" s="41">
        <v>9192.4500000000007</v>
      </c>
      <c r="I431" s="43">
        <v>90</v>
      </c>
      <c r="J431" s="43">
        <v>9</v>
      </c>
      <c r="K431" s="44">
        <v>4000000</v>
      </c>
      <c r="L431" s="43" t="s">
        <v>992</v>
      </c>
      <c r="M431" s="45">
        <v>46041</v>
      </c>
      <c r="N431" s="41">
        <v>9192.4500000000007</v>
      </c>
      <c r="O431" s="42">
        <v>45988</v>
      </c>
      <c r="P431" s="46"/>
      <c r="Q431" s="41">
        <v>9192.4500000000007</v>
      </c>
    </row>
    <row r="432" spans="1:17" ht="12" customHeight="1" x14ac:dyDescent="0.3">
      <c r="A432" s="39"/>
      <c r="B432" s="40" t="s">
        <v>1421</v>
      </c>
      <c r="C432" s="41">
        <v>350</v>
      </c>
      <c r="D432" s="42">
        <v>45951</v>
      </c>
      <c r="E432" s="43" t="s">
        <v>2</v>
      </c>
      <c r="F432" s="41">
        <v>0</v>
      </c>
      <c r="G432" s="41">
        <v>0</v>
      </c>
      <c r="H432" s="41">
        <v>350</v>
      </c>
      <c r="I432" s="43">
        <v>90</v>
      </c>
      <c r="J432" s="43">
        <v>9</v>
      </c>
      <c r="K432" s="44">
        <v>4000000</v>
      </c>
      <c r="L432" s="43" t="s">
        <v>992</v>
      </c>
      <c r="M432" s="45">
        <v>46041</v>
      </c>
      <c r="N432" s="41">
        <v>350</v>
      </c>
      <c r="O432" s="42">
        <v>45988</v>
      </c>
      <c r="P432" s="46"/>
      <c r="Q432" s="41">
        <v>350</v>
      </c>
    </row>
    <row r="433" spans="1:17" ht="12" customHeight="1" x14ac:dyDescent="0.3">
      <c r="A433" s="39"/>
      <c r="B433" s="40" t="s">
        <v>1422</v>
      </c>
      <c r="C433" s="41">
        <v>864</v>
      </c>
      <c r="D433" s="42">
        <v>45951</v>
      </c>
      <c r="E433" s="43" t="s">
        <v>2</v>
      </c>
      <c r="F433" s="41">
        <v>0</v>
      </c>
      <c r="G433" s="41">
        <v>0</v>
      </c>
      <c r="H433" s="41">
        <v>864</v>
      </c>
      <c r="I433" s="43">
        <v>90</v>
      </c>
      <c r="J433" s="43">
        <v>9</v>
      </c>
      <c r="K433" s="44">
        <v>4000000</v>
      </c>
      <c r="L433" s="43" t="s">
        <v>992</v>
      </c>
      <c r="M433" s="45">
        <v>46041</v>
      </c>
      <c r="N433" s="41">
        <v>864</v>
      </c>
      <c r="O433" s="42">
        <v>45988</v>
      </c>
      <c r="P433" s="46"/>
      <c r="Q433" s="41">
        <v>864</v>
      </c>
    </row>
    <row r="434" spans="1:17" ht="12" customHeight="1" x14ac:dyDescent="0.3">
      <c r="A434" s="39"/>
      <c r="B434" s="40" t="s">
        <v>1423</v>
      </c>
      <c r="C434" s="41">
        <v>201.83</v>
      </c>
      <c r="D434" s="42">
        <v>45951</v>
      </c>
      <c r="E434" s="43" t="s">
        <v>2</v>
      </c>
      <c r="F434" s="41">
        <v>0</v>
      </c>
      <c r="G434" s="41">
        <v>0</v>
      </c>
      <c r="H434" s="41">
        <v>201.83</v>
      </c>
      <c r="I434" s="43">
        <v>90</v>
      </c>
      <c r="J434" s="43">
        <v>9</v>
      </c>
      <c r="K434" s="44">
        <v>4000000</v>
      </c>
      <c r="L434" s="43" t="s">
        <v>992</v>
      </c>
      <c r="M434" s="45">
        <v>46041</v>
      </c>
      <c r="N434" s="41">
        <v>201.83</v>
      </c>
      <c r="O434" s="42">
        <v>45988</v>
      </c>
      <c r="P434" s="46"/>
      <c r="Q434" s="41">
        <v>201.83</v>
      </c>
    </row>
    <row r="435" spans="1:17" ht="12" customHeight="1" x14ac:dyDescent="0.3">
      <c r="A435" s="39"/>
      <c r="B435" s="40" t="s">
        <v>1424</v>
      </c>
      <c r="C435" s="41">
        <v>269.10000000000002</v>
      </c>
      <c r="D435" s="42">
        <v>45951</v>
      </c>
      <c r="E435" s="43" t="s">
        <v>2</v>
      </c>
      <c r="F435" s="41">
        <v>0</v>
      </c>
      <c r="G435" s="41">
        <v>0</v>
      </c>
      <c r="H435" s="41">
        <v>269.10000000000002</v>
      </c>
      <c r="I435" s="43">
        <v>90</v>
      </c>
      <c r="J435" s="43">
        <v>9</v>
      </c>
      <c r="K435" s="44">
        <v>4000000</v>
      </c>
      <c r="L435" s="43" t="s">
        <v>992</v>
      </c>
      <c r="M435" s="45">
        <v>46041</v>
      </c>
      <c r="N435" s="41">
        <v>269.10000000000002</v>
      </c>
      <c r="O435" s="42">
        <v>45988</v>
      </c>
      <c r="P435" s="46"/>
      <c r="Q435" s="41">
        <v>269.10000000000002</v>
      </c>
    </row>
    <row r="436" spans="1:17" ht="12" customHeight="1" x14ac:dyDescent="0.3">
      <c r="A436" s="39"/>
      <c r="B436" s="40" t="s">
        <v>1425</v>
      </c>
      <c r="C436" s="41">
        <v>201.83</v>
      </c>
      <c r="D436" s="42">
        <v>45951</v>
      </c>
      <c r="E436" s="43" t="s">
        <v>2</v>
      </c>
      <c r="F436" s="41">
        <v>0</v>
      </c>
      <c r="G436" s="41">
        <v>0</v>
      </c>
      <c r="H436" s="41">
        <v>201.83</v>
      </c>
      <c r="I436" s="43">
        <v>90</v>
      </c>
      <c r="J436" s="43">
        <v>9</v>
      </c>
      <c r="K436" s="44">
        <v>4000000</v>
      </c>
      <c r="L436" s="43" t="s">
        <v>992</v>
      </c>
      <c r="M436" s="45">
        <v>46041</v>
      </c>
      <c r="N436" s="41">
        <v>201.83</v>
      </c>
      <c r="O436" s="42">
        <v>45988</v>
      </c>
      <c r="P436" s="46"/>
      <c r="Q436" s="41">
        <v>201.83</v>
      </c>
    </row>
    <row r="437" spans="1:17" ht="12" customHeight="1" x14ac:dyDescent="0.3">
      <c r="A437" s="39"/>
      <c r="B437" s="40" t="s">
        <v>1426</v>
      </c>
      <c r="C437" s="41">
        <v>8318.09</v>
      </c>
      <c r="D437" s="42">
        <v>45951</v>
      </c>
      <c r="E437" s="43" t="s">
        <v>2</v>
      </c>
      <c r="F437" s="41">
        <v>0</v>
      </c>
      <c r="G437" s="41">
        <v>0</v>
      </c>
      <c r="H437" s="41">
        <v>8318.09</v>
      </c>
      <c r="I437" s="43">
        <v>90</v>
      </c>
      <c r="J437" s="43">
        <v>9</v>
      </c>
      <c r="K437" s="44">
        <v>4000000</v>
      </c>
      <c r="L437" s="43" t="s">
        <v>992</v>
      </c>
      <c r="M437" s="45">
        <v>46041</v>
      </c>
      <c r="N437" s="41">
        <v>8318.09</v>
      </c>
      <c r="O437" s="42">
        <v>45988</v>
      </c>
      <c r="P437" s="46"/>
      <c r="Q437" s="41">
        <v>8318.09</v>
      </c>
    </row>
    <row r="438" spans="1:17" ht="12" customHeight="1" x14ac:dyDescent="0.3">
      <c r="A438" s="39"/>
      <c r="B438" s="40" t="s">
        <v>1427</v>
      </c>
      <c r="C438" s="41">
        <v>168.19</v>
      </c>
      <c r="D438" s="42">
        <v>45951</v>
      </c>
      <c r="E438" s="43" t="s">
        <v>2</v>
      </c>
      <c r="F438" s="41">
        <v>0</v>
      </c>
      <c r="G438" s="41">
        <v>0</v>
      </c>
      <c r="H438" s="41">
        <v>168.19</v>
      </c>
      <c r="I438" s="43">
        <v>90</v>
      </c>
      <c r="J438" s="43">
        <v>9</v>
      </c>
      <c r="K438" s="44">
        <v>4000000</v>
      </c>
      <c r="L438" s="43" t="s">
        <v>992</v>
      </c>
      <c r="M438" s="45">
        <v>46041</v>
      </c>
      <c r="N438" s="41">
        <v>168.19</v>
      </c>
      <c r="O438" s="42">
        <v>45988</v>
      </c>
      <c r="P438" s="46"/>
      <c r="Q438" s="41">
        <v>168.19</v>
      </c>
    </row>
    <row r="439" spans="1:17" ht="12" customHeight="1" x14ac:dyDescent="0.3">
      <c r="A439" s="39"/>
      <c r="B439" s="40" t="s">
        <v>1428</v>
      </c>
      <c r="C439" s="41">
        <v>73000</v>
      </c>
      <c r="D439" s="42">
        <v>45952</v>
      </c>
      <c r="E439" s="43" t="s">
        <v>2</v>
      </c>
      <c r="F439" s="41">
        <v>0</v>
      </c>
      <c r="G439" s="41">
        <v>0</v>
      </c>
      <c r="H439" s="41">
        <v>73000</v>
      </c>
      <c r="I439" s="43">
        <v>90</v>
      </c>
      <c r="J439" s="43">
        <v>71</v>
      </c>
      <c r="K439" s="44">
        <v>2412263</v>
      </c>
      <c r="L439" s="43" t="s">
        <v>992</v>
      </c>
      <c r="M439" s="45">
        <v>46042</v>
      </c>
      <c r="N439" s="41">
        <v>73000</v>
      </c>
      <c r="O439" s="42">
        <v>45999</v>
      </c>
      <c r="P439" s="46"/>
      <c r="Q439" s="41">
        <v>73000</v>
      </c>
    </row>
    <row r="440" spans="1:17" ht="12" customHeight="1" x14ac:dyDescent="0.3">
      <c r="A440" s="39"/>
      <c r="B440" s="40" t="s">
        <v>1429</v>
      </c>
      <c r="C440" s="41">
        <v>145710</v>
      </c>
      <c r="D440" s="42">
        <v>45952</v>
      </c>
      <c r="E440" s="43" t="s">
        <v>2</v>
      </c>
      <c r="F440" s="41">
        <v>0</v>
      </c>
      <c r="G440" s="41">
        <v>0</v>
      </c>
      <c r="H440" s="41">
        <v>145710</v>
      </c>
      <c r="I440" s="43">
        <v>90</v>
      </c>
      <c r="J440" s="43">
        <v>71</v>
      </c>
      <c r="K440" s="44">
        <v>2412263</v>
      </c>
      <c r="L440" s="43" t="s">
        <v>992</v>
      </c>
      <c r="M440" s="45">
        <v>46042</v>
      </c>
      <c r="N440" s="41">
        <v>145710</v>
      </c>
      <c r="O440" s="42">
        <v>46005</v>
      </c>
      <c r="P440" s="46"/>
      <c r="Q440" s="41">
        <v>145710</v>
      </c>
    </row>
    <row r="441" spans="1:17" ht="12" customHeight="1" x14ac:dyDescent="0.3">
      <c r="A441" s="39"/>
      <c r="B441" s="40" t="s">
        <v>1430</v>
      </c>
      <c r="C441" s="41">
        <v>540</v>
      </c>
      <c r="D441" s="42">
        <v>45952</v>
      </c>
      <c r="E441" s="43" t="s">
        <v>2</v>
      </c>
      <c r="F441" s="41">
        <v>0</v>
      </c>
      <c r="G441" s="41">
        <v>0</v>
      </c>
      <c r="H441" s="41">
        <v>540</v>
      </c>
      <c r="I441" s="43">
        <v>90</v>
      </c>
      <c r="J441" s="43">
        <v>9</v>
      </c>
      <c r="K441" s="44">
        <v>4000000</v>
      </c>
      <c r="L441" s="43" t="s">
        <v>992</v>
      </c>
      <c r="M441" s="45">
        <v>46042</v>
      </c>
      <c r="N441" s="41">
        <v>540</v>
      </c>
      <c r="O441" s="42">
        <v>45988</v>
      </c>
      <c r="P441" s="46"/>
      <c r="Q441" s="41">
        <v>540</v>
      </c>
    </row>
    <row r="442" spans="1:17" ht="12" customHeight="1" x14ac:dyDescent="0.3">
      <c r="A442" s="39"/>
      <c r="B442" s="40" t="s">
        <v>1431</v>
      </c>
      <c r="C442" s="41">
        <v>148.01</v>
      </c>
      <c r="D442" s="42">
        <v>45952</v>
      </c>
      <c r="E442" s="43" t="s">
        <v>2</v>
      </c>
      <c r="F442" s="41">
        <v>0</v>
      </c>
      <c r="G442" s="41">
        <v>0</v>
      </c>
      <c r="H442" s="41">
        <v>148.01</v>
      </c>
      <c r="I442" s="43">
        <v>90</v>
      </c>
      <c r="J442" s="43">
        <v>9</v>
      </c>
      <c r="K442" s="44">
        <v>4000000</v>
      </c>
      <c r="L442" s="43" t="s">
        <v>992</v>
      </c>
      <c r="M442" s="45">
        <v>46042</v>
      </c>
      <c r="N442" s="41">
        <v>148.01</v>
      </c>
      <c r="O442" s="42">
        <v>45988</v>
      </c>
      <c r="P442" s="46"/>
      <c r="Q442" s="41">
        <v>148.01</v>
      </c>
    </row>
    <row r="443" spans="1:17" ht="12" customHeight="1" x14ac:dyDescent="0.3">
      <c r="A443" s="39"/>
      <c r="B443" s="40" t="s">
        <v>1432</v>
      </c>
      <c r="C443" s="41">
        <v>2656.04</v>
      </c>
      <c r="D443" s="42">
        <v>45952</v>
      </c>
      <c r="E443" s="43" t="s">
        <v>2</v>
      </c>
      <c r="F443" s="41">
        <v>0</v>
      </c>
      <c r="G443" s="41">
        <v>0</v>
      </c>
      <c r="H443" s="41">
        <v>2656.04</v>
      </c>
      <c r="I443" s="43">
        <v>90</v>
      </c>
      <c r="J443" s="43">
        <v>9</v>
      </c>
      <c r="K443" s="44">
        <v>4000000</v>
      </c>
      <c r="L443" s="43" t="s">
        <v>992</v>
      </c>
      <c r="M443" s="45">
        <v>46042</v>
      </c>
      <c r="N443" s="41">
        <v>2656.04</v>
      </c>
      <c r="O443" s="42">
        <v>45988</v>
      </c>
      <c r="P443" s="46"/>
      <c r="Q443" s="41">
        <v>2656.04</v>
      </c>
    </row>
    <row r="444" spans="1:17" ht="12" customHeight="1" x14ac:dyDescent="0.3">
      <c r="A444" s="39"/>
      <c r="B444" s="40" t="s">
        <v>1433</v>
      </c>
      <c r="C444" s="41">
        <v>302.39999999999998</v>
      </c>
      <c r="D444" s="42">
        <v>45952</v>
      </c>
      <c r="E444" s="43" t="s">
        <v>2</v>
      </c>
      <c r="F444" s="41">
        <v>0</v>
      </c>
      <c r="G444" s="41">
        <v>0</v>
      </c>
      <c r="H444" s="41">
        <v>302.39999999999998</v>
      </c>
      <c r="I444" s="43">
        <v>90</v>
      </c>
      <c r="J444" s="43">
        <v>9</v>
      </c>
      <c r="K444" s="44">
        <v>4000000</v>
      </c>
      <c r="L444" s="43" t="s">
        <v>992</v>
      </c>
      <c r="M444" s="45">
        <v>46042</v>
      </c>
      <c r="N444" s="41">
        <v>302.39999999999998</v>
      </c>
      <c r="O444" s="42">
        <v>45988</v>
      </c>
      <c r="P444" s="46"/>
      <c r="Q444" s="41">
        <v>302.39999999999998</v>
      </c>
    </row>
    <row r="445" spans="1:17" ht="12" customHeight="1" x14ac:dyDescent="0.3">
      <c r="A445" s="39"/>
      <c r="B445" s="40" t="s">
        <v>1434</v>
      </c>
      <c r="C445" s="41">
        <v>1425</v>
      </c>
      <c r="D445" s="42">
        <v>45952</v>
      </c>
      <c r="E445" s="43" t="s">
        <v>2</v>
      </c>
      <c r="F445" s="41">
        <v>0</v>
      </c>
      <c r="G445" s="41">
        <v>0</v>
      </c>
      <c r="H445" s="41">
        <v>1425</v>
      </c>
      <c r="I445" s="43">
        <v>90</v>
      </c>
      <c r="J445" s="43">
        <v>9</v>
      </c>
      <c r="K445" s="44">
        <v>4000000</v>
      </c>
      <c r="L445" s="43" t="s">
        <v>992</v>
      </c>
      <c r="M445" s="45">
        <v>46042</v>
      </c>
      <c r="N445" s="41">
        <v>1425</v>
      </c>
      <c r="O445" s="42">
        <v>45988</v>
      </c>
      <c r="P445" s="46"/>
      <c r="Q445" s="41">
        <v>1425</v>
      </c>
    </row>
    <row r="446" spans="1:17" ht="12" customHeight="1" x14ac:dyDescent="0.3">
      <c r="A446" s="39"/>
      <c r="B446" s="40" t="s">
        <v>1435</v>
      </c>
      <c r="C446" s="41">
        <v>302.39999999999998</v>
      </c>
      <c r="D446" s="42">
        <v>45956</v>
      </c>
      <c r="E446" s="43" t="s">
        <v>2</v>
      </c>
      <c r="F446" s="41">
        <v>0</v>
      </c>
      <c r="G446" s="41">
        <v>0</v>
      </c>
      <c r="H446" s="41">
        <v>302.39999999999998</v>
      </c>
      <c r="I446" s="43">
        <v>90</v>
      </c>
      <c r="J446" s="43">
        <v>9</v>
      </c>
      <c r="K446" s="44">
        <v>4000000</v>
      </c>
      <c r="L446" s="43" t="s">
        <v>992</v>
      </c>
      <c r="M446" s="45">
        <v>46047</v>
      </c>
      <c r="N446" s="41">
        <v>302.39999999999998</v>
      </c>
      <c r="O446" s="42">
        <v>45988</v>
      </c>
      <c r="P446" s="46"/>
      <c r="Q446" s="41">
        <v>302.39999999999998</v>
      </c>
    </row>
    <row r="447" spans="1:17" ht="12" customHeight="1" x14ac:dyDescent="0.3">
      <c r="A447" s="39"/>
      <c r="B447" s="40" t="s">
        <v>1436</v>
      </c>
      <c r="C447" s="41">
        <v>304.35000000000002</v>
      </c>
      <c r="D447" s="42">
        <v>45956</v>
      </c>
      <c r="E447" s="43" t="s">
        <v>2</v>
      </c>
      <c r="F447" s="41">
        <v>0</v>
      </c>
      <c r="G447" s="41">
        <v>0</v>
      </c>
      <c r="H447" s="41">
        <v>304.35000000000002</v>
      </c>
      <c r="I447" s="43">
        <v>90</v>
      </c>
      <c r="J447" s="43">
        <v>9</v>
      </c>
      <c r="K447" s="44">
        <v>4000000</v>
      </c>
      <c r="L447" s="43" t="s">
        <v>992</v>
      </c>
      <c r="M447" s="45">
        <v>46047</v>
      </c>
      <c r="N447" s="41">
        <v>304.35000000000002</v>
      </c>
      <c r="O447" s="42">
        <v>45988</v>
      </c>
      <c r="P447" s="46"/>
      <c r="Q447" s="41">
        <v>304.35000000000002</v>
      </c>
    </row>
    <row r="448" spans="1:17" ht="12" customHeight="1" x14ac:dyDescent="0.3">
      <c r="A448" s="39"/>
      <c r="B448" s="40" t="s">
        <v>1437</v>
      </c>
      <c r="C448" s="41">
        <v>62403.6</v>
      </c>
      <c r="D448" s="42">
        <v>45956</v>
      </c>
      <c r="E448" s="43" t="s">
        <v>2</v>
      </c>
      <c r="F448" s="41">
        <v>0</v>
      </c>
      <c r="G448" s="41">
        <v>0</v>
      </c>
      <c r="H448" s="41">
        <v>62403.6</v>
      </c>
      <c r="I448" s="43">
        <v>90</v>
      </c>
      <c r="J448" s="43">
        <v>9</v>
      </c>
      <c r="K448" s="44">
        <v>4000000</v>
      </c>
      <c r="L448" s="43" t="s">
        <v>992</v>
      </c>
      <c r="M448" s="45">
        <v>46047</v>
      </c>
      <c r="N448" s="41">
        <v>62403.6</v>
      </c>
      <c r="O448" s="42">
        <v>45988</v>
      </c>
      <c r="P448" s="46"/>
      <c r="Q448" s="41">
        <v>62403.6</v>
      </c>
    </row>
    <row r="449" spans="1:17" ht="12" customHeight="1" x14ac:dyDescent="0.3">
      <c r="A449" s="39"/>
      <c r="B449" s="40" t="s">
        <v>1438</v>
      </c>
      <c r="C449" s="41">
        <v>46797.88</v>
      </c>
      <c r="D449" s="42">
        <v>45956</v>
      </c>
      <c r="E449" s="43" t="s">
        <v>2</v>
      </c>
      <c r="F449" s="41">
        <v>0</v>
      </c>
      <c r="G449" s="41">
        <v>0</v>
      </c>
      <c r="H449" s="41">
        <v>46797.88</v>
      </c>
      <c r="I449" s="43">
        <v>90</v>
      </c>
      <c r="J449" s="43">
        <v>9</v>
      </c>
      <c r="K449" s="44">
        <v>4000000</v>
      </c>
      <c r="L449" s="43" t="s">
        <v>992</v>
      </c>
      <c r="M449" s="45">
        <v>46047</v>
      </c>
      <c r="N449" s="41">
        <v>46797.88</v>
      </c>
      <c r="O449" s="42">
        <v>45988</v>
      </c>
      <c r="P449" s="46"/>
      <c r="Q449" s="41">
        <v>46797.88</v>
      </c>
    </row>
    <row r="450" spans="1:17" ht="12" customHeight="1" x14ac:dyDescent="0.3">
      <c r="A450" s="39"/>
      <c r="B450" s="40" t="s">
        <v>1439</v>
      </c>
      <c r="C450" s="41">
        <v>62403.6</v>
      </c>
      <c r="D450" s="42">
        <v>45956</v>
      </c>
      <c r="E450" s="43" t="s">
        <v>2</v>
      </c>
      <c r="F450" s="41">
        <v>0</v>
      </c>
      <c r="G450" s="41">
        <v>0</v>
      </c>
      <c r="H450" s="41">
        <v>62403.6</v>
      </c>
      <c r="I450" s="43">
        <v>90</v>
      </c>
      <c r="J450" s="43">
        <v>9</v>
      </c>
      <c r="K450" s="44">
        <v>4000000</v>
      </c>
      <c r="L450" s="43" t="s">
        <v>992</v>
      </c>
      <c r="M450" s="45">
        <v>46047</v>
      </c>
      <c r="N450" s="41">
        <v>62403.6</v>
      </c>
      <c r="O450" s="42">
        <v>45988</v>
      </c>
      <c r="P450" s="46"/>
      <c r="Q450" s="41">
        <v>62403.6</v>
      </c>
    </row>
    <row r="451" spans="1:17" ht="12" customHeight="1" x14ac:dyDescent="0.3">
      <c r="A451" s="39"/>
      <c r="B451" s="40" t="s">
        <v>1440</v>
      </c>
      <c r="C451" s="41">
        <v>20608</v>
      </c>
      <c r="D451" s="42">
        <v>45956</v>
      </c>
      <c r="E451" s="43" t="s">
        <v>2</v>
      </c>
      <c r="F451" s="41">
        <v>0</v>
      </c>
      <c r="G451" s="41">
        <v>0</v>
      </c>
      <c r="H451" s="41">
        <v>20608</v>
      </c>
      <c r="I451" s="43">
        <v>90</v>
      </c>
      <c r="J451" s="43">
        <v>9</v>
      </c>
      <c r="K451" s="44">
        <v>4000000</v>
      </c>
      <c r="L451" s="43" t="s">
        <v>992</v>
      </c>
      <c r="M451" s="45">
        <v>46047</v>
      </c>
      <c r="N451" s="41">
        <v>20608</v>
      </c>
      <c r="O451" s="42">
        <v>45988</v>
      </c>
      <c r="P451" s="46"/>
      <c r="Q451" s="41">
        <v>20608</v>
      </c>
    </row>
    <row r="452" spans="1:17" ht="12" customHeight="1" x14ac:dyDescent="0.3">
      <c r="A452" s="39"/>
      <c r="B452" s="40" t="s">
        <v>1441</v>
      </c>
      <c r="C452" s="41">
        <v>75612.36</v>
      </c>
      <c r="D452" s="42">
        <v>45956</v>
      </c>
      <c r="E452" s="43" t="s">
        <v>2</v>
      </c>
      <c r="F452" s="41">
        <v>0</v>
      </c>
      <c r="G452" s="41">
        <v>0</v>
      </c>
      <c r="H452" s="41">
        <v>75612.36</v>
      </c>
      <c r="I452" s="43">
        <v>90</v>
      </c>
      <c r="J452" s="43">
        <v>9</v>
      </c>
      <c r="K452" s="44">
        <v>4000000</v>
      </c>
      <c r="L452" s="43" t="s">
        <v>992</v>
      </c>
      <c r="M452" s="45">
        <v>46047</v>
      </c>
      <c r="N452" s="41">
        <v>75612.36</v>
      </c>
      <c r="O452" s="42">
        <v>45988</v>
      </c>
      <c r="P452" s="46"/>
      <c r="Q452" s="41">
        <v>75612.36</v>
      </c>
    </row>
    <row r="453" spans="1:17" ht="12" customHeight="1" x14ac:dyDescent="0.3">
      <c r="A453" s="39"/>
      <c r="B453" s="40" t="s">
        <v>1442</v>
      </c>
      <c r="C453" s="41">
        <v>1458.09</v>
      </c>
      <c r="D453" s="42">
        <v>45956</v>
      </c>
      <c r="E453" s="43" t="s">
        <v>2</v>
      </c>
      <c r="F453" s="41">
        <v>0</v>
      </c>
      <c r="G453" s="41">
        <v>0</v>
      </c>
      <c r="H453" s="41">
        <v>1458.09</v>
      </c>
      <c r="I453" s="43">
        <v>90</v>
      </c>
      <c r="J453" s="43">
        <v>9</v>
      </c>
      <c r="K453" s="44">
        <v>4000000</v>
      </c>
      <c r="L453" s="43" t="s">
        <v>992</v>
      </c>
      <c r="M453" s="45">
        <v>46047</v>
      </c>
      <c r="N453" s="41">
        <v>1458.09</v>
      </c>
      <c r="O453" s="42">
        <v>45988</v>
      </c>
      <c r="P453" s="46"/>
      <c r="Q453" s="41">
        <v>1458.09</v>
      </c>
    </row>
    <row r="454" spans="1:17" ht="12" customHeight="1" x14ac:dyDescent="0.3">
      <c r="A454" s="39"/>
      <c r="B454" s="40" t="s">
        <v>1443</v>
      </c>
      <c r="C454" s="41">
        <v>3180.1</v>
      </c>
      <c r="D454" s="42">
        <v>45956</v>
      </c>
      <c r="E454" s="43" t="s">
        <v>2</v>
      </c>
      <c r="F454" s="41">
        <v>0</v>
      </c>
      <c r="G454" s="41">
        <v>0</v>
      </c>
      <c r="H454" s="41">
        <v>3180.1</v>
      </c>
      <c r="I454" s="43">
        <v>90</v>
      </c>
      <c r="J454" s="43">
        <v>9</v>
      </c>
      <c r="K454" s="44">
        <v>4000000</v>
      </c>
      <c r="L454" s="43" t="s">
        <v>992</v>
      </c>
      <c r="M454" s="45">
        <v>46047</v>
      </c>
      <c r="N454" s="41">
        <v>3180.1</v>
      </c>
      <c r="O454" s="42">
        <v>45988</v>
      </c>
      <c r="P454" s="46"/>
      <c r="Q454" s="41">
        <v>3180.1</v>
      </c>
    </row>
    <row r="455" spans="1:17" ht="12" customHeight="1" x14ac:dyDescent="0.3">
      <c r="A455" s="39"/>
      <c r="B455" s="40" t="s">
        <v>1444</v>
      </c>
      <c r="C455" s="41">
        <v>13900.46</v>
      </c>
      <c r="D455" s="42">
        <v>45956</v>
      </c>
      <c r="E455" s="43" t="s">
        <v>2</v>
      </c>
      <c r="F455" s="41">
        <v>0</v>
      </c>
      <c r="G455" s="41">
        <v>0</v>
      </c>
      <c r="H455" s="41">
        <v>13900.46</v>
      </c>
      <c r="I455" s="43">
        <v>90</v>
      </c>
      <c r="J455" s="43">
        <v>9</v>
      </c>
      <c r="K455" s="44">
        <v>4000000</v>
      </c>
      <c r="L455" s="43" t="s">
        <v>992</v>
      </c>
      <c r="M455" s="45">
        <v>46047</v>
      </c>
      <c r="N455" s="41">
        <v>13900.46</v>
      </c>
      <c r="O455" s="42">
        <v>45988</v>
      </c>
      <c r="P455" s="46"/>
      <c r="Q455" s="41">
        <v>13900.46</v>
      </c>
    </row>
    <row r="456" spans="1:17" ht="12" customHeight="1" x14ac:dyDescent="0.3">
      <c r="A456" s="39"/>
      <c r="B456" s="40" t="s">
        <v>1445</v>
      </c>
      <c r="C456" s="41">
        <v>15329.1</v>
      </c>
      <c r="D456" s="42">
        <v>45956</v>
      </c>
      <c r="E456" s="43" t="s">
        <v>2</v>
      </c>
      <c r="F456" s="41">
        <v>0</v>
      </c>
      <c r="G456" s="41">
        <v>0</v>
      </c>
      <c r="H456" s="41">
        <v>15329.1</v>
      </c>
      <c r="I456" s="43">
        <v>90</v>
      </c>
      <c r="J456" s="43">
        <v>9</v>
      </c>
      <c r="K456" s="44">
        <v>4000000</v>
      </c>
      <c r="L456" s="43" t="s">
        <v>992</v>
      </c>
      <c r="M456" s="45">
        <v>46047</v>
      </c>
      <c r="N456" s="41">
        <v>15329.1</v>
      </c>
      <c r="O456" s="42">
        <v>45990</v>
      </c>
      <c r="P456" s="46"/>
      <c r="Q456" s="41">
        <v>15329.1</v>
      </c>
    </row>
    <row r="457" spans="1:17" ht="12" customHeight="1" x14ac:dyDescent="0.3">
      <c r="A457" s="39"/>
      <c r="B457" s="40" t="s">
        <v>1446</v>
      </c>
      <c r="C457" s="41">
        <v>207</v>
      </c>
      <c r="D457" s="42">
        <v>45956</v>
      </c>
      <c r="E457" s="43" t="s">
        <v>2</v>
      </c>
      <c r="F457" s="41">
        <v>0</v>
      </c>
      <c r="G457" s="41">
        <v>0</v>
      </c>
      <c r="H457" s="41">
        <v>207</v>
      </c>
      <c r="I457" s="43">
        <v>90</v>
      </c>
      <c r="J457" s="43">
        <v>9</v>
      </c>
      <c r="K457" s="44">
        <v>4000000</v>
      </c>
      <c r="L457" s="43" t="s">
        <v>992</v>
      </c>
      <c r="M457" s="45">
        <v>46047</v>
      </c>
      <c r="N457" s="41">
        <v>207</v>
      </c>
      <c r="O457" s="42">
        <v>45990</v>
      </c>
      <c r="P457" s="46"/>
      <c r="Q457" s="41">
        <v>207</v>
      </c>
    </row>
    <row r="458" spans="1:17" ht="12" customHeight="1" x14ac:dyDescent="0.3">
      <c r="A458" s="39"/>
      <c r="B458" s="40" t="s">
        <v>1447</v>
      </c>
      <c r="C458" s="41">
        <v>1699.7</v>
      </c>
      <c r="D458" s="42">
        <v>45956</v>
      </c>
      <c r="E458" s="43" t="s">
        <v>2</v>
      </c>
      <c r="F458" s="41">
        <v>0</v>
      </c>
      <c r="G458" s="41">
        <v>0</v>
      </c>
      <c r="H458" s="41">
        <v>1699.7</v>
      </c>
      <c r="I458" s="43">
        <v>90</v>
      </c>
      <c r="J458" s="43">
        <v>9</v>
      </c>
      <c r="K458" s="44">
        <v>4000000</v>
      </c>
      <c r="L458" s="43" t="s">
        <v>992</v>
      </c>
      <c r="M458" s="45">
        <v>46047</v>
      </c>
      <c r="N458" s="41">
        <v>1699.7</v>
      </c>
      <c r="O458" s="42">
        <v>45990</v>
      </c>
      <c r="P458" s="46"/>
      <c r="Q458" s="41">
        <v>1699.7</v>
      </c>
    </row>
    <row r="459" spans="1:17" ht="12" customHeight="1" x14ac:dyDescent="0.3">
      <c r="A459" s="39"/>
      <c r="B459" s="40" t="s">
        <v>1448</v>
      </c>
      <c r="C459" s="41">
        <v>5183</v>
      </c>
      <c r="D459" s="42">
        <v>45956</v>
      </c>
      <c r="E459" s="43" t="s">
        <v>2</v>
      </c>
      <c r="F459" s="41">
        <v>0</v>
      </c>
      <c r="G459" s="41">
        <v>0</v>
      </c>
      <c r="H459" s="41">
        <v>5183</v>
      </c>
      <c r="I459" s="43">
        <v>90</v>
      </c>
      <c r="J459" s="43">
        <v>9</v>
      </c>
      <c r="K459" s="44">
        <v>4000000</v>
      </c>
      <c r="L459" s="43" t="s">
        <v>992</v>
      </c>
      <c r="M459" s="45">
        <v>46047</v>
      </c>
      <c r="N459" s="41">
        <v>5183</v>
      </c>
      <c r="O459" s="42">
        <v>45992</v>
      </c>
      <c r="P459" s="46"/>
      <c r="Q459" s="41">
        <v>5183</v>
      </c>
    </row>
    <row r="460" spans="1:17" ht="12" customHeight="1" x14ac:dyDescent="0.3">
      <c r="A460" s="39"/>
      <c r="B460" s="40" t="s">
        <v>1449</v>
      </c>
      <c r="C460" s="41">
        <v>285000</v>
      </c>
      <c r="D460" s="42">
        <v>45956</v>
      </c>
      <c r="E460" s="43" t="s">
        <v>2</v>
      </c>
      <c r="F460" s="41">
        <v>0</v>
      </c>
      <c r="G460" s="41">
        <v>0</v>
      </c>
      <c r="H460" s="41">
        <v>285000</v>
      </c>
      <c r="I460" s="43">
        <v>90</v>
      </c>
      <c r="J460" s="43">
        <v>197</v>
      </c>
      <c r="K460" s="44">
        <v>4000000</v>
      </c>
      <c r="L460" s="43" t="s">
        <v>992</v>
      </c>
      <c r="M460" s="45">
        <v>46047</v>
      </c>
      <c r="N460" s="41">
        <v>285000</v>
      </c>
      <c r="O460" s="42">
        <v>45958</v>
      </c>
      <c r="P460" s="46"/>
      <c r="Q460" s="41">
        <v>285000</v>
      </c>
    </row>
    <row r="461" spans="1:17" ht="12" customHeight="1" x14ac:dyDescent="0.3">
      <c r="A461" s="39"/>
      <c r="B461" s="40" t="s">
        <v>1450</v>
      </c>
      <c r="C461" s="41">
        <v>300000</v>
      </c>
      <c r="D461" s="42">
        <v>45957</v>
      </c>
      <c r="E461" s="43" t="s">
        <v>2</v>
      </c>
      <c r="F461" s="41">
        <v>0</v>
      </c>
      <c r="G461" s="41">
        <v>0</v>
      </c>
      <c r="H461" s="41">
        <v>300000</v>
      </c>
      <c r="I461" s="43">
        <v>90</v>
      </c>
      <c r="J461" s="43">
        <v>71</v>
      </c>
      <c r="K461" s="44">
        <v>2412263</v>
      </c>
      <c r="L461" s="43" t="s">
        <v>992</v>
      </c>
      <c r="M461" s="45">
        <v>46047</v>
      </c>
      <c r="N461" s="41">
        <v>300000</v>
      </c>
      <c r="O461" s="42">
        <v>46007</v>
      </c>
      <c r="P461" s="46"/>
      <c r="Q461" s="41">
        <v>300000</v>
      </c>
    </row>
    <row r="462" spans="1:17" ht="12" customHeight="1" x14ac:dyDescent="0.3">
      <c r="A462" s="39"/>
      <c r="B462" s="40" t="s">
        <v>1451</v>
      </c>
      <c r="C462" s="41">
        <v>400200</v>
      </c>
      <c r="D462" s="42">
        <v>45957</v>
      </c>
      <c r="E462" s="43" t="s">
        <v>2</v>
      </c>
      <c r="F462" s="41">
        <v>0</v>
      </c>
      <c r="G462" s="41">
        <v>0</v>
      </c>
      <c r="H462" s="41">
        <v>400200</v>
      </c>
      <c r="I462" s="43">
        <v>90</v>
      </c>
      <c r="J462" s="43">
        <v>71</v>
      </c>
      <c r="K462" s="44">
        <v>2412263</v>
      </c>
      <c r="L462" s="43" t="s">
        <v>992</v>
      </c>
      <c r="M462" s="45">
        <v>46047</v>
      </c>
      <c r="N462" s="41">
        <v>400200</v>
      </c>
      <c r="O462" s="42">
        <v>46009</v>
      </c>
      <c r="P462" s="46"/>
      <c r="Q462" s="41">
        <v>400200</v>
      </c>
    </row>
    <row r="463" spans="1:17" ht="12" customHeight="1" x14ac:dyDescent="0.3">
      <c r="A463" s="39"/>
      <c r="B463" s="40" t="s">
        <v>1452</v>
      </c>
      <c r="C463" s="41">
        <v>602099</v>
      </c>
      <c r="D463" s="42">
        <v>45958</v>
      </c>
      <c r="E463" s="43" t="s">
        <v>2</v>
      </c>
      <c r="F463" s="41">
        <v>0</v>
      </c>
      <c r="G463" s="41">
        <v>0</v>
      </c>
      <c r="H463" s="41">
        <v>602099</v>
      </c>
      <c r="I463" s="43">
        <v>90</v>
      </c>
      <c r="J463" s="43">
        <v>197</v>
      </c>
      <c r="K463" s="44">
        <v>4000000</v>
      </c>
      <c r="L463" s="43" t="s">
        <v>992</v>
      </c>
      <c r="M463" s="45">
        <v>46048</v>
      </c>
      <c r="N463" s="41">
        <v>602099</v>
      </c>
      <c r="O463" s="42">
        <v>45958</v>
      </c>
      <c r="P463" s="46"/>
      <c r="Q463" s="41">
        <v>602099</v>
      </c>
    </row>
    <row r="464" spans="1:17" ht="12" customHeight="1" x14ac:dyDescent="0.3">
      <c r="A464" s="39"/>
      <c r="B464" s="40" t="s">
        <v>1453</v>
      </c>
      <c r="C464" s="41">
        <v>600017.98</v>
      </c>
      <c r="D464" s="42">
        <v>45958</v>
      </c>
      <c r="E464" s="43" t="s">
        <v>2</v>
      </c>
      <c r="F464" s="41">
        <v>0</v>
      </c>
      <c r="G464" s="41">
        <v>0</v>
      </c>
      <c r="H464" s="41">
        <v>600017.98</v>
      </c>
      <c r="I464" s="43">
        <v>90</v>
      </c>
      <c r="J464" s="43">
        <v>197</v>
      </c>
      <c r="K464" s="44">
        <v>4000000</v>
      </c>
      <c r="L464" s="43" t="s">
        <v>992</v>
      </c>
      <c r="M464" s="45">
        <v>46048</v>
      </c>
      <c r="N464" s="41">
        <v>600017.98</v>
      </c>
      <c r="O464" s="42">
        <v>45958</v>
      </c>
      <c r="P464" s="46"/>
      <c r="Q464" s="41">
        <v>600017.98</v>
      </c>
    </row>
    <row r="465" spans="1:17" ht="12" customHeight="1" x14ac:dyDescent="0.3">
      <c r="A465" s="39"/>
      <c r="B465" s="40" t="s">
        <v>1454</v>
      </c>
      <c r="C465" s="41">
        <v>600046</v>
      </c>
      <c r="D465" s="42">
        <v>45958</v>
      </c>
      <c r="E465" s="43" t="s">
        <v>2</v>
      </c>
      <c r="F465" s="41">
        <v>0</v>
      </c>
      <c r="G465" s="41">
        <v>0</v>
      </c>
      <c r="H465" s="41">
        <v>600046</v>
      </c>
      <c r="I465" s="43">
        <v>90</v>
      </c>
      <c r="J465" s="43">
        <v>197</v>
      </c>
      <c r="K465" s="44">
        <v>4000000</v>
      </c>
      <c r="L465" s="43" t="s">
        <v>992</v>
      </c>
      <c r="M465" s="45">
        <v>46048</v>
      </c>
      <c r="N465" s="41">
        <v>600046</v>
      </c>
      <c r="O465" s="42">
        <v>45958</v>
      </c>
      <c r="P465" s="46"/>
      <c r="Q465" s="41">
        <v>600046</v>
      </c>
    </row>
    <row r="466" spans="1:17" ht="12" customHeight="1" x14ac:dyDescent="0.3">
      <c r="A466" s="39"/>
      <c r="B466" s="40" t="s">
        <v>1455</v>
      </c>
      <c r="C466" s="41">
        <v>600000</v>
      </c>
      <c r="D466" s="42">
        <v>45958</v>
      </c>
      <c r="E466" s="43" t="s">
        <v>2</v>
      </c>
      <c r="F466" s="41">
        <v>0</v>
      </c>
      <c r="G466" s="41">
        <v>0</v>
      </c>
      <c r="H466" s="41">
        <v>600000</v>
      </c>
      <c r="I466" s="43">
        <v>90</v>
      </c>
      <c r="J466" s="43">
        <v>197</v>
      </c>
      <c r="K466" s="44">
        <v>4000000</v>
      </c>
      <c r="L466" s="43" t="s">
        <v>992</v>
      </c>
      <c r="M466" s="45">
        <v>46048</v>
      </c>
      <c r="N466" s="41">
        <v>600000</v>
      </c>
      <c r="O466" s="42">
        <v>45958</v>
      </c>
      <c r="P466" s="46"/>
      <c r="Q466" s="41">
        <v>600000</v>
      </c>
    </row>
    <row r="467" spans="1:17" ht="12" customHeight="1" x14ac:dyDescent="0.3">
      <c r="A467" s="39"/>
      <c r="B467" s="40" t="s">
        <v>1456</v>
      </c>
      <c r="C467" s="41">
        <v>599998</v>
      </c>
      <c r="D467" s="42">
        <v>45958</v>
      </c>
      <c r="E467" s="43" t="s">
        <v>2</v>
      </c>
      <c r="F467" s="41">
        <v>0</v>
      </c>
      <c r="G467" s="41">
        <v>0</v>
      </c>
      <c r="H467" s="41">
        <v>599998</v>
      </c>
      <c r="I467" s="43">
        <v>90</v>
      </c>
      <c r="J467" s="43">
        <v>197</v>
      </c>
      <c r="K467" s="44">
        <v>4000000</v>
      </c>
      <c r="L467" s="43" t="s">
        <v>992</v>
      </c>
      <c r="M467" s="45">
        <v>46048</v>
      </c>
      <c r="N467" s="41">
        <v>599998</v>
      </c>
      <c r="O467" s="42">
        <v>45958</v>
      </c>
      <c r="P467" s="46"/>
      <c r="Q467" s="41">
        <v>599998</v>
      </c>
    </row>
    <row r="468" spans="1:17" ht="12" customHeight="1" x14ac:dyDescent="0.3">
      <c r="A468" s="39"/>
      <c r="B468" s="40" t="s">
        <v>1457</v>
      </c>
      <c r="C468" s="41">
        <v>5299.56</v>
      </c>
      <c r="D468" s="42">
        <v>45958</v>
      </c>
      <c r="E468" s="43" t="s">
        <v>2</v>
      </c>
      <c r="F468" s="41">
        <v>0</v>
      </c>
      <c r="G468" s="41">
        <v>0</v>
      </c>
      <c r="H468" s="41">
        <v>5299.56</v>
      </c>
      <c r="I468" s="43">
        <v>90</v>
      </c>
      <c r="J468" s="43">
        <v>9</v>
      </c>
      <c r="K468" s="44">
        <v>4000000</v>
      </c>
      <c r="L468" s="43" t="s">
        <v>992</v>
      </c>
      <c r="M468" s="45">
        <v>46048</v>
      </c>
      <c r="N468" s="41">
        <v>5299.56</v>
      </c>
      <c r="O468" s="42">
        <v>45993</v>
      </c>
      <c r="P468" s="46"/>
      <c r="Q468" s="41">
        <v>5299.56</v>
      </c>
    </row>
    <row r="469" spans="1:17" ht="12" customHeight="1" x14ac:dyDescent="0.3">
      <c r="A469" s="39"/>
      <c r="B469" s="40" t="s">
        <v>1458</v>
      </c>
      <c r="C469" s="41">
        <v>1835.68</v>
      </c>
      <c r="D469" s="42">
        <v>45958</v>
      </c>
      <c r="E469" s="43" t="s">
        <v>2</v>
      </c>
      <c r="F469" s="41">
        <v>0</v>
      </c>
      <c r="G469" s="41">
        <v>0</v>
      </c>
      <c r="H469" s="41">
        <v>1835.68</v>
      </c>
      <c r="I469" s="43">
        <v>90</v>
      </c>
      <c r="J469" s="43">
        <v>9</v>
      </c>
      <c r="K469" s="44">
        <v>4000000</v>
      </c>
      <c r="L469" s="43" t="s">
        <v>992</v>
      </c>
      <c r="M469" s="45">
        <v>46048</v>
      </c>
      <c r="N469" s="41">
        <v>1835.68</v>
      </c>
      <c r="O469" s="42">
        <v>45994</v>
      </c>
      <c r="P469" s="46"/>
      <c r="Q469" s="41">
        <v>1835.68</v>
      </c>
    </row>
    <row r="470" spans="1:17" ht="12" customHeight="1" x14ac:dyDescent="0.3">
      <c r="A470" s="39"/>
      <c r="B470" s="40" t="s">
        <v>1459</v>
      </c>
      <c r="C470" s="41">
        <v>7787.97</v>
      </c>
      <c r="D470" s="42">
        <v>45958</v>
      </c>
      <c r="E470" s="43" t="s">
        <v>2</v>
      </c>
      <c r="F470" s="41">
        <v>0</v>
      </c>
      <c r="G470" s="41">
        <v>0</v>
      </c>
      <c r="H470" s="41">
        <v>7787.97</v>
      </c>
      <c r="I470" s="43">
        <v>90</v>
      </c>
      <c r="J470" s="43">
        <v>9</v>
      </c>
      <c r="K470" s="44">
        <v>4000000</v>
      </c>
      <c r="L470" s="43" t="s">
        <v>992</v>
      </c>
      <c r="M470" s="45">
        <v>46048</v>
      </c>
      <c r="N470" s="41">
        <v>7787.97</v>
      </c>
      <c r="O470" s="42">
        <v>45994</v>
      </c>
      <c r="P470" s="46"/>
      <c r="Q470" s="41">
        <v>7787.97</v>
      </c>
    </row>
    <row r="471" spans="1:17" ht="12" customHeight="1" x14ac:dyDescent="0.3">
      <c r="A471" s="39"/>
      <c r="B471" s="40" t="s">
        <v>1460</v>
      </c>
      <c r="C471" s="41">
        <v>3182.41</v>
      </c>
      <c r="D471" s="42">
        <v>45958</v>
      </c>
      <c r="E471" s="43" t="s">
        <v>2</v>
      </c>
      <c r="F471" s="41">
        <v>0</v>
      </c>
      <c r="G471" s="41">
        <v>0</v>
      </c>
      <c r="H471" s="41">
        <v>3182.41</v>
      </c>
      <c r="I471" s="43">
        <v>90</v>
      </c>
      <c r="J471" s="43">
        <v>9</v>
      </c>
      <c r="K471" s="44">
        <v>4000000</v>
      </c>
      <c r="L471" s="43" t="s">
        <v>992</v>
      </c>
      <c r="M471" s="45">
        <v>46048</v>
      </c>
      <c r="N471" s="41">
        <v>3182.41</v>
      </c>
      <c r="O471" s="42">
        <v>45994</v>
      </c>
      <c r="P471" s="46"/>
      <c r="Q471" s="41">
        <v>3182.41</v>
      </c>
    </row>
    <row r="472" spans="1:17" ht="12" customHeight="1" x14ac:dyDescent="0.3">
      <c r="A472" s="39"/>
      <c r="B472" s="40" t="s">
        <v>1461</v>
      </c>
      <c r="C472" s="41">
        <v>148</v>
      </c>
      <c r="D472" s="42">
        <v>45958</v>
      </c>
      <c r="E472" s="43" t="s">
        <v>2</v>
      </c>
      <c r="F472" s="41">
        <v>0</v>
      </c>
      <c r="G472" s="41">
        <v>0</v>
      </c>
      <c r="H472" s="41">
        <v>148</v>
      </c>
      <c r="I472" s="43">
        <v>90</v>
      </c>
      <c r="J472" s="43">
        <v>9</v>
      </c>
      <c r="K472" s="44">
        <v>4000000</v>
      </c>
      <c r="L472" s="43" t="s">
        <v>992</v>
      </c>
      <c r="M472" s="45">
        <v>46048</v>
      </c>
      <c r="N472" s="41">
        <v>148</v>
      </c>
      <c r="O472" s="42">
        <v>45994</v>
      </c>
      <c r="P472" s="46"/>
      <c r="Q472" s="41">
        <v>148</v>
      </c>
    </row>
    <row r="473" spans="1:17" ht="12" customHeight="1" x14ac:dyDescent="0.3">
      <c r="A473" s="39"/>
      <c r="B473" s="40" t="s">
        <v>1462</v>
      </c>
      <c r="C473" s="41">
        <v>370</v>
      </c>
      <c r="D473" s="42">
        <v>45958</v>
      </c>
      <c r="E473" s="43" t="s">
        <v>2</v>
      </c>
      <c r="F473" s="41">
        <v>0</v>
      </c>
      <c r="G473" s="41">
        <v>0</v>
      </c>
      <c r="H473" s="41">
        <v>370</v>
      </c>
      <c r="I473" s="43">
        <v>90</v>
      </c>
      <c r="J473" s="43">
        <v>9</v>
      </c>
      <c r="K473" s="44">
        <v>4000000</v>
      </c>
      <c r="L473" s="43" t="s">
        <v>992</v>
      </c>
      <c r="M473" s="45">
        <v>46048</v>
      </c>
      <c r="N473" s="41">
        <v>370</v>
      </c>
      <c r="O473" s="42">
        <v>45994</v>
      </c>
      <c r="P473" s="46"/>
      <c r="Q473" s="41">
        <v>370</v>
      </c>
    </row>
    <row r="474" spans="1:17" ht="12" customHeight="1" x14ac:dyDescent="0.3">
      <c r="A474" s="39"/>
      <c r="B474" s="40" t="s">
        <v>1463</v>
      </c>
      <c r="C474" s="41">
        <v>19764</v>
      </c>
      <c r="D474" s="42">
        <v>45958</v>
      </c>
      <c r="E474" s="43" t="s">
        <v>2</v>
      </c>
      <c r="F474" s="41">
        <v>0</v>
      </c>
      <c r="G474" s="41">
        <v>0</v>
      </c>
      <c r="H474" s="41">
        <v>19764</v>
      </c>
      <c r="I474" s="43">
        <v>90</v>
      </c>
      <c r="J474" s="43">
        <v>9</v>
      </c>
      <c r="K474" s="44">
        <v>4000000</v>
      </c>
      <c r="L474" s="43" t="s">
        <v>992</v>
      </c>
      <c r="M474" s="45">
        <v>46048</v>
      </c>
      <c r="N474" s="41">
        <v>19764</v>
      </c>
      <c r="O474" s="42">
        <v>45994</v>
      </c>
      <c r="P474" s="46"/>
      <c r="Q474" s="41">
        <v>19764</v>
      </c>
    </row>
    <row r="475" spans="1:17" ht="12" customHeight="1" x14ac:dyDescent="0.3">
      <c r="A475" s="39"/>
      <c r="B475" s="40" t="s">
        <v>1464</v>
      </c>
      <c r="C475" s="41">
        <v>302.39999999999998</v>
      </c>
      <c r="D475" s="42">
        <v>45958</v>
      </c>
      <c r="E475" s="43" t="s">
        <v>2</v>
      </c>
      <c r="F475" s="41">
        <v>0</v>
      </c>
      <c r="G475" s="41">
        <v>0</v>
      </c>
      <c r="H475" s="41">
        <v>302.39999999999998</v>
      </c>
      <c r="I475" s="43">
        <v>90</v>
      </c>
      <c r="J475" s="43">
        <v>9</v>
      </c>
      <c r="K475" s="44">
        <v>4000000</v>
      </c>
      <c r="L475" s="43" t="s">
        <v>992</v>
      </c>
      <c r="M475" s="45">
        <v>46048</v>
      </c>
      <c r="N475" s="41">
        <v>302.39999999999998</v>
      </c>
      <c r="O475" s="42">
        <v>45994</v>
      </c>
      <c r="P475" s="46"/>
      <c r="Q475" s="41">
        <v>302.39999999999998</v>
      </c>
    </row>
    <row r="476" spans="1:17" ht="12" customHeight="1" x14ac:dyDescent="0.3">
      <c r="A476" s="39"/>
      <c r="B476" s="40" t="s">
        <v>1465</v>
      </c>
      <c r="C476" s="41">
        <v>7315</v>
      </c>
      <c r="D476" s="42">
        <v>45958</v>
      </c>
      <c r="E476" s="43" t="s">
        <v>2</v>
      </c>
      <c r="F476" s="41">
        <v>0</v>
      </c>
      <c r="G476" s="41">
        <v>0</v>
      </c>
      <c r="H476" s="41">
        <v>7315</v>
      </c>
      <c r="I476" s="43">
        <v>90</v>
      </c>
      <c r="J476" s="43">
        <v>9</v>
      </c>
      <c r="K476" s="44">
        <v>4000000</v>
      </c>
      <c r="L476" s="43" t="s">
        <v>992</v>
      </c>
      <c r="M476" s="45">
        <v>46048</v>
      </c>
      <c r="N476" s="41">
        <v>7315</v>
      </c>
      <c r="O476" s="42">
        <v>45994</v>
      </c>
      <c r="P476" s="46"/>
      <c r="Q476" s="41">
        <v>7315</v>
      </c>
    </row>
    <row r="477" spans="1:17" ht="12" customHeight="1" x14ac:dyDescent="0.3">
      <c r="A477" s="39"/>
      <c r="B477" s="40" t="s">
        <v>1466</v>
      </c>
      <c r="C477" s="41">
        <v>10697.48</v>
      </c>
      <c r="D477" s="42">
        <v>45958</v>
      </c>
      <c r="E477" s="43" t="s">
        <v>2</v>
      </c>
      <c r="F477" s="41">
        <v>0</v>
      </c>
      <c r="G477" s="41">
        <v>0</v>
      </c>
      <c r="H477" s="41">
        <v>10697.48</v>
      </c>
      <c r="I477" s="43">
        <v>90</v>
      </c>
      <c r="J477" s="43">
        <v>9</v>
      </c>
      <c r="K477" s="44">
        <v>4000000</v>
      </c>
      <c r="L477" s="43" t="s">
        <v>992</v>
      </c>
      <c r="M477" s="45">
        <v>46048</v>
      </c>
      <c r="N477" s="41">
        <v>10697.48</v>
      </c>
      <c r="O477" s="42">
        <v>45994</v>
      </c>
      <c r="P477" s="46"/>
      <c r="Q477" s="41">
        <v>10697.48</v>
      </c>
    </row>
    <row r="478" spans="1:17" ht="12" customHeight="1" x14ac:dyDescent="0.3">
      <c r="A478" s="39"/>
      <c r="B478" s="40" t="s">
        <v>1467</v>
      </c>
      <c r="C478" s="41">
        <v>336.38</v>
      </c>
      <c r="D478" s="42">
        <v>45958</v>
      </c>
      <c r="E478" s="43" t="s">
        <v>2</v>
      </c>
      <c r="F478" s="41">
        <v>0</v>
      </c>
      <c r="G478" s="41">
        <v>0</v>
      </c>
      <c r="H478" s="41">
        <v>336.38</v>
      </c>
      <c r="I478" s="43">
        <v>90</v>
      </c>
      <c r="J478" s="43">
        <v>9</v>
      </c>
      <c r="K478" s="44">
        <v>4000000</v>
      </c>
      <c r="L478" s="43" t="s">
        <v>992</v>
      </c>
      <c r="M478" s="45">
        <v>46048</v>
      </c>
      <c r="N478" s="41">
        <v>336.38</v>
      </c>
      <c r="O478" s="42">
        <v>45994</v>
      </c>
      <c r="P478" s="46"/>
      <c r="Q478" s="41">
        <v>336.38</v>
      </c>
    </row>
    <row r="479" spans="1:17" ht="12" customHeight="1" x14ac:dyDescent="0.3">
      <c r="A479" s="39"/>
      <c r="B479" s="40" t="s">
        <v>1468</v>
      </c>
      <c r="C479" s="41">
        <v>13381.2</v>
      </c>
      <c r="D479" s="42">
        <v>45958</v>
      </c>
      <c r="E479" s="43" t="s">
        <v>2</v>
      </c>
      <c r="F479" s="41">
        <v>0</v>
      </c>
      <c r="G479" s="41">
        <v>0</v>
      </c>
      <c r="H479" s="41">
        <v>13381.2</v>
      </c>
      <c r="I479" s="43">
        <v>90</v>
      </c>
      <c r="J479" s="43">
        <v>9</v>
      </c>
      <c r="K479" s="44">
        <v>4000000</v>
      </c>
      <c r="L479" s="43" t="s">
        <v>992</v>
      </c>
      <c r="M479" s="45">
        <v>46048</v>
      </c>
      <c r="N479" s="41">
        <v>13381.2</v>
      </c>
      <c r="O479" s="42">
        <v>45994</v>
      </c>
      <c r="P479" s="46"/>
      <c r="Q479" s="41">
        <v>13381.2</v>
      </c>
    </row>
    <row r="480" spans="1:17" ht="12" customHeight="1" x14ac:dyDescent="0.3">
      <c r="A480" s="39"/>
      <c r="B480" s="40" t="s">
        <v>1469</v>
      </c>
      <c r="C480" s="41">
        <v>600000</v>
      </c>
      <c r="D480" s="42">
        <v>45952</v>
      </c>
      <c r="E480" s="43" t="s">
        <v>2</v>
      </c>
      <c r="F480" s="41">
        <v>0</v>
      </c>
      <c r="G480" s="41">
        <v>0</v>
      </c>
      <c r="H480" s="41">
        <v>600000</v>
      </c>
      <c r="I480" s="43">
        <v>90</v>
      </c>
      <c r="J480" s="43">
        <v>197</v>
      </c>
      <c r="K480" s="44">
        <v>4000000</v>
      </c>
      <c r="L480" s="43" t="s">
        <v>992</v>
      </c>
      <c r="M480" s="45">
        <v>46042</v>
      </c>
      <c r="N480" s="41">
        <v>600000</v>
      </c>
      <c r="O480" s="42">
        <v>45972</v>
      </c>
      <c r="P480" s="46"/>
      <c r="Q480" s="41">
        <v>600000</v>
      </c>
    </row>
    <row r="481" spans="1:17" ht="12" customHeight="1" x14ac:dyDescent="0.3">
      <c r="A481" s="39"/>
      <c r="B481" s="40" t="s">
        <v>1470</v>
      </c>
      <c r="C481" s="41">
        <v>600000</v>
      </c>
      <c r="D481" s="42">
        <v>45959</v>
      </c>
      <c r="E481" s="43" t="s">
        <v>2</v>
      </c>
      <c r="F481" s="41">
        <v>0</v>
      </c>
      <c r="G481" s="41">
        <v>0</v>
      </c>
      <c r="H481" s="41">
        <v>600000</v>
      </c>
      <c r="I481" s="43">
        <v>90</v>
      </c>
      <c r="J481" s="43">
        <v>197</v>
      </c>
      <c r="K481" s="44">
        <v>4000000</v>
      </c>
      <c r="L481" s="43" t="s">
        <v>992</v>
      </c>
      <c r="M481" s="45">
        <v>46049</v>
      </c>
      <c r="N481" s="41">
        <v>600000</v>
      </c>
      <c r="O481" s="42">
        <v>45972</v>
      </c>
      <c r="P481" s="46"/>
      <c r="Q481" s="41">
        <v>600000</v>
      </c>
    </row>
    <row r="482" spans="1:17" ht="12" customHeight="1" x14ac:dyDescent="0.3">
      <c r="A482" s="39"/>
      <c r="B482" s="40" t="s">
        <v>1471</v>
      </c>
      <c r="C482" s="41">
        <v>600000</v>
      </c>
      <c r="D482" s="42">
        <v>45959</v>
      </c>
      <c r="E482" s="43" t="s">
        <v>2</v>
      </c>
      <c r="F482" s="41">
        <v>0</v>
      </c>
      <c r="G482" s="41">
        <v>0</v>
      </c>
      <c r="H482" s="41">
        <v>600000</v>
      </c>
      <c r="I482" s="43">
        <v>90</v>
      </c>
      <c r="J482" s="43">
        <v>197</v>
      </c>
      <c r="K482" s="44">
        <v>4000000</v>
      </c>
      <c r="L482" s="43" t="s">
        <v>992</v>
      </c>
      <c r="M482" s="45">
        <v>46049</v>
      </c>
      <c r="N482" s="41">
        <v>600000</v>
      </c>
      <c r="O482" s="42">
        <v>45974</v>
      </c>
      <c r="P482" s="46"/>
      <c r="Q482" s="41">
        <v>600000</v>
      </c>
    </row>
    <row r="483" spans="1:17" ht="12" customHeight="1" x14ac:dyDescent="0.3">
      <c r="A483" s="39"/>
      <c r="B483" s="40" t="s">
        <v>1472</v>
      </c>
      <c r="C483" s="41">
        <v>600000</v>
      </c>
      <c r="D483" s="42">
        <v>45959</v>
      </c>
      <c r="E483" s="43" t="s">
        <v>2</v>
      </c>
      <c r="F483" s="41">
        <v>0</v>
      </c>
      <c r="G483" s="41">
        <v>0</v>
      </c>
      <c r="H483" s="41">
        <v>600000</v>
      </c>
      <c r="I483" s="43">
        <v>90</v>
      </c>
      <c r="J483" s="43">
        <v>197</v>
      </c>
      <c r="K483" s="44">
        <v>4000000</v>
      </c>
      <c r="L483" s="43" t="s">
        <v>992</v>
      </c>
      <c r="M483" s="45">
        <v>46049</v>
      </c>
      <c r="N483" s="41">
        <v>600000</v>
      </c>
      <c r="O483" s="42">
        <v>45978</v>
      </c>
      <c r="P483" s="46"/>
      <c r="Q483" s="41">
        <v>600000</v>
      </c>
    </row>
    <row r="484" spans="1:17" ht="12" customHeight="1" x14ac:dyDescent="0.3">
      <c r="A484" s="39"/>
      <c r="B484" s="40" t="s">
        <v>1473</v>
      </c>
      <c r="C484" s="41">
        <v>600000</v>
      </c>
      <c r="D484" s="42">
        <v>45959</v>
      </c>
      <c r="E484" s="43" t="s">
        <v>2</v>
      </c>
      <c r="F484" s="41">
        <v>0</v>
      </c>
      <c r="G484" s="41">
        <v>0</v>
      </c>
      <c r="H484" s="41">
        <v>600000</v>
      </c>
      <c r="I484" s="43">
        <v>90</v>
      </c>
      <c r="J484" s="43">
        <v>197</v>
      </c>
      <c r="K484" s="44">
        <v>4000000</v>
      </c>
      <c r="L484" s="43" t="s">
        <v>992</v>
      </c>
      <c r="M484" s="45">
        <v>46049</v>
      </c>
      <c r="N484" s="41">
        <v>600000</v>
      </c>
      <c r="O484" s="42">
        <v>45978</v>
      </c>
      <c r="P484" s="46"/>
      <c r="Q484" s="41">
        <v>600000</v>
      </c>
    </row>
    <row r="485" spans="1:17" ht="12" customHeight="1" x14ac:dyDescent="0.3">
      <c r="A485" s="39"/>
      <c r="B485" s="40" t="s">
        <v>1474</v>
      </c>
      <c r="C485" s="41">
        <v>25</v>
      </c>
      <c r="D485" s="42">
        <v>45960</v>
      </c>
      <c r="E485" s="43" t="s">
        <v>2</v>
      </c>
      <c r="F485" s="41">
        <v>0</v>
      </c>
      <c r="G485" s="41">
        <v>0</v>
      </c>
      <c r="H485" s="41">
        <v>25</v>
      </c>
      <c r="I485" s="43">
        <v>90</v>
      </c>
      <c r="J485" s="43">
        <v>9</v>
      </c>
      <c r="K485" s="44">
        <v>4000000</v>
      </c>
      <c r="L485" s="43" t="s">
        <v>992</v>
      </c>
      <c r="M485" s="45">
        <v>46050</v>
      </c>
      <c r="N485" s="41">
        <v>25</v>
      </c>
      <c r="O485" s="42">
        <v>45994</v>
      </c>
      <c r="P485" s="46"/>
      <c r="Q485" s="41">
        <v>25</v>
      </c>
    </row>
    <row r="486" spans="1:17" ht="12" customHeight="1" x14ac:dyDescent="0.3">
      <c r="A486" s="39"/>
      <c r="B486" s="40" t="s">
        <v>1475</v>
      </c>
      <c r="C486" s="41">
        <v>74</v>
      </c>
      <c r="D486" s="42">
        <v>45960</v>
      </c>
      <c r="E486" s="43" t="s">
        <v>2</v>
      </c>
      <c r="F486" s="41">
        <v>0</v>
      </c>
      <c r="G486" s="41">
        <v>0</v>
      </c>
      <c r="H486" s="41">
        <v>74</v>
      </c>
      <c r="I486" s="43">
        <v>90</v>
      </c>
      <c r="J486" s="43">
        <v>9</v>
      </c>
      <c r="K486" s="44">
        <v>4000000</v>
      </c>
      <c r="L486" s="43" t="s">
        <v>992</v>
      </c>
      <c r="M486" s="45">
        <v>46050</v>
      </c>
      <c r="N486" s="41">
        <v>74</v>
      </c>
      <c r="O486" s="42">
        <v>45994</v>
      </c>
      <c r="P486" s="46"/>
      <c r="Q486" s="41">
        <v>74</v>
      </c>
    </row>
    <row r="487" spans="1:17" ht="12" customHeight="1" x14ac:dyDescent="0.3">
      <c r="A487" s="39"/>
      <c r="B487" s="40" t="s">
        <v>1476</v>
      </c>
      <c r="C487" s="41">
        <v>600031.5</v>
      </c>
      <c r="D487" s="42">
        <v>45960</v>
      </c>
      <c r="E487" s="43" t="s">
        <v>2</v>
      </c>
      <c r="F487" s="41">
        <v>0</v>
      </c>
      <c r="G487" s="41">
        <v>0</v>
      </c>
      <c r="H487" s="41">
        <v>600031.5</v>
      </c>
      <c r="I487" s="43">
        <v>90</v>
      </c>
      <c r="J487" s="43">
        <v>197</v>
      </c>
      <c r="K487" s="44">
        <v>6000855</v>
      </c>
      <c r="L487" s="43" t="s">
        <v>992</v>
      </c>
      <c r="M487" s="45">
        <v>46050</v>
      </c>
      <c r="N487" s="41">
        <v>600031.5</v>
      </c>
      <c r="O487" s="42">
        <v>45978</v>
      </c>
      <c r="P487" s="46"/>
      <c r="Q487" s="41">
        <v>600031.5</v>
      </c>
    </row>
    <row r="488" spans="1:17" ht="12" customHeight="1" x14ac:dyDescent="0.3">
      <c r="A488" s="39"/>
      <c r="B488" s="40" t="s">
        <v>1477</v>
      </c>
      <c r="C488" s="41">
        <v>478504.56</v>
      </c>
      <c r="D488" s="42">
        <v>45960</v>
      </c>
      <c r="E488" s="43" t="s">
        <v>2</v>
      </c>
      <c r="F488" s="41">
        <v>0</v>
      </c>
      <c r="G488" s="41">
        <v>0</v>
      </c>
      <c r="H488" s="41">
        <v>478504.56</v>
      </c>
      <c r="I488" s="43">
        <v>90</v>
      </c>
      <c r="J488" s="43">
        <v>8</v>
      </c>
      <c r="K488" s="44">
        <v>3000000</v>
      </c>
      <c r="L488" s="43" t="s">
        <v>992</v>
      </c>
      <c r="M488" s="45">
        <v>46050</v>
      </c>
      <c r="N488" s="41">
        <v>478504.56</v>
      </c>
      <c r="O488" s="42">
        <v>45960</v>
      </c>
      <c r="P488" s="46"/>
      <c r="Q488" s="41">
        <v>478504.56</v>
      </c>
    </row>
    <row r="489" spans="1:17" ht="12" customHeight="1" x14ac:dyDescent="0.3">
      <c r="A489" s="39"/>
      <c r="B489" s="40" t="s">
        <v>1478</v>
      </c>
      <c r="C489" s="41">
        <v>375770.47</v>
      </c>
      <c r="D489" s="42">
        <v>45960</v>
      </c>
      <c r="E489" s="43" t="s">
        <v>2</v>
      </c>
      <c r="F489" s="41">
        <v>0</v>
      </c>
      <c r="G489" s="41">
        <v>0</v>
      </c>
      <c r="H489" s="41">
        <v>375770.47</v>
      </c>
      <c r="I489" s="43">
        <v>90</v>
      </c>
      <c r="J489" s="43">
        <v>8</v>
      </c>
      <c r="K489" s="44">
        <v>3000000</v>
      </c>
      <c r="L489" s="43" t="s">
        <v>992</v>
      </c>
      <c r="M489" s="45">
        <v>46050</v>
      </c>
      <c r="N489" s="41">
        <v>375770.47</v>
      </c>
      <c r="O489" s="42">
        <v>45960</v>
      </c>
      <c r="P489" s="46"/>
      <c r="Q489" s="41">
        <v>375770.47</v>
      </c>
    </row>
    <row r="490" spans="1:17" ht="12" customHeight="1" x14ac:dyDescent="0.3">
      <c r="A490" s="39"/>
      <c r="B490" s="40" t="s">
        <v>1479</v>
      </c>
      <c r="C490" s="41">
        <v>519583.8</v>
      </c>
      <c r="D490" s="42">
        <v>45960</v>
      </c>
      <c r="E490" s="43" t="s">
        <v>2</v>
      </c>
      <c r="F490" s="41">
        <v>0</v>
      </c>
      <c r="G490" s="41">
        <v>0</v>
      </c>
      <c r="H490" s="41">
        <v>519583.8</v>
      </c>
      <c r="I490" s="43">
        <v>90</v>
      </c>
      <c r="J490" s="43">
        <v>8</v>
      </c>
      <c r="K490" s="44">
        <v>3000000</v>
      </c>
      <c r="L490" s="43" t="s">
        <v>992</v>
      </c>
      <c r="M490" s="45">
        <v>46050</v>
      </c>
      <c r="N490" s="41">
        <v>519583.8</v>
      </c>
      <c r="O490" s="42">
        <v>45960</v>
      </c>
      <c r="P490" s="46"/>
      <c r="Q490" s="41">
        <v>519583.8</v>
      </c>
    </row>
    <row r="491" spans="1:17" ht="12" customHeight="1" x14ac:dyDescent="0.3">
      <c r="A491" s="39"/>
      <c r="B491" s="40" t="s">
        <v>1480</v>
      </c>
      <c r="C491" s="41">
        <v>449811</v>
      </c>
      <c r="D491" s="42">
        <v>45960</v>
      </c>
      <c r="E491" s="43" t="s">
        <v>2</v>
      </c>
      <c r="F491" s="41">
        <v>0</v>
      </c>
      <c r="G491" s="41">
        <v>0</v>
      </c>
      <c r="H491" s="41">
        <v>449811</v>
      </c>
      <c r="I491" s="43">
        <v>90</v>
      </c>
      <c r="J491" s="43">
        <v>8</v>
      </c>
      <c r="K491" s="44">
        <v>3000000</v>
      </c>
      <c r="L491" s="43" t="s">
        <v>992</v>
      </c>
      <c r="M491" s="45">
        <v>46050</v>
      </c>
      <c r="N491" s="41">
        <v>449811</v>
      </c>
      <c r="O491" s="42">
        <v>45960</v>
      </c>
      <c r="P491" s="46"/>
      <c r="Q491" s="41">
        <v>449811</v>
      </c>
    </row>
    <row r="492" spans="1:17" ht="12" customHeight="1" x14ac:dyDescent="0.3">
      <c r="A492" s="39"/>
      <c r="B492" s="40" t="s">
        <v>1481</v>
      </c>
      <c r="C492" s="41">
        <v>2783</v>
      </c>
      <c r="D492" s="42">
        <v>45960</v>
      </c>
      <c r="E492" s="43" t="s">
        <v>2</v>
      </c>
      <c r="F492" s="41">
        <v>0</v>
      </c>
      <c r="G492" s="41">
        <v>0</v>
      </c>
      <c r="H492" s="41">
        <v>2783</v>
      </c>
      <c r="I492" s="43">
        <v>90</v>
      </c>
      <c r="J492" s="43">
        <v>9</v>
      </c>
      <c r="K492" s="44">
        <v>4000000</v>
      </c>
      <c r="L492" s="43" t="s">
        <v>992</v>
      </c>
      <c r="M492" s="45">
        <v>46050</v>
      </c>
      <c r="N492" s="41">
        <v>2783</v>
      </c>
      <c r="O492" s="42">
        <v>45994</v>
      </c>
      <c r="P492" s="46"/>
      <c r="Q492" s="41">
        <v>2783</v>
      </c>
    </row>
    <row r="493" spans="1:17" ht="12" customHeight="1" x14ac:dyDescent="0.3">
      <c r="A493" s="39"/>
      <c r="B493" s="40" t="s">
        <v>1482</v>
      </c>
      <c r="C493" s="41">
        <v>22774.09</v>
      </c>
      <c r="D493" s="42">
        <v>45960</v>
      </c>
      <c r="E493" s="43" t="s">
        <v>2</v>
      </c>
      <c r="F493" s="41">
        <v>0</v>
      </c>
      <c r="G493" s="41">
        <v>0</v>
      </c>
      <c r="H493" s="41">
        <v>22774.09</v>
      </c>
      <c r="I493" s="43">
        <v>90</v>
      </c>
      <c r="J493" s="43">
        <v>9</v>
      </c>
      <c r="K493" s="44">
        <v>4000000</v>
      </c>
      <c r="L493" s="43" t="s">
        <v>992</v>
      </c>
      <c r="M493" s="45">
        <v>46050</v>
      </c>
      <c r="N493" s="41">
        <v>22774.09</v>
      </c>
      <c r="O493" s="42">
        <v>45994</v>
      </c>
      <c r="P493" s="46"/>
      <c r="Q493" s="41">
        <v>22774.09</v>
      </c>
    </row>
    <row r="494" spans="1:17" ht="12" customHeight="1" x14ac:dyDescent="0.3">
      <c r="A494" s="39"/>
      <c r="B494" s="40" t="s">
        <v>1483</v>
      </c>
      <c r="C494" s="41">
        <v>74116.990000000005</v>
      </c>
      <c r="D494" s="42">
        <v>45960</v>
      </c>
      <c r="E494" s="43" t="s">
        <v>2</v>
      </c>
      <c r="F494" s="41">
        <v>0</v>
      </c>
      <c r="G494" s="41">
        <v>0</v>
      </c>
      <c r="H494" s="41">
        <v>74116.990000000005</v>
      </c>
      <c r="I494" s="43">
        <v>90</v>
      </c>
      <c r="J494" s="43">
        <v>9</v>
      </c>
      <c r="K494" s="44">
        <v>4000000</v>
      </c>
      <c r="L494" s="43" t="s">
        <v>992</v>
      </c>
      <c r="M494" s="45">
        <v>46050</v>
      </c>
      <c r="N494" s="41">
        <v>74116.990000000005</v>
      </c>
      <c r="O494" s="42">
        <v>45994</v>
      </c>
      <c r="P494" s="46"/>
      <c r="Q494" s="41">
        <v>74116.990000000005</v>
      </c>
    </row>
    <row r="495" spans="1:17" ht="12" customHeight="1" x14ac:dyDescent="0.3">
      <c r="A495" s="39"/>
      <c r="B495" s="40" t="s">
        <v>1484</v>
      </c>
      <c r="C495" s="41">
        <v>600.6</v>
      </c>
      <c r="D495" s="42">
        <v>45960</v>
      </c>
      <c r="E495" s="43" t="s">
        <v>2</v>
      </c>
      <c r="F495" s="41">
        <v>0</v>
      </c>
      <c r="G495" s="41">
        <v>0</v>
      </c>
      <c r="H495" s="41">
        <v>600.6</v>
      </c>
      <c r="I495" s="43">
        <v>90</v>
      </c>
      <c r="J495" s="43">
        <v>9</v>
      </c>
      <c r="K495" s="44">
        <v>4000000</v>
      </c>
      <c r="L495" s="43" t="s">
        <v>992</v>
      </c>
      <c r="M495" s="45">
        <v>46050</v>
      </c>
      <c r="N495" s="41">
        <v>600.6</v>
      </c>
      <c r="O495" s="42">
        <v>45994</v>
      </c>
      <c r="P495" s="46"/>
      <c r="Q495" s="41">
        <v>600.6</v>
      </c>
    </row>
    <row r="496" spans="1:17" ht="12" customHeight="1" x14ac:dyDescent="0.3">
      <c r="A496" s="39"/>
      <c r="B496" s="40" t="s">
        <v>1485</v>
      </c>
      <c r="C496" s="41">
        <v>37058.5</v>
      </c>
      <c r="D496" s="42">
        <v>45960</v>
      </c>
      <c r="E496" s="43" t="s">
        <v>2</v>
      </c>
      <c r="F496" s="41">
        <v>0</v>
      </c>
      <c r="G496" s="41">
        <v>0</v>
      </c>
      <c r="H496" s="41">
        <v>37058.5</v>
      </c>
      <c r="I496" s="43">
        <v>90</v>
      </c>
      <c r="J496" s="43">
        <v>9</v>
      </c>
      <c r="K496" s="44">
        <v>4000000</v>
      </c>
      <c r="L496" s="43" t="s">
        <v>992</v>
      </c>
      <c r="M496" s="45">
        <v>46050</v>
      </c>
      <c r="N496" s="41">
        <v>37058.5</v>
      </c>
      <c r="O496" s="42">
        <v>45995</v>
      </c>
      <c r="P496" s="46"/>
      <c r="Q496" s="41">
        <v>37058.5</v>
      </c>
    </row>
    <row r="497" spans="1:17" ht="12" customHeight="1" x14ac:dyDescent="0.3">
      <c r="A497" s="39"/>
      <c r="B497" s="40" t="s">
        <v>1486</v>
      </c>
      <c r="C497" s="41">
        <v>500020</v>
      </c>
      <c r="D497" s="42">
        <v>45960</v>
      </c>
      <c r="E497" s="43" t="s">
        <v>2</v>
      </c>
      <c r="F497" s="41">
        <v>0</v>
      </c>
      <c r="G497" s="41">
        <v>0</v>
      </c>
      <c r="H497" s="41">
        <v>500020</v>
      </c>
      <c r="I497" s="43">
        <v>90</v>
      </c>
      <c r="J497" s="43">
        <v>197</v>
      </c>
      <c r="K497" s="44">
        <v>6000855</v>
      </c>
      <c r="L497" s="43" t="s">
        <v>992</v>
      </c>
      <c r="M497" s="45">
        <v>46050</v>
      </c>
      <c r="N497" s="41">
        <v>500020</v>
      </c>
      <c r="O497" s="42">
        <v>45978</v>
      </c>
      <c r="P497" s="46"/>
      <c r="Q497" s="41">
        <v>500020</v>
      </c>
    </row>
    <row r="498" spans="1:17" ht="12" customHeight="1" x14ac:dyDescent="0.3">
      <c r="A498" s="39"/>
      <c r="B498" s="40" t="s">
        <v>1487</v>
      </c>
      <c r="C498" s="41">
        <v>457479.2</v>
      </c>
      <c r="D498" s="42">
        <v>45960</v>
      </c>
      <c r="E498" s="43" t="s">
        <v>2</v>
      </c>
      <c r="F498" s="41">
        <v>0</v>
      </c>
      <c r="G498" s="41">
        <v>0</v>
      </c>
      <c r="H498" s="41">
        <v>457479.2</v>
      </c>
      <c r="I498" s="43">
        <v>90</v>
      </c>
      <c r="J498" s="43">
        <v>8</v>
      </c>
      <c r="K498" s="44">
        <v>3000000</v>
      </c>
      <c r="L498" s="43" t="s">
        <v>992</v>
      </c>
      <c r="M498" s="45">
        <v>46050</v>
      </c>
      <c r="N498" s="41">
        <v>457479.2</v>
      </c>
      <c r="O498" s="42">
        <v>45960</v>
      </c>
      <c r="P498" s="46"/>
      <c r="Q498" s="41">
        <v>457479.2</v>
      </c>
    </row>
    <row r="499" spans="1:17" ht="12" customHeight="1" x14ac:dyDescent="0.3">
      <c r="A499" s="39"/>
      <c r="B499" s="40" t="s">
        <v>1488</v>
      </c>
      <c r="C499" s="41">
        <v>404892</v>
      </c>
      <c r="D499" s="42">
        <v>45960</v>
      </c>
      <c r="E499" s="43" t="s">
        <v>2</v>
      </c>
      <c r="F499" s="41">
        <v>0</v>
      </c>
      <c r="G499" s="41">
        <v>0</v>
      </c>
      <c r="H499" s="41">
        <v>404892</v>
      </c>
      <c r="I499" s="43">
        <v>90</v>
      </c>
      <c r="J499" s="43">
        <v>8</v>
      </c>
      <c r="K499" s="44">
        <v>3000000</v>
      </c>
      <c r="L499" s="43" t="s">
        <v>992</v>
      </c>
      <c r="M499" s="45">
        <v>46050</v>
      </c>
      <c r="N499" s="41">
        <v>404892</v>
      </c>
      <c r="O499" s="42">
        <v>45960</v>
      </c>
      <c r="P499" s="46"/>
      <c r="Q499" s="41">
        <v>404892</v>
      </c>
    </row>
    <row r="500" spans="1:17" ht="12" customHeight="1" x14ac:dyDescent="0.3">
      <c r="A500" s="39"/>
      <c r="B500" s="40" t="s">
        <v>1489</v>
      </c>
      <c r="C500" s="41">
        <v>456506.3</v>
      </c>
      <c r="D500" s="42">
        <v>45960</v>
      </c>
      <c r="E500" s="43" t="s">
        <v>2</v>
      </c>
      <c r="F500" s="41">
        <v>0</v>
      </c>
      <c r="G500" s="41">
        <v>0</v>
      </c>
      <c r="H500" s="41">
        <v>456506.3</v>
      </c>
      <c r="I500" s="43">
        <v>90</v>
      </c>
      <c r="J500" s="43">
        <v>8</v>
      </c>
      <c r="K500" s="44">
        <v>3000000</v>
      </c>
      <c r="L500" s="43" t="s">
        <v>992</v>
      </c>
      <c r="M500" s="45">
        <v>46050</v>
      </c>
      <c r="N500" s="41">
        <v>456506.3</v>
      </c>
      <c r="O500" s="42">
        <v>45960</v>
      </c>
      <c r="P500" s="46"/>
      <c r="Q500" s="41">
        <v>456506.3</v>
      </c>
    </row>
    <row r="501" spans="1:17" ht="12" customHeight="1" x14ac:dyDescent="0.3">
      <c r="A501" s="39"/>
      <c r="B501" s="40" t="s">
        <v>1490</v>
      </c>
      <c r="C501" s="41">
        <v>3591751.3</v>
      </c>
      <c r="D501" s="42">
        <v>45960</v>
      </c>
      <c r="E501" s="43" t="s">
        <v>2</v>
      </c>
      <c r="F501" s="41">
        <v>0</v>
      </c>
      <c r="G501" s="41">
        <v>0</v>
      </c>
      <c r="H501" s="41">
        <v>3591751.3</v>
      </c>
      <c r="I501" s="43">
        <v>90</v>
      </c>
      <c r="J501" s="43">
        <v>8</v>
      </c>
      <c r="K501" s="44">
        <v>3000000</v>
      </c>
      <c r="L501" s="43" t="s">
        <v>992</v>
      </c>
      <c r="M501" s="45">
        <v>46050</v>
      </c>
      <c r="N501" s="41">
        <v>3591751.3</v>
      </c>
      <c r="O501" s="42">
        <v>46000</v>
      </c>
      <c r="P501" s="46"/>
      <c r="Q501" s="41">
        <v>3591751.3</v>
      </c>
    </row>
    <row r="502" spans="1:17" ht="12" customHeight="1" x14ac:dyDescent="0.3">
      <c r="A502" s="39"/>
      <c r="B502" s="40" t="s">
        <v>1491</v>
      </c>
      <c r="C502" s="41">
        <v>446706</v>
      </c>
      <c r="D502" s="42">
        <v>45960</v>
      </c>
      <c r="E502" s="43" t="s">
        <v>2</v>
      </c>
      <c r="F502" s="41">
        <v>0</v>
      </c>
      <c r="G502" s="41">
        <v>0</v>
      </c>
      <c r="H502" s="41">
        <v>446706</v>
      </c>
      <c r="I502" s="43">
        <v>90</v>
      </c>
      <c r="J502" s="43">
        <v>8</v>
      </c>
      <c r="K502" s="44">
        <v>3000000</v>
      </c>
      <c r="L502" s="43" t="s">
        <v>992</v>
      </c>
      <c r="M502" s="45">
        <v>46050</v>
      </c>
      <c r="N502" s="41">
        <v>446706</v>
      </c>
      <c r="O502" s="42">
        <v>46062</v>
      </c>
      <c r="P502" s="46"/>
      <c r="Q502" s="41">
        <v>446706</v>
      </c>
    </row>
    <row r="503" spans="1:17" ht="12" customHeight="1" x14ac:dyDescent="0.3">
      <c r="A503" s="39"/>
      <c r="B503" s="40" t="s">
        <v>1492</v>
      </c>
      <c r="C503" s="41">
        <v>171859.99</v>
      </c>
      <c r="D503" s="42">
        <v>45960</v>
      </c>
      <c r="E503" s="43" t="s">
        <v>2</v>
      </c>
      <c r="F503" s="41">
        <v>0</v>
      </c>
      <c r="G503" s="41">
        <v>0</v>
      </c>
      <c r="H503" s="41">
        <v>171859.99</v>
      </c>
      <c r="I503" s="43">
        <v>90</v>
      </c>
      <c r="J503" s="43">
        <v>9</v>
      </c>
      <c r="K503" s="44">
        <v>4000000</v>
      </c>
      <c r="L503" s="43" t="s">
        <v>992</v>
      </c>
      <c r="M503" s="45">
        <v>46050</v>
      </c>
      <c r="N503" s="41">
        <v>171859.99</v>
      </c>
      <c r="O503" s="42">
        <v>45998</v>
      </c>
      <c r="P503" s="46"/>
      <c r="Q503" s="41">
        <v>171859.99</v>
      </c>
    </row>
    <row r="504" spans="1:17" ht="12" customHeight="1" x14ac:dyDescent="0.3">
      <c r="A504" s="39"/>
      <c r="B504" s="40" t="s">
        <v>1493</v>
      </c>
      <c r="C504" s="41">
        <v>36394</v>
      </c>
      <c r="D504" s="42">
        <v>45963</v>
      </c>
      <c r="E504" s="43" t="s">
        <v>2</v>
      </c>
      <c r="F504" s="41">
        <v>0</v>
      </c>
      <c r="G504" s="41">
        <v>0</v>
      </c>
      <c r="H504" s="41">
        <v>36394</v>
      </c>
      <c r="I504" s="43">
        <v>90</v>
      </c>
      <c r="J504" s="43">
        <v>9</v>
      </c>
      <c r="K504" s="44">
        <v>4000000</v>
      </c>
      <c r="L504" s="43" t="s">
        <v>992</v>
      </c>
      <c r="M504" s="45">
        <v>46054</v>
      </c>
      <c r="N504" s="41">
        <v>36394</v>
      </c>
      <c r="O504" s="42">
        <v>45998</v>
      </c>
      <c r="P504" s="46"/>
      <c r="Q504" s="41">
        <v>36394</v>
      </c>
    </row>
    <row r="505" spans="1:17" ht="12" customHeight="1" x14ac:dyDescent="0.3">
      <c r="A505" s="39"/>
      <c r="B505" s="40" t="s">
        <v>1494</v>
      </c>
      <c r="C505" s="41">
        <v>29440</v>
      </c>
      <c r="D505" s="42">
        <v>45963</v>
      </c>
      <c r="E505" s="43" t="s">
        <v>2</v>
      </c>
      <c r="F505" s="41">
        <v>0</v>
      </c>
      <c r="G505" s="41">
        <v>0</v>
      </c>
      <c r="H505" s="41">
        <v>29440</v>
      </c>
      <c r="I505" s="43">
        <v>90</v>
      </c>
      <c r="J505" s="43">
        <v>9</v>
      </c>
      <c r="K505" s="44">
        <v>4000000</v>
      </c>
      <c r="L505" s="43" t="s">
        <v>992</v>
      </c>
      <c r="M505" s="45">
        <v>46054</v>
      </c>
      <c r="N505" s="41">
        <v>29440</v>
      </c>
      <c r="O505" s="42">
        <v>45998</v>
      </c>
      <c r="P505" s="46"/>
      <c r="Q505" s="41">
        <v>29440</v>
      </c>
    </row>
    <row r="506" spans="1:17" ht="12" customHeight="1" x14ac:dyDescent="0.3">
      <c r="A506" s="39"/>
      <c r="B506" s="40" t="s">
        <v>1495</v>
      </c>
      <c r="C506" s="41">
        <v>134.55000000000001</v>
      </c>
      <c r="D506" s="42">
        <v>45963</v>
      </c>
      <c r="E506" s="43" t="s">
        <v>2</v>
      </c>
      <c r="F506" s="41">
        <v>0</v>
      </c>
      <c r="G506" s="41">
        <v>0</v>
      </c>
      <c r="H506" s="41">
        <v>134.55000000000001</v>
      </c>
      <c r="I506" s="43">
        <v>90</v>
      </c>
      <c r="J506" s="43">
        <v>9</v>
      </c>
      <c r="K506" s="44">
        <v>4000000</v>
      </c>
      <c r="L506" s="43" t="s">
        <v>992</v>
      </c>
      <c r="M506" s="45">
        <v>46054</v>
      </c>
      <c r="N506" s="41">
        <v>134.55000000000001</v>
      </c>
      <c r="O506" s="42">
        <v>45998</v>
      </c>
      <c r="P506" s="46"/>
      <c r="Q506" s="41">
        <v>134.55000000000001</v>
      </c>
    </row>
    <row r="507" spans="1:17" ht="12" customHeight="1" x14ac:dyDescent="0.3">
      <c r="A507" s="39"/>
      <c r="B507" s="40" t="s">
        <v>1496</v>
      </c>
      <c r="C507" s="41">
        <v>62403.6</v>
      </c>
      <c r="D507" s="42">
        <v>45963</v>
      </c>
      <c r="E507" s="43" t="s">
        <v>2</v>
      </c>
      <c r="F507" s="41">
        <v>0</v>
      </c>
      <c r="G507" s="41">
        <v>0</v>
      </c>
      <c r="H507" s="41">
        <v>62403.6</v>
      </c>
      <c r="I507" s="43">
        <v>90</v>
      </c>
      <c r="J507" s="43">
        <v>9</v>
      </c>
      <c r="K507" s="44">
        <v>4000000</v>
      </c>
      <c r="L507" s="43" t="s">
        <v>992</v>
      </c>
      <c r="M507" s="45">
        <v>46054</v>
      </c>
      <c r="N507" s="41">
        <v>62403.6</v>
      </c>
      <c r="O507" s="42">
        <v>45999</v>
      </c>
      <c r="P507" s="46"/>
      <c r="Q507" s="41">
        <v>62403.6</v>
      </c>
    </row>
    <row r="508" spans="1:17" ht="12" customHeight="1" x14ac:dyDescent="0.3">
      <c r="A508" s="39"/>
      <c r="B508" s="40" t="s">
        <v>1497</v>
      </c>
      <c r="C508" s="41">
        <v>58763.39</v>
      </c>
      <c r="D508" s="42">
        <v>45963</v>
      </c>
      <c r="E508" s="43" t="s">
        <v>2</v>
      </c>
      <c r="F508" s="41">
        <v>0</v>
      </c>
      <c r="G508" s="41">
        <v>0</v>
      </c>
      <c r="H508" s="41">
        <v>58763.39</v>
      </c>
      <c r="I508" s="43">
        <v>90</v>
      </c>
      <c r="J508" s="43">
        <v>9</v>
      </c>
      <c r="K508" s="44">
        <v>4000000</v>
      </c>
      <c r="L508" s="43" t="s">
        <v>992</v>
      </c>
      <c r="M508" s="45">
        <v>46054</v>
      </c>
      <c r="N508" s="41">
        <v>58763.39</v>
      </c>
      <c r="O508" s="42">
        <v>45999</v>
      </c>
      <c r="P508" s="46"/>
      <c r="Q508" s="41">
        <v>58763.39</v>
      </c>
    </row>
    <row r="509" spans="1:17" ht="12" customHeight="1" x14ac:dyDescent="0.3">
      <c r="A509" s="39"/>
      <c r="B509" s="40" t="s">
        <v>1498</v>
      </c>
      <c r="C509" s="41">
        <v>62403.6</v>
      </c>
      <c r="D509" s="42">
        <v>45963</v>
      </c>
      <c r="E509" s="43" t="s">
        <v>2</v>
      </c>
      <c r="F509" s="41">
        <v>0</v>
      </c>
      <c r="G509" s="41">
        <v>0</v>
      </c>
      <c r="H509" s="41">
        <v>62403.6</v>
      </c>
      <c r="I509" s="43">
        <v>90</v>
      </c>
      <c r="J509" s="43">
        <v>9</v>
      </c>
      <c r="K509" s="44">
        <v>4000000</v>
      </c>
      <c r="L509" s="43" t="s">
        <v>992</v>
      </c>
      <c r="M509" s="45">
        <v>46054</v>
      </c>
      <c r="N509" s="41">
        <v>62403.6</v>
      </c>
      <c r="O509" s="42">
        <v>46001</v>
      </c>
      <c r="P509" s="46"/>
      <c r="Q509" s="41">
        <v>62403.6</v>
      </c>
    </row>
    <row r="510" spans="1:17" ht="12" customHeight="1" x14ac:dyDescent="0.3">
      <c r="A510" s="39"/>
      <c r="B510" s="40" t="s">
        <v>1499</v>
      </c>
      <c r="C510" s="41">
        <v>630</v>
      </c>
      <c r="D510" s="42">
        <v>45964</v>
      </c>
      <c r="E510" s="43" t="s">
        <v>2</v>
      </c>
      <c r="F510" s="41">
        <v>0</v>
      </c>
      <c r="G510" s="41">
        <v>0</v>
      </c>
      <c r="H510" s="41">
        <v>630</v>
      </c>
      <c r="I510" s="43">
        <v>90</v>
      </c>
      <c r="J510" s="43">
        <v>9</v>
      </c>
      <c r="K510" s="44">
        <v>4000000</v>
      </c>
      <c r="L510" s="43" t="s">
        <v>992</v>
      </c>
      <c r="M510" s="45">
        <v>46054</v>
      </c>
      <c r="N510" s="41">
        <v>630</v>
      </c>
      <c r="O510" s="42">
        <v>46001</v>
      </c>
      <c r="P510" s="46"/>
      <c r="Q510" s="41">
        <v>630</v>
      </c>
    </row>
    <row r="511" spans="1:17" ht="12" customHeight="1" x14ac:dyDescent="0.3">
      <c r="A511" s="39"/>
      <c r="B511" s="40" t="s">
        <v>1500</v>
      </c>
      <c r="C511" s="41">
        <v>172.2</v>
      </c>
      <c r="D511" s="42">
        <v>45964</v>
      </c>
      <c r="E511" s="43" t="s">
        <v>2</v>
      </c>
      <c r="F511" s="41">
        <v>0</v>
      </c>
      <c r="G511" s="41">
        <v>0</v>
      </c>
      <c r="H511" s="41">
        <v>172.2</v>
      </c>
      <c r="I511" s="43">
        <v>90</v>
      </c>
      <c r="J511" s="43">
        <v>9</v>
      </c>
      <c r="K511" s="44">
        <v>4000000</v>
      </c>
      <c r="L511" s="43" t="s">
        <v>992</v>
      </c>
      <c r="M511" s="45">
        <v>46054</v>
      </c>
      <c r="N511" s="41">
        <v>172.2</v>
      </c>
      <c r="O511" s="42">
        <v>46001</v>
      </c>
      <c r="P511" s="46"/>
      <c r="Q511" s="41">
        <v>172.2</v>
      </c>
    </row>
    <row r="512" spans="1:17" ht="12" customHeight="1" x14ac:dyDescent="0.3">
      <c r="A512" s="39"/>
      <c r="B512" s="40" t="s">
        <v>1501</v>
      </c>
      <c r="C512" s="41">
        <v>236.45</v>
      </c>
      <c r="D512" s="42">
        <v>45964</v>
      </c>
      <c r="E512" s="43" t="s">
        <v>2</v>
      </c>
      <c r="F512" s="41">
        <v>0</v>
      </c>
      <c r="G512" s="41">
        <v>0</v>
      </c>
      <c r="H512" s="41">
        <v>236.45</v>
      </c>
      <c r="I512" s="43">
        <v>90</v>
      </c>
      <c r="J512" s="43">
        <v>9</v>
      </c>
      <c r="K512" s="44">
        <v>4000000</v>
      </c>
      <c r="L512" s="43" t="s">
        <v>992</v>
      </c>
      <c r="M512" s="45">
        <v>46054</v>
      </c>
      <c r="N512" s="41">
        <v>236.45</v>
      </c>
      <c r="O512" s="42">
        <v>46001</v>
      </c>
      <c r="P512" s="46"/>
      <c r="Q512" s="41">
        <v>236.45</v>
      </c>
    </row>
    <row r="513" spans="1:17" ht="12" customHeight="1" x14ac:dyDescent="0.3">
      <c r="A513" s="39"/>
      <c r="B513" s="40" t="s">
        <v>1502</v>
      </c>
      <c r="C513" s="41">
        <v>3694.78</v>
      </c>
      <c r="D513" s="42">
        <v>45964</v>
      </c>
      <c r="E513" s="43" t="s">
        <v>2</v>
      </c>
      <c r="F513" s="41">
        <v>0</v>
      </c>
      <c r="G513" s="41">
        <v>0</v>
      </c>
      <c r="H513" s="41">
        <v>3694.78</v>
      </c>
      <c r="I513" s="43">
        <v>90</v>
      </c>
      <c r="J513" s="43">
        <v>9</v>
      </c>
      <c r="K513" s="44">
        <v>4000000</v>
      </c>
      <c r="L513" s="43" t="s">
        <v>992</v>
      </c>
      <c r="M513" s="45">
        <v>46054</v>
      </c>
      <c r="N513" s="41">
        <v>3694.78</v>
      </c>
      <c r="O513" s="42">
        <v>46001</v>
      </c>
      <c r="P513" s="46"/>
      <c r="Q513" s="41">
        <v>3694.78</v>
      </c>
    </row>
    <row r="514" spans="1:17" ht="12" customHeight="1" x14ac:dyDescent="0.3">
      <c r="A514" s="39"/>
      <c r="B514" s="40" t="s">
        <v>1503</v>
      </c>
      <c r="C514" s="41">
        <v>352.8</v>
      </c>
      <c r="D514" s="42">
        <v>45964</v>
      </c>
      <c r="E514" s="43" t="s">
        <v>2</v>
      </c>
      <c r="F514" s="41">
        <v>0</v>
      </c>
      <c r="G514" s="41">
        <v>0</v>
      </c>
      <c r="H514" s="41">
        <v>352.8</v>
      </c>
      <c r="I514" s="43">
        <v>90</v>
      </c>
      <c r="J514" s="43">
        <v>9</v>
      </c>
      <c r="K514" s="44">
        <v>4000000</v>
      </c>
      <c r="L514" s="43" t="s">
        <v>992</v>
      </c>
      <c r="M514" s="45">
        <v>46054</v>
      </c>
      <c r="N514" s="41">
        <v>352.8</v>
      </c>
      <c r="O514" s="42">
        <v>46001</v>
      </c>
      <c r="P514" s="46"/>
      <c r="Q514" s="41">
        <v>352.8</v>
      </c>
    </row>
    <row r="515" spans="1:17" ht="12" customHeight="1" x14ac:dyDescent="0.3">
      <c r="A515" s="39"/>
      <c r="B515" s="40" t="s">
        <v>1504</v>
      </c>
      <c r="C515" s="41">
        <v>700028</v>
      </c>
      <c r="D515" s="42">
        <v>45967</v>
      </c>
      <c r="E515" s="43" t="s">
        <v>2</v>
      </c>
      <c r="F515" s="41">
        <v>0</v>
      </c>
      <c r="G515" s="41">
        <v>0</v>
      </c>
      <c r="H515" s="41">
        <v>700028</v>
      </c>
      <c r="I515" s="43">
        <v>90</v>
      </c>
      <c r="J515" s="43">
        <v>197</v>
      </c>
      <c r="K515" s="44">
        <v>7000000</v>
      </c>
      <c r="L515" s="43" t="s">
        <v>992</v>
      </c>
      <c r="M515" s="45">
        <v>46057</v>
      </c>
      <c r="N515" s="41">
        <v>700028</v>
      </c>
      <c r="O515" s="42">
        <v>45978</v>
      </c>
      <c r="P515" s="46"/>
      <c r="Q515" s="41">
        <v>700028</v>
      </c>
    </row>
    <row r="516" spans="1:17" ht="12" customHeight="1" x14ac:dyDescent="0.3">
      <c r="A516" s="39"/>
      <c r="B516" s="40" t="s">
        <v>1505</v>
      </c>
      <c r="C516" s="41">
        <v>829979.2</v>
      </c>
      <c r="D516" s="42">
        <v>45967</v>
      </c>
      <c r="E516" s="43" t="s">
        <v>2</v>
      </c>
      <c r="F516" s="41">
        <v>0</v>
      </c>
      <c r="G516" s="41">
        <v>0</v>
      </c>
      <c r="H516" s="41">
        <v>829979.2</v>
      </c>
      <c r="I516" s="43">
        <v>90</v>
      </c>
      <c r="J516" s="43">
        <v>197</v>
      </c>
      <c r="K516" s="44">
        <v>7000000</v>
      </c>
      <c r="L516" s="43" t="s">
        <v>992</v>
      </c>
      <c r="M516" s="45">
        <v>46057</v>
      </c>
      <c r="N516" s="41">
        <v>829979.2</v>
      </c>
      <c r="O516" s="42">
        <v>45979</v>
      </c>
      <c r="P516" s="46"/>
      <c r="Q516" s="41">
        <v>829979.2</v>
      </c>
    </row>
    <row r="517" spans="1:17" ht="12" customHeight="1" x14ac:dyDescent="0.3">
      <c r="A517" s="39"/>
      <c r="B517" s="40" t="s">
        <v>1506</v>
      </c>
      <c r="C517" s="41">
        <v>355500</v>
      </c>
      <c r="D517" s="42">
        <v>45967</v>
      </c>
      <c r="E517" s="43" t="s">
        <v>2</v>
      </c>
      <c r="F517" s="41">
        <v>0</v>
      </c>
      <c r="G517" s="41">
        <v>0</v>
      </c>
      <c r="H517" s="41">
        <v>355500</v>
      </c>
      <c r="I517" s="43">
        <v>90</v>
      </c>
      <c r="J517" s="43">
        <v>197</v>
      </c>
      <c r="K517" s="44">
        <v>7000000</v>
      </c>
      <c r="L517" s="43" t="s">
        <v>992</v>
      </c>
      <c r="M517" s="45">
        <v>46057</v>
      </c>
      <c r="N517" s="41">
        <v>355500</v>
      </c>
      <c r="O517" s="42">
        <v>45979</v>
      </c>
      <c r="P517" s="46"/>
      <c r="Q517" s="41">
        <v>355500</v>
      </c>
    </row>
    <row r="518" spans="1:17" ht="12" customHeight="1" x14ac:dyDescent="0.3">
      <c r="A518" s="39"/>
      <c r="B518" s="40" t="s">
        <v>1507</v>
      </c>
      <c r="C518" s="41">
        <v>644500</v>
      </c>
      <c r="D518" s="42">
        <v>45967</v>
      </c>
      <c r="E518" s="43" t="s">
        <v>2</v>
      </c>
      <c r="F518" s="41">
        <v>0</v>
      </c>
      <c r="G518" s="41">
        <v>0</v>
      </c>
      <c r="H518" s="41">
        <v>644500</v>
      </c>
      <c r="I518" s="43">
        <v>90</v>
      </c>
      <c r="J518" s="43">
        <v>197</v>
      </c>
      <c r="K518" s="44">
        <v>7000000</v>
      </c>
      <c r="L518" s="43" t="s">
        <v>992</v>
      </c>
      <c r="M518" s="45">
        <v>46057</v>
      </c>
      <c r="N518" s="41">
        <v>644500</v>
      </c>
      <c r="O518" s="42">
        <v>45979</v>
      </c>
      <c r="P518" s="46"/>
      <c r="Q518" s="41">
        <v>644500</v>
      </c>
    </row>
    <row r="519" spans="1:17" ht="12" customHeight="1" x14ac:dyDescent="0.3">
      <c r="A519" s="39"/>
      <c r="B519" s="40" t="s">
        <v>1508</v>
      </c>
      <c r="C519" s="41">
        <v>170855</v>
      </c>
      <c r="D519" s="42">
        <v>45967</v>
      </c>
      <c r="E519" s="43" t="s">
        <v>2</v>
      </c>
      <c r="F519" s="41">
        <v>0</v>
      </c>
      <c r="G519" s="41">
        <v>0</v>
      </c>
      <c r="H519" s="41">
        <v>170855</v>
      </c>
      <c r="I519" s="43">
        <v>90</v>
      </c>
      <c r="J519" s="43">
        <v>197</v>
      </c>
      <c r="K519" s="44">
        <v>7000000</v>
      </c>
      <c r="L519" s="43" t="s">
        <v>992</v>
      </c>
      <c r="M519" s="45">
        <v>46057</v>
      </c>
      <c r="N519" s="41">
        <v>170855</v>
      </c>
      <c r="O519" s="42">
        <v>45979</v>
      </c>
      <c r="P519" s="46"/>
      <c r="Q519" s="41">
        <v>170855</v>
      </c>
    </row>
    <row r="520" spans="1:17" ht="12" customHeight="1" x14ac:dyDescent="0.3">
      <c r="A520" s="39"/>
      <c r="B520" s="40" t="s">
        <v>1509</v>
      </c>
      <c r="C520" s="41">
        <v>179150</v>
      </c>
      <c r="D520" s="42">
        <v>45967</v>
      </c>
      <c r="E520" s="43" t="s">
        <v>2</v>
      </c>
      <c r="F520" s="41">
        <v>0</v>
      </c>
      <c r="G520" s="41">
        <v>0</v>
      </c>
      <c r="H520" s="41">
        <v>179150</v>
      </c>
      <c r="I520" s="43">
        <v>90</v>
      </c>
      <c r="J520" s="43">
        <v>71</v>
      </c>
      <c r="K520" s="44">
        <v>2591413</v>
      </c>
      <c r="L520" s="43" t="s">
        <v>992</v>
      </c>
      <c r="M520" s="45">
        <v>46057</v>
      </c>
      <c r="N520" s="41">
        <v>179150</v>
      </c>
      <c r="O520" s="42">
        <v>46014</v>
      </c>
      <c r="P520" s="46"/>
      <c r="Q520" s="41">
        <v>179150</v>
      </c>
    </row>
    <row r="521" spans="1:17" ht="12" customHeight="1" x14ac:dyDescent="0.3">
      <c r="A521" s="39"/>
      <c r="B521" s="40" t="s">
        <v>1510</v>
      </c>
      <c r="C521" s="41">
        <v>217268</v>
      </c>
      <c r="D521" s="42">
        <v>45967</v>
      </c>
      <c r="E521" s="43" t="s">
        <v>2</v>
      </c>
      <c r="F521" s="41">
        <v>0</v>
      </c>
      <c r="G521" s="41">
        <v>0</v>
      </c>
      <c r="H521" s="41">
        <v>217268</v>
      </c>
      <c r="I521" s="43">
        <v>90</v>
      </c>
      <c r="J521" s="43">
        <v>197</v>
      </c>
      <c r="K521" s="44">
        <v>7000000</v>
      </c>
      <c r="L521" s="43" t="s">
        <v>992</v>
      </c>
      <c r="M521" s="45">
        <v>46057</v>
      </c>
      <c r="N521" s="41">
        <v>217268</v>
      </c>
      <c r="O521" s="42">
        <v>45979</v>
      </c>
      <c r="P521" s="46"/>
      <c r="Q521" s="41">
        <v>217268</v>
      </c>
    </row>
    <row r="522" spans="1:17" ht="12" customHeight="1" x14ac:dyDescent="0.3">
      <c r="A522" s="39"/>
      <c r="B522" s="40" t="s">
        <v>1511</v>
      </c>
      <c r="C522" s="41">
        <v>500000</v>
      </c>
      <c r="D522" s="42">
        <v>45967</v>
      </c>
      <c r="E522" s="43" t="s">
        <v>2</v>
      </c>
      <c r="F522" s="41">
        <v>0</v>
      </c>
      <c r="G522" s="41">
        <v>0</v>
      </c>
      <c r="H522" s="41">
        <v>500000</v>
      </c>
      <c r="I522" s="43">
        <v>90</v>
      </c>
      <c r="J522" s="43">
        <v>197</v>
      </c>
      <c r="K522" s="44">
        <v>7000000</v>
      </c>
      <c r="L522" s="43" t="s">
        <v>992</v>
      </c>
      <c r="M522" s="45">
        <v>46057</v>
      </c>
      <c r="N522" s="41">
        <v>500000</v>
      </c>
      <c r="O522" s="42">
        <v>45979</v>
      </c>
      <c r="P522" s="46"/>
      <c r="Q522" s="41">
        <v>500000</v>
      </c>
    </row>
    <row r="523" spans="1:17" ht="12" customHeight="1" x14ac:dyDescent="0.3">
      <c r="A523" s="39"/>
      <c r="B523" s="40" t="s">
        <v>1512</v>
      </c>
      <c r="C523" s="41">
        <v>250000</v>
      </c>
      <c r="D523" s="42">
        <v>45967</v>
      </c>
      <c r="E523" s="43" t="s">
        <v>2</v>
      </c>
      <c r="F523" s="41">
        <v>0</v>
      </c>
      <c r="G523" s="41">
        <v>0</v>
      </c>
      <c r="H523" s="41">
        <v>250000</v>
      </c>
      <c r="I523" s="43">
        <v>90</v>
      </c>
      <c r="J523" s="43">
        <v>71</v>
      </c>
      <c r="K523" s="44">
        <v>2591413</v>
      </c>
      <c r="L523" s="43" t="s">
        <v>992</v>
      </c>
      <c r="M523" s="45">
        <v>46057</v>
      </c>
      <c r="N523" s="41">
        <v>250000</v>
      </c>
      <c r="O523" s="42">
        <v>46014</v>
      </c>
      <c r="P523" s="46"/>
      <c r="Q523" s="41">
        <v>250000</v>
      </c>
    </row>
    <row r="524" spans="1:17" ht="12" customHeight="1" x14ac:dyDescent="0.3">
      <c r="A524" s="39"/>
      <c r="B524" s="40" t="s">
        <v>1513</v>
      </c>
      <c r="C524" s="41">
        <v>166239.6</v>
      </c>
      <c r="D524" s="42">
        <v>45967</v>
      </c>
      <c r="E524" s="43" t="s">
        <v>2</v>
      </c>
      <c r="F524" s="41">
        <v>0</v>
      </c>
      <c r="G524" s="41">
        <v>0</v>
      </c>
      <c r="H524" s="41">
        <v>166239.6</v>
      </c>
      <c r="I524" s="43">
        <v>90</v>
      </c>
      <c r="J524" s="43">
        <v>9</v>
      </c>
      <c r="K524" s="44">
        <v>4000000</v>
      </c>
      <c r="L524" s="43" t="s">
        <v>992</v>
      </c>
      <c r="M524" s="45">
        <v>46057</v>
      </c>
      <c r="N524" s="41">
        <v>166239.6</v>
      </c>
      <c r="O524" s="42">
        <v>46006</v>
      </c>
      <c r="P524" s="46"/>
      <c r="Q524" s="41">
        <v>166239.6</v>
      </c>
    </row>
    <row r="525" spans="1:17" ht="12" customHeight="1" x14ac:dyDescent="0.3">
      <c r="A525" s="39"/>
      <c r="B525" s="40" t="s">
        <v>1514</v>
      </c>
      <c r="C525" s="41">
        <v>273298.5</v>
      </c>
      <c r="D525" s="42">
        <v>45967</v>
      </c>
      <c r="E525" s="43" t="s">
        <v>2</v>
      </c>
      <c r="F525" s="41">
        <v>0</v>
      </c>
      <c r="G525" s="41">
        <v>0</v>
      </c>
      <c r="H525" s="41">
        <v>273298.5</v>
      </c>
      <c r="I525" s="43">
        <v>90</v>
      </c>
      <c r="J525" s="43">
        <v>9</v>
      </c>
      <c r="K525" s="44">
        <v>4000000</v>
      </c>
      <c r="L525" s="43" t="s">
        <v>992</v>
      </c>
      <c r="M525" s="45">
        <v>46057</v>
      </c>
      <c r="N525" s="41">
        <v>273298.5</v>
      </c>
      <c r="O525" s="42">
        <v>46006</v>
      </c>
      <c r="P525" s="46"/>
      <c r="Q525" s="41">
        <v>273298.5</v>
      </c>
    </row>
    <row r="526" spans="1:17" ht="12" customHeight="1" x14ac:dyDescent="0.3">
      <c r="A526" s="39"/>
      <c r="B526" s="40" t="s">
        <v>1515</v>
      </c>
      <c r="C526" s="41">
        <v>144129.70000000001</v>
      </c>
      <c r="D526" s="42">
        <v>45967</v>
      </c>
      <c r="E526" s="43" t="s">
        <v>2</v>
      </c>
      <c r="F526" s="41">
        <v>0</v>
      </c>
      <c r="G526" s="41">
        <v>0</v>
      </c>
      <c r="H526" s="41">
        <v>144129.70000000001</v>
      </c>
      <c r="I526" s="43">
        <v>90</v>
      </c>
      <c r="J526" s="43">
        <v>9</v>
      </c>
      <c r="K526" s="44">
        <v>4000000</v>
      </c>
      <c r="L526" s="43" t="s">
        <v>992</v>
      </c>
      <c r="M526" s="45">
        <v>46057</v>
      </c>
      <c r="N526" s="41">
        <v>144129.70000000001</v>
      </c>
      <c r="O526" s="42">
        <v>46006</v>
      </c>
      <c r="P526" s="46"/>
      <c r="Q526" s="41">
        <v>144129.70000000001</v>
      </c>
    </row>
    <row r="527" spans="1:17" ht="12" customHeight="1" x14ac:dyDescent="0.3">
      <c r="A527" s="39"/>
      <c r="B527" s="40" t="s">
        <v>1516</v>
      </c>
      <c r="C527" s="41">
        <v>462</v>
      </c>
      <c r="D527" s="42">
        <v>45970</v>
      </c>
      <c r="E527" s="43" t="s">
        <v>2</v>
      </c>
      <c r="F527" s="41">
        <v>0</v>
      </c>
      <c r="G527" s="41">
        <v>0</v>
      </c>
      <c r="H527" s="41">
        <v>462</v>
      </c>
      <c r="I527" s="43">
        <v>90</v>
      </c>
      <c r="J527" s="43">
        <v>9</v>
      </c>
      <c r="K527" s="44">
        <v>4000000</v>
      </c>
      <c r="L527" s="43" t="s">
        <v>992</v>
      </c>
      <c r="M527" s="45">
        <v>46061</v>
      </c>
      <c r="N527" s="41">
        <v>462</v>
      </c>
      <c r="O527" s="42">
        <v>46006</v>
      </c>
      <c r="P527" s="46"/>
      <c r="Q527" s="41">
        <v>462</v>
      </c>
    </row>
    <row r="528" spans="1:17" ht="12" customHeight="1" x14ac:dyDescent="0.3">
      <c r="A528" s="39"/>
      <c r="B528" s="40" t="s">
        <v>1517</v>
      </c>
      <c r="C528" s="41">
        <v>302.47000000000003</v>
      </c>
      <c r="D528" s="42">
        <v>45970</v>
      </c>
      <c r="E528" s="43" t="s">
        <v>2</v>
      </c>
      <c r="F528" s="41">
        <v>0</v>
      </c>
      <c r="G528" s="41">
        <v>0</v>
      </c>
      <c r="H528" s="41">
        <v>302.47000000000003</v>
      </c>
      <c r="I528" s="43">
        <v>90</v>
      </c>
      <c r="J528" s="43">
        <v>9</v>
      </c>
      <c r="K528" s="44">
        <v>4000000</v>
      </c>
      <c r="L528" s="43" t="s">
        <v>992</v>
      </c>
      <c r="M528" s="45">
        <v>46061</v>
      </c>
      <c r="N528" s="41">
        <v>302.47000000000003</v>
      </c>
      <c r="O528" s="42">
        <v>46006</v>
      </c>
      <c r="P528" s="46"/>
      <c r="Q528" s="41">
        <v>302.47000000000003</v>
      </c>
    </row>
    <row r="529" spans="1:17" ht="12" customHeight="1" x14ac:dyDescent="0.3">
      <c r="A529" s="39"/>
      <c r="B529" s="40" t="s">
        <v>1518</v>
      </c>
      <c r="C529" s="41">
        <v>721</v>
      </c>
      <c r="D529" s="42">
        <v>45970</v>
      </c>
      <c r="E529" s="43" t="s">
        <v>2</v>
      </c>
      <c r="F529" s="41">
        <v>0</v>
      </c>
      <c r="G529" s="41">
        <v>0</v>
      </c>
      <c r="H529" s="41">
        <v>721</v>
      </c>
      <c r="I529" s="43">
        <v>90</v>
      </c>
      <c r="J529" s="43">
        <v>9</v>
      </c>
      <c r="K529" s="44">
        <v>4000000</v>
      </c>
      <c r="L529" s="43" t="s">
        <v>992</v>
      </c>
      <c r="M529" s="45">
        <v>46061</v>
      </c>
      <c r="N529" s="41">
        <v>721</v>
      </c>
      <c r="O529" s="42">
        <v>46006</v>
      </c>
      <c r="P529" s="46"/>
      <c r="Q529" s="41">
        <v>721</v>
      </c>
    </row>
    <row r="530" spans="1:17" ht="12" customHeight="1" x14ac:dyDescent="0.3">
      <c r="A530" s="39"/>
      <c r="B530" s="40" t="s">
        <v>1519</v>
      </c>
      <c r="C530" s="41">
        <v>201</v>
      </c>
      <c r="D530" s="42">
        <v>45970</v>
      </c>
      <c r="E530" s="43" t="s">
        <v>2</v>
      </c>
      <c r="F530" s="41">
        <v>0</v>
      </c>
      <c r="G530" s="41">
        <v>0</v>
      </c>
      <c r="H530" s="41">
        <v>201</v>
      </c>
      <c r="I530" s="43">
        <v>90</v>
      </c>
      <c r="J530" s="43">
        <v>9</v>
      </c>
      <c r="K530" s="44">
        <v>4000000</v>
      </c>
      <c r="L530" s="43" t="s">
        <v>992</v>
      </c>
      <c r="M530" s="45">
        <v>46061</v>
      </c>
      <c r="N530" s="41">
        <v>201</v>
      </c>
      <c r="O530" s="42">
        <v>46006</v>
      </c>
      <c r="P530" s="46"/>
      <c r="Q530" s="41">
        <v>201</v>
      </c>
    </row>
    <row r="531" spans="1:17" ht="12" customHeight="1" x14ac:dyDescent="0.3">
      <c r="A531" s="39"/>
      <c r="B531" s="40" t="s">
        <v>1520</v>
      </c>
      <c r="C531" s="41">
        <v>1470</v>
      </c>
      <c r="D531" s="42">
        <v>45970</v>
      </c>
      <c r="E531" s="43" t="s">
        <v>2</v>
      </c>
      <c r="F531" s="41">
        <v>0</v>
      </c>
      <c r="G531" s="41">
        <v>0</v>
      </c>
      <c r="H531" s="41">
        <v>1470</v>
      </c>
      <c r="I531" s="43">
        <v>90</v>
      </c>
      <c r="J531" s="43">
        <v>9</v>
      </c>
      <c r="K531" s="44">
        <v>4000000</v>
      </c>
      <c r="L531" s="43" t="s">
        <v>992</v>
      </c>
      <c r="M531" s="45">
        <v>46061</v>
      </c>
      <c r="N531" s="41">
        <v>1470</v>
      </c>
      <c r="O531" s="42">
        <v>46006</v>
      </c>
      <c r="P531" s="46"/>
      <c r="Q531" s="41">
        <v>1470</v>
      </c>
    </row>
    <row r="532" spans="1:17" ht="12" customHeight="1" x14ac:dyDescent="0.3">
      <c r="A532" s="39"/>
      <c r="B532" s="40" t="s">
        <v>1521</v>
      </c>
      <c r="C532" s="41">
        <v>1117.48</v>
      </c>
      <c r="D532" s="42">
        <v>45970</v>
      </c>
      <c r="E532" s="43" t="s">
        <v>2</v>
      </c>
      <c r="F532" s="41">
        <v>0</v>
      </c>
      <c r="G532" s="41">
        <v>0</v>
      </c>
      <c r="H532" s="41">
        <v>1117.48</v>
      </c>
      <c r="I532" s="43">
        <v>90</v>
      </c>
      <c r="J532" s="43">
        <v>9</v>
      </c>
      <c r="K532" s="44">
        <v>4000000</v>
      </c>
      <c r="L532" s="43" t="s">
        <v>992</v>
      </c>
      <c r="M532" s="45">
        <v>46061</v>
      </c>
      <c r="N532" s="41">
        <v>1117.48</v>
      </c>
      <c r="O532" s="42">
        <v>46006</v>
      </c>
      <c r="P532" s="46"/>
      <c r="Q532" s="41">
        <v>1117.48</v>
      </c>
    </row>
    <row r="533" spans="1:17" ht="12" customHeight="1" x14ac:dyDescent="0.3">
      <c r="A533" s="39"/>
      <c r="B533" s="40" t="s">
        <v>1522</v>
      </c>
      <c r="C533" s="41">
        <v>17937.79</v>
      </c>
      <c r="D533" s="42">
        <v>45970</v>
      </c>
      <c r="E533" s="43" t="s">
        <v>2</v>
      </c>
      <c r="F533" s="41">
        <v>0</v>
      </c>
      <c r="G533" s="41">
        <v>0</v>
      </c>
      <c r="H533" s="41">
        <v>17937.79</v>
      </c>
      <c r="I533" s="43">
        <v>90</v>
      </c>
      <c r="J533" s="43">
        <v>9</v>
      </c>
      <c r="K533" s="44">
        <v>4000000</v>
      </c>
      <c r="L533" s="43" t="s">
        <v>992</v>
      </c>
      <c r="M533" s="45">
        <v>46061</v>
      </c>
      <c r="N533" s="41">
        <v>17937.79</v>
      </c>
      <c r="O533" s="42">
        <v>46006</v>
      </c>
      <c r="P533" s="46"/>
      <c r="Q533" s="41">
        <v>17937.79</v>
      </c>
    </row>
    <row r="534" spans="1:17" ht="12" customHeight="1" x14ac:dyDescent="0.3">
      <c r="A534" s="39"/>
      <c r="B534" s="40" t="s">
        <v>1523</v>
      </c>
      <c r="C534" s="41">
        <v>8969.44</v>
      </c>
      <c r="D534" s="42">
        <v>45970</v>
      </c>
      <c r="E534" s="43" t="s">
        <v>2</v>
      </c>
      <c r="F534" s="41">
        <v>0</v>
      </c>
      <c r="G534" s="41">
        <v>0</v>
      </c>
      <c r="H534" s="41">
        <v>8969.44</v>
      </c>
      <c r="I534" s="43">
        <v>90</v>
      </c>
      <c r="J534" s="43">
        <v>9</v>
      </c>
      <c r="K534" s="44">
        <v>4000000</v>
      </c>
      <c r="L534" s="43" t="s">
        <v>992</v>
      </c>
      <c r="M534" s="45">
        <v>46061</v>
      </c>
      <c r="N534" s="41">
        <v>8969.44</v>
      </c>
      <c r="O534" s="42">
        <v>46006</v>
      </c>
      <c r="P534" s="46"/>
      <c r="Q534" s="41">
        <v>8969.44</v>
      </c>
    </row>
    <row r="535" spans="1:17" ht="12" customHeight="1" x14ac:dyDescent="0.3">
      <c r="A535" s="39"/>
      <c r="B535" s="40" t="s">
        <v>1524</v>
      </c>
      <c r="C535" s="41">
        <v>148.01</v>
      </c>
      <c r="D535" s="42">
        <v>45970</v>
      </c>
      <c r="E535" s="43" t="s">
        <v>2</v>
      </c>
      <c r="F535" s="41">
        <v>0</v>
      </c>
      <c r="G535" s="41">
        <v>0</v>
      </c>
      <c r="H535" s="41">
        <v>148.01</v>
      </c>
      <c r="I535" s="43">
        <v>90</v>
      </c>
      <c r="J535" s="43">
        <v>9</v>
      </c>
      <c r="K535" s="44">
        <v>4000000</v>
      </c>
      <c r="L535" s="43" t="s">
        <v>992</v>
      </c>
      <c r="M535" s="45">
        <v>46061</v>
      </c>
      <c r="N535" s="41">
        <v>148.01</v>
      </c>
      <c r="O535" s="42">
        <v>46006</v>
      </c>
      <c r="P535" s="46"/>
      <c r="Q535" s="41">
        <v>148.01</v>
      </c>
    </row>
    <row r="536" spans="1:17" ht="12" customHeight="1" x14ac:dyDescent="0.3">
      <c r="A536" s="39"/>
      <c r="B536" s="40" t="s">
        <v>1525</v>
      </c>
      <c r="C536" s="41">
        <v>420</v>
      </c>
      <c r="D536" s="42">
        <v>45970</v>
      </c>
      <c r="E536" s="43" t="s">
        <v>2</v>
      </c>
      <c r="F536" s="41">
        <v>0</v>
      </c>
      <c r="G536" s="41">
        <v>0</v>
      </c>
      <c r="H536" s="41">
        <v>420</v>
      </c>
      <c r="I536" s="43">
        <v>90</v>
      </c>
      <c r="J536" s="43">
        <v>9</v>
      </c>
      <c r="K536" s="44">
        <v>4000000</v>
      </c>
      <c r="L536" s="43" t="s">
        <v>992</v>
      </c>
      <c r="M536" s="45">
        <v>46061</v>
      </c>
      <c r="N536" s="41">
        <v>420</v>
      </c>
      <c r="O536" s="42">
        <v>46006</v>
      </c>
      <c r="P536" s="46"/>
      <c r="Q536" s="41">
        <v>420</v>
      </c>
    </row>
    <row r="537" spans="1:17" ht="12" customHeight="1" x14ac:dyDescent="0.3">
      <c r="A537" s="39"/>
      <c r="B537" s="40" t="s">
        <v>1526</v>
      </c>
      <c r="C537" s="41">
        <v>134.55000000000001</v>
      </c>
      <c r="D537" s="42">
        <v>45970</v>
      </c>
      <c r="E537" s="43" t="s">
        <v>2</v>
      </c>
      <c r="F537" s="41">
        <v>0</v>
      </c>
      <c r="G537" s="41">
        <v>0</v>
      </c>
      <c r="H537" s="41">
        <v>134.55000000000001</v>
      </c>
      <c r="I537" s="43">
        <v>90</v>
      </c>
      <c r="J537" s="43">
        <v>9</v>
      </c>
      <c r="K537" s="44">
        <v>4000000</v>
      </c>
      <c r="L537" s="43" t="s">
        <v>992</v>
      </c>
      <c r="M537" s="45">
        <v>46061</v>
      </c>
      <c r="N537" s="41">
        <v>134.55000000000001</v>
      </c>
      <c r="O537" s="42">
        <v>46006</v>
      </c>
      <c r="P537" s="46"/>
      <c r="Q537" s="41">
        <v>134.55000000000001</v>
      </c>
    </row>
    <row r="538" spans="1:17" ht="12" customHeight="1" x14ac:dyDescent="0.3">
      <c r="A538" s="39"/>
      <c r="B538" s="40" t="s">
        <v>1527</v>
      </c>
      <c r="C538" s="41">
        <v>6360.19</v>
      </c>
      <c r="D538" s="42">
        <v>45970</v>
      </c>
      <c r="E538" s="43" t="s">
        <v>2</v>
      </c>
      <c r="F538" s="41">
        <v>0</v>
      </c>
      <c r="G538" s="41">
        <v>0</v>
      </c>
      <c r="H538" s="41">
        <v>6360.19</v>
      </c>
      <c r="I538" s="43">
        <v>90</v>
      </c>
      <c r="J538" s="43">
        <v>9</v>
      </c>
      <c r="K538" s="44">
        <v>4000000</v>
      </c>
      <c r="L538" s="43" t="s">
        <v>992</v>
      </c>
      <c r="M538" s="45">
        <v>46061</v>
      </c>
      <c r="N538" s="41">
        <v>6360.19</v>
      </c>
      <c r="O538" s="42">
        <v>46006</v>
      </c>
      <c r="P538" s="46"/>
      <c r="Q538" s="41">
        <v>6360.19</v>
      </c>
    </row>
    <row r="539" spans="1:17" ht="12" customHeight="1" x14ac:dyDescent="0.3">
      <c r="A539" s="39"/>
      <c r="B539" s="40" t="s">
        <v>1528</v>
      </c>
      <c r="C539" s="41">
        <v>236.5</v>
      </c>
      <c r="D539" s="42">
        <v>45970</v>
      </c>
      <c r="E539" s="43" t="s">
        <v>2</v>
      </c>
      <c r="F539" s="41">
        <v>0</v>
      </c>
      <c r="G539" s="41">
        <v>0</v>
      </c>
      <c r="H539" s="41">
        <v>236.5</v>
      </c>
      <c r="I539" s="43">
        <v>90</v>
      </c>
      <c r="J539" s="43">
        <v>9</v>
      </c>
      <c r="K539" s="44">
        <v>4000000</v>
      </c>
      <c r="L539" s="43" t="s">
        <v>992</v>
      </c>
      <c r="M539" s="45">
        <v>46061</v>
      </c>
      <c r="N539" s="41">
        <v>236.5</v>
      </c>
      <c r="O539" s="42">
        <v>46006</v>
      </c>
      <c r="P539" s="46"/>
      <c r="Q539" s="41">
        <v>236.5</v>
      </c>
    </row>
    <row r="540" spans="1:17" ht="12" customHeight="1" x14ac:dyDescent="0.3">
      <c r="A540" s="39"/>
      <c r="B540" s="40" t="s">
        <v>1529</v>
      </c>
      <c r="C540" s="41">
        <v>8620</v>
      </c>
      <c r="D540" s="42">
        <v>45970</v>
      </c>
      <c r="E540" s="43" t="s">
        <v>2</v>
      </c>
      <c r="F540" s="41">
        <v>0</v>
      </c>
      <c r="G540" s="41">
        <v>0</v>
      </c>
      <c r="H540" s="41">
        <v>8620</v>
      </c>
      <c r="I540" s="43">
        <v>90</v>
      </c>
      <c r="J540" s="43">
        <v>9</v>
      </c>
      <c r="K540" s="44">
        <v>4000000</v>
      </c>
      <c r="L540" s="43" t="s">
        <v>992</v>
      </c>
      <c r="M540" s="45">
        <v>46061</v>
      </c>
      <c r="N540" s="41">
        <v>8620</v>
      </c>
      <c r="O540" s="42">
        <v>46006</v>
      </c>
      <c r="P540" s="46"/>
      <c r="Q540" s="41">
        <v>8620</v>
      </c>
    </row>
    <row r="541" spans="1:17" ht="12" customHeight="1" x14ac:dyDescent="0.3">
      <c r="A541" s="39"/>
      <c r="B541" s="40" t="s">
        <v>1530</v>
      </c>
      <c r="C541" s="41">
        <v>337920.31</v>
      </c>
      <c r="D541" s="42">
        <v>45970</v>
      </c>
      <c r="E541" s="43" t="s">
        <v>2</v>
      </c>
      <c r="F541" s="41">
        <v>0</v>
      </c>
      <c r="G541" s="41">
        <v>0</v>
      </c>
      <c r="H541" s="41">
        <v>337920.31</v>
      </c>
      <c r="I541" s="43">
        <v>90</v>
      </c>
      <c r="J541" s="43">
        <v>13</v>
      </c>
      <c r="K541" s="44">
        <v>4413196</v>
      </c>
      <c r="L541" s="43" t="s">
        <v>992</v>
      </c>
      <c r="M541" s="45">
        <v>46061</v>
      </c>
      <c r="N541" s="41">
        <v>337920.31</v>
      </c>
      <c r="O541" s="42">
        <v>45998</v>
      </c>
      <c r="P541" s="46"/>
      <c r="Q541" s="41">
        <v>337920.31</v>
      </c>
    </row>
    <row r="542" spans="1:17" ht="12" customHeight="1" x14ac:dyDescent="0.3">
      <c r="A542" s="39"/>
      <c r="B542" s="40" t="s">
        <v>1531</v>
      </c>
      <c r="C542" s="41">
        <v>136620</v>
      </c>
      <c r="D542" s="42">
        <v>45970</v>
      </c>
      <c r="E542" s="43" t="s">
        <v>2</v>
      </c>
      <c r="F542" s="41">
        <v>0</v>
      </c>
      <c r="G542" s="41">
        <v>0</v>
      </c>
      <c r="H542" s="41">
        <v>136620</v>
      </c>
      <c r="I542" s="43">
        <v>90</v>
      </c>
      <c r="J542" s="43">
        <v>13</v>
      </c>
      <c r="K542" s="44">
        <v>4413196</v>
      </c>
      <c r="L542" s="43" t="s">
        <v>992</v>
      </c>
      <c r="M542" s="45">
        <v>46061</v>
      </c>
      <c r="N542" s="41">
        <v>136620</v>
      </c>
      <c r="O542" s="42">
        <v>46012</v>
      </c>
      <c r="P542" s="46"/>
      <c r="Q542" s="41">
        <v>136620</v>
      </c>
    </row>
    <row r="543" spans="1:17" ht="12" customHeight="1" x14ac:dyDescent="0.3">
      <c r="A543" s="39"/>
      <c r="B543" s="40" t="s">
        <v>1532</v>
      </c>
      <c r="C543" s="41">
        <v>515200.59</v>
      </c>
      <c r="D543" s="42">
        <v>45970</v>
      </c>
      <c r="E543" s="43" t="s">
        <v>2</v>
      </c>
      <c r="F543" s="41">
        <v>0</v>
      </c>
      <c r="G543" s="41">
        <v>0</v>
      </c>
      <c r="H543" s="41">
        <v>515200.59</v>
      </c>
      <c r="I543" s="43">
        <v>90</v>
      </c>
      <c r="J543" s="43">
        <v>13</v>
      </c>
      <c r="K543" s="44">
        <v>4413196</v>
      </c>
      <c r="L543" s="43" t="s">
        <v>992</v>
      </c>
      <c r="M543" s="45">
        <v>46061</v>
      </c>
      <c r="N543" s="41">
        <v>515200.59</v>
      </c>
      <c r="O543" s="42">
        <v>46029</v>
      </c>
      <c r="P543" s="46"/>
      <c r="Q543" s="41">
        <v>515200.59</v>
      </c>
    </row>
    <row r="544" spans="1:17" ht="12" customHeight="1" x14ac:dyDescent="0.3">
      <c r="A544" s="39"/>
      <c r="B544" s="40" t="s">
        <v>1533</v>
      </c>
      <c r="C544" s="41">
        <v>515100.81</v>
      </c>
      <c r="D544" s="42">
        <v>45970</v>
      </c>
      <c r="E544" s="43" t="s">
        <v>2</v>
      </c>
      <c r="F544" s="41">
        <v>0</v>
      </c>
      <c r="G544" s="41">
        <v>0</v>
      </c>
      <c r="H544" s="41">
        <v>515100.81</v>
      </c>
      <c r="I544" s="43">
        <v>90</v>
      </c>
      <c r="J544" s="43">
        <v>13</v>
      </c>
      <c r="K544" s="44">
        <v>4413196</v>
      </c>
      <c r="L544" s="43" t="s">
        <v>992</v>
      </c>
      <c r="M544" s="45">
        <v>46061</v>
      </c>
      <c r="N544" s="41">
        <v>515100.81</v>
      </c>
      <c r="O544" s="42">
        <v>46033</v>
      </c>
      <c r="P544" s="46"/>
      <c r="Q544" s="41">
        <v>515100.81</v>
      </c>
    </row>
    <row r="545" spans="1:17" ht="12" customHeight="1" x14ac:dyDescent="0.3">
      <c r="A545" s="39"/>
      <c r="B545" s="40" t="s">
        <v>1534</v>
      </c>
      <c r="C545" s="41">
        <v>508980.3</v>
      </c>
      <c r="D545" s="42">
        <v>45970</v>
      </c>
      <c r="E545" s="43" t="s">
        <v>2</v>
      </c>
      <c r="F545" s="41">
        <v>0</v>
      </c>
      <c r="G545" s="41">
        <v>0</v>
      </c>
      <c r="H545" s="41">
        <v>508980.3</v>
      </c>
      <c r="I545" s="43">
        <v>90</v>
      </c>
      <c r="J545" s="43">
        <v>13</v>
      </c>
      <c r="K545" s="44">
        <v>4413196</v>
      </c>
      <c r="L545" s="43" t="s">
        <v>992</v>
      </c>
      <c r="M545" s="45">
        <v>46061</v>
      </c>
      <c r="N545" s="41">
        <v>508980.3</v>
      </c>
      <c r="O545" s="42">
        <v>46040</v>
      </c>
      <c r="P545" s="46"/>
      <c r="Q545" s="41">
        <v>508980.3</v>
      </c>
    </row>
    <row r="546" spans="1:17" ht="12" customHeight="1" x14ac:dyDescent="0.3">
      <c r="A546" s="39"/>
      <c r="B546" s="40" t="s">
        <v>1535</v>
      </c>
      <c r="C546" s="41">
        <v>467568.7</v>
      </c>
      <c r="D546" s="42">
        <v>45970</v>
      </c>
      <c r="E546" s="43" t="s">
        <v>2</v>
      </c>
      <c r="F546" s="41">
        <v>0</v>
      </c>
      <c r="G546" s="41">
        <v>0</v>
      </c>
      <c r="H546" s="41">
        <v>467568.7</v>
      </c>
      <c r="I546" s="43">
        <v>90</v>
      </c>
      <c r="J546" s="43">
        <v>13</v>
      </c>
      <c r="K546" s="44">
        <v>4413196</v>
      </c>
      <c r="L546" s="43" t="s">
        <v>992</v>
      </c>
      <c r="M546" s="45">
        <v>46061</v>
      </c>
      <c r="N546" s="41">
        <v>467568.7</v>
      </c>
      <c r="O546" s="42">
        <v>46043</v>
      </c>
      <c r="P546" s="46"/>
      <c r="Q546" s="41">
        <v>467568.7</v>
      </c>
    </row>
    <row r="547" spans="1:17" ht="12" customHeight="1" x14ac:dyDescent="0.3">
      <c r="A547" s="39"/>
      <c r="B547" s="40" t="s">
        <v>1536</v>
      </c>
      <c r="C547" s="41">
        <v>766555.13</v>
      </c>
      <c r="D547" s="42">
        <v>45970</v>
      </c>
      <c r="E547" s="43" t="s">
        <v>2</v>
      </c>
      <c r="F547" s="41">
        <v>0</v>
      </c>
      <c r="G547" s="41">
        <v>0</v>
      </c>
      <c r="H547" s="41">
        <v>766555.13</v>
      </c>
      <c r="I547" s="43">
        <v>90</v>
      </c>
      <c r="J547" s="43">
        <v>13</v>
      </c>
      <c r="K547" s="44">
        <v>4413196</v>
      </c>
      <c r="L547" s="43" t="s">
        <v>992</v>
      </c>
      <c r="M547" s="45">
        <v>46061</v>
      </c>
      <c r="N547" s="41">
        <v>766555.13</v>
      </c>
      <c r="O547" s="42">
        <v>46047</v>
      </c>
      <c r="P547" s="46"/>
      <c r="Q547" s="41">
        <v>766555.13</v>
      </c>
    </row>
    <row r="548" spans="1:17" ht="12" customHeight="1" x14ac:dyDescent="0.3">
      <c r="A548" s="39"/>
      <c r="B548" s="40" t="s">
        <v>1537</v>
      </c>
      <c r="C548" s="41">
        <v>515057.09</v>
      </c>
      <c r="D548" s="42">
        <v>45970</v>
      </c>
      <c r="E548" s="43" t="s">
        <v>2</v>
      </c>
      <c r="F548" s="41">
        <v>0</v>
      </c>
      <c r="G548" s="41">
        <v>0</v>
      </c>
      <c r="H548" s="41">
        <v>515057.09</v>
      </c>
      <c r="I548" s="43">
        <v>90</v>
      </c>
      <c r="J548" s="43">
        <v>13</v>
      </c>
      <c r="K548" s="44">
        <v>4413196</v>
      </c>
      <c r="L548" s="43" t="s">
        <v>992</v>
      </c>
      <c r="M548" s="45">
        <v>46061</v>
      </c>
      <c r="N548" s="41">
        <v>515057.09</v>
      </c>
      <c r="O548" s="42">
        <v>46049</v>
      </c>
      <c r="P548" s="46"/>
      <c r="Q548" s="41">
        <v>515057.09</v>
      </c>
    </row>
    <row r="549" spans="1:17" ht="12" customHeight="1" x14ac:dyDescent="0.3">
      <c r="A549" s="39"/>
      <c r="B549" s="40" t="s">
        <v>1538</v>
      </c>
      <c r="C549" s="41">
        <v>233000</v>
      </c>
      <c r="D549" s="42">
        <v>45971</v>
      </c>
      <c r="E549" s="43" t="s">
        <v>2</v>
      </c>
      <c r="F549" s="41">
        <v>0</v>
      </c>
      <c r="G549" s="41">
        <v>0</v>
      </c>
      <c r="H549" s="41">
        <v>233000</v>
      </c>
      <c r="I549" s="43">
        <v>90</v>
      </c>
      <c r="J549" s="43">
        <v>71</v>
      </c>
      <c r="K549" s="44">
        <v>2824153</v>
      </c>
      <c r="L549" s="43" t="s">
        <v>992</v>
      </c>
      <c r="M549" s="45">
        <v>46061</v>
      </c>
      <c r="N549" s="41">
        <v>233000</v>
      </c>
      <c r="O549" s="42">
        <v>46016</v>
      </c>
      <c r="P549" s="46"/>
      <c r="Q549" s="41">
        <v>233000</v>
      </c>
    </row>
    <row r="550" spans="1:17" ht="12" customHeight="1" x14ac:dyDescent="0.3">
      <c r="A550" s="39"/>
      <c r="B550" s="40" t="s">
        <v>1539</v>
      </c>
      <c r="C550" s="41">
        <v>190000</v>
      </c>
      <c r="D550" s="42">
        <v>45972</v>
      </c>
      <c r="E550" s="43" t="s">
        <v>2</v>
      </c>
      <c r="F550" s="41">
        <v>0</v>
      </c>
      <c r="G550" s="41">
        <v>0</v>
      </c>
      <c r="H550" s="41">
        <v>190000</v>
      </c>
      <c r="I550" s="43">
        <v>90</v>
      </c>
      <c r="J550" s="43">
        <v>71</v>
      </c>
      <c r="K550" s="44">
        <v>2824153</v>
      </c>
      <c r="L550" s="43" t="s">
        <v>992</v>
      </c>
      <c r="M550" s="45">
        <v>46062</v>
      </c>
      <c r="N550" s="41">
        <v>190000</v>
      </c>
      <c r="O550" s="42">
        <v>46019</v>
      </c>
      <c r="P550" s="46"/>
      <c r="Q550" s="41">
        <v>190000</v>
      </c>
    </row>
    <row r="551" spans="1:17" ht="12" customHeight="1" x14ac:dyDescent="0.3">
      <c r="A551" s="39"/>
      <c r="B551" s="40" t="s">
        <v>1540</v>
      </c>
      <c r="C551" s="41">
        <v>1606.24</v>
      </c>
      <c r="D551" s="42">
        <v>45972</v>
      </c>
      <c r="E551" s="43" t="s">
        <v>2</v>
      </c>
      <c r="F551" s="41">
        <v>0</v>
      </c>
      <c r="G551" s="41">
        <v>0</v>
      </c>
      <c r="H551" s="41">
        <v>1606.24</v>
      </c>
      <c r="I551" s="43">
        <v>90</v>
      </c>
      <c r="J551" s="43">
        <v>9</v>
      </c>
      <c r="K551" s="44">
        <v>4000000</v>
      </c>
      <c r="L551" s="43" t="s">
        <v>992</v>
      </c>
      <c r="M551" s="45">
        <v>46062</v>
      </c>
      <c r="N551" s="41">
        <v>1606.24</v>
      </c>
      <c r="O551" s="42">
        <v>46006</v>
      </c>
      <c r="P551" s="46"/>
      <c r="Q551" s="41">
        <v>1606.24</v>
      </c>
    </row>
    <row r="552" spans="1:17" ht="12" customHeight="1" x14ac:dyDescent="0.3">
      <c r="A552" s="39"/>
      <c r="B552" s="40" t="s">
        <v>1541</v>
      </c>
      <c r="C552" s="41">
        <v>166239.6</v>
      </c>
      <c r="D552" s="42">
        <v>45972</v>
      </c>
      <c r="E552" s="43" t="s">
        <v>2</v>
      </c>
      <c r="F552" s="41">
        <v>0</v>
      </c>
      <c r="G552" s="41">
        <v>0</v>
      </c>
      <c r="H552" s="41">
        <v>166239.6</v>
      </c>
      <c r="I552" s="43">
        <v>90</v>
      </c>
      <c r="J552" s="43">
        <v>9</v>
      </c>
      <c r="K552" s="44">
        <v>4000000</v>
      </c>
      <c r="L552" s="43" t="s">
        <v>992</v>
      </c>
      <c r="M552" s="45">
        <v>46062</v>
      </c>
      <c r="N552" s="41">
        <v>166239.6</v>
      </c>
      <c r="O552" s="42">
        <v>46008</v>
      </c>
      <c r="P552" s="46"/>
      <c r="Q552" s="41">
        <v>166239.6</v>
      </c>
    </row>
    <row r="553" spans="1:17" ht="12" customHeight="1" x14ac:dyDescent="0.3">
      <c r="A553" s="39"/>
      <c r="B553" s="40" t="s">
        <v>1542</v>
      </c>
      <c r="C553" s="41">
        <v>294823.62</v>
      </c>
      <c r="D553" s="42">
        <v>45972</v>
      </c>
      <c r="E553" s="43" t="s">
        <v>2</v>
      </c>
      <c r="F553" s="41">
        <v>0</v>
      </c>
      <c r="G553" s="41">
        <v>0</v>
      </c>
      <c r="H553" s="41">
        <v>294823.62</v>
      </c>
      <c r="I553" s="43">
        <v>90</v>
      </c>
      <c r="J553" s="43">
        <v>9</v>
      </c>
      <c r="K553" s="44">
        <v>4000000</v>
      </c>
      <c r="L553" s="43" t="s">
        <v>992</v>
      </c>
      <c r="M553" s="45">
        <v>46062</v>
      </c>
      <c r="N553" s="41">
        <v>294823.62</v>
      </c>
      <c r="O553" s="42">
        <v>46037</v>
      </c>
      <c r="P553" s="46"/>
      <c r="Q553" s="41">
        <v>294823.62</v>
      </c>
    </row>
    <row r="554" spans="1:17" ht="12" customHeight="1" x14ac:dyDescent="0.3">
      <c r="A554" s="39"/>
      <c r="B554" s="40" t="s">
        <v>1543</v>
      </c>
      <c r="C554" s="41">
        <v>269.10000000000002</v>
      </c>
      <c r="D554" s="42">
        <v>45972</v>
      </c>
      <c r="E554" s="43" t="s">
        <v>2</v>
      </c>
      <c r="F554" s="41">
        <v>0</v>
      </c>
      <c r="G554" s="41">
        <v>0</v>
      </c>
      <c r="H554" s="41">
        <v>269.10000000000002</v>
      </c>
      <c r="I554" s="43">
        <v>90</v>
      </c>
      <c r="J554" s="43">
        <v>9</v>
      </c>
      <c r="K554" s="44">
        <v>4000000</v>
      </c>
      <c r="L554" s="43" t="s">
        <v>992</v>
      </c>
      <c r="M554" s="45">
        <v>46062</v>
      </c>
      <c r="N554" s="41">
        <v>269.10000000000002</v>
      </c>
      <c r="O554" s="42">
        <v>46037</v>
      </c>
      <c r="P554" s="46"/>
      <c r="Q554" s="41">
        <v>269.10000000000002</v>
      </c>
    </row>
    <row r="555" spans="1:17" ht="12" customHeight="1" x14ac:dyDescent="0.3">
      <c r="A555" s="39"/>
      <c r="B555" s="40" t="s">
        <v>1544</v>
      </c>
      <c r="C555" s="41">
        <v>231000</v>
      </c>
      <c r="D555" s="42">
        <v>45973</v>
      </c>
      <c r="E555" s="43" t="s">
        <v>2</v>
      </c>
      <c r="F555" s="41">
        <v>0</v>
      </c>
      <c r="G555" s="41">
        <v>0</v>
      </c>
      <c r="H555" s="41">
        <v>231000</v>
      </c>
      <c r="I555" s="43">
        <v>90</v>
      </c>
      <c r="J555" s="43">
        <v>9</v>
      </c>
      <c r="K555" s="44">
        <v>4000000</v>
      </c>
      <c r="L555" s="43" t="s">
        <v>992</v>
      </c>
      <c r="M555" s="45">
        <v>46063</v>
      </c>
      <c r="N555" s="41">
        <v>231000</v>
      </c>
      <c r="O555" s="42">
        <v>46037</v>
      </c>
      <c r="P555" s="46"/>
      <c r="Q555" s="41">
        <v>231000</v>
      </c>
    </row>
    <row r="556" spans="1:17" ht="12" customHeight="1" x14ac:dyDescent="0.3">
      <c r="A556" s="39"/>
      <c r="B556" s="40" t="s">
        <v>1545</v>
      </c>
      <c r="C556" s="41">
        <v>139932</v>
      </c>
      <c r="D556" s="42">
        <v>45973</v>
      </c>
      <c r="E556" s="43" t="s">
        <v>2</v>
      </c>
      <c r="F556" s="41">
        <v>0</v>
      </c>
      <c r="G556" s="41">
        <v>0</v>
      </c>
      <c r="H556" s="41">
        <v>139932</v>
      </c>
      <c r="I556" s="43">
        <v>90</v>
      </c>
      <c r="J556" s="43">
        <v>13</v>
      </c>
      <c r="K556" s="44">
        <v>4413196</v>
      </c>
      <c r="L556" s="43" t="s">
        <v>992</v>
      </c>
      <c r="M556" s="45">
        <v>46063</v>
      </c>
      <c r="N556" s="41">
        <v>139932</v>
      </c>
      <c r="O556" s="42">
        <v>46065</v>
      </c>
      <c r="P556" s="46"/>
      <c r="Q556" s="41">
        <v>139932</v>
      </c>
    </row>
    <row r="557" spans="1:17" ht="12" customHeight="1" x14ac:dyDescent="0.3">
      <c r="A557" s="39"/>
      <c r="B557" s="40" t="s">
        <v>1546</v>
      </c>
      <c r="C557" s="41">
        <v>174068.98</v>
      </c>
      <c r="D557" s="42">
        <v>45973</v>
      </c>
      <c r="E557" s="43" t="s">
        <v>2</v>
      </c>
      <c r="F557" s="41">
        <v>0</v>
      </c>
      <c r="G557" s="41">
        <v>0</v>
      </c>
      <c r="H557" s="41">
        <v>174068.98</v>
      </c>
      <c r="I557" s="43">
        <v>90</v>
      </c>
      <c r="J557" s="43">
        <v>13</v>
      </c>
      <c r="K557" s="44">
        <v>4413196</v>
      </c>
      <c r="L557" s="43" t="s">
        <v>992</v>
      </c>
      <c r="M557" s="45">
        <v>46063</v>
      </c>
      <c r="N557" s="41">
        <v>174068.98</v>
      </c>
      <c r="O557" s="42">
        <v>46077</v>
      </c>
      <c r="P557" s="46"/>
      <c r="Q557" s="41">
        <v>174068.98</v>
      </c>
    </row>
    <row r="558" spans="1:17" ht="12" customHeight="1" x14ac:dyDescent="0.3">
      <c r="A558" s="39"/>
      <c r="B558" s="40" t="s">
        <v>1547</v>
      </c>
      <c r="C558" s="41">
        <v>641514.17000000004</v>
      </c>
      <c r="D558" s="42">
        <v>45973</v>
      </c>
      <c r="E558" s="43" t="s">
        <v>2</v>
      </c>
      <c r="F558" s="41">
        <v>0</v>
      </c>
      <c r="G558" s="41">
        <v>0</v>
      </c>
      <c r="H558" s="41">
        <v>641514.17000000004</v>
      </c>
      <c r="I558" s="43">
        <v>90</v>
      </c>
      <c r="J558" s="43">
        <v>197</v>
      </c>
      <c r="K558" s="44">
        <v>7000000</v>
      </c>
      <c r="L558" s="43" t="s">
        <v>992</v>
      </c>
      <c r="M558" s="45">
        <v>46063</v>
      </c>
      <c r="N558" s="41">
        <v>641514.17000000004</v>
      </c>
      <c r="O558" s="42">
        <v>45979</v>
      </c>
      <c r="P558" s="46"/>
      <c r="Q558" s="41">
        <v>641514.17000000004</v>
      </c>
    </row>
    <row r="559" spans="1:17" ht="12" customHeight="1" x14ac:dyDescent="0.3">
      <c r="A559" s="39"/>
      <c r="B559" s="40" t="s">
        <v>1548</v>
      </c>
      <c r="C559" s="41">
        <v>406</v>
      </c>
      <c r="D559" s="42">
        <v>45973</v>
      </c>
      <c r="E559" s="43" t="s">
        <v>2</v>
      </c>
      <c r="F559" s="41">
        <v>0</v>
      </c>
      <c r="G559" s="41">
        <v>0</v>
      </c>
      <c r="H559" s="41">
        <v>406</v>
      </c>
      <c r="I559" s="43">
        <v>90</v>
      </c>
      <c r="J559" s="43">
        <v>9</v>
      </c>
      <c r="K559" s="44">
        <v>4000000</v>
      </c>
      <c r="L559" s="43" t="s">
        <v>992</v>
      </c>
      <c r="M559" s="45">
        <v>46063</v>
      </c>
      <c r="N559" s="41">
        <v>406</v>
      </c>
      <c r="O559" s="42">
        <v>46037</v>
      </c>
      <c r="P559" s="46"/>
      <c r="Q559" s="41">
        <v>406</v>
      </c>
    </row>
    <row r="560" spans="1:17" ht="12" customHeight="1" x14ac:dyDescent="0.3">
      <c r="A560" s="39"/>
      <c r="B560" s="40" t="s">
        <v>1549</v>
      </c>
      <c r="C560" s="41">
        <v>172.2</v>
      </c>
      <c r="D560" s="42">
        <v>45973</v>
      </c>
      <c r="E560" s="43" t="s">
        <v>2</v>
      </c>
      <c r="F560" s="41">
        <v>0</v>
      </c>
      <c r="G560" s="41">
        <v>0</v>
      </c>
      <c r="H560" s="41">
        <v>172.2</v>
      </c>
      <c r="I560" s="43">
        <v>90</v>
      </c>
      <c r="J560" s="43">
        <v>9</v>
      </c>
      <c r="K560" s="44">
        <v>4000000</v>
      </c>
      <c r="L560" s="43" t="s">
        <v>992</v>
      </c>
      <c r="M560" s="45">
        <v>46063</v>
      </c>
      <c r="N560" s="41">
        <v>172.2</v>
      </c>
      <c r="O560" s="42">
        <v>46037</v>
      </c>
      <c r="P560" s="46"/>
      <c r="Q560" s="41">
        <v>172.2</v>
      </c>
    </row>
    <row r="561" spans="1:17" ht="12" customHeight="1" x14ac:dyDescent="0.3">
      <c r="A561" s="39"/>
      <c r="B561" s="40" t="s">
        <v>1550</v>
      </c>
      <c r="C561" s="41">
        <v>440000.09</v>
      </c>
      <c r="D561" s="42">
        <v>45973</v>
      </c>
      <c r="E561" s="43" t="s">
        <v>2</v>
      </c>
      <c r="F561" s="41">
        <v>0</v>
      </c>
      <c r="G561" s="41">
        <v>0</v>
      </c>
      <c r="H561" s="41">
        <v>440000.09</v>
      </c>
      <c r="I561" s="43">
        <v>90</v>
      </c>
      <c r="J561" s="43">
        <v>197</v>
      </c>
      <c r="K561" s="44">
        <v>7000000</v>
      </c>
      <c r="L561" s="43" t="s">
        <v>992</v>
      </c>
      <c r="M561" s="45">
        <v>46063</v>
      </c>
      <c r="N561" s="41">
        <v>440000.09</v>
      </c>
      <c r="O561" s="42">
        <v>45979</v>
      </c>
      <c r="P561" s="46"/>
      <c r="Q561" s="41">
        <v>440000.09</v>
      </c>
    </row>
    <row r="562" spans="1:17" ht="12" customHeight="1" x14ac:dyDescent="0.3">
      <c r="A562" s="39"/>
      <c r="B562" s="40" t="s">
        <v>1551</v>
      </c>
      <c r="C562" s="41">
        <v>180.26</v>
      </c>
      <c r="D562" s="42">
        <v>45973</v>
      </c>
      <c r="E562" s="43" t="s">
        <v>2</v>
      </c>
      <c r="F562" s="41">
        <v>0</v>
      </c>
      <c r="G562" s="41">
        <v>0</v>
      </c>
      <c r="H562" s="41">
        <v>180.26</v>
      </c>
      <c r="I562" s="43">
        <v>90</v>
      </c>
      <c r="J562" s="43">
        <v>9</v>
      </c>
      <c r="K562" s="44">
        <v>4000000</v>
      </c>
      <c r="L562" s="43" t="s">
        <v>992</v>
      </c>
      <c r="M562" s="45">
        <v>46063</v>
      </c>
      <c r="N562" s="41">
        <v>180.26</v>
      </c>
      <c r="O562" s="42">
        <v>46037</v>
      </c>
      <c r="P562" s="46"/>
      <c r="Q562" s="41">
        <v>180.26</v>
      </c>
    </row>
    <row r="563" spans="1:17" ht="12" customHeight="1" x14ac:dyDescent="0.3">
      <c r="A563" s="39"/>
      <c r="B563" s="40" t="s">
        <v>1552</v>
      </c>
      <c r="C563" s="41">
        <v>432.63</v>
      </c>
      <c r="D563" s="42">
        <v>45973</v>
      </c>
      <c r="E563" s="43" t="s">
        <v>2</v>
      </c>
      <c r="F563" s="41">
        <v>0</v>
      </c>
      <c r="G563" s="41">
        <v>0</v>
      </c>
      <c r="H563" s="41">
        <v>432.63</v>
      </c>
      <c r="I563" s="43">
        <v>90</v>
      </c>
      <c r="J563" s="43">
        <v>9</v>
      </c>
      <c r="K563" s="44">
        <v>4000000</v>
      </c>
      <c r="L563" s="43" t="s">
        <v>992</v>
      </c>
      <c r="M563" s="45">
        <v>46063</v>
      </c>
      <c r="N563" s="41">
        <v>432.63</v>
      </c>
      <c r="O563" s="42">
        <v>46037</v>
      </c>
      <c r="P563" s="46"/>
      <c r="Q563" s="41">
        <v>432.63</v>
      </c>
    </row>
    <row r="564" spans="1:17" ht="12" customHeight="1" x14ac:dyDescent="0.3">
      <c r="A564" s="39"/>
      <c r="B564" s="40" t="s">
        <v>1553</v>
      </c>
      <c r="C564" s="41">
        <v>172</v>
      </c>
      <c r="D564" s="42">
        <v>45973</v>
      </c>
      <c r="E564" s="43" t="s">
        <v>2</v>
      </c>
      <c r="F564" s="41">
        <v>0</v>
      </c>
      <c r="G564" s="41">
        <v>0</v>
      </c>
      <c r="H564" s="41">
        <v>172</v>
      </c>
      <c r="I564" s="43">
        <v>90</v>
      </c>
      <c r="J564" s="43">
        <v>9</v>
      </c>
      <c r="K564" s="44">
        <v>4000000</v>
      </c>
      <c r="L564" s="43" t="s">
        <v>992</v>
      </c>
      <c r="M564" s="45">
        <v>46063</v>
      </c>
      <c r="N564" s="41">
        <v>172</v>
      </c>
      <c r="O564" s="42">
        <v>46037</v>
      </c>
      <c r="P564" s="46"/>
      <c r="Q564" s="41">
        <v>172</v>
      </c>
    </row>
    <row r="565" spans="1:17" ht="12" customHeight="1" x14ac:dyDescent="0.3">
      <c r="A565" s="39"/>
      <c r="B565" s="40" t="s">
        <v>1554</v>
      </c>
      <c r="C565" s="41">
        <v>236</v>
      </c>
      <c r="D565" s="42">
        <v>45973</v>
      </c>
      <c r="E565" s="43" t="s">
        <v>2</v>
      </c>
      <c r="F565" s="41">
        <v>0</v>
      </c>
      <c r="G565" s="41">
        <v>0</v>
      </c>
      <c r="H565" s="41">
        <v>236</v>
      </c>
      <c r="I565" s="43">
        <v>90</v>
      </c>
      <c r="J565" s="43">
        <v>9</v>
      </c>
      <c r="K565" s="44">
        <v>4000000</v>
      </c>
      <c r="L565" s="43" t="s">
        <v>992</v>
      </c>
      <c r="M565" s="45">
        <v>46063</v>
      </c>
      <c r="N565" s="41">
        <v>236</v>
      </c>
      <c r="O565" s="42">
        <v>46037</v>
      </c>
      <c r="P565" s="46"/>
      <c r="Q565" s="41">
        <v>236</v>
      </c>
    </row>
    <row r="566" spans="1:17" ht="12" customHeight="1" x14ac:dyDescent="0.3">
      <c r="A566" s="39"/>
      <c r="B566" s="40" t="s">
        <v>1555</v>
      </c>
      <c r="C566" s="41">
        <v>342719.4</v>
      </c>
      <c r="D566" s="42">
        <v>45973</v>
      </c>
      <c r="E566" s="43" t="s">
        <v>2</v>
      </c>
      <c r="F566" s="41">
        <v>0</v>
      </c>
      <c r="G566" s="41">
        <v>0</v>
      </c>
      <c r="H566" s="41">
        <v>342719.4</v>
      </c>
      <c r="I566" s="43">
        <v>90</v>
      </c>
      <c r="J566" s="43">
        <v>13</v>
      </c>
      <c r="K566" s="44">
        <v>4413196</v>
      </c>
      <c r="L566" s="43" t="s">
        <v>992</v>
      </c>
      <c r="M566" s="45">
        <v>46063</v>
      </c>
      <c r="N566" s="41">
        <v>342719.4</v>
      </c>
      <c r="O566" s="42">
        <v>46081</v>
      </c>
      <c r="P566" s="46"/>
      <c r="Q566" s="41">
        <v>342719.4</v>
      </c>
    </row>
    <row r="567" spans="1:17" ht="12" customHeight="1" x14ac:dyDescent="0.3">
      <c r="A567" s="39"/>
      <c r="B567" s="40" t="s">
        <v>1556</v>
      </c>
      <c r="C567" s="41">
        <v>169884.99</v>
      </c>
      <c r="D567" s="42">
        <v>45974</v>
      </c>
      <c r="E567" s="43" t="s">
        <v>2</v>
      </c>
      <c r="F567" s="41">
        <v>0</v>
      </c>
      <c r="G567" s="41">
        <v>0</v>
      </c>
      <c r="H567" s="41">
        <v>169884.99</v>
      </c>
      <c r="I567" s="43">
        <v>90</v>
      </c>
      <c r="J567" s="43">
        <v>197</v>
      </c>
      <c r="K567" s="44">
        <v>7000000</v>
      </c>
      <c r="L567" s="43" t="s">
        <v>992</v>
      </c>
      <c r="M567" s="45">
        <v>46064</v>
      </c>
      <c r="N567" s="41">
        <v>169884.99</v>
      </c>
      <c r="O567" s="42">
        <v>45979</v>
      </c>
      <c r="P567" s="46"/>
      <c r="Q567" s="41">
        <v>169884.99</v>
      </c>
    </row>
    <row r="568" spans="1:17" ht="12" customHeight="1" x14ac:dyDescent="0.3">
      <c r="A568" s="39"/>
      <c r="B568" s="40" t="s">
        <v>1557</v>
      </c>
      <c r="C568" s="41">
        <v>373.88</v>
      </c>
      <c r="D568" s="42">
        <v>45974</v>
      </c>
      <c r="E568" s="43" t="s">
        <v>2</v>
      </c>
      <c r="F568" s="41">
        <v>0</v>
      </c>
      <c r="G568" s="41">
        <v>0</v>
      </c>
      <c r="H568" s="41">
        <v>373.88</v>
      </c>
      <c r="I568" s="43">
        <v>90</v>
      </c>
      <c r="J568" s="43">
        <v>9</v>
      </c>
      <c r="K568" s="44">
        <v>4000000</v>
      </c>
      <c r="L568" s="43" t="s">
        <v>992</v>
      </c>
      <c r="M568" s="45">
        <v>46064</v>
      </c>
      <c r="N568" s="41">
        <v>373.88</v>
      </c>
      <c r="O568" s="42">
        <v>46037</v>
      </c>
      <c r="P568" s="46"/>
      <c r="Q568" s="41">
        <v>373.88</v>
      </c>
    </row>
    <row r="569" spans="1:17" ht="12" customHeight="1" x14ac:dyDescent="0.3">
      <c r="A569" s="39"/>
      <c r="B569" s="40" t="s">
        <v>1558</v>
      </c>
      <c r="C569" s="41">
        <v>600</v>
      </c>
      <c r="D569" s="42">
        <v>45974</v>
      </c>
      <c r="E569" s="43" t="s">
        <v>2</v>
      </c>
      <c r="F569" s="41">
        <v>0</v>
      </c>
      <c r="G569" s="41">
        <v>0</v>
      </c>
      <c r="H569" s="41">
        <v>600</v>
      </c>
      <c r="I569" s="43">
        <v>90</v>
      </c>
      <c r="J569" s="43">
        <v>9</v>
      </c>
      <c r="K569" s="44">
        <v>4000000</v>
      </c>
      <c r="L569" s="43" t="s">
        <v>992</v>
      </c>
      <c r="M569" s="45">
        <v>46064</v>
      </c>
      <c r="N569" s="41">
        <v>600</v>
      </c>
      <c r="O569" s="42">
        <v>46037</v>
      </c>
      <c r="P569" s="46"/>
      <c r="Q569" s="41">
        <v>600</v>
      </c>
    </row>
    <row r="570" spans="1:17" ht="12" customHeight="1" x14ac:dyDescent="0.3">
      <c r="A570" s="39"/>
      <c r="B570" s="40" t="s">
        <v>1559</v>
      </c>
      <c r="C570" s="41">
        <v>201</v>
      </c>
      <c r="D570" s="42">
        <v>45974</v>
      </c>
      <c r="E570" s="43" t="s">
        <v>2</v>
      </c>
      <c r="F570" s="41">
        <v>0</v>
      </c>
      <c r="G570" s="41">
        <v>0</v>
      </c>
      <c r="H570" s="41">
        <v>201</v>
      </c>
      <c r="I570" s="43">
        <v>90</v>
      </c>
      <c r="J570" s="43">
        <v>9</v>
      </c>
      <c r="K570" s="44">
        <v>4000000</v>
      </c>
      <c r="L570" s="43" t="s">
        <v>992</v>
      </c>
      <c r="M570" s="45">
        <v>46064</v>
      </c>
      <c r="N570" s="41">
        <v>201</v>
      </c>
      <c r="O570" s="42">
        <v>46037</v>
      </c>
      <c r="P570" s="46"/>
      <c r="Q570" s="41">
        <v>201</v>
      </c>
    </row>
    <row r="571" spans="1:17" ht="12" customHeight="1" x14ac:dyDescent="0.3">
      <c r="A571" s="39"/>
      <c r="B571" s="40" t="s">
        <v>1560</v>
      </c>
      <c r="C571" s="41">
        <v>5898.01</v>
      </c>
      <c r="D571" s="42">
        <v>45974</v>
      </c>
      <c r="E571" s="43" t="s">
        <v>2</v>
      </c>
      <c r="F571" s="41">
        <v>0</v>
      </c>
      <c r="G571" s="41">
        <v>0</v>
      </c>
      <c r="H571" s="41">
        <v>5898.01</v>
      </c>
      <c r="I571" s="43">
        <v>90</v>
      </c>
      <c r="J571" s="43">
        <v>9</v>
      </c>
      <c r="K571" s="44">
        <v>4000000</v>
      </c>
      <c r="L571" s="43" t="s">
        <v>992</v>
      </c>
      <c r="M571" s="45">
        <v>46064</v>
      </c>
      <c r="N571" s="41">
        <v>5898.01</v>
      </c>
      <c r="O571" s="42">
        <v>46037</v>
      </c>
      <c r="P571" s="46"/>
      <c r="Q571" s="41">
        <v>5898.01</v>
      </c>
    </row>
    <row r="572" spans="1:17" ht="12" customHeight="1" x14ac:dyDescent="0.3">
      <c r="A572" s="39"/>
      <c r="B572" s="40" t="s">
        <v>1561</v>
      </c>
      <c r="C572" s="41">
        <v>8118</v>
      </c>
      <c r="D572" s="42">
        <v>45974</v>
      </c>
      <c r="E572" s="43" t="s">
        <v>2</v>
      </c>
      <c r="F572" s="41">
        <v>0</v>
      </c>
      <c r="G572" s="41">
        <v>0</v>
      </c>
      <c r="H572" s="41">
        <v>8118</v>
      </c>
      <c r="I572" s="43">
        <v>90</v>
      </c>
      <c r="J572" s="43">
        <v>9</v>
      </c>
      <c r="K572" s="44">
        <v>4000000</v>
      </c>
      <c r="L572" s="43" t="s">
        <v>992</v>
      </c>
      <c r="M572" s="45">
        <v>46064</v>
      </c>
      <c r="N572" s="41">
        <v>8118</v>
      </c>
      <c r="O572" s="42">
        <v>46037</v>
      </c>
      <c r="P572" s="46"/>
      <c r="Q572" s="41">
        <v>8118</v>
      </c>
    </row>
    <row r="573" spans="1:17" ht="12" customHeight="1" x14ac:dyDescent="0.3">
      <c r="A573" s="39"/>
      <c r="B573" s="40" t="s">
        <v>1562</v>
      </c>
      <c r="C573" s="41">
        <v>612</v>
      </c>
      <c r="D573" s="42">
        <v>45974</v>
      </c>
      <c r="E573" s="43" t="s">
        <v>2</v>
      </c>
      <c r="F573" s="41">
        <v>0</v>
      </c>
      <c r="G573" s="41">
        <v>0</v>
      </c>
      <c r="H573" s="41">
        <v>612</v>
      </c>
      <c r="I573" s="43">
        <v>90</v>
      </c>
      <c r="J573" s="43">
        <v>9</v>
      </c>
      <c r="K573" s="44">
        <v>4000000</v>
      </c>
      <c r="L573" s="43" t="s">
        <v>992</v>
      </c>
      <c r="M573" s="45">
        <v>46064</v>
      </c>
      <c r="N573" s="41">
        <v>612</v>
      </c>
      <c r="O573" s="42">
        <v>46037</v>
      </c>
      <c r="P573" s="46"/>
      <c r="Q573" s="41">
        <v>612</v>
      </c>
    </row>
    <row r="574" spans="1:17" ht="12" customHeight="1" x14ac:dyDescent="0.3">
      <c r="A574" s="39"/>
      <c r="B574" s="40" t="s">
        <v>1563</v>
      </c>
      <c r="C574" s="41">
        <v>302.39999999999998</v>
      </c>
      <c r="D574" s="42">
        <v>45974</v>
      </c>
      <c r="E574" s="43" t="s">
        <v>2</v>
      </c>
      <c r="F574" s="41">
        <v>0</v>
      </c>
      <c r="G574" s="41">
        <v>0</v>
      </c>
      <c r="H574" s="41">
        <v>302.39999999999998</v>
      </c>
      <c r="I574" s="43">
        <v>90</v>
      </c>
      <c r="J574" s="43">
        <v>9</v>
      </c>
      <c r="K574" s="44">
        <v>4000000</v>
      </c>
      <c r="L574" s="43" t="s">
        <v>992</v>
      </c>
      <c r="M574" s="45">
        <v>46064</v>
      </c>
      <c r="N574" s="41">
        <v>302.39999999999998</v>
      </c>
      <c r="O574" s="42">
        <v>46037</v>
      </c>
      <c r="P574" s="46"/>
      <c r="Q574" s="41">
        <v>302.39999999999998</v>
      </c>
    </row>
    <row r="575" spans="1:17" ht="12" customHeight="1" x14ac:dyDescent="0.3">
      <c r="A575" s="39"/>
      <c r="B575" s="40" t="s">
        <v>1564</v>
      </c>
      <c r="C575" s="41">
        <v>276</v>
      </c>
      <c r="D575" s="42">
        <v>45974</v>
      </c>
      <c r="E575" s="43" t="s">
        <v>2</v>
      </c>
      <c r="F575" s="41">
        <v>0</v>
      </c>
      <c r="G575" s="41">
        <v>0</v>
      </c>
      <c r="H575" s="41">
        <v>276</v>
      </c>
      <c r="I575" s="43">
        <v>90</v>
      </c>
      <c r="J575" s="43">
        <v>9</v>
      </c>
      <c r="K575" s="44">
        <v>4000000</v>
      </c>
      <c r="L575" s="43" t="s">
        <v>992</v>
      </c>
      <c r="M575" s="45">
        <v>46064</v>
      </c>
      <c r="N575" s="41">
        <v>276</v>
      </c>
      <c r="O575" s="42">
        <v>46037</v>
      </c>
      <c r="P575" s="46"/>
      <c r="Q575" s="41">
        <v>276</v>
      </c>
    </row>
    <row r="576" spans="1:17" ht="12" customHeight="1" x14ac:dyDescent="0.3">
      <c r="A576" s="39"/>
      <c r="B576" s="40" t="s">
        <v>1565</v>
      </c>
      <c r="C576" s="41">
        <v>540100</v>
      </c>
      <c r="D576" s="42">
        <v>45977</v>
      </c>
      <c r="E576" s="43" t="s">
        <v>2</v>
      </c>
      <c r="F576" s="41">
        <v>0</v>
      </c>
      <c r="G576" s="41">
        <v>0</v>
      </c>
      <c r="H576" s="41">
        <v>540100</v>
      </c>
      <c r="I576" s="43">
        <v>90</v>
      </c>
      <c r="J576" s="43">
        <v>197</v>
      </c>
      <c r="K576" s="44">
        <v>7000000</v>
      </c>
      <c r="L576" s="43" t="s">
        <v>992</v>
      </c>
      <c r="M576" s="45">
        <v>46068</v>
      </c>
      <c r="N576" s="41">
        <v>540100</v>
      </c>
      <c r="O576" s="42">
        <v>45979</v>
      </c>
      <c r="P576" s="46"/>
      <c r="Q576" s="41">
        <v>540100</v>
      </c>
    </row>
    <row r="577" spans="1:17" ht="12" customHeight="1" x14ac:dyDescent="0.3">
      <c r="A577" s="39"/>
      <c r="B577" s="40" t="s">
        <v>1566</v>
      </c>
      <c r="C577" s="41">
        <v>100000</v>
      </c>
      <c r="D577" s="42">
        <v>45977</v>
      </c>
      <c r="E577" s="43" t="s">
        <v>2</v>
      </c>
      <c r="F577" s="41">
        <v>0</v>
      </c>
      <c r="G577" s="41">
        <v>0</v>
      </c>
      <c r="H577" s="41">
        <v>100000</v>
      </c>
      <c r="I577" s="43">
        <v>90</v>
      </c>
      <c r="J577" s="43">
        <v>71</v>
      </c>
      <c r="K577" s="44">
        <v>3000000</v>
      </c>
      <c r="L577" s="43" t="s">
        <v>992</v>
      </c>
      <c r="M577" s="45">
        <v>46068</v>
      </c>
      <c r="N577" s="41">
        <v>100000</v>
      </c>
      <c r="O577" s="42">
        <v>46028</v>
      </c>
      <c r="P577" s="46"/>
      <c r="Q577" s="41">
        <v>100000</v>
      </c>
    </row>
    <row r="578" spans="1:17" ht="12" customHeight="1" x14ac:dyDescent="0.3">
      <c r="A578" s="39"/>
      <c r="B578" s="40" t="s">
        <v>1567</v>
      </c>
      <c r="C578" s="41">
        <v>175848</v>
      </c>
      <c r="D578" s="42">
        <v>45977</v>
      </c>
      <c r="E578" s="43" t="s">
        <v>2</v>
      </c>
      <c r="F578" s="41">
        <v>0</v>
      </c>
      <c r="G578" s="41">
        <v>0</v>
      </c>
      <c r="H578" s="41">
        <v>175848</v>
      </c>
      <c r="I578" s="43">
        <v>90</v>
      </c>
      <c r="J578" s="43">
        <v>71</v>
      </c>
      <c r="K578" s="44">
        <v>3000000</v>
      </c>
      <c r="L578" s="43" t="s">
        <v>992</v>
      </c>
      <c r="M578" s="45">
        <v>46068</v>
      </c>
      <c r="N578" s="41">
        <v>175848</v>
      </c>
      <c r="O578" s="42">
        <v>46029</v>
      </c>
      <c r="P578" s="46"/>
      <c r="Q578" s="41">
        <v>175848</v>
      </c>
    </row>
    <row r="579" spans="1:17" ht="12" customHeight="1" x14ac:dyDescent="0.3">
      <c r="A579" s="39"/>
      <c r="B579" s="40" t="s">
        <v>1568</v>
      </c>
      <c r="C579" s="41">
        <v>380000</v>
      </c>
      <c r="D579" s="42">
        <v>45978</v>
      </c>
      <c r="E579" s="43" t="s">
        <v>2</v>
      </c>
      <c r="F579" s="41">
        <v>0</v>
      </c>
      <c r="G579" s="41">
        <v>0</v>
      </c>
      <c r="H579" s="41">
        <v>380000</v>
      </c>
      <c r="I579" s="43">
        <v>90</v>
      </c>
      <c r="J579" s="43">
        <v>197</v>
      </c>
      <c r="K579" s="44">
        <v>7000000</v>
      </c>
      <c r="L579" s="43" t="s">
        <v>992</v>
      </c>
      <c r="M579" s="45">
        <v>46068</v>
      </c>
      <c r="N579" s="41">
        <v>380000</v>
      </c>
      <c r="O579" s="42">
        <v>45979</v>
      </c>
      <c r="P579" s="46"/>
      <c r="Q579" s="41">
        <v>380000</v>
      </c>
    </row>
    <row r="580" spans="1:17" ht="12" customHeight="1" x14ac:dyDescent="0.3">
      <c r="A580" s="39"/>
      <c r="B580" s="40" t="s">
        <v>1569</v>
      </c>
      <c r="C580" s="41">
        <v>870000</v>
      </c>
      <c r="D580" s="42">
        <v>45978</v>
      </c>
      <c r="E580" s="43" t="s">
        <v>2</v>
      </c>
      <c r="F580" s="41">
        <v>0</v>
      </c>
      <c r="G580" s="41">
        <v>0</v>
      </c>
      <c r="H580" s="41">
        <v>870000</v>
      </c>
      <c r="I580" s="43">
        <v>90</v>
      </c>
      <c r="J580" s="43">
        <v>197</v>
      </c>
      <c r="K580" s="44">
        <v>7000000</v>
      </c>
      <c r="L580" s="43" t="s">
        <v>992</v>
      </c>
      <c r="M580" s="45">
        <v>46068</v>
      </c>
      <c r="N580" s="41">
        <v>870000</v>
      </c>
      <c r="O580" s="42">
        <v>45985</v>
      </c>
      <c r="P580" s="46"/>
      <c r="Q580" s="41">
        <v>870000</v>
      </c>
    </row>
    <row r="581" spans="1:17" ht="12" customHeight="1" x14ac:dyDescent="0.3">
      <c r="A581" s="39"/>
      <c r="B581" s="40" t="s">
        <v>1570</v>
      </c>
      <c r="C581" s="41">
        <v>222.6</v>
      </c>
      <c r="D581" s="42">
        <v>45978</v>
      </c>
      <c r="E581" s="43" t="s">
        <v>2</v>
      </c>
      <c r="F581" s="41">
        <v>0</v>
      </c>
      <c r="G581" s="41">
        <v>0</v>
      </c>
      <c r="H581" s="41">
        <v>222.6</v>
      </c>
      <c r="I581" s="43">
        <v>90</v>
      </c>
      <c r="J581" s="43">
        <v>9</v>
      </c>
      <c r="K581" s="44">
        <v>4000000</v>
      </c>
      <c r="L581" s="43" t="s">
        <v>992</v>
      </c>
      <c r="M581" s="45">
        <v>46068</v>
      </c>
      <c r="N581" s="41">
        <v>222.6</v>
      </c>
      <c r="O581" s="42">
        <v>46037</v>
      </c>
      <c r="P581" s="46"/>
      <c r="Q581" s="41">
        <v>222.6</v>
      </c>
    </row>
    <row r="582" spans="1:17" ht="12" customHeight="1" x14ac:dyDescent="0.3">
      <c r="A582" s="39"/>
      <c r="B582" s="40" t="s">
        <v>1571</v>
      </c>
      <c r="C582" s="41">
        <v>201.83</v>
      </c>
      <c r="D582" s="42">
        <v>45978</v>
      </c>
      <c r="E582" s="43" t="s">
        <v>2</v>
      </c>
      <c r="F582" s="41">
        <v>0</v>
      </c>
      <c r="G582" s="41">
        <v>0</v>
      </c>
      <c r="H582" s="41">
        <v>201.83</v>
      </c>
      <c r="I582" s="43">
        <v>90</v>
      </c>
      <c r="J582" s="43">
        <v>9</v>
      </c>
      <c r="K582" s="44">
        <v>4000000</v>
      </c>
      <c r="L582" s="43" t="s">
        <v>992</v>
      </c>
      <c r="M582" s="45">
        <v>46068</v>
      </c>
      <c r="N582" s="41">
        <v>201.83</v>
      </c>
      <c r="O582" s="42">
        <v>46037</v>
      </c>
      <c r="P582" s="46"/>
      <c r="Q582" s="41">
        <v>201.83</v>
      </c>
    </row>
    <row r="583" spans="1:17" ht="12" customHeight="1" x14ac:dyDescent="0.3">
      <c r="A583" s="39"/>
      <c r="B583" s="40" t="s">
        <v>1572</v>
      </c>
      <c r="C583" s="41">
        <v>210</v>
      </c>
      <c r="D583" s="42">
        <v>45978</v>
      </c>
      <c r="E583" s="43" t="s">
        <v>2</v>
      </c>
      <c r="F583" s="41">
        <v>0</v>
      </c>
      <c r="G583" s="41">
        <v>0</v>
      </c>
      <c r="H583" s="41">
        <v>210</v>
      </c>
      <c r="I583" s="43">
        <v>90</v>
      </c>
      <c r="J583" s="43">
        <v>9</v>
      </c>
      <c r="K583" s="44">
        <v>4000000</v>
      </c>
      <c r="L583" s="43" t="s">
        <v>992</v>
      </c>
      <c r="M583" s="45">
        <v>46068</v>
      </c>
      <c r="N583" s="41">
        <v>210</v>
      </c>
      <c r="O583" s="42">
        <v>46037</v>
      </c>
      <c r="P583" s="46"/>
      <c r="Q583" s="41">
        <v>210</v>
      </c>
    </row>
    <row r="584" spans="1:17" ht="12" customHeight="1" x14ac:dyDescent="0.3">
      <c r="A584" s="39"/>
      <c r="B584" s="40" t="s">
        <v>1573</v>
      </c>
      <c r="C584" s="41">
        <v>151.19999999999999</v>
      </c>
      <c r="D584" s="42">
        <v>45978</v>
      </c>
      <c r="E584" s="43" t="s">
        <v>2</v>
      </c>
      <c r="F584" s="41">
        <v>0</v>
      </c>
      <c r="G584" s="41">
        <v>0</v>
      </c>
      <c r="H584" s="41">
        <v>151.19999999999999</v>
      </c>
      <c r="I584" s="43">
        <v>90</v>
      </c>
      <c r="J584" s="43">
        <v>9</v>
      </c>
      <c r="K584" s="44">
        <v>4000000</v>
      </c>
      <c r="L584" s="43" t="s">
        <v>992</v>
      </c>
      <c r="M584" s="45">
        <v>46068</v>
      </c>
      <c r="N584" s="41">
        <v>151.19999999999999</v>
      </c>
      <c r="O584" s="42">
        <v>46037</v>
      </c>
      <c r="P584" s="46"/>
      <c r="Q584" s="41">
        <v>151.19999999999999</v>
      </c>
    </row>
    <row r="585" spans="1:17" ht="12" customHeight="1" x14ac:dyDescent="0.3">
      <c r="A585" s="39"/>
      <c r="B585" s="40" t="s">
        <v>1574</v>
      </c>
      <c r="C585" s="41">
        <v>484.38</v>
      </c>
      <c r="D585" s="42">
        <v>45978</v>
      </c>
      <c r="E585" s="43" t="s">
        <v>2</v>
      </c>
      <c r="F585" s="41">
        <v>0</v>
      </c>
      <c r="G585" s="41">
        <v>0</v>
      </c>
      <c r="H585" s="41">
        <v>484.38</v>
      </c>
      <c r="I585" s="43">
        <v>90</v>
      </c>
      <c r="J585" s="43">
        <v>9</v>
      </c>
      <c r="K585" s="44">
        <v>4000000</v>
      </c>
      <c r="L585" s="43" t="s">
        <v>992</v>
      </c>
      <c r="M585" s="45">
        <v>46068</v>
      </c>
      <c r="N585" s="41">
        <v>484.38</v>
      </c>
      <c r="O585" s="42">
        <v>46037</v>
      </c>
      <c r="P585" s="46"/>
      <c r="Q585" s="41">
        <v>484.38</v>
      </c>
    </row>
    <row r="586" spans="1:17" ht="12" customHeight="1" x14ac:dyDescent="0.3">
      <c r="A586" s="39"/>
      <c r="B586" s="40" t="s">
        <v>1575</v>
      </c>
      <c r="C586" s="41">
        <v>215.28</v>
      </c>
      <c r="D586" s="42">
        <v>45979</v>
      </c>
      <c r="E586" s="43" t="s">
        <v>2</v>
      </c>
      <c r="F586" s="41">
        <v>0</v>
      </c>
      <c r="G586" s="41">
        <v>0</v>
      </c>
      <c r="H586" s="41">
        <v>215.28</v>
      </c>
      <c r="I586" s="43">
        <v>90</v>
      </c>
      <c r="J586" s="43">
        <v>9</v>
      </c>
      <c r="K586" s="44">
        <v>4000000</v>
      </c>
      <c r="L586" s="43" t="s">
        <v>992</v>
      </c>
      <c r="M586" s="45">
        <v>46069</v>
      </c>
      <c r="N586" s="41">
        <v>215.28</v>
      </c>
      <c r="O586" s="42">
        <v>46037</v>
      </c>
      <c r="P586" s="46"/>
      <c r="Q586" s="41">
        <v>215.28</v>
      </c>
    </row>
    <row r="587" spans="1:17" ht="12" customHeight="1" x14ac:dyDescent="0.3">
      <c r="A587" s="39"/>
      <c r="B587" s="40" t="s">
        <v>1576</v>
      </c>
      <c r="C587" s="41">
        <v>420</v>
      </c>
      <c r="D587" s="42">
        <v>45979</v>
      </c>
      <c r="E587" s="43" t="s">
        <v>2</v>
      </c>
      <c r="F587" s="41">
        <v>0</v>
      </c>
      <c r="G587" s="41">
        <v>0</v>
      </c>
      <c r="H587" s="41">
        <v>420</v>
      </c>
      <c r="I587" s="43">
        <v>90</v>
      </c>
      <c r="J587" s="43">
        <v>9</v>
      </c>
      <c r="K587" s="44">
        <v>4000000</v>
      </c>
      <c r="L587" s="43" t="s">
        <v>992</v>
      </c>
      <c r="M587" s="45">
        <v>46069</v>
      </c>
      <c r="N587" s="41">
        <v>420</v>
      </c>
      <c r="O587" s="42">
        <v>46037</v>
      </c>
      <c r="P587" s="46"/>
      <c r="Q587" s="41">
        <v>420</v>
      </c>
    </row>
    <row r="588" spans="1:17" ht="12" customHeight="1" x14ac:dyDescent="0.3">
      <c r="A588" s="39"/>
      <c r="B588" s="40" t="s">
        <v>1577</v>
      </c>
      <c r="C588" s="41">
        <v>340</v>
      </c>
      <c r="D588" s="42">
        <v>45979</v>
      </c>
      <c r="E588" s="43" t="s">
        <v>2</v>
      </c>
      <c r="F588" s="41">
        <v>0</v>
      </c>
      <c r="G588" s="41">
        <v>0</v>
      </c>
      <c r="H588" s="41">
        <v>340</v>
      </c>
      <c r="I588" s="43">
        <v>90</v>
      </c>
      <c r="J588" s="43">
        <v>9</v>
      </c>
      <c r="K588" s="44">
        <v>4000000</v>
      </c>
      <c r="L588" s="43" t="s">
        <v>992</v>
      </c>
      <c r="M588" s="45">
        <v>46069</v>
      </c>
      <c r="N588" s="41">
        <v>340</v>
      </c>
      <c r="O588" s="42">
        <v>46037</v>
      </c>
      <c r="P588" s="46"/>
      <c r="Q588" s="41">
        <v>340</v>
      </c>
    </row>
    <row r="589" spans="1:17" ht="12" customHeight="1" x14ac:dyDescent="0.3">
      <c r="A589" s="39"/>
      <c r="B589" s="40" t="s">
        <v>1578</v>
      </c>
      <c r="C589" s="41">
        <v>2023.88</v>
      </c>
      <c r="D589" s="42">
        <v>45979</v>
      </c>
      <c r="E589" s="43" t="s">
        <v>2</v>
      </c>
      <c r="F589" s="41">
        <v>0</v>
      </c>
      <c r="G589" s="41">
        <v>0</v>
      </c>
      <c r="H589" s="41">
        <v>2023.88</v>
      </c>
      <c r="I589" s="43">
        <v>90</v>
      </c>
      <c r="J589" s="43">
        <v>9</v>
      </c>
      <c r="K589" s="44">
        <v>4000000</v>
      </c>
      <c r="L589" s="43" t="s">
        <v>992</v>
      </c>
      <c r="M589" s="45">
        <v>46069</v>
      </c>
      <c r="N589" s="41">
        <v>2023.88</v>
      </c>
      <c r="O589" s="42">
        <v>46037</v>
      </c>
      <c r="P589" s="46"/>
      <c r="Q589" s="41">
        <v>2023.88</v>
      </c>
    </row>
    <row r="590" spans="1:17" ht="12" customHeight="1" x14ac:dyDescent="0.3">
      <c r="A590" s="39"/>
      <c r="B590" s="40" t="s">
        <v>1579</v>
      </c>
      <c r="C590" s="41">
        <v>302.74</v>
      </c>
      <c r="D590" s="42">
        <v>45979</v>
      </c>
      <c r="E590" s="43" t="s">
        <v>2</v>
      </c>
      <c r="F590" s="41">
        <v>0</v>
      </c>
      <c r="G590" s="41">
        <v>0</v>
      </c>
      <c r="H590" s="41">
        <v>302.74</v>
      </c>
      <c r="I590" s="43">
        <v>90</v>
      </c>
      <c r="J590" s="43">
        <v>9</v>
      </c>
      <c r="K590" s="44">
        <v>4000000</v>
      </c>
      <c r="L590" s="43" t="s">
        <v>992</v>
      </c>
      <c r="M590" s="45">
        <v>46069</v>
      </c>
      <c r="N590" s="41">
        <v>302.74</v>
      </c>
      <c r="O590" s="42">
        <v>46037</v>
      </c>
      <c r="P590" s="46"/>
      <c r="Q590" s="41">
        <v>302.74</v>
      </c>
    </row>
    <row r="591" spans="1:17" ht="12" customHeight="1" x14ac:dyDescent="0.3">
      <c r="A591" s="39"/>
      <c r="B591" s="40" t="s">
        <v>1580</v>
      </c>
      <c r="C591" s="41">
        <v>180.6</v>
      </c>
      <c r="D591" s="42">
        <v>45979</v>
      </c>
      <c r="E591" s="43" t="s">
        <v>2</v>
      </c>
      <c r="F591" s="41">
        <v>0</v>
      </c>
      <c r="G591" s="41">
        <v>0</v>
      </c>
      <c r="H591" s="41">
        <v>180.6</v>
      </c>
      <c r="I591" s="43">
        <v>90</v>
      </c>
      <c r="J591" s="43">
        <v>9</v>
      </c>
      <c r="K591" s="44">
        <v>4000000</v>
      </c>
      <c r="L591" s="43" t="s">
        <v>992</v>
      </c>
      <c r="M591" s="45">
        <v>46069</v>
      </c>
      <c r="N591" s="41">
        <v>180.6</v>
      </c>
      <c r="O591" s="42">
        <v>46037</v>
      </c>
      <c r="P591" s="46"/>
      <c r="Q591" s="41">
        <v>180.6</v>
      </c>
    </row>
    <row r="592" spans="1:17" ht="12" customHeight="1" x14ac:dyDescent="0.3">
      <c r="A592" s="39"/>
      <c r="B592" s="40" t="s">
        <v>1581</v>
      </c>
      <c r="C592" s="41">
        <v>210</v>
      </c>
      <c r="D592" s="42">
        <v>45979</v>
      </c>
      <c r="E592" s="43" t="s">
        <v>2</v>
      </c>
      <c r="F592" s="41">
        <v>0</v>
      </c>
      <c r="G592" s="41">
        <v>0</v>
      </c>
      <c r="H592" s="41">
        <v>210</v>
      </c>
      <c r="I592" s="43">
        <v>90</v>
      </c>
      <c r="J592" s="43">
        <v>9</v>
      </c>
      <c r="K592" s="44">
        <v>4000000</v>
      </c>
      <c r="L592" s="43" t="s">
        <v>992</v>
      </c>
      <c r="M592" s="45">
        <v>46069</v>
      </c>
      <c r="N592" s="41">
        <v>210</v>
      </c>
      <c r="O592" s="42">
        <v>46037</v>
      </c>
      <c r="P592" s="46"/>
      <c r="Q592" s="41">
        <v>210</v>
      </c>
    </row>
    <row r="593" spans="1:17" ht="12" customHeight="1" x14ac:dyDescent="0.3">
      <c r="A593" s="39"/>
      <c r="B593" s="40" t="s">
        <v>1582</v>
      </c>
      <c r="C593" s="41">
        <v>134.69999999999999</v>
      </c>
      <c r="D593" s="42">
        <v>45979</v>
      </c>
      <c r="E593" s="43" t="s">
        <v>2</v>
      </c>
      <c r="F593" s="41">
        <v>0</v>
      </c>
      <c r="G593" s="41">
        <v>0</v>
      </c>
      <c r="H593" s="41">
        <v>134.69999999999999</v>
      </c>
      <c r="I593" s="43">
        <v>90</v>
      </c>
      <c r="J593" s="43">
        <v>9</v>
      </c>
      <c r="K593" s="44">
        <v>4000000</v>
      </c>
      <c r="L593" s="43" t="s">
        <v>992</v>
      </c>
      <c r="M593" s="45">
        <v>46069</v>
      </c>
      <c r="N593" s="41">
        <v>134.69999999999999</v>
      </c>
      <c r="O593" s="42">
        <v>46037</v>
      </c>
      <c r="P593" s="46"/>
      <c r="Q593" s="41">
        <v>134.69999999999999</v>
      </c>
    </row>
    <row r="594" spans="1:17" ht="12" customHeight="1" x14ac:dyDescent="0.3">
      <c r="A594" s="39"/>
      <c r="B594" s="40" t="s">
        <v>1583</v>
      </c>
      <c r="C594" s="41">
        <v>6968</v>
      </c>
      <c r="D594" s="42">
        <v>45979</v>
      </c>
      <c r="E594" s="43" t="s">
        <v>2</v>
      </c>
      <c r="F594" s="41">
        <v>0</v>
      </c>
      <c r="G594" s="41">
        <v>0</v>
      </c>
      <c r="H594" s="41">
        <v>6968</v>
      </c>
      <c r="I594" s="43">
        <v>90</v>
      </c>
      <c r="J594" s="43">
        <v>9</v>
      </c>
      <c r="K594" s="44">
        <v>4000000</v>
      </c>
      <c r="L594" s="43" t="s">
        <v>992</v>
      </c>
      <c r="M594" s="45">
        <v>46069</v>
      </c>
      <c r="N594" s="41">
        <v>6968</v>
      </c>
      <c r="O594" s="42">
        <v>46037</v>
      </c>
      <c r="P594" s="46"/>
      <c r="Q594" s="41">
        <v>6968</v>
      </c>
    </row>
    <row r="595" spans="1:17" ht="12" customHeight="1" x14ac:dyDescent="0.3">
      <c r="A595" s="39"/>
      <c r="B595" s="40" t="s">
        <v>1584</v>
      </c>
      <c r="C595" s="41">
        <v>200000</v>
      </c>
      <c r="D595" s="42">
        <v>45979</v>
      </c>
      <c r="E595" s="43" t="s">
        <v>2</v>
      </c>
      <c r="F595" s="41">
        <v>0</v>
      </c>
      <c r="G595" s="41">
        <v>0</v>
      </c>
      <c r="H595" s="41">
        <v>200000</v>
      </c>
      <c r="I595" s="43">
        <v>90</v>
      </c>
      <c r="J595" s="43">
        <v>9</v>
      </c>
      <c r="K595" s="44">
        <v>4000000</v>
      </c>
      <c r="L595" s="43" t="s">
        <v>992</v>
      </c>
      <c r="M595" s="45">
        <v>46069</v>
      </c>
      <c r="N595" s="41">
        <v>200000</v>
      </c>
      <c r="O595" s="42">
        <v>46042</v>
      </c>
      <c r="P595" s="46"/>
      <c r="Q595" s="41">
        <v>200000</v>
      </c>
    </row>
    <row r="596" spans="1:17" ht="12" customHeight="1" x14ac:dyDescent="0.3">
      <c r="A596" s="39"/>
      <c r="B596" s="40" t="s">
        <v>1585</v>
      </c>
      <c r="C596" s="41">
        <v>269.10000000000002</v>
      </c>
      <c r="D596" s="42">
        <v>45979</v>
      </c>
      <c r="E596" s="43" t="s">
        <v>2</v>
      </c>
      <c r="F596" s="41">
        <v>0</v>
      </c>
      <c r="G596" s="41">
        <v>0</v>
      </c>
      <c r="H596" s="41">
        <v>269.10000000000002</v>
      </c>
      <c r="I596" s="43">
        <v>90</v>
      </c>
      <c r="J596" s="43">
        <v>9</v>
      </c>
      <c r="K596" s="44">
        <v>4000000</v>
      </c>
      <c r="L596" s="43" t="s">
        <v>992</v>
      </c>
      <c r="M596" s="45">
        <v>46069</v>
      </c>
      <c r="N596" s="41">
        <v>269.10000000000002</v>
      </c>
      <c r="O596" s="42">
        <v>46042</v>
      </c>
      <c r="P596" s="46"/>
      <c r="Q596" s="41">
        <v>269.10000000000002</v>
      </c>
    </row>
    <row r="597" spans="1:17" ht="12" customHeight="1" x14ac:dyDescent="0.3">
      <c r="A597" s="39"/>
      <c r="B597" s="40" t="s">
        <v>1586</v>
      </c>
      <c r="C597" s="41">
        <v>1099.6099999999999</v>
      </c>
      <c r="D597" s="42">
        <v>45979</v>
      </c>
      <c r="E597" s="43" t="s">
        <v>2</v>
      </c>
      <c r="F597" s="41">
        <v>0</v>
      </c>
      <c r="G597" s="41">
        <v>0</v>
      </c>
      <c r="H597" s="41">
        <v>1099.6099999999999</v>
      </c>
      <c r="I597" s="43">
        <v>90</v>
      </c>
      <c r="J597" s="43">
        <v>9</v>
      </c>
      <c r="K597" s="44">
        <v>4000000</v>
      </c>
      <c r="L597" s="43" t="s">
        <v>992</v>
      </c>
      <c r="M597" s="45">
        <v>46069</v>
      </c>
      <c r="N597" s="41">
        <v>1099.6099999999999</v>
      </c>
      <c r="O597" s="42">
        <v>46042</v>
      </c>
      <c r="P597" s="46"/>
      <c r="Q597" s="41">
        <v>1099.6099999999999</v>
      </c>
    </row>
    <row r="598" spans="1:17" ht="12" customHeight="1" x14ac:dyDescent="0.3">
      <c r="A598" s="39"/>
      <c r="B598" s="40" t="s">
        <v>1587</v>
      </c>
      <c r="C598" s="41">
        <v>2475</v>
      </c>
      <c r="D598" s="42">
        <v>45979</v>
      </c>
      <c r="E598" s="43" t="s">
        <v>2</v>
      </c>
      <c r="F598" s="41">
        <v>0</v>
      </c>
      <c r="G598" s="41">
        <v>0</v>
      </c>
      <c r="H598" s="41">
        <v>2475</v>
      </c>
      <c r="I598" s="43">
        <v>90</v>
      </c>
      <c r="J598" s="43">
        <v>9</v>
      </c>
      <c r="K598" s="44">
        <v>4000000</v>
      </c>
      <c r="L598" s="43" t="s">
        <v>992</v>
      </c>
      <c r="M598" s="45">
        <v>46069</v>
      </c>
      <c r="N598" s="41">
        <v>2475</v>
      </c>
      <c r="O598" s="42">
        <v>46042</v>
      </c>
      <c r="P598" s="46"/>
      <c r="Q598" s="41">
        <v>2475</v>
      </c>
    </row>
    <row r="599" spans="1:17" ht="12" customHeight="1" x14ac:dyDescent="0.3">
      <c r="A599" s="39"/>
      <c r="B599" s="40" t="s">
        <v>1588</v>
      </c>
      <c r="C599" s="41">
        <v>420</v>
      </c>
      <c r="D599" s="42">
        <v>45979</v>
      </c>
      <c r="E599" s="43" t="s">
        <v>2</v>
      </c>
      <c r="F599" s="41">
        <v>0</v>
      </c>
      <c r="G599" s="41">
        <v>0</v>
      </c>
      <c r="H599" s="41">
        <v>420</v>
      </c>
      <c r="I599" s="43">
        <v>90</v>
      </c>
      <c r="J599" s="43">
        <v>9</v>
      </c>
      <c r="K599" s="44">
        <v>4000000</v>
      </c>
      <c r="L599" s="43" t="s">
        <v>992</v>
      </c>
      <c r="M599" s="45">
        <v>46069</v>
      </c>
      <c r="N599" s="41">
        <v>420</v>
      </c>
      <c r="O599" s="42">
        <v>46042</v>
      </c>
      <c r="P599" s="46"/>
      <c r="Q599" s="41">
        <v>420</v>
      </c>
    </row>
    <row r="600" spans="1:17" ht="12" customHeight="1" x14ac:dyDescent="0.3">
      <c r="A600" s="39"/>
      <c r="B600" s="40" t="s">
        <v>1589</v>
      </c>
      <c r="C600" s="41">
        <v>197</v>
      </c>
      <c r="D600" s="42">
        <v>45979</v>
      </c>
      <c r="E600" s="43" t="s">
        <v>2</v>
      </c>
      <c r="F600" s="41">
        <v>0</v>
      </c>
      <c r="G600" s="41">
        <v>0</v>
      </c>
      <c r="H600" s="41">
        <v>197</v>
      </c>
      <c r="I600" s="43">
        <v>90</v>
      </c>
      <c r="J600" s="43">
        <v>9</v>
      </c>
      <c r="K600" s="44">
        <v>4000000</v>
      </c>
      <c r="L600" s="43" t="s">
        <v>992</v>
      </c>
      <c r="M600" s="45">
        <v>46069</v>
      </c>
      <c r="N600" s="41">
        <v>197</v>
      </c>
      <c r="O600" s="42">
        <v>46042</v>
      </c>
      <c r="P600" s="46"/>
      <c r="Q600" s="41">
        <v>197</v>
      </c>
    </row>
    <row r="601" spans="1:17" ht="12" customHeight="1" x14ac:dyDescent="0.3">
      <c r="A601" s="39"/>
      <c r="B601" s="40" t="s">
        <v>1590</v>
      </c>
      <c r="C601" s="41">
        <v>168.19</v>
      </c>
      <c r="D601" s="42">
        <v>45979</v>
      </c>
      <c r="E601" s="43" t="s">
        <v>2</v>
      </c>
      <c r="F601" s="41">
        <v>0</v>
      </c>
      <c r="G601" s="41">
        <v>0</v>
      </c>
      <c r="H601" s="41">
        <v>168.19</v>
      </c>
      <c r="I601" s="43">
        <v>90</v>
      </c>
      <c r="J601" s="43">
        <v>9</v>
      </c>
      <c r="K601" s="44">
        <v>4000000</v>
      </c>
      <c r="L601" s="43" t="s">
        <v>992</v>
      </c>
      <c r="M601" s="45">
        <v>46069</v>
      </c>
      <c r="N601" s="41">
        <v>168.19</v>
      </c>
      <c r="O601" s="42">
        <v>46042</v>
      </c>
      <c r="P601" s="46"/>
      <c r="Q601" s="41">
        <v>168.19</v>
      </c>
    </row>
    <row r="602" spans="1:17" ht="12" customHeight="1" x14ac:dyDescent="0.3">
      <c r="A602" s="39"/>
      <c r="B602" s="40" t="s">
        <v>1591</v>
      </c>
      <c r="C602" s="41">
        <v>403.2</v>
      </c>
      <c r="D602" s="42">
        <v>45979</v>
      </c>
      <c r="E602" s="43" t="s">
        <v>2</v>
      </c>
      <c r="F602" s="41">
        <v>0</v>
      </c>
      <c r="G602" s="41">
        <v>0</v>
      </c>
      <c r="H602" s="41">
        <v>403.2</v>
      </c>
      <c r="I602" s="43">
        <v>90</v>
      </c>
      <c r="J602" s="43">
        <v>9</v>
      </c>
      <c r="K602" s="44">
        <v>4000000</v>
      </c>
      <c r="L602" s="43" t="s">
        <v>992</v>
      </c>
      <c r="M602" s="45">
        <v>46069</v>
      </c>
      <c r="N602" s="41">
        <v>403.2</v>
      </c>
      <c r="O602" s="42">
        <v>46042</v>
      </c>
      <c r="P602" s="46"/>
      <c r="Q602" s="41">
        <v>403.2</v>
      </c>
    </row>
    <row r="603" spans="1:17" ht="12" customHeight="1" x14ac:dyDescent="0.3">
      <c r="A603" s="39"/>
      <c r="B603" s="40" t="s">
        <v>1592</v>
      </c>
      <c r="C603" s="41">
        <v>231</v>
      </c>
      <c r="D603" s="42">
        <v>45979</v>
      </c>
      <c r="E603" s="43" t="s">
        <v>2</v>
      </c>
      <c r="F603" s="41">
        <v>0</v>
      </c>
      <c r="G603" s="41">
        <v>0</v>
      </c>
      <c r="H603" s="41">
        <v>231</v>
      </c>
      <c r="I603" s="43">
        <v>90</v>
      </c>
      <c r="J603" s="43">
        <v>9</v>
      </c>
      <c r="K603" s="44">
        <v>4000000</v>
      </c>
      <c r="L603" s="43" t="s">
        <v>992</v>
      </c>
      <c r="M603" s="45">
        <v>46069</v>
      </c>
      <c r="N603" s="41">
        <v>231</v>
      </c>
      <c r="O603" s="42">
        <v>46042</v>
      </c>
      <c r="P603" s="46"/>
      <c r="Q603" s="41">
        <v>231</v>
      </c>
    </row>
    <row r="604" spans="1:17" ht="12" customHeight="1" x14ac:dyDescent="0.3">
      <c r="A604" s="39"/>
      <c r="B604" s="40" t="s">
        <v>1593</v>
      </c>
      <c r="C604" s="41">
        <v>1250000</v>
      </c>
      <c r="D604" s="42">
        <v>45979</v>
      </c>
      <c r="E604" s="43" t="s">
        <v>2</v>
      </c>
      <c r="F604" s="41">
        <v>0</v>
      </c>
      <c r="G604" s="41">
        <v>0</v>
      </c>
      <c r="H604" s="41">
        <v>1250000</v>
      </c>
      <c r="I604" s="43">
        <v>90</v>
      </c>
      <c r="J604" s="43">
        <v>197</v>
      </c>
      <c r="K604" s="44">
        <v>7000000</v>
      </c>
      <c r="L604" s="43" t="s">
        <v>992</v>
      </c>
      <c r="M604" s="45">
        <v>46069</v>
      </c>
      <c r="N604" s="41">
        <v>1250000</v>
      </c>
      <c r="O604" s="42">
        <v>45985</v>
      </c>
      <c r="P604" s="46"/>
      <c r="Q604" s="41">
        <v>1250000</v>
      </c>
    </row>
    <row r="605" spans="1:17" ht="12" customHeight="1" x14ac:dyDescent="0.3">
      <c r="A605" s="39"/>
      <c r="B605" s="40" t="s">
        <v>1594</v>
      </c>
      <c r="C605" s="41">
        <v>2000000</v>
      </c>
      <c r="D605" s="42">
        <v>45980</v>
      </c>
      <c r="E605" s="43" t="s">
        <v>2</v>
      </c>
      <c r="F605" s="41">
        <v>0</v>
      </c>
      <c r="G605" s="41">
        <v>0</v>
      </c>
      <c r="H605" s="41">
        <v>2000000</v>
      </c>
      <c r="I605" s="43">
        <v>90</v>
      </c>
      <c r="J605" s="43">
        <v>197</v>
      </c>
      <c r="K605" s="44">
        <v>7000000</v>
      </c>
      <c r="L605" s="43" t="s">
        <v>992</v>
      </c>
      <c r="M605" s="45">
        <v>46070</v>
      </c>
      <c r="N605" s="41">
        <v>2000000</v>
      </c>
      <c r="O605" s="42">
        <v>45985</v>
      </c>
      <c r="P605" s="46"/>
      <c r="Q605" s="41">
        <v>2000000</v>
      </c>
    </row>
    <row r="606" spans="1:17" ht="12" customHeight="1" x14ac:dyDescent="0.3">
      <c r="A606" s="39"/>
      <c r="B606" s="40" t="s">
        <v>1595</v>
      </c>
      <c r="C606" s="41">
        <v>700000</v>
      </c>
      <c r="D606" s="42">
        <v>45980</v>
      </c>
      <c r="E606" s="43" t="s">
        <v>2</v>
      </c>
      <c r="F606" s="41">
        <v>0</v>
      </c>
      <c r="G606" s="41">
        <v>0</v>
      </c>
      <c r="H606" s="41">
        <v>700000</v>
      </c>
      <c r="I606" s="43">
        <v>90</v>
      </c>
      <c r="J606" s="43">
        <v>197</v>
      </c>
      <c r="K606" s="44">
        <v>7000000</v>
      </c>
      <c r="L606" s="43" t="s">
        <v>992</v>
      </c>
      <c r="M606" s="45">
        <v>46070</v>
      </c>
      <c r="N606" s="41">
        <v>700000</v>
      </c>
      <c r="O606" s="42">
        <v>45985</v>
      </c>
      <c r="P606" s="46"/>
      <c r="Q606" s="41">
        <v>700000</v>
      </c>
    </row>
    <row r="607" spans="1:17" ht="12" customHeight="1" x14ac:dyDescent="0.3">
      <c r="A607" s="39"/>
      <c r="B607" s="40" t="s">
        <v>1596</v>
      </c>
      <c r="C607" s="41">
        <v>2300000</v>
      </c>
      <c r="D607" s="42">
        <v>45980</v>
      </c>
      <c r="E607" s="43" t="s">
        <v>2</v>
      </c>
      <c r="F607" s="41">
        <v>0</v>
      </c>
      <c r="G607" s="41">
        <v>0</v>
      </c>
      <c r="H607" s="41">
        <v>2300000</v>
      </c>
      <c r="I607" s="43">
        <v>90</v>
      </c>
      <c r="J607" s="43">
        <v>197</v>
      </c>
      <c r="K607" s="44">
        <v>7000000</v>
      </c>
      <c r="L607" s="43" t="s">
        <v>992</v>
      </c>
      <c r="M607" s="45">
        <v>46070</v>
      </c>
      <c r="N607" s="41">
        <v>2300000</v>
      </c>
      <c r="O607" s="42">
        <v>45987</v>
      </c>
      <c r="P607" s="46"/>
      <c r="Q607" s="41">
        <v>2300000</v>
      </c>
    </row>
    <row r="608" spans="1:17" ht="12" customHeight="1" x14ac:dyDescent="0.3">
      <c r="A608" s="39"/>
      <c r="B608" s="40" t="s">
        <v>1597</v>
      </c>
      <c r="C608" s="41">
        <v>140000</v>
      </c>
      <c r="D608" s="42">
        <v>45980</v>
      </c>
      <c r="E608" s="43" t="s">
        <v>2</v>
      </c>
      <c r="F608" s="41">
        <v>0</v>
      </c>
      <c r="G608" s="41">
        <v>0</v>
      </c>
      <c r="H608" s="41">
        <v>140000</v>
      </c>
      <c r="I608" s="43">
        <v>90</v>
      </c>
      <c r="J608" s="43">
        <v>71</v>
      </c>
      <c r="K608" s="44">
        <v>3000000</v>
      </c>
      <c r="L608" s="43" t="s">
        <v>992</v>
      </c>
      <c r="M608" s="45">
        <v>46070</v>
      </c>
      <c r="N608" s="41">
        <v>140000</v>
      </c>
      <c r="O608" s="42">
        <v>46040</v>
      </c>
      <c r="P608" s="46"/>
      <c r="Q608" s="41">
        <v>140000</v>
      </c>
    </row>
    <row r="609" spans="1:17" ht="12" customHeight="1" x14ac:dyDescent="0.3">
      <c r="A609" s="39"/>
      <c r="B609" s="40" t="s">
        <v>1598</v>
      </c>
      <c r="C609" s="41">
        <v>170444.78</v>
      </c>
      <c r="D609" s="42">
        <v>45980</v>
      </c>
      <c r="E609" s="43" t="s">
        <v>2</v>
      </c>
      <c r="F609" s="41">
        <v>0</v>
      </c>
      <c r="G609" s="41">
        <v>0</v>
      </c>
      <c r="H609" s="41">
        <v>170444.78</v>
      </c>
      <c r="I609" s="43">
        <v>90</v>
      </c>
      <c r="J609" s="43">
        <v>8</v>
      </c>
      <c r="K609" s="44">
        <v>3000000</v>
      </c>
      <c r="L609" s="43" t="s">
        <v>992</v>
      </c>
      <c r="M609" s="45">
        <v>46070</v>
      </c>
      <c r="N609" s="41">
        <v>170444.78</v>
      </c>
      <c r="O609" s="42">
        <v>46064</v>
      </c>
      <c r="P609" s="46"/>
      <c r="Q609" s="41">
        <v>170444.78</v>
      </c>
    </row>
    <row r="610" spans="1:17" ht="12" customHeight="1" x14ac:dyDescent="0.3">
      <c r="A610" s="39"/>
      <c r="B610" s="40" t="s">
        <v>1599</v>
      </c>
      <c r="C610" s="41">
        <v>793.5</v>
      </c>
      <c r="D610" s="42">
        <v>45981</v>
      </c>
      <c r="E610" s="43" t="s">
        <v>2</v>
      </c>
      <c r="F610" s="41">
        <v>0</v>
      </c>
      <c r="G610" s="41">
        <v>0</v>
      </c>
      <c r="H610" s="41">
        <v>793.5</v>
      </c>
      <c r="I610" s="43">
        <v>90</v>
      </c>
      <c r="J610" s="43">
        <v>9</v>
      </c>
      <c r="K610" s="44">
        <v>4000000</v>
      </c>
      <c r="L610" s="43" t="s">
        <v>992</v>
      </c>
      <c r="M610" s="45">
        <v>46071</v>
      </c>
      <c r="N610" s="41">
        <v>793.5</v>
      </c>
      <c r="O610" s="42">
        <v>46042</v>
      </c>
      <c r="P610" s="46"/>
      <c r="Q610" s="41">
        <v>793.5</v>
      </c>
    </row>
    <row r="611" spans="1:17" ht="12" customHeight="1" x14ac:dyDescent="0.3">
      <c r="A611" s="39"/>
      <c r="B611" s="40" t="s">
        <v>1600</v>
      </c>
      <c r="C611" s="41">
        <v>276</v>
      </c>
      <c r="D611" s="42">
        <v>45981</v>
      </c>
      <c r="E611" s="43" t="s">
        <v>2</v>
      </c>
      <c r="F611" s="41">
        <v>0</v>
      </c>
      <c r="G611" s="41">
        <v>0</v>
      </c>
      <c r="H611" s="41">
        <v>276</v>
      </c>
      <c r="I611" s="43">
        <v>90</v>
      </c>
      <c r="J611" s="43">
        <v>9</v>
      </c>
      <c r="K611" s="44">
        <v>4000000</v>
      </c>
      <c r="L611" s="43" t="s">
        <v>992</v>
      </c>
      <c r="M611" s="45">
        <v>46071</v>
      </c>
      <c r="N611" s="41">
        <v>276</v>
      </c>
      <c r="O611" s="42">
        <v>46042</v>
      </c>
      <c r="P611" s="46"/>
      <c r="Q611" s="41">
        <v>276</v>
      </c>
    </row>
    <row r="612" spans="1:17" ht="12" customHeight="1" x14ac:dyDescent="0.3">
      <c r="A612" s="39"/>
      <c r="B612" s="40" t="s">
        <v>1601</v>
      </c>
      <c r="C612" s="41">
        <v>1606.24</v>
      </c>
      <c r="D612" s="42">
        <v>45981</v>
      </c>
      <c r="E612" s="43" t="s">
        <v>2</v>
      </c>
      <c r="F612" s="41">
        <v>0</v>
      </c>
      <c r="G612" s="41">
        <v>0</v>
      </c>
      <c r="H612" s="41">
        <v>1606.24</v>
      </c>
      <c r="I612" s="43">
        <v>90</v>
      </c>
      <c r="J612" s="43">
        <v>9</v>
      </c>
      <c r="K612" s="44">
        <v>4000000</v>
      </c>
      <c r="L612" s="43" t="s">
        <v>992</v>
      </c>
      <c r="M612" s="45">
        <v>46071</v>
      </c>
      <c r="N612" s="41">
        <v>1606.24</v>
      </c>
      <c r="O612" s="42">
        <v>46042</v>
      </c>
      <c r="P612" s="46"/>
      <c r="Q612" s="41">
        <v>1606.24</v>
      </c>
    </row>
    <row r="613" spans="1:17" ht="12" customHeight="1" x14ac:dyDescent="0.3">
      <c r="A613" s="39"/>
      <c r="B613" s="40" t="s">
        <v>1602</v>
      </c>
      <c r="C613" s="41">
        <v>435001</v>
      </c>
      <c r="D613" s="42">
        <v>45981</v>
      </c>
      <c r="E613" s="43" t="s">
        <v>2</v>
      </c>
      <c r="F613" s="41">
        <v>0</v>
      </c>
      <c r="G613" s="41">
        <v>0</v>
      </c>
      <c r="H613" s="41">
        <v>435001</v>
      </c>
      <c r="I613" s="43">
        <v>90</v>
      </c>
      <c r="J613" s="43">
        <v>16</v>
      </c>
      <c r="K613" s="44">
        <v>800000</v>
      </c>
      <c r="L613" s="43" t="s">
        <v>992</v>
      </c>
      <c r="M613" s="45">
        <v>46071</v>
      </c>
      <c r="N613" s="41">
        <v>435001</v>
      </c>
      <c r="O613" s="42">
        <v>46012</v>
      </c>
      <c r="P613" s="46"/>
      <c r="Q613" s="41">
        <v>435001</v>
      </c>
    </row>
    <row r="614" spans="1:17" ht="12" customHeight="1" x14ac:dyDescent="0.3">
      <c r="A614" s="39"/>
      <c r="B614" s="40" t="s">
        <v>1603</v>
      </c>
      <c r="C614" s="41">
        <v>95000</v>
      </c>
      <c r="D614" s="42">
        <v>45984</v>
      </c>
      <c r="E614" s="43" t="s">
        <v>2</v>
      </c>
      <c r="F614" s="41">
        <v>0</v>
      </c>
      <c r="G614" s="41">
        <v>0</v>
      </c>
      <c r="H614" s="41">
        <v>95000</v>
      </c>
      <c r="I614" s="43">
        <v>90</v>
      </c>
      <c r="J614" s="43">
        <v>71</v>
      </c>
      <c r="K614" s="44">
        <v>3000000</v>
      </c>
      <c r="L614" s="43" t="s">
        <v>992</v>
      </c>
      <c r="M614" s="45">
        <v>46075</v>
      </c>
      <c r="N614" s="41">
        <v>95000</v>
      </c>
      <c r="O614" s="42">
        <v>46040</v>
      </c>
      <c r="P614" s="46"/>
      <c r="Q614" s="41">
        <v>95000</v>
      </c>
    </row>
    <row r="615" spans="1:17" ht="12" customHeight="1" x14ac:dyDescent="0.3">
      <c r="A615" s="39"/>
      <c r="B615" s="40" t="s">
        <v>1604</v>
      </c>
      <c r="C615" s="41">
        <v>171585.01</v>
      </c>
      <c r="D615" s="42">
        <v>45984</v>
      </c>
      <c r="E615" s="43" t="s">
        <v>2</v>
      </c>
      <c r="F615" s="41">
        <v>0</v>
      </c>
      <c r="G615" s="41">
        <v>0</v>
      </c>
      <c r="H615" s="41">
        <v>171585.01</v>
      </c>
      <c r="I615" s="43">
        <v>90</v>
      </c>
      <c r="J615" s="43">
        <v>13</v>
      </c>
      <c r="K615" s="44">
        <v>4601094</v>
      </c>
      <c r="L615" s="43" t="s">
        <v>992</v>
      </c>
      <c r="M615" s="45">
        <v>46075</v>
      </c>
      <c r="N615" s="41">
        <v>171585.01</v>
      </c>
      <c r="O615" s="42">
        <v>46081</v>
      </c>
      <c r="P615" s="46"/>
      <c r="Q615" s="41">
        <v>171585.01</v>
      </c>
    </row>
    <row r="616" spans="1:17" ht="12" customHeight="1" x14ac:dyDescent="0.3">
      <c r="A616" s="39"/>
      <c r="B616" s="40" t="s">
        <v>1605</v>
      </c>
      <c r="C616" s="41">
        <v>215000</v>
      </c>
      <c r="D616" s="42">
        <v>45986</v>
      </c>
      <c r="E616" s="43" t="s">
        <v>2</v>
      </c>
      <c r="F616" s="41">
        <v>0</v>
      </c>
      <c r="G616" s="41">
        <v>0</v>
      </c>
      <c r="H616" s="41">
        <v>215000</v>
      </c>
      <c r="I616" s="43">
        <v>90</v>
      </c>
      <c r="J616" s="43">
        <v>197</v>
      </c>
      <c r="K616" s="44">
        <v>7000000</v>
      </c>
      <c r="L616" s="43" t="s">
        <v>992</v>
      </c>
      <c r="M616" s="45">
        <v>46076</v>
      </c>
      <c r="N616" s="41">
        <v>215000</v>
      </c>
      <c r="O616" s="42">
        <v>45987</v>
      </c>
      <c r="P616" s="46"/>
      <c r="Q616" s="41">
        <v>215000</v>
      </c>
    </row>
    <row r="617" spans="1:17" ht="12" customHeight="1" x14ac:dyDescent="0.3">
      <c r="A617" s="39"/>
      <c r="B617" s="40" t="s">
        <v>1606</v>
      </c>
      <c r="C617" s="41">
        <v>915000</v>
      </c>
      <c r="D617" s="42">
        <v>45986</v>
      </c>
      <c r="E617" s="43" t="s">
        <v>2</v>
      </c>
      <c r="F617" s="41">
        <v>0</v>
      </c>
      <c r="G617" s="41">
        <v>0</v>
      </c>
      <c r="H617" s="41">
        <v>915000</v>
      </c>
      <c r="I617" s="43">
        <v>90</v>
      </c>
      <c r="J617" s="43">
        <v>197</v>
      </c>
      <c r="K617" s="44">
        <v>7000000</v>
      </c>
      <c r="L617" s="43" t="s">
        <v>992</v>
      </c>
      <c r="M617" s="45">
        <v>46076</v>
      </c>
      <c r="N617" s="41">
        <v>915000</v>
      </c>
      <c r="O617" s="42">
        <v>45987</v>
      </c>
      <c r="P617" s="46"/>
      <c r="Q617" s="41">
        <v>915000</v>
      </c>
    </row>
    <row r="618" spans="1:17" ht="12" customHeight="1" x14ac:dyDescent="0.3">
      <c r="A618" s="39"/>
      <c r="B618" s="40" t="s">
        <v>1607</v>
      </c>
      <c r="C618" s="41">
        <v>870000</v>
      </c>
      <c r="D618" s="42">
        <v>45986</v>
      </c>
      <c r="E618" s="43" t="s">
        <v>2</v>
      </c>
      <c r="F618" s="41">
        <v>0</v>
      </c>
      <c r="G618" s="41">
        <v>0</v>
      </c>
      <c r="H618" s="41">
        <v>870000</v>
      </c>
      <c r="I618" s="43">
        <v>90</v>
      </c>
      <c r="J618" s="43">
        <v>197</v>
      </c>
      <c r="K618" s="44">
        <v>7000000</v>
      </c>
      <c r="L618" s="43" t="s">
        <v>992</v>
      </c>
      <c r="M618" s="45">
        <v>46076</v>
      </c>
      <c r="N618" s="41">
        <v>870000</v>
      </c>
      <c r="O618" s="42">
        <v>45987</v>
      </c>
      <c r="P618" s="46"/>
      <c r="Q618" s="41">
        <v>870000</v>
      </c>
    </row>
    <row r="619" spans="1:17" ht="12" customHeight="1" x14ac:dyDescent="0.3">
      <c r="A619" s="39"/>
      <c r="B619" s="40" t="s">
        <v>1608</v>
      </c>
      <c r="C619" s="41">
        <v>1499998</v>
      </c>
      <c r="D619" s="42">
        <v>45986</v>
      </c>
      <c r="E619" s="43" t="s">
        <v>2</v>
      </c>
      <c r="F619" s="41">
        <v>0</v>
      </c>
      <c r="G619" s="41">
        <v>0</v>
      </c>
      <c r="H619" s="41">
        <v>1499998</v>
      </c>
      <c r="I619" s="43">
        <v>90</v>
      </c>
      <c r="J619" s="43">
        <v>197</v>
      </c>
      <c r="K619" s="44">
        <v>7000000</v>
      </c>
      <c r="L619" s="43" t="s">
        <v>992</v>
      </c>
      <c r="M619" s="45">
        <v>46076</v>
      </c>
      <c r="N619" s="41">
        <v>1499998</v>
      </c>
      <c r="O619" s="42">
        <v>45991</v>
      </c>
      <c r="P619" s="46"/>
      <c r="Q619" s="41">
        <v>1499998</v>
      </c>
    </row>
    <row r="620" spans="1:17" ht="12" customHeight="1" x14ac:dyDescent="0.3">
      <c r="A620" s="39"/>
      <c r="B620" s="40" t="s">
        <v>1609</v>
      </c>
      <c r="C620" s="41">
        <v>1500000</v>
      </c>
      <c r="D620" s="42">
        <v>45986</v>
      </c>
      <c r="E620" s="43" t="s">
        <v>2</v>
      </c>
      <c r="F620" s="41">
        <v>0</v>
      </c>
      <c r="G620" s="41">
        <v>0</v>
      </c>
      <c r="H620" s="41">
        <v>1500000</v>
      </c>
      <c r="I620" s="43">
        <v>90</v>
      </c>
      <c r="J620" s="43">
        <v>197</v>
      </c>
      <c r="K620" s="44">
        <v>7000000</v>
      </c>
      <c r="L620" s="43" t="s">
        <v>992</v>
      </c>
      <c r="M620" s="45">
        <v>46076</v>
      </c>
      <c r="N620" s="41">
        <v>1500000</v>
      </c>
      <c r="O620" s="42">
        <v>45991</v>
      </c>
      <c r="P620" s="46"/>
      <c r="Q620" s="41">
        <v>1500000</v>
      </c>
    </row>
    <row r="621" spans="1:17" ht="12" customHeight="1" x14ac:dyDescent="0.3">
      <c r="A621" s="39"/>
      <c r="B621" s="40" t="s">
        <v>1610</v>
      </c>
      <c r="C621" s="41">
        <v>74</v>
      </c>
      <c r="D621" s="42">
        <v>45986</v>
      </c>
      <c r="E621" s="43" t="s">
        <v>2</v>
      </c>
      <c r="F621" s="41">
        <v>0</v>
      </c>
      <c r="G621" s="41">
        <v>0</v>
      </c>
      <c r="H621" s="41">
        <v>74</v>
      </c>
      <c r="I621" s="43">
        <v>90</v>
      </c>
      <c r="J621" s="43">
        <v>9</v>
      </c>
      <c r="K621" s="44">
        <v>4000000</v>
      </c>
      <c r="L621" s="43" t="s">
        <v>992</v>
      </c>
      <c r="M621" s="45">
        <v>46076</v>
      </c>
      <c r="N621" s="41">
        <v>74</v>
      </c>
      <c r="O621" s="42">
        <v>46042</v>
      </c>
      <c r="P621" s="46"/>
      <c r="Q621" s="41">
        <v>74</v>
      </c>
    </row>
    <row r="622" spans="1:17" ht="12" customHeight="1" x14ac:dyDescent="0.3">
      <c r="A622" s="39"/>
      <c r="B622" s="40" t="s">
        <v>1611</v>
      </c>
      <c r="C622" s="41">
        <v>168000</v>
      </c>
      <c r="D622" s="42">
        <v>45986</v>
      </c>
      <c r="E622" s="43" t="s">
        <v>2</v>
      </c>
      <c r="F622" s="41">
        <v>0</v>
      </c>
      <c r="G622" s="41">
        <v>0</v>
      </c>
      <c r="H622" s="41">
        <v>168000</v>
      </c>
      <c r="I622" s="43">
        <v>90</v>
      </c>
      <c r="J622" s="43">
        <v>9</v>
      </c>
      <c r="K622" s="44">
        <v>4000000</v>
      </c>
      <c r="L622" s="43" t="s">
        <v>992</v>
      </c>
      <c r="M622" s="45">
        <v>46076</v>
      </c>
      <c r="N622" s="41">
        <v>168000</v>
      </c>
      <c r="O622" s="42">
        <v>46049</v>
      </c>
      <c r="P622" s="46"/>
      <c r="Q622" s="41">
        <v>168000</v>
      </c>
    </row>
    <row r="623" spans="1:17" ht="12" customHeight="1" x14ac:dyDescent="0.3">
      <c r="A623" s="39"/>
      <c r="B623" s="40" t="s">
        <v>1612</v>
      </c>
      <c r="C623" s="41">
        <v>1425</v>
      </c>
      <c r="D623" s="42">
        <v>45986</v>
      </c>
      <c r="E623" s="43" t="s">
        <v>2</v>
      </c>
      <c r="F623" s="41">
        <v>0</v>
      </c>
      <c r="G623" s="41">
        <v>0</v>
      </c>
      <c r="H623" s="41">
        <v>1425</v>
      </c>
      <c r="I623" s="43">
        <v>90</v>
      </c>
      <c r="J623" s="43">
        <v>9</v>
      </c>
      <c r="K623" s="44">
        <v>4000000</v>
      </c>
      <c r="L623" s="43" t="s">
        <v>992</v>
      </c>
      <c r="M623" s="45">
        <v>46076</v>
      </c>
      <c r="N623" s="41">
        <v>1425</v>
      </c>
      <c r="O623" s="42">
        <v>46049</v>
      </c>
      <c r="P623" s="46"/>
      <c r="Q623" s="41">
        <v>1425</v>
      </c>
    </row>
    <row r="624" spans="1:17" ht="12" customHeight="1" x14ac:dyDescent="0.3">
      <c r="A624" s="39"/>
      <c r="B624" s="40" t="s">
        <v>1613</v>
      </c>
      <c r="C624" s="41">
        <v>1606.24</v>
      </c>
      <c r="D624" s="42">
        <v>45986</v>
      </c>
      <c r="E624" s="43" t="s">
        <v>2</v>
      </c>
      <c r="F624" s="41">
        <v>0</v>
      </c>
      <c r="G624" s="41">
        <v>0</v>
      </c>
      <c r="H624" s="41">
        <v>1606.24</v>
      </c>
      <c r="I624" s="43">
        <v>90</v>
      </c>
      <c r="J624" s="43">
        <v>9</v>
      </c>
      <c r="K624" s="44">
        <v>4000000</v>
      </c>
      <c r="L624" s="43" t="s">
        <v>992</v>
      </c>
      <c r="M624" s="45">
        <v>46076</v>
      </c>
      <c r="N624" s="41">
        <v>1606.24</v>
      </c>
      <c r="O624" s="42">
        <v>46049</v>
      </c>
      <c r="P624" s="46"/>
      <c r="Q624" s="41">
        <v>1606.24</v>
      </c>
    </row>
    <row r="625" spans="1:17" ht="12" customHeight="1" x14ac:dyDescent="0.3">
      <c r="A625" s="39"/>
      <c r="B625" s="40" t="s">
        <v>1614</v>
      </c>
      <c r="C625" s="41">
        <v>490</v>
      </c>
      <c r="D625" s="42">
        <v>45986</v>
      </c>
      <c r="E625" s="43" t="s">
        <v>2</v>
      </c>
      <c r="F625" s="41">
        <v>0</v>
      </c>
      <c r="G625" s="41">
        <v>0</v>
      </c>
      <c r="H625" s="41">
        <v>490</v>
      </c>
      <c r="I625" s="43">
        <v>90</v>
      </c>
      <c r="J625" s="43">
        <v>9</v>
      </c>
      <c r="K625" s="44">
        <v>4000000</v>
      </c>
      <c r="L625" s="43" t="s">
        <v>992</v>
      </c>
      <c r="M625" s="45">
        <v>46076</v>
      </c>
      <c r="N625" s="41">
        <v>490</v>
      </c>
      <c r="O625" s="42">
        <v>46049</v>
      </c>
      <c r="P625" s="46"/>
      <c r="Q625" s="41">
        <v>490</v>
      </c>
    </row>
    <row r="626" spans="1:17" ht="12" customHeight="1" x14ac:dyDescent="0.3">
      <c r="A626" s="39"/>
      <c r="B626" s="40" t="s">
        <v>1615</v>
      </c>
      <c r="C626" s="41">
        <v>134.66</v>
      </c>
      <c r="D626" s="42">
        <v>45986</v>
      </c>
      <c r="E626" s="43" t="s">
        <v>2</v>
      </c>
      <c r="F626" s="41">
        <v>0</v>
      </c>
      <c r="G626" s="41">
        <v>0</v>
      </c>
      <c r="H626" s="41">
        <v>134.66</v>
      </c>
      <c r="I626" s="43">
        <v>90</v>
      </c>
      <c r="J626" s="43">
        <v>9</v>
      </c>
      <c r="K626" s="44">
        <v>4000000</v>
      </c>
      <c r="L626" s="43" t="s">
        <v>992</v>
      </c>
      <c r="M626" s="45">
        <v>46076</v>
      </c>
      <c r="N626" s="41">
        <v>134.66</v>
      </c>
      <c r="O626" s="42">
        <v>46049</v>
      </c>
      <c r="P626" s="46"/>
      <c r="Q626" s="41">
        <v>134.66</v>
      </c>
    </row>
    <row r="627" spans="1:17" ht="12" customHeight="1" x14ac:dyDescent="0.3">
      <c r="A627" s="39"/>
      <c r="B627" s="40" t="s">
        <v>1616</v>
      </c>
      <c r="C627" s="41">
        <v>202</v>
      </c>
      <c r="D627" s="42">
        <v>45986</v>
      </c>
      <c r="E627" s="43" t="s">
        <v>2</v>
      </c>
      <c r="F627" s="41">
        <v>0</v>
      </c>
      <c r="G627" s="41">
        <v>0</v>
      </c>
      <c r="H627" s="41">
        <v>202</v>
      </c>
      <c r="I627" s="43">
        <v>90</v>
      </c>
      <c r="J627" s="43">
        <v>9</v>
      </c>
      <c r="K627" s="44">
        <v>4000000</v>
      </c>
      <c r="L627" s="43" t="s">
        <v>992</v>
      </c>
      <c r="M627" s="45">
        <v>46076</v>
      </c>
      <c r="N627" s="41">
        <v>202</v>
      </c>
      <c r="O627" s="42">
        <v>46049</v>
      </c>
      <c r="P627" s="46"/>
      <c r="Q627" s="41">
        <v>202</v>
      </c>
    </row>
    <row r="628" spans="1:17" ht="12" customHeight="1" x14ac:dyDescent="0.3">
      <c r="A628" s="39"/>
      <c r="B628" s="40" t="s">
        <v>1617</v>
      </c>
      <c r="C628" s="41">
        <v>7458.72</v>
      </c>
      <c r="D628" s="42">
        <v>45986</v>
      </c>
      <c r="E628" s="43" t="s">
        <v>2</v>
      </c>
      <c r="F628" s="41">
        <v>0</v>
      </c>
      <c r="G628" s="41">
        <v>0</v>
      </c>
      <c r="H628" s="41">
        <v>7458.72</v>
      </c>
      <c r="I628" s="43">
        <v>90</v>
      </c>
      <c r="J628" s="43">
        <v>9</v>
      </c>
      <c r="K628" s="44">
        <v>4000000</v>
      </c>
      <c r="L628" s="43" t="s">
        <v>992</v>
      </c>
      <c r="M628" s="45">
        <v>46076</v>
      </c>
      <c r="N628" s="41">
        <v>7458.72</v>
      </c>
      <c r="O628" s="42">
        <v>46049</v>
      </c>
      <c r="P628" s="46"/>
      <c r="Q628" s="41">
        <v>7458.72</v>
      </c>
    </row>
    <row r="629" spans="1:17" ht="12" customHeight="1" x14ac:dyDescent="0.3">
      <c r="A629" s="39"/>
      <c r="B629" s="40" t="s">
        <v>1618</v>
      </c>
      <c r="C629" s="41">
        <v>420</v>
      </c>
      <c r="D629" s="42">
        <v>45986</v>
      </c>
      <c r="E629" s="43" t="s">
        <v>2</v>
      </c>
      <c r="F629" s="41">
        <v>0</v>
      </c>
      <c r="G629" s="41">
        <v>0</v>
      </c>
      <c r="H629" s="41">
        <v>420</v>
      </c>
      <c r="I629" s="43">
        <v>90</v>
      </c>
      <c r="J629" s="43">
        <v>9</v>
      </c>
      <c r="K629" s="44">
        <v>4000000</v>
      </c>
      <c r="L629" s="43" t="s">
        <v>992</v>
      </c>
      <c r="M629" s="45">
        <v>46076</v>
      </c>
      <c r="N629" s="41">
        <v>420</v>
      </c>
      <c r="O629" s="42">
        <v>46049</v>
      </c>
      <c r="P629" s="46"/>
      <c r="Q629" s="41">
        <v>420</v>
      </c>
    </row>
    <row r="630" spans="1:17" ht="12" customHeight="1" x14ac:dyDescent="0.3">
      <c r="A630" s="39"/>
      <c r="B630" s="40" t="s">
        <v>1619</v>
      </c>
      <c r="C630" s="41">
        <v>340</v>
      </c>
      <c r="D630" s="42">
        <v>45986</v>
      </c>
      <c r="E630" s="43" t="s">
        <v>2</v>
      </c>
      <c r="F630" s="41">
        <v>0</v>
      </c>
      <c r="G630" s="41">
        <v>0</v>
      </c>
      <c r="H630" s="41">
        <v>340</v>
      </c>
      <c r="I630" s="43">
        <v>90</v>
      </c>
      <c r="J630" s="43">
        <v>9</v>
      </c>
      <c r="K630" s="44">
        <v>4000000</v>
      </c>
      <c r="L630" s="43" t="s">
        <v>992</v>
      </c>
      <c r="M630" s="45">
        <v>46076</v>
      </c>
      <c r="N630" s="41">
        <v>340</v>
      </c>
      <c r="O630" s="42">
        <v>46049</v>
      </c>
      <c r="P630" s="46"/>
      <c r="Q630" s="41">
        <v>340</v>
      </c>
    </row>
    <row r="631" spans="1:17" ht="12" customHeight="1" x14ac:dyDescent="0.3">
      <c r="A631" s="39"/>
      <c r="B631" s="40" t="s">
        <v>1620</v>
      </c>
      <c r="C631" s="41">
        <v>612</v>
      </c>
      <c r="D631" s="42">
        <v>45986</v>
      </c>
      <c r="E631" s="43" t="s">
        <v>2</v>
      </c>
      <c r="F631" s="41">
        <v>0</v>
      </c>
      <c r="G631" s="41">
        <v>0</v>
      </c>
      <c r="H631" s="41">
        <v>612</v>
      </c>
      <c r="I631" s="43">
        <v>90</v>
      </c>
      <c r="J631" s="43">
        <v>9</v>
      </c>
      <c r="K631" s="44">
        <v>4000000</v>
      </c>
      <c r="L631" s="43" t="s">
        <v>992</v>
      </c>
      <c r="M631" s="45">
        <v>46076</v>
      </c>
      <c r="N631" s="41">
        <v>612</v>
      </c>
      <c r="O631" s="42">
        <v>46049</v>
      </c>
      <c r="P631" s="46"/>
      <c r="Q631" s="41">
        <v>612</v>
      </c>
    </row>
    <row r="632" spans="1:17" ht="12" customHeight="1" x14ac:dyDescent="0.3">
      <c r="A632" s="39"/>
      <c r="B632" s="40" t="s">
        <v>1621</v>
      </c>
      <c r="C632" s="41">
        <v>168000</v>
      </c>
      <c r="D632" s="42">
        <v>45986</v>
      </c>
      <c r="E632" s="43" t="s">
        <v>2</v>
      </c>
      <c r="F632" s="41">
        <v>0</v>
      </c>
      <c r="G632" s="41">
        <v>0</v>
      </c>
      <c r="H632" s="41">
        <v>168000</v>
      </c>
      <c r="I632" s="43">
        <v>90</v>
      </c>
      <c r="J632" s="43">
        <v>9</v>
      </c>
      <c r="K632" s="44">
        <v>4000000</v>
      </c>
      <c r="L632" s="43" t="s">
        <v>992</v>
      </c>
      <c r="M632" s="45">
        <v>46076</v>
      </c>
      <c r="N632" s="41">
        <v>168000</v>
      </c>
      <c r="O632" s="42">
        <v>46049</v>
      </c>
      <c r="P632" s="46"/>
      <c r="Q632" s="41">
        <v>168000</v>
      </c>
    </row>
    <row r="633" spans="1:17" ht="12" customHeight="1" x14ac:dyDescent="0.3">
      <c r="A633" s="39"/>
      <c r="B633" s="40" t="s">
        <v>1622</v>
      </c>
      <c r="C633" s="41">
        <v>273919.5</v>
      </c>
      <c r="D633" s="42">
        <v>45986</v>
      </c>
      <c r="E633" s="43" t="s">
        <v>2</v>
      </c>
      <c r="F633" s="41">
        <v>0</v>
      </c>
      <c r="G633" s="41">
        <v>0</v>
      </c>
      <c r="H633" s="41">
        <v>273919.5</v>
      </c>
      <c r="I633" s="43">
        <v>90</v>
      </c>
      <c r="J633" s="43">
        <v>8</v>
      </c>
      <c r="K633" s="44">
        <v>3000000</v>
      </c>
      <c r="L633" s="43" t="s">
        <v>992</v>
      </c>
      <c r="M633" s="45">
        <v>46076</v>
      </c>
      <c r="N633" s="41">
        <v>273919.5</v>
      </c>
      <c r="O633" s="42">
        <v>46070</v>
      </c>
      <c r="P633" s="46"/>
      <c r="Q633" s="41">
        <v>273919.5</v>
      </c>
    </row>
    <row r="634" spans="1:17" ht="12" customHeight="1" x14ac:dyDescent="0.3">
      <c r="A634" s="39"/>
      <c r="B634" s="40" t="s">
        <v>1623</v>
      </c>
      <c r="C634" s="41">
        <v>348046</v>
      </c>
      <c r="D634" s="42">
        <v>45988</v>
      </c>
      <c r="E634" s="43" t="s">
        <v>2</v>
      </c>
      <c r="F634" s="41">
        <v>0</v>
      </c>
      <c r="G634" s="41">
        <v>0</v>
      </c>
      <c r="H634" s="41">
        <v>348046</v>
      </c>
      <c r="I634" s="43">
        <v>90</v>
      </c>
      <c r="J634" s="43">
        <v>16</v>
      </c>
      <c r="K634" s="44">
        <v>800000</v>
      </c>
      <c r="L634" s="43" t="s">
        <v>992</v>
      </c>
      <c r="M634" s="45">
        <v>46078</v>
      </c>
      <c r="N634" s="41">
        <v>348046</v>
      </c>
      <c r="O634" s="42">
        <v>46051</v>
      </c>
      <c r="P634" s="46"/>
      <c r="Q634" s="41">
        <v>348046</v>
      </c>
    </row>
    <row r="635" spans="1:17" ht="12" customHeight="1" x14ac:dyDescent="0.3">
      <c r="A635" s="39"/>
      <c r="B635" s="40" t="s">
        <v>1624</v>
      </c>
      <c r="C635" s="41">
        <v>150000</v>
      </c>
      <c r="D635" s="42">
        <v>45988</v>
      </c>
      <c r="E635" s="43" t="s">
        <v>2</v>
      </c>
      <c r="F635" s="41">
        <v>0</v>
      </c>
      <c r="G635" s="41">
        <v>0</v>
      </c>
      <c r="H635" s="41">
        <v>150000</v>
      </c>
      <c r="I635" s="43">
        <v>90</v>
      </c>
      <c r="J635" s="43">
        <v>9</v>
      </c>
      <c r="K635" s="44">
        <v>4000000</v>
      </c>
      <c r="L635" s="43" t="s">
        <v>992</v>
      </c>
      <c r="M635" s="45">
        <v>46078</v>
      </c>
      <c r="N635" s="41">
        <v>150000</v>
      </c>
      <c r="O635" s="42">
        <v>46051</v>
      </c>
      <c r="P635" s="46"/>
      <c r="Q635" s="41">
        <v>150000</v>
      </c>
    </row>
    <row r="636" spans="1:17" ht="12" customHeight="1" x14ac:dyDescent="0.3">
      <c r="A636" s="39"/>
      <c r="B636" s="40" t="s">
        <v>1625</v>
      </c>
      <c r="C636" s="41">
        <v>230700.2</v>
      </c>
      <c r="D636" s="42">
        <v>45988</v>
      </c>
      <c r="E636" s="43" t="s">
        <v>2</v>
      </c>
      <c r="F636" s="41">
        <v>0</v>
      </c>
      <c r="G636" s="41">
        <v>0</v>
      </c>
      <c r="H636" s="41">
        <v>230700.2</v>
      </c>
      <c r="I636" s="43">
        <v>90</v>
      </c>
      <c r="J636" s="43">
        <v>9</v>
      </c>
      <c r="K636" s="44">
        <v>4000000</v>
      </c>
      <c r="L636" s="43" t="s">
        <v>992</v>
      </c>
      <c r="M636" s="45">
        <v>46078</v>
      </c>
      <c r="N636" s="41">
        <v>230700.2</v>
      </c>
      <c r="O636" s="42">
        <v>46052</v>
      </c>
      <c r="P636" s="46"/>
      <c r="Q636" s="41">
        <v>230700.2</v>
      </c>
    </row>
    <row r="637" spans="1:17" ht="12" customHeight="1" x14ac:dyDescent="0.3">
      <c r="A637" s="39"/>
      <c r="B637" s="40" t="s">
        <v>1626</v>
      </c>
      <c r="C637" s="41">
        <v>206600</v>
      </c>
      <c r="D637" s="42">
        <v>45988</v>
      </c>
      <c r="E637" s="43" t="s">
        <v>2</v>
      </c>
      <c r="F637" s="41">
        <v>0</v>
      </c>
      <c r="G637" s="41">
        <v>0</v>
      </c>
      <c r="H637" s="41">
        <v>206600</v>
      </c>
      <c r="I637" s="43">
        <v>90</v>
      </c>
      <c r="J637" s="43">
        <v>9</v>
      </c>
      <c r="K637" s="44">
        <v>4000000</v>
      </c>
      <c r="L637" s="43" t="s">
        <v>992</v>
      </c>
      <c r="M637" s="45">
        <v>46078</v>
      </c>
      <c r="N637" s="41">
        <v>206600</v>
      </c>
      <c r="O637" s="42">
        <v>46052</v>
      </c>
      <c r="P637" s="46"/>
      <c r="Q637" s="41">
        <v>206600</v>
      </c>
    </row>
    <row r="638" spans="1:17" ht="12" customHeight="1" x14ac:dyDescent="0.3">
      <c r="A638" s="39"/>
      <c r="B638" s="40" t="s">
        <v>1627</v>
      </c>
      <c r="C638" s="41">
        <v>210149.9</v>
      </c>
      <c r="D638" s="42">
        <v>45988</v>
      </c>
      <c r="E638" s="43" t="s">
        <v>2</v>
      </c>
      <c r="F638" s="41">
        <v>0</v>
      </c>
      <c r="G638" s="41">
        <v>0</v>
      </c>
      <c r="H638" s="41">
        <v>210149.9</v>
      </c>
      <c r="I638" s="43">
        <v>90</v>
      </c>
      <c r="J638" s="43">
        <v>9</v>
      </c>
      <c r="K638" s="44">
        <v>4000000</v>
      </c>
      <c r="L638" s="43" t="s">
        <v>992</v>
      </c>
      <c r="M638" s="45">
        <v>46078</v>
      </c>
      <c r="N638" s="41">
        <v>210149.9</v>
      </c>
      <c r="O638" s="42">
        <v>46052</v>
      </c>
      <c r="P638" s="46"/>
      <c r="Q638" s="41">
        <v>210149.9</v>
      </c>
    </row>
    <row r="639" spans="1:17" ht="12" customHeight="1" x14ac:dyDescent="0.3">
      <c r="A639" s="39"/>
      <c r="B639" s="40" t="s">
        <v>1628</v>
      </c>
      <c r="C639" s="41">
        <v>77600</v>
      </c>
      <c r="D639" s="42">
        <v>45988</v>
      </c>
      <c r="E639" s="43" t="s">
        <v>2</v>
      </c>
      <c r="F639" s="41">
        <v>0</v>
      </c>
      <c r="G639" s="41">
        <v>0</v>
      </c>
      <c r="H639" s="41">
        <v>77600</v>
      </c>
      <c r="I639" s="43">
        <v>90</v>
      </c>
      <c r="J639" s="43">
        <v>9</v>
      </c>
      <c r="K639" s="44">
        <v>4000000</v>
      </c>
      <c r="L639" s="43" t="s">
        <v>992</v>
      </c>
      <c r="M639" s="45">
        <v>46078</v>
      </c>
      <c r="N639" s="41">
        <v>77600</v>
      </c>
      <c r="O639" s="42">
        <v>46052</v>
      </c>
      <c r="P639" s="46"/>
      <c r="Q639" s="41">
        <v>77600</v>
      </c>
    </row>
    <row r="640" spans="1:17" ht="12" customHeight="1" x14ac:dyDescent="0.3">
      <c r="A640" s="39"/>
      <c r="B640" s="40" t="s">
        <v>1629</v>
      </c>
      <c r="C640" s="41">
        <v>125500</v>
      </c>
      <c r="D640" s="42">
        <v>45988</v>
      </c>
      <c r="E640" s="43" t="s">
        <v>2</v>
      </c>
      <c r="F640" s="41">
        <v>0</v>
      </c>
      <c r="G640" s="41">
        <v>0</v>
      </c>
      <c r="H640" s="41">
        <v>125500</v>
      </c>
      <c r="I640" s="43">
        <v>90</v>
      </c>
      <c r="J640" s="43">
        <v>9</v>
      </c>
      <c r="K640" s="44">
        <v>4000000</v>
      </c>
      <c r="L640" s="43" t="s">
        <v>992</v>
      </c>
      <c r="M640" s="45">
        <v>46078</v>
      </c>
      <c r="N640" s="41">
        <v>125500</v>
      </c>
      <c r="O640" s="42">
        <v>46052</v>
      </c>
      <c r="P640" s="46"/>
      <c r="Q640" s="41">
        <v>125500</v>
      </c>
    </row>
    <row r="641" spans="1:18" ht="12" customHeight="1" x14ac:dyDescent="0.3">
      <c r="A641" s="39"/>
      <c r="B641" s="40" t="s">
        <v>1630</v>
      </c>
      <c r="C641" s="41">
        <v>120000</v>
      </c>
      <c r="D641" s="42">
        <v>45988</v>
      </c>
      <c r="E641" s="43" t="s">
        <v>2</v>
      </c>
      <c r="F641" s="41">
        <v>0</v>
      </c>
      <c r="G641" s="41">
        <v>0</v>
      </c>
      <c r="H641" s="41">
        <v>120000</v>
      </c>
      <c r="I641" s="43">
        <v>90</v>
      </c>
      <c r="J641" s="43">
        <v>9</v>
      </c>
      <c r="K641" s="44">
        <v>4000000</v>
      </c>
      <c r="L641" s="43" t="s">
        <v>992</v>
      </c>
      <c r="M641" s="45">
        <v>46078</v>
      </c>
      <c r="N641" s="41">
        <v>120000</v>
      </c>
      <c r="O641" s="42">
        <v>46052</v>
      </c>
      <c r="P641" s="46"/>
      <c r="Q641" s="41">
        <v>120000</v>
      </c>
    </row>
    <row r="642" spans="1:18" ht="12" customHeight="1" x14ac:dyDescent="0.3">
      <c r="A642" s="39"/>
      <c r="B642" s="40" t="s">
        <v>1631</v>
      </c>
      <c r="C642" s="41">
        <v>36060.53</v>
      </c>
      <c r="D642" s="42">
        <v>45988</v>
      </c>
      <c r="E642" s="43" t="s">
        <v>2</v>
      </c>
      <c r="F642" s="41">
        <v>0</v>
      </c>
      <c r="G642" s="41">
        <v>0</v>
      </c>
      <c r="H642" s="41">
        <v>36060.53</v>
      </c>
      <c r="I642" s="43">
        <v>90</v>
      </c>
      <c r="J642" s="43">
        <v>77</v>
      </c>
      <c r="K642" s="44">
        <v>800000</v>
      </c>
      <c r="L642" s="43" t="s">
        <v>992</v>
      </c>
      <c r="M642" s="45">
        <v>46078</v>
      </c>
      <c r="N642" s="41">
        <v>36060.53</v>
      </c>
      <c r="O642" s="42">
        <v>46020</v>
      </c>
      <c r="P642" s="46"/>
      <c r="Q642" s="41">
        <v>36060.53</v>
      </c>
    </row>
    <row r="643" spans="1:18" ht="12" customHeight="1" x14ac:dyDescent="0.3">
      <c r="A643" s="39"/>
      <c r="B643" s="40" t="s">
        <v>1632</v>
      </c>
      <c r="C643" s="41">
        <v>179099.8</v>
      </c>
      <c r="D643" s="42">
        <v>45988</v>
      </c>
      <c r="E643" s="43" t="s">
        <v>2</v>
      </c>
      <c r="F643" s="41">
        <v>0</v>
      </c>
      <c r="G643" s="41">
        <v>0</v>
      </c>
      <c r="H643" s="41">
        <v>179099.8</v>
      </c>
      <c r="I643" s="43">
        <v>90</v>
      </c>
      <c r="J643" s="43">
        <v>9</v>
      </c>
      <c r="K643" s="44">
        <v>4000000</v>
      </c>
      <c r="L643" s="43" t="s">
        <v>992</v>
      </c>
      <c r="M643" s="45">
        <v>46078</v>
      </c>
      <c r="N643" s="41">
        <v>179099.8</v>
      </c>
      <c r="O643" s="42">
        <v>46052</v>
      </c>
      <c r="P643" s="46"/>
      <c r="Q643" s="41">
        <v>179099.8</v>
      </c>
    </row>
    <row r="644" spans="1:18" ht="12" customHeight="1" x14ac:dyDescent="0.3">
      <c r="A644" s="39"/>
      <c r="B644" s="40" t="s">
        <v>1633</v>
      </c>
      <c r="C644" s="41">
        <v>81167.92</v>
      </c>
      <c r="D644" s="42">
        <v>45988</v>
      </c>
      <c r="E644" s="43" t="s">
        <v>2</v>
      </c>
      <c r="F644" s="41">
        <v>0</v>
      </c>
      <c r="G644" s="41">
        <v>0</v>
      </c>
      <c r="H644" s="41">
        <v>81167.92</v>
      </c>
      <c r="I644" s="43">
        <v>90</v>
      </c>
      <c r="J644" s="43">
        <v>77</v>
      </c>
      <c r="K644" s="44">
        <v>800000</v>
      </c>
      <c r="L644" s="43" t="s">
        <v>992</v>
      </c>
      <c r="M644" s="45">
        <v>46078</v>
      </c>
      <c r="N644" s="41">
        <v>81167.92</v>
      </c>
      <c r="O644" s="42">
        <v>46049</v>
      </c>
      <c r="P644" s="46"/>
      <c r="Q644" s="41">
        <v>81167.92</v>
      </c>
    </row>
    <row r="645" spans="1:18" ht="12" customHeight="1" x14ac:dyDescent="0.3">
      <c r="A645" s="39"/>
      <c r="B645" s="40" t="s">
        <v>1634</v>
      </c>
      <c r="C645" s="41">
        <v>90541.15</v>
      </c>
      <c r="D645" s="42">
        <v>45988</v>
      </c>
      <c r="E645" s="43" t="s">
        <v>4</v>
      </c>
      <c r="F645" s="41">
        <v>85180.6</v>
      </c>
      <c r="G645" s="41">
        <v>85180.6</v>
      </c>
      <c r="H645" s="41">
        <v>90541.15</v>
      </c>
      <c r="I645" s="43">
        <v>90</v>
      </c>
      <c r="J645" s="43">
        <v>77</v>
      </c>
      <c r="K645" s="44">
        <v>800000</v>
      </c>
      <c r="L645" s="43" t="s">
        <v>992</v>
      </c>
      <c r="M645" s="45">
        <v>46078</v>
      </c>
      <c r="N645" s="41">
        <v>5360.55</v>
      </c>
      <c r="O645" s="42">
        <v>46049</v>
      </c>
      <c r="P645" s="46">
        <v>124</v>
      </c>
      <c r="Q645" s="41">
        <v>5360.55</v>
      </c>
      <c r="R645" s="47" t="s">
        <v>1635</v>
      </c>
    </row>
    <row r="646" spans="1:18" ht="12" customHeight="1" x14ac:dyDescent="0.3">
      <c r="A646" s="39"/>
      <c r="B646" s="40" t="s">
        <v>1636</v>
      </c>
      <c r="C646" s="41">
        <v>102358.8</v>
      </c>
      <c r="D646" s="42">
        <v>45988</v>
      </c>
      <c r="E646" s="43" t="s">
        <v>4</v>
      </c>
      <c r="F646" s="41">
        <v>102358.8</v>
      </c>
      <c r="G646" s="41">
        <v>102358.8</v>
      </c>
      <c r="H646" s="41">
        <v>102358.8</v>
      </c>
      <c r="I646" s="43">
        <v>90</v>
      </c>
      <c r="J646" s="43">
        <v>77</v>
      </c>
      <c r="K646" s="44">
        <v>800000</v>
      </c>
      <c r="L646" s="43" t="s">
        <v>992</v>
      </c>
      <c r="M646" s="45">
        <v>46078</v>
      </c>
      <c r="N646" s="41">
        <v>0</v>
      </c>
      <c r="O646" s="42"/>
      <c r="P646" s="46">
        <v>124</v>
      </c>
      <c r="Q646" s="41">
        <v>0</v>
      </c>
      <c r="R646" s="47" t="s">
        <v>1635</v>
      </c>
    </row>
    <row r="647" spans="1:18" ht="12" customHeight="1" x14ac:dyDescent="0.3">
      <c r="A647" s="39"/>
      <c r="B647" s="40" t="s">
        <v>1637</v>
      </c>
      <c r="C647" s="41">
        <v>127726.2</v>
      </c>
      <c r="D647" s="42">
        <v>45988</v>
      </c>
      <c r="E647" s="43" t="s">
        <v>4</v>
      </c>
      <c r="F647" s="41">
        <v>127726.2</v>
      </c>
      <c r="G647" s="41">
        <v>127726.2</v>
      </c>
      <c r="H647" s="41">
        <v>127726.2</v>
      </c>
      <c r="I647" s="43">
        <v>90</v>
      </c>
      <c r="J647" s="43">
        <v>77</v>
      </c>
      <c r="K647" s="44">
        <v>800000</v>
      </c>
      <c r="L647" s="43" t="s">
        <v>992</v>
      </c>
      <c r="M647" s="45">
        <v>46078</v>
      </c>
      <c r="N647" s="41">
        <v>0</v>
      </c>
      <c r="O647" s="42"/>
      <c r="P647" s="46">
        <v>124</v>
      </c>
      <c r="Q647" s="41">
        <v>0</v>
      </c>
      <c r="R647" s="47" t="s">
        <v>1635</v>
      </c>
    </row>
    <row r="648" spans="1:18" ht="12" customHeight="1" x14ac:dyDescent="0.3">
      <c r="A648" s="39"/>
      <c r="B648" s="40" t="s">
        <v>1638</v>
      </c>
      <c r="C648" s="41">
        <v>362489.4</v>
      </c>
      <c r="D648" s="42">
        <v>45988</v>
      </c>
      <c r="E648" s="43" t="s">
        <v>4</v>
      </c>
      <c r="F648" s="41">
        <v>362489.4</v>
      </c>
      <c r="G648" s="41">
        <v>362489.4</v>
      </c>
      <c r="H648" s="41">
        <v>362489.4</v>
      </c>
      <c r="I648" s="43">
        <v>90</v>
      </c>
      <c r="J648" s="43">
        <v>77</v>
      </c>
      <c r="K648" s="44">
        <v>800000</v>
      </c>
      <c r="L648" s="43" t="s">
        <v>992</v>
      </c>
      <c r="M648" s="45">
        <v>46078</v>
      </c>
      <c r="N648" s="41">
        <v>0</v>
      </c>
      <c r="O648" s="42"/>
      <c r="P648" s="46">
        <v>124</v>
      </c>
      <c r="Q648" s="41">
        <v>0</v>
      </c>
      <c r="R648" s="47" t="s">
        <v>1635</v>
      </c>
    </row>
    <row r="649" spans="1:18" ht="12" customHeight="1" x14ac:dyDescent="0.3">
      <c r="A649" s="39"/>
      <c r="B649" s="40" t="s">
        <v>1639</v>
      </c>
      <c r="C649" s="41">
        <v>215000</v>
      </c>
      <c r="D649" s="42">
        <v>45988</v>
      </c>
      <c r="E649" s="43" t="s">
        <v>2</v>
      </c>
      <c r="F649" s="41">
        <v>0</v>
      </c>
      <c r="G649" s="41">
        <v>0</v>
      </c>
      <c r="H649" s="41">
        <v>215000</v>
      </c>
      <c r="I649" s="43">
        <v>90</v>
      </c>
      <c r="J649" s="43">
        <v>197</v>
      </c>
      <c r="K649" s="44">
        <v>7000000</v>
      </c>
      <c r="L649" s="43" t="s">
        <v>992</v>
      </c>
      <c r="M649" s="45">
        <v>46078</v>
      </c>
      <c r="N649" s="41">
        <v>215000</v>
      </c>
      <c r="O649" s="42">
        <v>45991</v>
      </c>
      <c r="P649" s="46"/>
      <c r="Q649" s="41">
        <v>215000</v>
      </c>
    </row>
    <row r="650" spans="1:18" ht="12" customHeight="1" x14ac:dyDescent="0.3">
      <c r="A650" s="39"/>
      <c r="B650" s="40" t="s">
        <v>1640</v>
      </c>
      <c r="C650" s="41">
        <v>915000</v>
      </c>
      <c r="D650" s="42">
        <v>45988</v>
      </c>
      <c r="E650" s="43" t="s">
        <v>2</v>
      </c>
      <c r="F650" s="41">
        <v>0</v>
      </c>
      <c r="G650" s="41">
        <v>0</v>
      </c>
      <c r="H650" s="41">
        <v>915000</v>
      </c>
      <c r="I650" s="43">
        <v>90</v>
      </c>
      <c r="J650" s="43">
        <v>197</v>
      </c>
      <c r="K650" s="44">
        <v>7000000</v>
      </c>
      <c r="L650" s="43" t="s">
        <v>992</v>
      </c>
      <c r="M650" s="45">
        <v>46078</v>
      </c>
      <c r="N650" s="41">
        <v>915000</v>
      </c>
      <c r="O650" s="42">
        <v>45993</v>
      </c>
      <c r="P650" s="46"/>
      <c r="Q650" s="41">
        <v>915000</v>
      </c>
    </row>
    <row r="651" spans="1:18" ht="12" customHeight="1" x14ac:dyDescent="0.3">
      <c r="A651" s="39"/>
      <c r="B651" s="40" t="s">
        <v>1641</v>
      </c>
      <c r="C651" s="41">
        <v>870000</v>
      </c>
      <c r="D651" s="42">
        <v>45988</v>
      </c>
      <c r="E651" s="43" t="s">
        <v>2</v>
      </c>
      <c r="F651" s="41">
        <v>0</v>
      </c>
      <c r="G651" s="41">
        <v>0</v>
      </c>
      <c r="H651" s="41">
        <v>870000</v>
      </c>
      <c r="I651" s="43">
        <v>90</v>
      </c>
      <c r="J651" s="43">
        <v>197</v>
      </c>
      <c r="K651" s="44">
        <v>7000000</v>
      </c>
      <c r="L651" s="43" t="s">
        <v>992</v>
      </c>
      <c r="M651" s="45">
        <v>46078</v>
      </c>
      <c r="N651" s="41">
        <v>870000</v>
      </c>
      <c r="O651" s="42">
        <v>45993</v>
      </c>
      <c r="P651" s="46"/>
      <c r="Q651" s="41">
        <v>870000</v>
      </c>
    </row>
    <row r="652" spans="1:18" ht="12" customHeight="1" x14ac:dyDescent="0.3">
      <c r="A652" s="39"/>
      <c r="B652" s="40" t="s">
        <v>1642</v>
      </c>
      <c r="C652" s="41">
        <v>1500000</v>
      </c>
      <c r="D652" s="42">
        <v>45988</v>
      </c>
      <c r="E652" s="43" t="s">
        <v>2</v>
      </c>
      <c r="F652" s="41">
        <v>0</v>
      </c>
      <c r="G652" s="41">
        <v>0</v>
      </c>
      <c r="H652" s="41">
        <v>1500000</v>
      </c>
      <c r="I652" s="43">
        <v>90</v>
      </c>
      <c r="J652" s="43">
        <v>197</v>
      </c>
      <c r="K652" s="44">
        <v>7000000</v>
      </c>
      <c r="L652" s="43" t="s">
        <v>992</v>
      </c>
      <c r="M652" s="45">
        <v>46078</v>
      </c>
      <c r="N652" s="41">
        <v>1500000</v>
      </c>
      <c r="O652" s="42">
        <v>45993</v>
      </c>
      <c r="P652" s="46"/>
      <c r="Q652" s="41">
        <v>1500000</v>
      </c>
    </row>
    <row r="653" spans="1:18" ht="12" customHeight="1" x14ac:dyDescent="0.3">
      <c r="A653" s="39"/>
      <c r="B653" s="40" t="s">
        <v>1643</v>
      </c>
      <c r="C653" s="41">
        <v>1500000</v>
      </c>
      <c r="D653" s="42">
        <v>45988</v>
      </c>
      <c r="E653" s="43" t="s">
        <v>2</v>
      </c>
      <c r="F653" s="41">
        <v>0</v>
      </c>
      <c r="G653" s="41">
        <v>0</v>
      </c>
      <c r="H653" s="41">
        <v>1500000</v>
      </c>
      <c r="I653" s="43">
        <v>90</v>
      </c>
      <c r="J653" s="43">
        <v>197</v>
      </c>
      <c r="K653" s="44">
        <v>7000000</v>
      </c>
      <c r="L653" s="43" t="s">
        <v>992</v>
      </c>
      <c r="M653" s="45">
        <v>46078</v>
      </c>
      <c r="N653" s="41">
        <v>1500000</v>
      </c>
      <c r="O653" s="42">
        <v>45993</v>
      </c>
      <c r="P653" s="46"/>
      <c r="Q653" s="41">
        <v>1500000</v>
      </c>
    </row>
    <row r="654" spans="1:18" ht="12" customHeight="1" x14ac:dyDescent="0.3">
      <c r="A654" s="39"/>
      <c r="B654" s="40" t="s">
        <v>1644</v>
      </c>
      <c r="C654" s="41">
        <v>7787.97</v>
      </c>
      <c r="D654" s="42">
        <v>45988</v>
      </c>
      <c r="E654" s="43" t="s">
        <v>2</v>
      </c>
      <c r="F654" s="41">
        <v>0</v>
      </c>
      <c r="G654" s="41">
        <v>0</v>
      </c>
      <c r="H654" s="41">
        <v>7787.97</v>
      </c>
      <c r="I654" s="43">
        <v>90</v>
      </c>
      <c r="J654" s="43">
        <v>9</v>
      </c>
      <c r="K654" s="44">
        <v>4000000</v>
      </c>
      <c r="L654" s="43" t="s">
        <v>992</v>
      </c>
      <c r="M654" s="45">
        <v>46078</v>
      </c>
      <c r="N654" s="41">
        <v>7787.97</v>
      </c>
      <c r="O654" s="42">
        <v>46052</v>
      </c>
      <c r="P654" s="46"/>
      <c r="Q654" s="41">
        <v>7787.97</v>
      </c>
    </row>
    <row r="655" spans="1:18" ht="12" customHeight="1" x14ac:dyDescent="0.3">
      <c r="A655" s="39"/>
      <c r="B655" s="40" t="s">
        <v>1645</v>
      </c>
      <c r="C655" s="41">
        <v>400</v>
      </c>
      <c r="D655" s="42">
        <v>45988</v>
      </c>
      <c r="E655" s="43" t="s">
        <v>2</v>
      </c>
      <c r="F655" s="41">
        <v>0</v>
      </c>
      <c r="G655" s="41">
        <v>0</v>
      </c>
      <c r="H655" s="41">
        <v>400</v>
      </c>
      <c r="I655" s="43">
        <v>90</v>
      </c>
      <c r="J655" s="43">
        <v>9</v>
      </c>
      <c r="K655" s="44">
        <v>4000000</v>
      </c>
      <c r="L655" s="43" t="s">
        <v>992</v>
      </c>
      <c r="M655" s="45">
        <v>46078</v>
      </c>
      <c r="N655" s="41">
        <v>400</v>
      </c>
      <c r="O655" s="42">
        <v>46052</v>
      </c>
      <c r="P655" s="46"/>
      <c r="Q655" s="41">
        <v>400</v>
      </c>
    </row>
    <row r="656" spans="1:18" ht="12" customHeight="1" x14ac:dyDescent="0.3">
      <c r="A656" s="39"/>
      <c r="B656" s="40" t="s">
        <v>1646</v>
      </c>
      <c r="C656" s="41">
        <v>315</v>
      </c>
      <c r="D656" s="42">
        <v>45988</v>
      </c>
      <c r="E656" s="43" t="s">
        <v>2</v>
      </c>
      <c r="F656" s="41">
        <v>0</v>
      </c>
      <c r="G656" s="41">
        <v>0</v>
      </c>
      <c r="H656" s="41">
        <v>315</v>
      </c>
      <c r="I656" s="43">
        <v>90</v>
      </c>
      <c r="J656" s="43">
        <v>9</v>
      </c>
      <c r="K656" s="44">
        <v>4000000</v>
      </c>
      <c r="L656" s="43" t="s">
        <v>992</v>
      </c>
      <c r="M656" s="45">
        <v>46078</v>
      </c>
      <c r="N656" s="41">
        <v>315</v>
      </c>
      <c r="O656" s="42">
        <v>46052</v>
      </c>
      <c r="P656" s="46"/>
      <c r="Q656" s="41">
        <v>315</v>
      </c>
    </row>
    <row r="657" spans="1:17" ht="12" customHeight="1" x14ac:dyDescent="0.3">
      <c r="A657" s="39"/>
      <c r="B657" s="40" t="s">
        <v>1647</v>
      </c>
      <c r="C657" s="41">
        <v>336887.1</v>
      </c>
      <c r="D657" s="42">
        <v>45989</v>
      </c>
      <c r="E657" s="43" t="s">
        <v>2</v>
      </c>
      <c r="F657" s="41">
        <v>0</v>
      </c>
      <c r="G657" s="41">
        <v>0</v>
      </c>
      <c r="H657" s="41">
        <v>336887.1</v>
      </c>
      <c r="I657" s="43">
        <v>90</v>
      </c>
      <c r="J657" s="43">
        <v>71</v>
      </c>
      <c r="K657" s="44">
        <v>3000000</v>
      </c>
      <c r="L657" s="43" t="s">
        <v>992</v>
      </c>
      <c r="M657" s="45">
        <v>46079</v>
      </c>
      <c r="N657" s="41">
        <v>336887.1</v>
      </c>
      <c r="O657" s="42">
        <v>46040</v>
      </c>
      <c r="P657" s="46"/>
      <c r="Q657" s="41">
        <v>336887.1</v>
      </c>
    </row>
    <row r="658" spans="1:17" ht="12" customHeight="1" x14ac:dyDescent="0.3">
      <c r="A658" s="39"/>
      <c r="B658" s="40" t="s">
        <v>1648</v>
      </c>
      <c r="C658" s="41">
        <v>7742.98</v>
      </c>
      <c r="D658" s="42">
        <v>45990</v>
      </c>
      <c r="E658" s="43" t="s">
        <v>2</v>
      </c>
      <c r="F658" s="41">
        <v>0</v>
      </c>
      <c r="G658" s="41">
        <v>0</v>
      </c>
      <c r="H658" s="41">
        <v>7742.98</v>
      </c>
      <c r="I658" s="43">
        <v>90</v>
      </c>
      <c r="J658" s="43">
        <v>9</v>
      </c>
      <c r="K658" s="44">
        <v>4000000</v>
      </c>
      <c r="L658" s="43" t="s">
        <v>992</v>
      </c>
      <c r="M658" s="45">
        <v>46082</v>
      </c>
      <c r="N658" s="41">
        <v>7742.98</v>
      </c>
      <c r="O658" s="42">
        <v>46052</v>
      </c>
      <c r="P658" s="46"/>
      <c r="Q658" s="41">
        <v>7742.98</v>
      </c>
    </row>
    <row r="659" spans="1:17" ht="12" customHeight="1" x14ac:dyDescent="0.3">
      <c r="A659" s="39"/>
      <c r="B659" s="40" t="s">
        <v>1649</v>
      </c>
      <c r="C659" s="41">
        <v>2118.67</v>
      </c>
      <c r="D659" s="42">
        <v>45990</v>
      </c>
      <c r="E659" s="43" t="s">
        <v>2</v>
      </c>
      <c r="F659" s="41">
        <v>0</v>
      </c>
      <c r="G659" s="41">
        <v>0</v>
      </c>
      <c r="H659" s="41">
        <v>2118.67</v>
      </c>
      <c r="I659" s="43">
        <v>90</v>
      </c>
      <c r="J659" s="43">
        <v>9</v>
      </c>
      <c r="K659" s="44">
        <v>4000000</v>
      </c>
      <c r="L659" s="43" t="s">
        <v>992</v>
      </c>
      <c r="M659" s="45">
        <v>46082</v>
      </c>
      <c r="N659" s="41">
        <v>2118.67</v>
      </c>
      <c r="O659" s="42">
        <v>46052</v>
      </c>
      <c r="P659" s="46"/>
      <c r="Q659" s="41">
        <v>2118.67</v>
      </c>
    </row>
    <row r="660" spans="1:17" ht="12" customHeight="1" x14ac:dyDescent="0.3">
      <c r="A660" s="39"/>
      <c r="B660" s="40" t="s">
        <v>1650</v>
      </c>
      <c r="C660" s="41">
        <v>255.65</v>
      </c>
      <c r="D660" s="42">
        <v>45990</v>
      </c>
      <c r="E660" s="43" t="s">
        <v>2</v>
      </c>
      <c r="F660" s="41">
        <v>0</v>
      </c>
      <c r="G660" s="41">
        <v>0</v>
      </c>
      <c r="H660" s="41">
        <v>255.65</v>
      </c>
      <c r="I660" s="43">
        <v>90</v>
      </c>
      <c r="J660" s="43">
        <v>9</v>
      </c>
      <c r="K660" s="44">
        <v>4000000</v>
      </c>
      <c r="L660" s="43" t="s">
        <v>992</v>
      </c>
      <c r="M660" s="45">
        <v>46082</v>
      </c>
      <c r="N660" s="41">
        <v>255.65</v>
      </c>
      <c r="O660" s="42">
        <v>46052</v>
      </c>
      <c r="P660" s="46"/>
      <c r="Q660" s="41">
        <v>255.65</v>
      </c>
    </row>
    <row r="661" spans="1:17" ht="12" customHeight="1" x14ac:dyDescent="0.3">
      <c r="A661" s="39"/>
      <c r="B661" s="40" t="s">
        <v>1651</v>
      </c>
      <c r="C661" s="41">
        <v>352.8</v>
      </c>
      <c r="D661" s="42">
        <v>45990</v>
      </c>
      <c r="E661" s="43" t="s">
        <v>2</v>
      </c>
      <c r="F661" s="41">
        <v>0</v>
      </c>
      <c r="G661" s="41">
        <v>0</v>
      </c>
      <c r="H661" s="41">
        <v>352.8</v>
      </c>
      <c r="I661" s="43">
        <v>90</v>
      </c>
      <c r="J661" s="43">
        <v>9</v>
      </c>
      <c r="K661" s="44">
        <v>4000000</v>
      </c>
      <c r="L661" s="43" t="s">
        <v>992</v>
      </c>
      <c r="M661" s="45">
        <v>46082</v>
      </c>
      <c r="N661" s="41">
        <v>352.8</v>
      </c>
      <c r="O661" s="42">
        <v>46052</v>
      </c>
      <c r="P661" s="46"/>
      <c r="Q661" s="41">
        <v>352.8</v>
      </c>
    </row>
    <row r="662" spans="1:17" ht="12" customHeight="1" x14ac:dyDescent="0.3">
      <c r="A662" s="39"/>
      <c r="B662" s="40" t="s">
        <v>1652</v>
      </c>
      <c r="C662" s="41">
        <v>336.38</v>
      </c>
      <c r="D662" s="42">
        <v>45990</v>
      </c>
      <c r="E662" s="43" t="s">
        <v>2</v>
      </c>
      <c r="F662" s="41">
        <v>0</v>
      </c>
      <c r="G662" s="41">
        <v>0</v>
      </c>
      <c r="H662" s="41">
        <v>336.38</v>
      </c>
      <c r="I662" s="43">
        <v>90</v>
      </c>
      <c r="J662" s="43">
        <v>9</v>
      </c>
      <c r="K662" s="44">
        <v>4000000</v>
      </c>
      <c r="L662" s="43" t="s">
        <v>992</v>
      </c>
      <c r="M662" s="45">
        <v>46082</v>
      </c>
      <c r="N662" s="41">
        <v>336.38</v>
      </c>
      <c r="O662" s="42">
        <v>46052</v>
      </c>
      <c r="P662" s="46"/>
      <c r="Q662" s="41">
        <v>336.38</v>
      </c>
    </row>
    <row r="663" spans="1:17" ht="12" customHeight="1" x14ac:dyDescent="0.3">
      <c r="A663" s="39"/>
      <c r="B663" s="40" t="s">
        <v>1653</v>
      </c>
      <c r="C663" s="41">
        <v>490</v>
      </c>
      <c r="D663" s="42">
        <v>45990</v>
      </c>
      <c r="E663" s="43" t="s">
        <v>2</v>
      </c>
      <c r="F663" s="41">
        <v>0</v>
      </c>
      <c r="G663" s="41">
        <v>0</v>
      </c>
      <c r="H663" s="41">
        <v>490</v>
      </c>
      <c r="I663" s="43">
        <v>90</v>
      </c>
      <c r="J663" s="43">
        <v>9</v>
      </c>
      <c r="K663" s="44">
        <v>4000000</v>
      </c>
      <c r="L663" s="43" t="s">
        <v>992</v>
      </c>
      <c r="M663" s="45">
        <v>46082</v>
      </c>
      <c r="N663" s="41">
        <v>490</v>
      </c>
      <c r="O663" s="42">
        <v>46052</v>
      </c>
      <c r="P663" s="46"/>
      <c r="Q663" s="41">
        <v>490</v>
      </c>
    </row>
    <row r="664" spans="1:17" ht="12" customHeight="1" x14ac:dyDescent="0.3">
      <c r="A664" s="39"/>
      <c r="B664" s="40" t="s">
        <v>1654</v>
      </c>
      <c r="C664" s="41">
        <v>360</v>
      </c>
      <c r="D664" s="42">
        <v>45990</v>
      </c>
      <c r="E664" s="43" t="s">
        <v>2</v>
      </c>
      <c r="F664" s="41">
        <v>0</v>
      </c>
      <c r="G664" s="41">
        <v>0</v>
      </c>
      <c r="H664" s="41">
        <v>360</v>
      </c>
      <c r="I664" s="43">
        <v>90</v>
      </c>
      <c r="J664" s="43">
        <v>9</v>
      </c>
      <c r="K664" s="44">
        <v>4000000</v>
      </c>
      <c r="L664" s="43" t="s">
        <v>992</v>
      </c>
      <c r="M664" s="45">
        <v>46082</v>
      </c>
      <c r="N664" s="41">
        <v>360</v>
      </c>
      <c r="O664" s="42">
        <v>46052</v>
      </c>
      <c r="P664" s="46"/>
      <c r="Q664" s="41">
        <v>360</v>
      </c>
    </row>
    <row r="665" spans="1:17" ht="12" customHeight="1" x14ac:dyDescent="0.3">
      <c r="A665" s="39"/>
      <c r="B665" s="40" t="s">
        <v>1655</v>
      </c>
      <c r="C665" s="41">
        <v>1000040</v>
      </c>
      <c r="D665" s="42">
        <v>45991</v>
      </c>
      <c r="E665" s="43" t="s">
        <v>2</v>
      </c>
      <c r="F665" s="41">
        <v>0</v>
      </c>
      <c r="G665" s="41">
        <v>0</v>
      </c>
      <c r="H665" s="41">
        <v>1000040</v>
      </c>
      <c r="I665" s="43">
        <v>90</v>
      </c>
      <c r="J665" s="43">
        <v>197</v>
      </c>
      <c r="K665" s="44">
        <v>7000000</v>
      </c>
      <c r="L665" s="43" t="s">
        <v>992</v>
      </c>
      <c r="M665" s="45">
        <v>46082</v>
      </c>
      <c r="N665" s="41">
        <v>1000040</v>
      </c>
      <c r="O665" s="42">
        <v>46008</v>
      </c>
      <c r="P665" s="46"/>
      <c r="Q665" s="41">
        <v>1000040</v>
      </c>
    </row>
    <row r="666" spans="1:17" ht="12" customHeight="1" x14ac:dyDescent="0.3">
      <c r="A666" s="39"/>
      <c r="B666" s="40" t="s">
        <v>1656</v>
      </c>
      <c r="C666" s="41">
        <v>1500060</v>
      </c>
      <c r="D666" s="42">
        <v>45991</v>
      </c>
      <c r="E666" s="43" t="s">
        <v>2</v>
      </c>
      <c r="F666" s="41">
        <v>0</v>
      </c>
      <c r="G666" s="41">
        <v>0</v>
      </c>
      <c r="H666" s="41">
        <v>1500060</v>
      </c>
      <c r="I666" s="43">
        <v>90</v>
      </c>
      <c r="J666" s="43">
        <v>197</v>
      </c>
      <c r="K666" s="44">
        <v>7000000</v>
      </c>
      <c r="L666" s="43" t="s">
        <v>992</v>
      </c>
      <c r="M666" s="45">
        <v>46082</v>
      </c>
      <c r="N666" s="41">
        <v>1500060</v>
      </c>
      <c r="O666" s="42">
        <v>46008</v>
      </c>
      <c r="P666" s="46"/>
      <c r="Q666" s="41">
        <v>1500060</v>
      </c>
    </row>
    <row r="667" spans="1:17" ht="12" customHeight="1" x14ac:dyDescent="0.3">
      <c r="A667" s="39"/>
      <c r="B667" s="40" t="s">
        <v>1657</v>
      </c>
      <c r="C667" s="41">
        <v>304750</v>
      </c>
      <c r="D667" s="42">
        <v>45991</v>
      </c>
      <c r="E667" s="43" t="s">
        <v>2</v>
      </c>
      <c r="F667" s="41">
        <v>0</v>
      </c>
      <c r="G667" s="41">
        <v>0</v>
      </c>
      <c r="H667" s="41">
        <v>304750</v>
      </c>
      <c r="I667" s="43">
        <v>90</v>
      </c>
      <c r="J667" s="43">
        <v>8</v>
      </c>
      <c r="K667" s="44">
        <v>3000000</v>
      </c>
      <c r="L667" s="43" t="s">
        <v>992</v>
      </c>
      <c r="M667" s="45">
        <v>46082</v>
      </c>
      <c r="N667" s="41">
        <v>304750</v>
      </c>
      <c r="O667" s="42">
        <v>46077</v>
      </c>
      <c r="P667" s="46"/>
      <c r="Q667" s="41">
        <v>304750</v>
      </c>
    </row>
    <row r="668" spans="1:17" ht="12" customHeight="1" x14ac:dyDescent="0.3">
      <c r="A668" s="39"/>
      <c r="B668" s="40" t="s">
        <v>1658</v>
      </c>
      <c r="C668" s="41">
        <v>327750</v>
      </c>
      <c r="D668" s="42">
        <v>45991</v>
      </c>
      <c r="E668" s="43" t="s">
        <v>2</v>
      </c>
      <c r="F668" s="41">
        <v>0</v>
      </c>
      <c r="G668" s="41">
        <v>0</v>
      </c>
      <c r="H668" s="41">
        <v>327750</v>
      </c>
      <c r="I668" s="43">
        <v>90</v>
      </c>
      <c r="J668" s="43">
        <v>8</v>
      </c>
      <c r="K668" s="44">
        <v>3000000</v>
      </c>
      <c r="L668" s="43" t="s">
        <v>992</v>
      </c>
      <c r="M668" s="45">
        <v>46082</v>
      </c>
      <c r="N668" s="41">
        <v>327750</v>
      </c>
      <c r="O668" s="42">
        <v>46081</v>
      </c>
      <c r="P668" s="46"/>
      <c r="Q668" s="41">
        <v>327750</v>
      </c>
    </row>
    <row r="669" spans="1:17" ht="12" customHeight="1" x14ac:dyDescent="0.3">
      <c r="A669" s="39"/>
      <c r="B669" s="40" t="s">
        <v>1659</v>
      </c>
      <c r="C669" s="41">
        <v>469936</v>
      </c>
      <c r="D669" s="42">
        <v>45991</v>
      </c>
      <c r="E669" s="43" t="s">
        <v>2</v>
      </c>
      <c r="F669" s="41">
        <v>0</v>
      </c>
      <c r="G669" s="41">
        <v>0</v>
      </c>
      <c r="H669" s="41">
        <v>469936</v>
      </c>
      <c r="I669" s="43">
        <v>90</v>
      </c>
      <c r="J669" s="43">
        <v>8</v>
      </c>
      <c r="K669" s="44">
        <v>3000000</v>
      </c>
      <c r="L669" s="43" t="s">
        <v>992</v>
      </c>
      <c r="M669" s="45">
        <v>46082</v>
      </c>
      <c r="N669" s="41">
        <v>469936</v>
      </c>
      <c r="O669" s="42">
        <v>46081</v>
      </c>
      <c r="P669" s="46"/>
      <c r="Q669" s="41">
        <v>469936</v>
      </c>
    </row>
    <row r="670" spans="1:17" ht="12" customHeight="1" x14ac:dyDescent="0.3">
      <c r="A670" s="39"/>
      <c r="B670" s="40" t="s">
        <v>1660</v>
      </c>
      <c r="C670" s="41">
        <v>326393</v>
      </c>
      <c r="D670" s="42">
        <v>45991</v>
      </c>
      <c r="E670" s="43" t="s">
        <v>2</v>
      </c>
      <c r="F670" s="41">
        <v>0</v>
      </c>
      <c r="G670" s="41">
        <v>0</v>
      </c>
      <c r="H670" s="41">
        <v>326393</v>
      </c>
      <c r="I670" s="43">
        <v>90</v>
      </c>
      <c r="J670" s="43">
        <v>8</v>
      </c>
      <c r="K670" s="44">
        <v>3000000</v>
      </c>
      <c r="L670" s="43" t="s">
        <v>992</v>
      </c>
      <c r="M670" s="45">
        <v>46082</v>
      </c>
      <c r="N670" s="41">
        <v>326393</v>
      </c>
      <c r="O670" s="42">
        <v>46081</v>
      </c>
      <c r="P670" s="46"/>
      <c r="Q670" s="41">
        <v>326393</v>
      </c>
    </row>
    <row r="671" spans="1:17" ht="12" customHeight="1" x14ac:dyDescent="0.3">
      <c r="A671" s="39"/>
      <c r="B671" s="40" t="s">
        <v>1661</v>
      </c>
      <c r="C671" s="41">
        <v>247135</v>
      </c>
      <c r="D671" s="42">
        <v>45991</v>
      </c>
      <c r="E671" s="43" t="s">
        <v>2</v>
      </c>
      <c r="F671" s="41">
        <v>0</v>
      </c>
      <c r="G671" s="41">
        <v>0</v>
      </c>
      <c r="H671" s="41">
        <v>247135</v>
      </c>
      <c r="I671" s="43">
        <v>90</v>
      </c>
      <c r="J671" s="43">
        <v>8</v>
      </c>
      <c r="K671" s="44">
        <v>3000000</v>
      </c>
      <c r="L671" s="43" t="s">
        <v>992</v>
      </c>
      <c r="M671" s="45">
        <v>46082</v>
      </c>
      <c r="N671" s="41">
        <v>247135</v>
      </c>
      <c r="O671" s="42">
        <v>46081</v>
      </c>
      <c r="P671" s="46"/>
      <c r="Q671" s="41">
        <v>247135</v>
      </c>
    </row>
    <row r="672" spans="1:17" ht="12" customHeight="1" x14ac:dyDescent="0.3">
      <c r="A672" s="39"/>
      <c r="B672" s="40" t="s">
        <v>1662</v>
      </c>
      <c r="C672" s="41">
        <v>322000</v>
      </c>
      <c r="D672" s="42">
        <v>45991</v>
      </c>
      <c r="E672" s="43" t="s">
        <v>2</v>
      </c>
      <c r="F672" s="41">
        <v>0</v>
      </c>
      <c r="G672" s="41">
        <v>0</v>
      </c>
      <c r="H672" s="41">
        <v>322000</v>
      </c>
      <c r="I672" s="43">
        <v>90</v>
      </c>
      <c r="J672" s="43">
        <v>8</v>
      </c>
      <c r="K672" s="44">
        <v>3000000</v>
      </c>
      <c r="L672" s="43" t="s">
        <v>992</v>
      </c>
      <c r="M672" s="45">
        <v>46082</v>
      </c>
      <c r="N672" s="41">
        <v>322000</v>
      </c>
      <c r="O672" s="42">
        <v>46081</v>
      </c>
      <c r="P672" s="46"/>
      <c r="Q672" s="41">
        <v>322000</v>
      </c>
    </row>
    <row r="673" spans="1:17" ht="12" customHeight="1" x14ac:dyDescent="0.3">
      <c r="A673" s="39"/>
      <c r="B673" s="40" t="s">
        <v>1663</v>
      </c>
      <c r="C673" s="41">
        <v>119999.3</v>
      </c>
      <c r="D673" s="42">
        <v>45991</v>
      </c>
      <c r="E673" s="43" t="s">
        <v>2</v>
      </c>
      <c r="F673" s="41">
        <v>0</v>
      </c>
      <c r="G673" s="41">
        <v>0</v>
      </c>
      <c r="H673" s="41">
        <v>119999.3</v>
      </c>
      <c r="I673" s="43">
        <v>90</v>
      </c>
      <c r="J673" s="43">
        <v>9</v>
      </c>
      <c r="K673" s="44">
        <v>4000000</v>
      </c>
      <c r="L673" s="43" t="s">
        <v>992</v>
      </c>
      <c r="M673" s="45">
        <v>46082</v>
      </c>
      <c r="N673" s="41">
        <v>119999.3</v>
      </c>
      <c r="O673" s="42">
        <v>46052</v>
      </c>
      <c r="P673" s="46"/>
      <c r="Q673" s="41">
        <v>119999.3</v>
      </c>
    </row>
    <row r="674" spans="1:17" ht="12" customHeight="1" x14ac:dyDescent="0.3">
      <c r="A674" s="39"/>
      <c r="B674" s="40" t="s">
        <v>1664</v>
      </c>
      <c r="C674" s="41">
        <v>11753.24</v>
      </c>
      <c r="D674" s="42">
        <v>45992</v>
      </c>
      <c r="E674" s="43" t="s">
        <v>2</v>
      </c>
      <c r="F674" s="41">
        <v>0</v>
      </c>
      <c r="G674" s="41">
        <v>0</v>
      </c>
      <c r="H674" s="41">
        <v>11753.24</v>
      </c>
      <c r="I674" s="43">
        <v>90</v>
      </c>
      <c r="J674" s="43">
        <v>9</v>
      </c>
      <c r="K674" s="44">
        <v>4000000</v>
      </c>
      <c r="L674" s="43" t="s">
        <v>992</v>
      </c>
      <c r="M674" s="45">
        <v>46082</v>
      </c>
      <c r="N674" s="41">
        <v>11753.24</v>
      </c>
      <c r="O674" s="42">
        <v>46052</v>
      </c>
      <c r="P674" s="46"/>
      <c r="Q674" s="41">
        <v>11753.24</v>
      </c>
    </row>
    <row r="675" spans="1:17" ht="12" customHeight="1" x14ac:dyDescent="0.3">
      <c r="A675" s="39"/>
      <c r="B675" s="40" t="s">
        <v>1665</v>
      </c>
      <c r="C675" s="41">
        <v>134.55000000000001</v>
      </c>
      <c r="D675" s="42">
        <v>45992</v>
      </c>
      <c r="E675" s="43" t="s">
        <v>2</v>
      </c>
      <c r="F675" s="41">
        <v>0</v>
      </c>
      <c r="G675" s="41">
        <v>0</v>
      </c>
      <c r="H675" s="41">
        <v>134.55000000000001</v>
      </c>
      <c r="I675" s="43">
        <v>90</v>
      </c>
      <c r="J675" s="43">
        <v>9</v>
      </c>
      <c r="K675" s="44">
        <v>4000000</v>
      </c>
      <c r="L675" s="43" t="s">
        <v>992</v>
      </c>
      <c r="M675" s="45">
        <v>46082</v>
      </c>
      <c r="N675" s="41">
        <v>134.55000000000001</v>
      </c>
      <c r="O675" s="42">
        <v>46052</v>
      </c>
      <c r="P675" s="46"/>
      <c r="Q675" s="41">
        <v>134.55000000000001</v>
      </c>
    </row>
    <row r="676" spans="1:17" ht="12" customHeight="1" x14ac:dyDescent="0.3">
      <c r="A676" s="39"/>
      <c r="B676" s="40" t="s">
        <v>1666</v>
      </c>
      <c r="C676" s="41">
        <v>130.19999999999999</v>
      </c>
      <c r="D676" s="42">
        <v>45992</v>
      </c>
      <c r="E676" s="43" t="s">
        <v>2</v>
      </c>
      <c r="F676" s="41">
        <v>0</v>
      </c>
      <c r="G676" s="41">
        <v>0</v>
      </c>
      <c r="H676" s="41">
        <v>130.19999999999999</v>
      </c>
      <c r="I676" s="43">
        <v>90</v>
      </c>
      <c r="J676" s="43">
        <v>9</v>
      </c>
      <c r="K676" s="44">
        <v>4000000</v>
      </c>
      <c r="L676" s="43" t="s">
        <v>992</v>
      </c>
      <c r="M676" s="45">
        <v>46082</v>
      </c>
      <c r="N676" s="41">
        <v>130.19999999999999</v>
      </c>
      <c r="O676" s="42">
        <v>46052</v>
      </c>
      <c r="P676" s="46"/>
      <c r="Q676" s="41">
        <v>130.19999999999999</v>
      </c>
    </row>
    <row r="677" spans="1:17" ht="12" customHeight="1" x14ac:dyDescent="0.3">
      <c r="A677" s="39"/>
      <c r="B677" s="40" t="s">
        <v>1667</v>
      </c>
      <c r="C677" s="41">
        <v>235</v>
      </c>
      <c r="D677" s="42">
        <v>45992</v>
      </c>
      <c r="E677" s="43" t="s">
        <v>2</v>
      </c>
      <c r="F677" s="41">
        <v>0</v>
      </c>
      <c r="G677" s="41">
        <v>0</v>
      </c>
      <c r="H677" s="41">
        <v>235</v>
      </c>
      <c r="I677" s="43">
        <v>90</v>
      </c>
      <c r="J677" s="43">
        <v>9</v>
      </c>
      <c r="K677" s="44">
        <v>4000000</v>
      </c>
      <c r="L677" s="43" t="s">
        <v>992</v>
      </c>
      <c r="M677" s="45">
        <v>46082</v>
      </c>
      <c r="N677" s="41">
        <v>235</v>
      </c>
      <c r="O677" s="42">
        <v>46052</v>
      </c>
      <c r="P677" s="46"/>
      <c r="Q677" s="41">
        <v>235</v>
      </c>
    </row>
    <row r="678" spans="1:17" ht="12" customHeight="1" x14ac:dyDescent="0.3">
      <c r="A678" s="39"/>
      <c r="B678" s="40" t="s">
        <v>1668</v>
      </c>
      <c r="C678" s="41">
        <v>1376.78</v>
      </c>
      <c r="D678" s="42">
        <v>45992</v>
      </c>
      <c r="E678" s="43" t="s">
        <v>2</v>
      </c>
      <c r="F678" s="41">
        <v>0</v>
      </c>
      <c r="G678" s="41">
        <v>0</v>
      </c>
      <c r="H678" s="41">
        <v>1376.78</v>
      </c>
      <c r="I678" s="43">
        <v>90</v>
      </c>
      <c r="J678" s="43">
        <v>9</v>
      </c>
      <c r="K678" s="44">
        <v>4000000</v>
      </c>
      <c r="L678" s="43" t="s">
        <v>992</v>
      </c>
      <c r="M678" s="45">
        <v>46082</v>
      </c>
      <c r="N678" s="41">
        <v>1376.78</v>
      </c>
      <c r="O678" s="42">
        <v>46052</v>
      </c>
      <c r="P678" s="46"/>
      <c r="Q678" s="41">
        <v>1376.78</v>
      </c>
    </row>
    <row r="679" spans="1:17" ht="12" customHeight="1" x14ac:dyDescent="0.3">
      <c r="A679" s="39"/>
      <c r="B679" s="40" t="s">
        <v>1669</v>
      </c>
      <c r="C679" s="41">
        <v>260</v>
      </c>
      <c r="D679" s="42">
        <v>45992</v>
      </c>
      <c r="E679" s="43" t="s">
        <v>2</v>
      </c>
      <c r="F679" s="41">
        <v>0</v>
      </c>
      <c r="G679" s="41">
        <v>0</v>
      </c>
      <c r="H679" s="41">
        <v>260</v>
      </c>
      <c r="I679" s="43">
        <v>90</v>
      </c>
      <c r="J679" s="43">
        <v>9</v>
      </c>
      <c r="K679" s="44">
        <v>4000000</v>
      </c>
      <c r="L679" s="43" t="s">
        <v>992</v>
      </c>
      <c r="M679" s="45">
        <v>46082</v>
      </c>
      <c r="N679" s="41">
        <v>260</v>
      </c>
      <c r="O679" s="42">
        <v>46052</v>
      </c>
      <c r="P679" s="46"/>
      <c r="Q679" s="41">
        <v>260</v>
      </c>
    </row>
    <row r="680" spans="1:17" ht="12" customHeight="1" x14ac:dyDescent="0.3">
      <c r="A680" s="39"/>
      <c r="B680" s="40" t="s">
        <v>1670</v>
      </c>
      <c r="C680" s="41">
        <v>560</v>
      </c>
      <c r="D680" s="42">
        <v>45992</v>
      </c>
      <c r="E680" s="43" t="s">
        <v>2</v>
      </c>
      <c r="F680" s="41">
        <v>0</v>
      </c>
      <c r="G680" s="41">
        <v>0</v>
      </c>
      <c r="H680" s="41">
        <v>560</v>
      </c>
      <c r="I680" s="43">
        <v>90</v>
      </c>
      <c r="J680" s="43">
        <v>9</v>
      </c>
      <c r="K680" s="44">
        <v>4000000</v>
      </c>
      <c r="L680" s="43" t="s">
        <v>992</v>
      </c>
      <c r="M680" s="45">
        <v>46082</v>
      </c>
      <c r="N680" s="41">
        <v>560</v>
      </c>
      <c r="O680" s="42">
        <v>46052</v>
      </c>
      <c r="P680" s="46"/>
      <c r="Q680" s="41">
        <v>560</v>
      </c>
    </row>
    <row r="681" spans="1:17" ht="12" customHeight="1" x14ac:dyDescent="0.3">
      <c r="A681" s="39"/>
      <c r="B681" s="40" t="s">
        <v>1671</v>
      </c>
      <c r="C681" s="41">
        <v>2000000</v>
      </c>
      <c r="D681" s="42">
        <v>45993</v>
      </c>
      <c r="E681" s="43" t="s">
        <v>2</v>
      </c>
      <c r="F681" s="41">
        <v>0</v>
      </c>
      <c r="G681" s="41">
        <v>0</v>
      </c>
      <c r="H681" s="41">
        <v>2000000</v>
      </c>
      <c r="I681" s="43">
        <v>90</v>
      </c>
      <c r="J681" s="43">
        <v>116</v>
      </c>
      <c r="K681" s="44">
        <v>2000000</v>
      </c>
      <c r="L681" s="43" t="s">
        <v>992</v>
      </c>
      <c r="M681" s="45">
        <v>46083</v>
      </c>
      <c r="N681" s="41">
        <v>2000000</v>
      </c>
      <c r="O681" s="42">
        <v>46015</v>
      </c>
      <c r="P681" s="46"/>
      <c r="Q681" s="41">
        <v>2000000</v>
      </c>
    </row>
    <row r="682" spans="1:17" ht="12" customHeight="1" x14ac:dyDescent="0.3">
      <c r="A682" s="39"/>
      <c r="B682" s="40" t="s">
        <v>1672</v>
      </c>
      <c r="C682" s="41">
        <v>114600</v>
      </c>
      <c r="D682" s="42">
        <v>45993</v>
      </c>
      <c r="E682" s="43" t="s">
        <v>2</v>
      </c>
      <c r="F682" s="41">
        <v>0</v>
      </c>
      <c r="G682" s="41">
        <v>0</v>
      </c>
      <c r="H682" s="41">
        <v>114600</v>
      </c>
      <c r="I682" s="43">
        <v>90</v>
      </c>
      <c r="J682" s="43">
        <v>71</v>
      </c>
      <c r="K682" s="44">
        <v>3000000</v>
      </c>
      <c r="L682" s="43" t="s">
        <v>992</v>
      </c>
      <c r="M682" s="45">
        <v>46083</v>
      </c>
      <c r="N682" s="41">
        <v>114600</v>
      </c>
      <c r="O682" s="42">
        <v>46040</v>
      </c>
      <c r="P682" s="46"/>
      <c r="Q682" s="41">
        <v>114600</v>
      </c>
    </row>
    <row r="683" spans="1:17" ht="12" customHeight="1" x14ac:dyDescent="0.3">
      <c r="A683" s="39"/>
      <c r="B683" s="40" t="s">
        <v>1673</v>
      </c>
      <c r="C683" s="41">
        <v>205500</v>
      </c>
      <c r="D683" s="42">
        <v>45993</v>
      </c>
      <c r="E683" s="43" t="s">
        <v>2</v>
      </c>
      <c r="F683" s="41">
        <v>0</v>
      </c>
      <c r="G683" s="41">
        <v>0</v>
      </c>
      <c r="H683" s="41">
        <v>205500</v>
      </c>
      <c r="I683" s="43">
        <v>90</v>
      </c>
      <c r="J683" s="43">
        <v>13</v>
      </c>
      <c r="K683" s="44">
        <v>4601094</v>
      </c>
      <c r="L683" s="43" t="s">
        <v>992</v>
      </c>
      <c r="M683" s="45">
        <v>46083</v>
      </c>
      <c r="N683" s="41">
        <v>205500</v>
      </c>
      <c r="O683" s="42">
        <v>46081</v>
      </c>
      <c r="P683" s="46"/>
      <c r="Q683" s="41">
        <v>205500</v>
      </c>
    </row>
    <row r="684" spans="1:17" ht="12" customHeight="1" x14ac:dyDescent="0.3">
      <c r="A684" s="39"/>
      <c r="B684" s="40" t="s">
        <v>1674</v>
      </c>
      <c r="C684" s="41">
        <v>453.6</v>
      </c>
      <c r="D684" s="42">
        <v>45994</v>
      </c>
      <c r="E684" s="43" t="s">
        <v>2</v>
      </c>
      <c r="F684" s="41">
        <v>0</v>
      </c>
      <c r="G684" s="41">
        <v>0</v>
      </c>
      <c r="H684" s="41">
        <v>453.6</v>
      </c>
      <c r="I684" s="43">
        <v>90</v>
      </c>
      <c r="J684" s="43">
        <v>9</v>
      </c>
      <c r="K684" s="44">
        <v>4000000</v>
      </c>
      <c r="L684" s="43" t="s">
        <v>992</v>
      </c>
      <c r="M684" s="45">
        <v>46084</v>
      </c>
      <c r="N684" s="41">
        <v>453.6</v>
      </c>
      <c r="O684" s="42">
        <v>46052</v>
      </c>
      <c r="P684" s="46"/>
      <c r="Q684" s="41">
        <v>453.6</v>
      </c>
    </row>
    <row r="685" spans="1:17" ht="12" customHeight="1" x14ac:dyDescent="0.3">
      <c r="A685" s="39"/>
      <c r="B685" s="40" t="s">
        <v>1675</v>
      </c>
      <c r="C685" s="41">
        <v>148</v>
      </c>
      <c r="D685" s="42">
        <v>45994</v>
      </c>
      <c r="E685" s="43" t="s">
        <v>2</v>
      </c>
      <c r="F685" s="41">
        <v>0</v>
      </c>
      <c r="G685" s="41">
        <v>0</v>
      </c>
      <c r="H685" s="41">
        <v>148</v>
      </c>
      <c r="I685" s="43">
        <v>90</v>
      </c>
      <c r="J685" s="43">
        <v>9</v>
      </c>
      <c r="K685" s="44">
        <v>4000000</v>
      </c>
      <c r="L685" s="43" t="s">
        <v>992</v>
      </c>
      <c r="M685" s="45">
        <v>46084</v>
      </c>
      <c r="N685" s="41">
        <v>148</v>
      </c>
      <c r="O685" s="42">
        <v>46052</v>
      </c>
      <c r="P685" s="46"/>
      <c r="Q685" s="41">
        <v>148</v>
      </c>
    </row>
    <row r="686" spans="1:17" ht="12" customHeight="1" x14ac:dyDescent="0.3">
      <c r="A686" s="39"/>
      <c r="B686" s="40" t="s">
        <v>1676</v>
      </c>
      <c r="C686" s="41">
        <v>260</v>
      </c>
      <c r="D686" s="42">
        <v>45994</v>
      </c>
      <c r="E686" s="43" t="s">
        <v>2</v>
      </c>
      <c r="F686" s="41">
        <v>0</v>
      </c>
      <c r="G686" s="41">
        <v>0</v>
      </c>
      <c r="H686" s="41">
        <v>260</v>
      </c>
      <c r="I686" s="43">
        <v>90</v>
      </c>
      <c r="J686" s="43">
        <v>9</v>
      </c>
      <c r="K686" s="44">
        <v>4000000</v>
      </c>
      <c r="L686" s="43" t="s">
        <v>992</v>
      </c>
      <c r="M686" s="45">
        <v>46084</v>
      </c>
      <c r="N686" s="41">
        <v>260</v>
      </c>
      <c r="O686" s="42">
        <v>46052</v>
      </c>
      <c r="P686" s="46"/>
      <c r="Q686" s="41">
        <v>260</v>
      </c>
    </row>
    <row r="687" spans="1:17" ht="12" customHeight="1" x14ac:dyDescent="0.3">
      <c r="A687" s="39"/>
      <c r="B687" s="40" t="s">
        <v>1677</v>
      </c>
      <c r="C687" s="41">
        <v>201.86</v>
      </c>
      <c r="D687" s="42">
        <v>45994</v>
      </c>
      <c r="E687" s="43" t="s">
        <v>2</v>
      </c>
      <c r="F687" s="41">
        <v>0</v>
      </c>
      <c r="G687" s="41">
        <v>0</v>
      </c>
      <c r="H687" s="41">
        <v>201.86</v>
      </c>
      <c r="I687" s="43">
        <v>90</v>
      </c>
      <c r="J687" s="43">
        <v>9</v>
      </c>
      <c r="K687" s="44">
        <v>4000000</v>
      </c>
      <c r="L687" s="43" t="s">
        <v>992</v>
      </c>
      <c r="M687" s="45">
        <v>46084</v>
      </c>
      <c r="N687" s="41">
        <v>201.86</v>
      </c>
      <c r="O687" s="42">
        <v>46052</v>
      </c>
      <c r="P687" s="46"/>
      <c r="Q687" s="41">
        <v>201.86</v>
      </c>
    </row>
    <row r="688" spans="1:17" ht="12" customHeight="1" x14ac:dyDescent="0.3">
      <c r="A688" s="39"/>
      <c r="B688" s="40" t="s">
        <v>1678</v>
      </c>
      <c r="C688" s="41">
        <v>919.24</v>
      </c>
      <c r="D688" s="42">
        <v>45994</v>
      </c>
      <c r="E688" s="43" t="s">
        <v>2</v>
      </c>
      <c r="F688" s="41">
        <v>0</v>
      </c>
      <c r="G688" s="41">
        <v>0</v>
      </c>
      <c r="H688" s="41">
        <v>919.24</v>
      </c>
      <c r="I688" s="43">
        <v>90</v>
      </c>
      <c r="J688" s="43">
        <v>9</v>
      </c>
      <c r="K688" s="44">
        <v>4000000</v>
      </c>
      <c r="L688" s="43" t="s">
        <v>992</v>
      </c>
      <c r="M688" s="45">
        <v>46084</v>
      </c>
      <c r="N688" s="41">
        <v>919.24</v>
      </c>
      <c r="O688" s="42">
        <v>46052</v>
      </c>
      <c r="P688" s="46"/>
      <c r="Q688" s="41">
        <v>919.24</v>
      </c>
    </row>
    <row r="689" spans="1:17" ht="12" customHeight="1" x14ac:dyDescent="0.3">
      <c r="A689" s="39"/>
      <c r="B689" s="40" t="s">
        <v>1679</v>
      </c>
      <c r="C689" s="41">
        <v>179999.99</v>
      </c>
      <c r="D689" s="42">
        <v>45994</v>
      </c>
      <c r="E689" s="43" t="s">
        <v>2</v>
      </c>
      <c r="F689" s="41">
        <v>0</v>
      </c>
      <c r="G689" s="41">
        <v>0</v>
      </c>
      <c r="H689" s="41">
        <v>179999.99</v>
      </c>
      <c r="I689" s="43">
        <v>90</v>
      </c>
      <c r="J689" s="43">
        <v>9</v>
      </c>
      <c r="K689" s="44">
        <v>4000000</v>
      </c>
      <c r="L689" s="43" t="s">
        <v>992</v>
      </c>
      <c r="M689" s="45">
        <v>46084</v>
      </c>
      <c r="N689" s="41">
        <v>179999.99</v>
      </c>
      <c r="O689" s="42">
        <v>46052</v>
      </c>
      <c r="P689" s="46"/>
      <c r="Q689" s="41">
        <v>179999.99</v>
      </c>
    </row>
    <row r="690" spans="1:17" ht="12" customHeight="1" x14ac:dyDescent="0.3">
      <c r="A690" s="39"/>
      <c r="B690" s="40" t="s">
        <v>1680</v>
      </c>
      <c r="C690" s="41">
        <v>2000080</v>
      </c>
      <c r="D690" s="42">
        <v>45994</v>
      </c>
      <c r="E690" s="43" t="s">
        <v>2</v>
      </c>
      <c r="F690" s="41">
        <v>0</v>
      </c>
      <c r="G690" s="41">
        <v>0</v>
      </c>
      <c r="H690" s="41">
        <v>2000080</v>
      </c>
      <c r="I690" s="43">
        <v>90</v>
      </c>
      <c r="J690" s="43">
        <v>197</v>
      </c>
      <c r="K690" s="44">
        <v>7000000</v>
      </c>
      <c r="L690" s="43" t="s">
        <v>992</v>
      </c>
      <c r="M690" s="45">
        <v>46084</v>
      </c>
      <c r="N690" s="41">
        <v>2000080</v>
      </c>
      <c r="O690" s="42">
        <v>46008</v>
      </c>
      <c r="P690" s="46"/>
      <c r="Q690" s="41">
        <v>2000080</v>
      </c>
    </row>
    <row r="691" spans="1:17" ht="12" customHeight="1" x14ac:dyDescent="0.3">
      <c r="A691" s="39"/>
      <c r="B691" s="40" t="s">
        <v>1681</v>
      </c>
      <c r="C691" s="41">
        <v>1750070</v>
      </c>
      <c r="D691" s="42">
        <v>45994</v>
      </c>
      <c r="E691" s="43" t="s">
        <v>2</v>
      </c>
      <c r="F691" s="41">
        <v>0</v>
      </c>
      <c r="G691" s="41">
        <v>0</v>
      </c>
      <c r="H691" s="41">
        <v>1750070</v>
      </c>
      <c r="I691" s="43">
        <v>90</v>
      </c>
      <c r="J691" s="43">
        <v>197</v>
      </c>
      <c r="K691" s="44">
        <v>7000000</v>
      </c>
      <c r="L691" s="43" t="s">
        <v>992</v>
      </c>
      <c r="M691" s="45">
        <v>46084</v>
      </c>
      <c r="N691" s="41">
        <v>1750070</v>
      </c>
      <c r="O691" s="42">
        <v>46009</v>
      </c>
      <c r="P691" s="46"/>
      <c r="Q691" s="41">
        <v>1750070</v>
      </c>
    </row>
    <row r="692" spans="1:17" ht="12" customHeight="1" x14ac:dyDescent="0.3">
      <c r="A692" s="39"/>
      <c r="B692" s="40" t="s">
        <v>1682</v>
      </c>
      <c r="C692" s="41">
        <v>1250050</v>
      </c>
      <c r="D692" s="42">
        <v>45994</v>
      </c>
      <c r="E692" s="43" t="s">
        <v>2</v>
      </c>
      <c r="F692" s="41">
        <v>0</v>
      </c>
      <c r="G692" s="41">
        <v>0</v>
      </c>
      <c r="H692" s="41">
        <v>1250050</v>
      </c>
      <c r="I692" s="43">
        <v>90</v>
      </c>
      <c r="J692" s="43">
        <v>197</v>
      </c>
      <c r="K692" s="44">
        <v>7000000</v>
      </c>
      <c r="L692" s="43" t="s">
        <v>992</v>
      </c>
      <c r="M692" s="45">
        <v>46084</v>
      </c>
      <c r="N692" s="41">
        <v>1250050</v>
      </c>
      <c r="O692" s="42">
        <v>46009</v>
      </c>
      <c r="P692" s="46"/>
      <c r="Q692" s="41">
        <v>1250050</v>
      </c>
    </row>
    <row r="693" spans="1:17" ht="12" customHeight="1" x14ac:dyDescent="0.3">
      <c r="A693" s="39"/>
      <c r="B693" s="40" t="s">
        <v>1683</v>
      </c>
      <c r="C693" s="41">
        <v>124000</v>
      </c>
      <c r="D693" s="42">
        <v>45994</v>
      </c>
      <c r="E693" s="43" t="s">
        <v>2</v>
      </c>
      <c r="F693" s="41">
        <v>0</v>
      </c>
      <c r="G693" s="41">
        <v>0</v>
      </c>
      <c r="H693" s="41">
        <v>124000</v>
      </c>
      <c r="I693" s="43">
        <v>90</v>
      </c>
      <c r="J693" s="43">
        <v>13</v>
      </c>
      <c r="K693" s="44">
        <v>4601094</v>
      </c>
      <c r="L693" s="43" t="s">
        <v>992</v>
      </c>
      <c r="M693" s="45">
        <v>46084</v>
      </c>
      <c r="N693" s="41">
        <v>124000</v>
      </c>
      <c r="O693" s="42">
        <v>46081</v>
      </c>
      <c r="P693" s="46"/>
      <c r="Q693" s="41">
        <v>124000</v>
      </c>
    </row>
    <row r="694" spans="1:17" ht="12" customHeight="1" x14ac:dyDescent="0.3">
      <c r="A694" s="39"/>
      <c r="B694" s="40" t="s">
        <v>1684</v>
      </c>
      <c r="C694" s="41">
        <v>120000</v>
      </c>
      <c r="D694" s="42">
        <v>45995</v>
      </c>
      <c r="E694" s="43" t="s">
        <v>2</v>
      </c>
      <c r="F694" s="41">
        <v>0</v>
      </c>
      <c r="G694" s="41">
        <v>0</v>
      </c>
      <c r="H694" s="41">
        <v>120000</v>
      </c>
      <c r="I694" s="43">
        <v>90</v>
      </c>
      <c r="J694" s="43">
        <v>9</v>
      </c>
      <c r="K694" s="44">
        <v>4000000</v>
      </c>
      <c r="L694" s="43" t="s">
        <v>992</v>
      </c>
      <c r="M694" s="45">
        <v>46085</v>
      </c>
      <c r="N694" s="41">
        <v>120000</v>
      </c>
      <c r="O694" s="42">
        <v>46052</v>
      </c>
      <c r="P694" s="46"/>
      <c r="Q694" s="41">
        <v>120000</v>
      </c>
    </row>
    <row r="695" spans="1:17" ht="12" customHeight="1" x14ac:dyDescent="0.3">
      <c r="A695" s="39"/>
      <c r="B695" s="40" t="s">
        <v>1685</v>
      </c>
      <c r="C695" s="41">
        <v>1425</v>
      </c>
      <c r="D695" s="42">
        <v>45995</v>
      </c>
      <c r="E695" s="43" t="s">
        <v>2</v>
      </c>
      <c r="F695" s="41">
        <v>0</v>
      </c>
      <c r="G695" s="41">
        <v>0</v>
      </c>
      <c r="H695" s="41">
        <v>1425</v>
      </c>
      <c r="I695" s="43">
        <v>90</v>
      </c>
      <c r="J695" s="43">
        <v>9</v>
      </c>
      <c r="K695" s="44">
        <v>4000000</v>
      </c>
      <c r="L695" s="43" t="s">
        <v>992</v>
      </c>
      <c r="M695" s="45">
        <v>46085</v>
      </c>
      <c r="N695" s="41">
        <v>1425</v>
      </c>
      <c r="O695" s="42">
        <v>46052</v>
      </c>
      <c r="P695" s="46"/>
      <c r="Q695" s="41">
        <v>1425</v>
      </c>
    </row>
    <row r="696" spans="1:17" ht="12" customHeight="1" x14ac:dyDescent="0.3">
      <c r="A696" s="39"/>
      <c r="B696" s="40" t="s">
        <v>1686</v>
      </c>
      <c r="C696" s="41">
        <v>231</v>
      </c>
      <c r="D696" s="42">
        <v>45995</v>
      </c>
      <c r="E696" s="43" t="s">
        <v>2</v>
      </c>
      <c r="F696" s="41">
        <v>0</v>
      </c>
      <c r="G696" s="41">
        <v>0</v>
      </c>
      <c r="H696" s="41">
        <v>231</v>
      </c>
      <c r="I696" s="43">
        <v>90</v>
      </c>
      <c r="J696" s="43">
        <v>9</v>
      </c>
      <c r="K696" s="44">
        <v>4000000</v>
      </c>
      <c r="L696" s="43" t="s">
        <v>992</v>
      </c>
      <c r="M696" s="45">
        <v>46085</v>
      </c>
      <c r="N696" s="41">
        <v>231</v>
      </c>
      <c r="O696" s="42">
        <v>46052</v>
      </c>
      <c r="P696" s="46"/>
      <c r="Q696" s="41">
        <v>231</v>
      </c>
    </row>
    <row r="697" spans="1:17" ht="12" customHeight="1" x14ac:dyDescent="0.3">
      <c r="A697" s="39"/>
      <c r="B697" s="40" t="s">
        <v>1687</v>
      </c>
      <c r="C697" s="41">
        <v>3585.32</v>
      </c>
      <c r="D697" s="42">
        <v>45995</v>
      </c>
      <c r="E697" s="43" t="s">
        <v>2</v>
      </c>
      <c r="F697" s="41">
        <v>0</v>
      </c>
      <c r="G697" s="41">
        <v>0</v>
      </c>
      <c r="H697" s="41">
        <v>3585.32</v>
      </c>
      <c r="I697" s="43">
        <v>90</v>
      </c>
      <c r="J697" s="43">
        <v>9</v>
      </c>
      <c r="K697" s="44">
        <v>4000000</v>
      </c>
      <c r="L697" s="43" t="s">
        <v>992</v>
      </c>
      <c r="M697" s="45">
        <v>46085</v>
      </c>
      <c r="N697" s="41">
        <v>3585.32</v>
      </c>
      <c r="O697" s="42">
        <v>46052</v>
      </c>
      <c r="P697" s="46"/>
      <c r="Q697" s="41">
        <v>3585.32</v>
      </c>
    </row>
    <row r="698" spans="1:17" ht="12" customHeight="1" x14ac:dyDescent="0.3">
      <c r="A698" s="39"/>
      <c r="B698" s="40" t="s">
        <v>1688</v>
      </c>
      <c r="C698" s="41">
        <v>110000</v>
      </c>
      <c r="D698" s="42">
        <v>45995</v>
      </c>
      <c r="E698" s="43" t="s">
        <v>2</v>
      </c>
      <c r="F698" s="41">
        <v>0</v>
      </c>
      <c r="G698" s="41">
        <v>0</v>
      </c>
      <c r="H698" s="41">
        <v>110000</v>
      </c>
      <c r="I698" s="43">
        <v>90</v>
      </c>
      <c r="J698" s="43">
        <v>71</v>
      </c>
      <c r="K698" s="44">
        <v>3000000</v>
      </c>
      <c r="L698" s="43" t="s">
        <v>992</v>
      </c>
      <c r="M698" s="45">
        <v>46085</v>
      </c>
      <c r="N698" s="41">
        <v>110000</v>
      </c>
      <c r="O698" s="42">
        <v>46040</v>
      </c>
      <c r="P698" s="46"/>
      <c r="Q698" s="41">
        <v>110000</v>
      </c>
    </row>
    <row r="699" spans="1:17" ht="12" customHeight="1" x14ac:dyDescent="0.3">
      <c r="A699" s="39"/>
      <c r="B699" s="40" t="s">
        <v>1689</v>
      </c>
      <c r="C699" s="41">
        <v>110000</v>
      </c>
      <c r="D699" s="42">
        <v>45995</v>
      </c>
      <c r="E699" s="43" t="s">
        <v>2</v>
      </c>
      <c r="F699" s="41">
        <v>0</v>
      </c>
      <c r="G699" s="41">
        <v>0</v>
      </c>
      <c r="H699" s="41">
        <v>110000</v>
      </c>
      <c r="I699" s="43">
        <v>90</v>
      </c>
      <c r="J699" s="43">
        <v>71</v>
      </c>
      <c r="K699" s="44">
        <v>3000000</v>
      </c>
      <c r="L699" s="43" t="s">
        <v>992</v>
      </c>
      <c r="M699" s="45">
        <v>46085</v>
      </c>
      <c r="N699" s="41">
        <v>110000</v>
      </c>
      <c r="O699" s="42">
        <v>46040</v>
      </c>
      <c r="P699" s="46"/>
      <c r="Q699" s="41">
        <v>110000</v>
      </c>
    </row>
    <row r="700" spans="1:17" ht="12" customHeight="1" x14ac:dyDescent="0.3">
      <c r="A700" s="39"/>
      <c r="B700" s="40" t="s">
        <v>1690</v>
      </c>
      <c r="C700" s="41">
        <v>77000</v>
      </c>
      <c r="D700" s="42">
        <v>45998</v>
      </c>
      <c r="E700" s="43" t="s">
        <v>2</v>
      </c>
      <c r="F700" s="41">
        <v>0</v>
      </c>
      <c r="G700" s="41">
        <v>0</v>
      </c>
      <c r="H700" s="41">
        <v>77000</v>
      </c>
      <c r="I700" s="43">
        <v>90</v>
      </c>
      <c r="J700" s="43">
        <v>13</v>
      </c>
      <c r="K700" s="44">
        <v>4601094</v>
      </c>
      <c r="L700" s="43" t="s">
        <v>992</v>
      </c>
      <c r="M700" s="45">
        <v>46089</v>
      </c>
      <c r="N700" s="41">
        <v>77000</v>
      </c>
      <c r="O700" s="42">
        <v>46081</v>
      </c>
      <c r="P700" s="46"/>
      <c r="Q700" s="41">
        <v>77000</v>
      </c>
    </row>
    <row r="701" spans="1:17" ht="12" customHeight="1" x14ac:dyDescent="0.3">
      <c r="A701" s="39"/>
      <c r="B701" s="40" t="s">
        <v>1691</v>
      </c>
      <c r="C701" s="41">
        <v>315</v>
      </c>
      <c r="D701" s="42">
        <v>45998</v>
      </c>
      <c r="E701" s="43" t="s">
        <v>2</v>
      </c>
      <c r="F701" s="41">
        <v>0</v>
      </c>
      <c r="G701" s="41">
        <v>0</v>
      </c>
      <c r="H701" s="41">
        <v>315</v>
      </c>
      <c r="I701" s="43">
        <v>90</v>
      </c>
      <c r="J701" s="43">
        <v>9</v>
      </c>
      <c r="K701" s="44">
        <v>4000000</v>
      </c>
      <c r="L701" s="43" t="s">
        <v>992</v>
      </c>
      <c r="M701" s="45">
        <v>46089</v>
      </c>
      <c r="N701" s="41">
        <v>315</v>
      </c>
      <c r="O701" s="42">
        <v>46052</v>
      </c>
      <c r="P701" s="46"/>
      <c r="Q701" s="41">
        <v>315</v>
      </c>
    </row>
    <row r="702" spans="1:17" ht="12" customHeight="1" x14ac:dyDescent="0.3">
      <c r="A702" s="39"/>
      <c r="B702" s="40" t="s">
        <v>1692</v>
      </c>
      <c r="C702" s="41">
        <v>336</v>
      </c>
      <c r="D702" s="42">
        <v>45998</v>
      </c>
      <c r="E702" s="43" t="s">
        <v>2</v>
      </c>
      <c r="F702" s="41">
        <v>0</v>
      </c>
      <c r="G702" s="41">
        <v>0</v>
      </c>
      <c r="H702" s="41">
        <v>336</v>
      </c>
      <c r="I702" s="43">
        <v>90</v>
      </c>
      <c r="J702" s="43">
        <v>9</v>
      </c>
      <c r="K702" s="44">
        <v>4000000</v>
      </c>
      <c r="L702" s="43" t="s">
        <v>992</v>
      </c>
      <c r="M702" s="45">
        <v>46089</v>
      </c>
      <c r="N702" s="41">
        <v>336</v>
      </c>
      <c r="O702" s="42">
        <v>46052</v>
      </c>
      <c r="P702" s="46"/>
      <c r="Q702" s="41">
        <v>336</v>
      </c>
    </row>
    <row r="703" spans="1:17" ht="12" customHeight="1" x14ac:dyDescent="0.3">
      <c r="A703" s="39"/>
      <c r="B703" s="40" t="s">
        <v>1693</v>
      </c>
      <c r="C703" s="41">
        <v>210</v>
      </c>
      <c r="D703" s="42">
        <v>45998</v>
      </c>
      <c r="E703" s="43" t="s">
        <v>2</v>
      </c>
      <c r="F703" s="41">
        <v>0</v>
      </c>
      <c r="G703" s="41">
        <v>0</v>
      </c>
      <c r="H703" s="41">
        <v>210</v>
      </c>
      <c r="I703" s="43">
        <v>90</v>
      </c>
      <c r="J703" s="43">
        <v>9</v>
      </c>
      <c r="K703" s="44">
        <v>4000000</v>
      </c>
      <c r="L703" s="43" t="s">
        <v>992</v>
      </c>
      <c r="M703" s="45">
        <v>46089</v>
      </c>
      <c r="N703" s="41">
        <v>210</v>
      </c>
      <c r="O703" s="42">
        <v>46052</v>
      </c>
      <c r="P703" s="46"/>
      <c r="Q703" s="41">
        <v>210</v>
      </c>
    </row>
    <row r="704" spans="1:17" ht="12" customHeight="1" x14ac:dyDescent="0.3">
      <c r="A704" s="39"/>
      <c r="B704" s="40" t="s">
        <v>1694</v>
      </c>
      <c r="C704" s="41">
        <v>7212.97</v>
      </c>
      <c r="D704" s="42">
        <v>45998</v>
      </c>
      <c r="E704" s="43" t="s">
        <v>2</v>
      </c>
      <c r="F704" s="41">
        <v>0</v>
      </c>
      <c r="G704" s="41">
        <v>0</v>
      </c>
      <c r="H704" s="41">
        <v>7212.97</v>
      </c>
      <c r="I704" s="43">
        <v>90</v>
      </c>
      <c r="J704" s="43">
        <v>9</v>
      </c>
      <c r="K704" s="44">
        <v>4000000</v>
      </c>
      <c r="L704" s="43" t="s">
        <v>992</v>
      </c>
      <c r="M704" s="45">
        <v>46089</v>
      </c>
      <c r="N704" s="41">
        <v>7212.97</v>
      </c>
      <c r="O704" s="42">
        <v>46052</v>
      </c>
      <c r="P704" s="46"/>
      <c r="Q704" s="41">
        <v>7212.97</v>
      </c>
    </row>
    <row r="705" spans="1:17" ht="12" customHeight="1" x14ac:dyDescent="0.3">
      <c r="A705" s="39"/>
      <c r="B705" s="40" t="s">
        <v>1695</v>
      </c>
      <c r="C705" s="41">
        <v>1802.63</v>
      </c>
      <c r="D705" s="42">
        <v>45998</v>
      </c>
      <c r="E705" s="43" t="s">
        <v>2</v>
      </c>
      <c r="F705" s="41">
        <v>0</v>
      </c>
      <c r="G705" s="41">
        <v>0</v>
      </c>
      <c r="H705" s="41">
        <v>1802.63</v>
      </c>
      <c r="I705" s="43">
        <v>90</v>
      </c>
      <c r="J705" s="43">
        <v>9</v>
      </c>
      <c r="K705" s="44">
        <v>4000000</v>
      </c>
      <c r="L705" s="43" t="s">
        <v>992</v>
      </c>
      <c r="M705" s="45">
        <v>46089</v>
      </c>
      <c r="N705" s="41">
        <v>1802.63</v>
      </c>
      <c r="O705" s="42">
        <v>46052</v>
      </c>
      <c r="P705" s="46"/>
      <c r="Q705" s="41">
        <v>1802.63</v>
      </c>
    </row>
    <row r="706" spans="1:17" ht="12" customHeight="1" x14ac:dyDescent="0.3">
      <c r="A706" s="39"/>
      <c r="B706" s="40" t="s">
        <v>1696</v>
      </c>
      <c r="C706" s="41">
        <v>255000</v>
      </c>
      <c r="D706" s="42">
        <v>45999</v>
      </c>
      <c r="E706" s="43" t="s">
        <v>2</v>
      </c>
      <c r="F706" s="41">
        <v>0</v>
      </c>
      <c r="G706" s="41">
        <v>0</v>
      </c>
      <c r="H706" s="41">
        <v>255000</v>
      </c>
      <c r="I706" s="43">
        <v>90</v>
      </c>
      <c r="J706" s="43">
        <v>71</v>
      </c>
      <c r="K706" s="44">
        <v>3000000</v>
      </c>
      <c r="L706" s="43" t="s">
        <v>992</v>
      </c>
      <c r="M706" s="45">
        <v>46089</v>
      </c>
      <c r="N706" s="41">
        <v>255000</v>
      </c>
      <c r="O706" s="42">
        <v>46041</v>
      </c>
      <c r="P706" s="46"/>
      <c r="Q706" s="41">
        <v>255000</v>
      </c>
    </row>
    <row r="707" spans="1:17" ht="12" customHeight="1" x14ac:dyDescent="0.3">
      <c r="A707" s="39"/>
      <c r="B707" s="40" t="s">
        <v>1697</v>
      </c>
      <c r="C707" s="41">
        <v>75000</v>
      </c>
      <c r="D707" s="42">
        <v>45999</v>
      </c>
      <c r="E707" s="43" t="s">
        <v>2</v>
      </c>
      <c r="F707" s="41">
        <v>0</v>
      </c>
      <c r="G707" s="41">
        <v>0</v>
      </c>
      <c r="H707" s="41">
        <v>75000</v>
      </c>
      <c r="I707" s="43">
        <v>90</v>
      </c>
      <c r="J707" s="43">
        <v>13</v>
      </c>
      <c r="K707" s="44">
        <v>4601094</v>
      </c>
      <c r="L707" s="43" t="s">
        <v>992</v>
      </c>
      <c r="M707" s="45">
        <v>46089</v>
      </c>
      <c r="N707" s="41">
        <v>75000</v>
      </c>
      <c r="O707" s="42">
        <v>46081</v>
      </c>
      <c r="P707" s="46"/>
      <c r="Q707" s="41">
        <v>75000</v>
      </c>
    </row>
    <row r="708" spans="1:17" ht="12" customHeight="1" x14ac:dyDescent="0.3">
      <c r="A708" s="39"/>
      <c r="B708" s="40" t="s">
        <v>1698</v>
      </c>
      <c r="C708" s="41">
        <v>1425</v>
      </c>
      <c r="D708" s="42">
        <v>46000</v>
      </c>
      <c r="E708" s="43" t="s">
        <v>2</v>
      </c>
      <c r="F708" s="41">
        <v>0</v>
      </c>
      <c r="G708" s="41">
        <v>0</v>
      </c>
      <c r="H708" s="41">
        <v>1425</v>
      </c>
      <c r="I708" s="43">
        <v>90</v>
      </c>
      <c r="J708" s="43">
        <v>9</v>
      </c>
      <c r="K708" s="44">
        <v>4000000</v>
      </c>
      <c r="L708" s="43" t="s">
        <v>992</v>
      </c>
      <c r="M708" s="45">
        <v>46090</v>
      </c>
      <c r="N708" s="41">
        <v>1425</v>
      </c>
      <c r="O708" s="42">
        <v>46052</v>
      </c>
      <c r="P708" s="46"/>
      <c r="Q708" s="41">
        <v>1425</v>
      </c>
    </row>
    <row r="709" spans="1:17" ht="12" customHeight="1" x14ac:dyDescent="0.3">
      <c r="A709" s="39"/>
      <c r="B709" s="40" t="s">
        <v>1699</v>
      </c>
      <c r="C709" s="41">
        <v>420</v>
      </c>
      <c r="D709" s="42">
        <v>46000</v>
      </c>
      <c r="E709" s="43" t="s">
        <v>2</v>
      </c>
      <c r="F709" s="41">
        <v>0</v>
      </c>
      <c r="G709" s="41">
        <v>0</v>
      </c>
      <c r="H709" s="41">
        <v>420</v>
      </c>
      <c r="I709" s="43">
        <v>90</v>
      </c>
      <c r="J709" s="43">
        <v>9</v>
      </c>
      <c r="K709" s="44">
        <v>4000000</v>
      </c>
      <c r="L709" s="43" t="s">
        <v>992</v>
      </c>
      <c r="M709" s="45">
        <v>46090</v>
      </c>
      <c r="N709" s="41">
        <v>420</v>
      </c>
      <c r="O709" s="42">
        <v>46052</v>
      </c>
      <c r="P709" s="46"/>
      <c r="Q709" s="41">
        <v>420</v>
      </c>
    </row>
    <row r="710" spans="1:17" ht="12" customHeight="1" x14ac:dyDescent="0.3">
      <c r="A710" s="39"/>
      <c r="B710" s="40" t="s">
        <v>1700</v>
      </c>
      <c r="C710" s="41">
        <v>1606.24</v>
      </c>
      <c r="D710" s="42">
        <v>46000</v>
      </c>
      <c r="E710" s="43" t="s">
        <v>2</v>
      </c>
      <c r="F710" s="41">
        <v>0</v>
      </c>
      <c r="G710" s="41">
        <v>0</v>
      </c>
      <c r="H710" s="41">
        <v>1606.24</v>
      </c>
      <c r="I710" s="43">
        <v>90</v>
      </c>
      <c r="J710" s="43">
        <v>9</v>
      </c>
      <c r="K710" s="44">
        <v>4000000</v>
      </c>
      <c r="L710" s="43" t="s">
        <v>992</v>
      </c>
      <c r="M710" s="45">
        <v>46090</v>
      </c>
      <c r="N710" s="41">
        <v>1606.24</v>
      </c>
      <c r="O710" s="42">
        <v>46052</v>
      </c>
      <c r="P710" s="46"/>
      <c r="Q710" s="41">
        <v>1606.24</v>
      </c>
    </row>
    <row r="711" spans="1:17" ht="12" customHeight="1" x14ac:dyDescent="0.3">
      <c r="A711" s="39"/>
      <c r="B711" s="40" t="s">
        <v>1701</v>
      </c>
      <c r="C711" s="41">
        <v>12607.03</v>
      </c>
      <c r="D711" s="42">
        <v>46001</v>
      </c>
      <c r="E711" s="43" t="s">
        <v>2</v>
      </c>
      <c r="F711" s="41">
        <v>0</v>
      </c>
      <c r="G711" s="41">
        <v>0</v>
      </c>
      <c r="H711" s="41">
        <v>12607.03</v>
      </c>
      <c r="I711" s="43">
        <v>90</v>
      </c>
      <c r="J711" s="43">
        <v>9</v>
      </c>
      <c r="K711" s="44">
        <v>4000000</v>
      </c>
      <c r="L711" s="43" t="s">
        <v>992</v>
      </c>
      <c r="M711" s="45">
        <v>46091</v>
      </c>
      <c r="N711" s="41">
        <v>12607.03</v>
      </c>
      <c r="O711" s="42">
        <v>46052</v>
      </c>
      <c r="P711" s="46"/>
      <c r="Q711" s="41">
        <v>12607.03</v>
      </c>
    </row>
    <row r="712" spans="1:17" ht="12" customHeight="1" x14ac:dyDescent="0.3">
      <c r="A712" s="39"/>
      <c r="B712" s="40" t="s">
        <v>1702</v>
      </c>
      <c r="C712" s="41">
        <v>340.2</v>
      </c>
      <c r="D712" s="42">
        <v>46001</v>
      </c>
      <c r="E712" s="43" t="s">
        <v>2</v>
      </c>
      <c r="F712" s="41">
        <v>0</v>
      </c>
      <c r="G712" s="41">
        <v>0</v>
      </c>
      <c r="H712" s="41">
        <v>340.2</v>
      </c>
      <c r="I712" s="43">
        <v>90</v>
      </c>
      <c r="J712" s="43">
        <v>9</v>
      </c>
      <c r="K712" s="44">
        <v>4000000</v>
      </c>
      <c r="L712" s="43" t="s">
        <v>992</v>
      </c>
      <c r="M712" s="45">
        <v>46091</v>
      </c>
      <c r="N712" s="41">
        <v>340.2</v>
      </c>
      <c r="O712" s="42">
        <v>46052</v>
      </c>
      <c r="P712" s="46"/>
      <c r="Q712" s="41">
        <v>340.2</v>
      </c>
    </row>
    <row r="713" spans="1:17" ht="12" customHeight="1" x14ac:dyDescent="0.3">
      <c r="A713" s="39"/>
      <c r="B713" s="40" t="s">
        <v>1703</v>
      </c>
      <c r="C713" s="41">
        <v>1868.69</v>
      </c>
      <c r="D713" s="42">
        <v>46001</v>
      </c>
      <c r="E713" s="43" t="s">
        <v>2</v>
      </c>
      <c r="F713" s="41">
        <v>0</v>
      </c>
      <c r="G713" s="41">
        <v>0</v>
      </c>
      <c r="H713" s="41">
        <v>1868.69</v>
      </c>
      <c r="I713" s="43">
        <v>90</v>
      </c>
      <c r="J713" s="43">
        <v>9</v>
      </c>
      <c r="K713" s="44">
        <v>4000000</v>
      </c>
      <c r="L713" s="43" t="s">
        <v>992</v>
      </c>
      <c r="M713" s="45">
        <v>46091</v>
      </c>
      <c r="N713" s="41">
        <v>1868.69</v>
      </c>
      <c r="O713" s="42">
        <v>46052</v>
      </c>
      <c r="P713" s="46"/>
      <c r="Q713" s="41">
        <v>1868.69</v>
      </c>
    </row>
    <row r="714" spans="1:17" ht="12" customHeight="1" x14ac:dyDescent="0.3">
      <c r="A714" s="39"/>
      <c r="B714" s="40" t="s">
        <v>1704</v>
      </c>
      <c r="C714" s="41">
        <v>74</v>
      </c>
      <c r="D714" s="42">
        <v>46001</v>
      </c>
      <c r="E714" s="43" t="s">
        <v>2</v>
      </c>
      <c r="F714" s="41">
        <v>0</v>
      </c>
      <c r="G714" s="41">
        <v>0</v>
      </c>
      <c r="H714" s="41">
        <v>74</v>
      </c>
      <c r="I714" s="43">
        <v>90</v>
      </c>
      <c r="J714" s="43">
        <v>9</v>
      </c>
      <c r="K714" s="44">
        <v>4000000</v>
      </c>
      <c r="L714" s="43" t="s">
        <v>992</v>
      </c>
      <c r="M714" s="45">
        <v>46091</v>
      </c>
      <c r="N714" s="41">
        <v>74</v>
      </c>
      <c r="O714" s="42">
        <v>46052</v>
      </c>
      <c r="P714" s="46"/>
      <c r="Q714" s="41">
        <v>74</v>
      </c>
    </row>
    <row r="715" spans="1:17" ht="12" customHeight="1" x14ac:dyDescent="0.3">
      <c r="A715" s="39"/>
      <c r="B715" s="40" t="s">
        <v>1705</v>
      </c>
      <c r="C715" s="41">
        <v>160000.01</v>
      </c>
      <c r="D715" s="42">
        <v>46001</v>
      </c>
      <c r="E715" s="43" t="s">
        <v>2</v>
      </c>
      <c r="F715" s="41">
        <v>0</v>
      </c>
      <c r="G715" s="41">
        <v>0</v>
      </c>
      <c r="H715" s="41">
        <v>160000.01</v>
      </c>
      <c r="I715" s="43">
        <v>90</v>
      </c>
      <c r="J715" s="43">
        <v>9</v>
      </c>
      <c r="K715" s="44">
        <v>4000000</v>
      </c>
      <c r="L715" s="43" t="s">
        <v>992</v>
      </c>
      <c r="M715" s="45">
        <v>46091</v>
      </c>
      <c r="N715" s="41">
        <v>160000.01</v>
      </c>
      <c r="O715" s="42">
        <v>46052</v>
      </c>
      <c r="P715" s="46"/>
      <c r="Q715" s="41">
        <v>160000.01</v>
      </c>
    </row>
    <row r="716" spans="1:17" ht="12" customHeight="1" x14ac:dyDescent="0.3">
      <c r="A716" s="39"/>
      <c r="B716" s="40" t="s">
        <v>1706</v>
      </c>
      <c r="C716" s="41">
        <v>90000</v>
      </c>
      <c r="D716" s="42">
        <v>46001</v>
      </c>
      <c r="E716" s="43" t="s">
        <v>2</v>
      </c>
      <c r="F716" s="41">
        <v>0</v>
      </c>
      <c r="G716" s="41">
        <v>0</v>
      </c>
      <c r="H716" s="41">
        <v>90000</v>
      </c>
      <c r="I716" s="43">
        <v>90</v>
      </c>
      <c r="J716" s="43">
        <v>13</v>
      </c>
      <c r="K716" s="44">
        <v>4691094</v>
      </c>
      <c r="L716" s="43" t="s">
        <v>992</v>
      </c>
      <c r="M716" s="45">
        <v>46091</v>
      </c>
      <c r="N716" s="41">
        <v>90000</v>
      </c>
      <c r="O716" s="42">
        <v>46081</v>
      </c>
      <c r="P716" s="46"/>
      <c r="Q716" s="41">
        <v>90000</v>
      </c>
    </row>
    <row r="717" spans="1:17" ht="12" customHeight="1" x14ac:dyDescent="0.3">
      <c r="A717" s="39"/>
      <c r="B717" s="40" t="s">
        <v>1707</v>
      </c>
      <c r="C717" s="41">
        <v>302.7</v>
      </c>
      <c r="D717" s="42">
        <v>46002</v>
      </c>
      <c r="E717" s="43" t="s">
        <v>2</v>
      </c>
      <c r="F717" s="41">
        <v>0</v>
      </c>
      <c r="G717" s="41">
        <v>0</v>
      </c>
      <c r="H717" s="41">
        <v>302.7</v>
      </c>
      <c r="I717" s="43">
        <v>90</v>
      </c>
      <c r="J717" s="43">
        <v>9</v>
      </c>
      <c r="K717" s="44">
        <v>4000000</v>
      </c>
      <c r="L717" s="43" t="s">
        <v>992</v>
      </c>
      <c r="M717" s="45">
        <v>46092</v>
      </c>
      <c r="N717" s="41">
        <v>302.7</v>
      </c>
      <c r="O717" s="42">
        <v>46052</v>
      </c>
      <c r="P717" s="46"/>
      <c r="Q717" s="41">
        <v>302.7</v>
      </c>
    </row>
    <row r="718" spans="1:17" ht="12" customHeight="1" x14ac:dyDescent="0.3">
      <c r="A718" s="39"/>
      <c r="B718" s="40" t="s">
        <v>1708</v>
      </c>
      <c r="C718" s="41">
        <v>1835.68</v>
      </c>
      <c r="D718" s="42">
        <v>46002</v>
      </c>
      <c r="E718" s="43" t="s">
        <v>2</v>
      </c>
      <c r="F718" s="41">
        <v>0</v>
      </c>
      <c r="G718" s="41">
        <v>0</v>
      </c>
      <c r="H718" s="41">
        <v>1835.68</v>
      </c>
      <c r="I718" s="43">
        <v>90</v>
      </c>
      <c r="J718" s="43">
        <v>9</v>
      </c>
      <c r="K718" s="44">
        <v>4000000</v>
      </c>
      <c r="L718" s="43" t="s">
        <v>992</v>
      </c>
      <c r="M718" s="45">
        <v>46092</v>
      </c>
      <c r="N718" s="41">
        <v>1835.68</v>
      </c>
      <c r="O718" s="42">
        <v>46052</v>
      </c>
      <c r="P718" s="46"/>
      <c r="Q718" s="41">
        <v>1835.68</v>
      </c>
    </row>
    <row r="719" spans="1:17" ht="12" customHeight="1" x14ac:dyDescent="0.3">
      <c r="A719" s="39"/>
      <c r="B719" s="40" t="s">
        <v>1709</v>
      </c>
      <c r="C719" s="41">
        <v>630</v>
      </c>
      <c r="D719" s="42">
        <v>46002</v>
      </c>
      <c r="E719" s="43" t="s">
        <v>2</v>
      </c>
      <c r="F719" s="41">
        <v>0</v>
      </c>
      <c r="G719" s="41">
        <v>0</v>
      </c>
      <c r="H719" s="41">
        <v>630</v>
      </c>
      <c r="I719" s="43">
        <v>90</v>
      </c>
      <c r="J719" s="43">
        <v>9</v>
      </c>
      <c r="K719" s="44">
        <v>4000000</v>
      </c>
      <c r="L719" s="43" t="s">
        <v>992</v>
      </c>
      <c r="M719" s="45">
        <v>46092</v>
      </c>
      <c r="N719" s="41">
        <v>630</v>
      </c>
      <c r="O719" s="42">
        <v>46052</v>
      </c>
      <c r="P719" s="46"/>
      <c r="Q719" s="41">
        <v>630</v>
      </c>
    </row>
    <row r="720" spans="1:17" ht="12" customHeight="1" x14ac:dyDescent="0.3">
      <c r="A720" s="39"/>
      <c r="B720" s="40" t="s">
        <v>1710</v>
      </c>
      <c r="C720" s="41">
        <v>230000</v>
      </c>
      <c r="D720" s="42">
        <v>46002</v>
      </c>
      <c r="E720" s="43" t="s">
        <v>2</v>
      </c>
      <c r="F720" s="41">
        <v>0</v>
      </c>
      <c r="G720" s="41">
        <v>0</v>
      </c>
      <c r="H720" s="41">
        <v>230000</v>
      </c>
      <c r="I720" s="43">
        <v>90</v>
      </c>
      <c r="J720" s="43">
        <v>116</v>
      </c>
      <c r="K720" s="44">
        <v>2000000</v>
      </c>
      <c r="L720" s="43" t="s">
        <v>992</v>
      </c>
      <c r="M720" s="45">
        <v>46092</v>
      </c>
      <c r="N720" s="41">
        <v>230000</v>
      </c>
      <c r="O720" s="42">
        <v>46015</v>
      </c>
      <c r="P720" s="46"/>
      <c r="Q720" s="41">
        <v>230000</v>
      </c>
    </row>
    <row r="721" spans="1:17" ht="12" customHeight="1" x14ac:dyDescent="0.3">
      <c r="A721" s="39"/>
      <c r="B721" s="40" t="s">
        <v>1711</v>
      </c>
      <c r="C721" s="41">
        <v>100000</v>
      </c>
      <c r="D721" s="42">
        <v>46002</v>
      </c>
      <c r="E721" s="43" t="s">
        <v>2</v>
      </c>
      <c r="F721" s="41">
        <v>0</v>
      </c>
      <c r="G721" s="41">
        <v>0</v>
      </c>
      <c r="H721" s="41">
        <v>100000</v>
      </c>
      <c r="I721" s="43">
        <v>90</v>
      </c>
      <c r="J721" s="43">
        <v>13</v>
      </c>
      <c r="K721" s="44">
        <v>4791094</v>
      </c>
      <c r="L721" s="43" t="s">
        <v>992</v>
      </c>
      <c r="M721" s="45">
        <v>46092</v>
      </c>
      <c r="N721" s="41">
        <v>100000</v>
      </c>
      <c r="O721" s="42">
        <v>46081</v>
      </c>
      <c r="P721" s="46"/>
      <c r="Q721" s="41">
        <v>100000</v>
      </c>
    </row>
    <row r="722" spans="1:17" ht="12" customHeight="1" x14ac:dyDescent="0.3">
      <c r="A722" s="39"/>
      <c r="B722" s="40" t="s">
        <v>1712</v>
      </c>
      <c r="C722" s="41">
        <v>85000</v>
      </c>
      <c r="D722" s="42">
        <v>46005</v>
      </c>
      <c r="E722" s="43" t="s">
        <v>2</v>
      </c>
      <c r="F722" s="41">
        <v>0</v>
      </c>
      <c r="G722" s="41">
        <v>0</v>
      </c>
      <c r="H722" s="41">
        <v>85000</v>
      </c>
      <c r="I722" s="43">
        <v>90</v>
      </c>
      <c r="J722" s="43">
        <v>71</v>
      </c>
      <c r="K722" s="44">
        <v>3000000</v>
      </c>
      <c r="L722" s="43" t="s">
        <v>992</v>
      </c>
      <c r="M722" s="45">
        <v>46096</v>
      </c>
      <c r="N722" s="41">
        <v>85000</v>
      </c>
      <c r="O722" s="42">
        <v>46041</v>
      </c>
      <c r="P722" s="46"/>
      <c r="Q722" s="41">
        <v>85000</v>
      </c>
    </row>
    <row r="723" spans="1:17" ht="12" customHeight="1" x14ac:dyDescent="0.3">
      <c r="A723" s="39"/>
      <c r="B723" s="40" t="s">
        <v>1713</v>
      </c>
      <c r="C723" s="41">
        <v>100000</v>
      </c>
      <c r="D723" s="42">
        <v>46005</v>
      </c>
      <c r="E723" s="43" t="s">
        <v>2</v>
      </c>
      <c r="F723" s="41">
        <v>0</v>
      </c>
      <c r="G723" s="41">
        <v>0</v>
      </c>
      <c r="H723" s="41">
        <v>100000</v>
      </c>
      <c r="I723" s="43">
        <v>90</v>
      </c>
      <c r="J723" s="43">
        <v>71</v>
      </c>
      <c r="K723" s="44">
        <v>3000000</v>
      </c>
      <c r="L723" s="43" t="s">
        <v>992</v>
      </c>
      <c r="M723" s="45">
        <v>46096</v>
      </c>
      <c r="N723" s="41">
        <v>100000</v>
      </c>
      <c r="O723" s="42">
        <v>46041</v>
      </c>
      <c r="P723" s="46"/>
      <c r="Q723" s="41">
        <v>100000</v>
      </c>
    </row>
    <row r="724" spans="1:17" ht="12" customHeight="1" x14ac:dyDescent="0.3">
      <c r="A724" s="39"/>
      <c r="B724" s="40" t="s">
        <v>1714</v>
      </c>
      <c r="C724" s="41">
        <v>159999.98000000001</v>
      </c>
      <c r="D724" s="42">
        <v>46006</v>
      </c>
      <c r="E724" s="43" t="s">
        <v>2</v>
      </c>
      <c r="F724" s="41">
        <v>0</v>
      </c>
      <c r="G724" s="41">
        <v>0</v>
      </c>
      <c r="H724" s="41">
        <v>159999.98000000001</v>
      </c>
      <c r="I724" s="43">
        <v>90</v>
      </c>
      <c r="J724" s="43">
        <v>9</v>
      </c>
      <c r="K724" s="44">
        <v>4000000</v>
      </c>
      <c r="L724" s="43" t="s">
        <v>992</v>
      </c>
      <c r="M724" s="45">
        <v>46096</v>
      </c>
      <c r="N724" s="41">
        <v>159999.98000000001</v>
      </c>
      <c r="O724" s="42">
        <v>46052</v>
      </c>
      <c r="P724" s="46"/>
      <c r="Q724" s="41">
        <v>159999.98000000001</v>
      </c>
    </row>
    <row r="725" spans="1:17" ht="12" customHeight="1" x14ac:dyDescent="0.3">
      <c r="A725" s="39"/>
      <c r="B725" s="40" t="s">
        <v>1715</v>
      </c>
      <c r="C725" s="41">
        <v>159999.98000000001</v>
      </c>
      <c r="D725" s="42">
        <v>46006</v>
      </c>
      <c r="E725" s="43" t="s">
        <v>2</v>
      </c>
      <c r="F725" s="41">
        <v>0</v>
      </c>
      <c r="G725" s="41">
        <v>0</v>
      </c>
      <c r="H725" s="41">
        <v>159999.98000000001</v>
      </c>
      <c r="I725" s="43">
        <v>90</v>
      </c>
      <c r="J725" s="43">
        <v>9</v>
      </c>
      <c r="K725" s="44">
        <v>4000000</v>
      </c>
      <c r="L725" s="43" t="s">
        <v>992</v>
      </c>
      <c r="M725" s="45">
        <v>46096</v>
      </c>
      <c r="N725" s="41">
        <v>159999.98000000001</v>
      </c>
      <c r="O725" s="42">
        <v>46052</v>
      </c>
      <c r="P725" s="46"/>
      <c r="Q725" s="41">
        <v>159999.98000000001</v>
      </c>
    </row>
    <row r="726" spans="1:17" ht="12" customHeight="1" x14ac:dyDescent="0.3">
      <c r="A726" s="39"/>
      <c r="B726" s="40" t="s">
        <v>1716</v>
      </c>
      <c r="C726" s="41">
        <v>159999.98000000001</v>
      </c>
      <c r="D726" s="42">
        <v>46006</v>
      </c>
      <c r="E726" s="43" t="s">
        <v>2</v>
      </c>
      <c r="F726" s="41">
        <v>0</v>
      </c>
      <c r="G726" s="41">
        <v>0</v>
      </c>
      <c r="H726" s="41">
        <v>159999.98000000001</v>
      </c>
      <c r="I726" s="43">
        <v>90</v>
      </c>
      <c r="J726" s="43">
        <v>9</v>
      </c>
      <c r="K726" s="44">
        <v>4000000</v>
      </c>
      <c r="L726" s="43" t="s">
        <v>992</v>
      </c>
      <c r="M726" s="45">
        <v>46096</v>
      </c>
      <c r="N726" s="41">
        <v>159999.98000000001</v>
      </c>
      <c r="O726" s="42">
        <v>46054</v>
      </c>
      <c r="P726" s="46"/>
      <c r="Q726" s="41">
        <v>159999.98000000001</v>
      </c>
    </row>
    <row r="727" spans="1:17" ht="12" customHeight="1" x14ac:dyDescent="0.3">
      <c r="A727" s="39"/>
      <c r="B727" s="40" t="s">
        <v>1717</v>
      </c>
      <c r="C727" s="41">
        <v>159999.98000000001</v>
      </c>
      <c r="D727" s="42">
        <v>46006</v>
      </c>
      <c r="E727" s="43" t="s">
        <v>2</v>
      </c>
      <c r="F727" s="41">
        <v>0</v>
      </c>
      <c r="G727" s="41">
        <v>0</v>
      </c>
      <c r="H727" s="41">
        <v>159999.98000000001</v>
      </c>
      <c r="I727" s="43">
        <v>90</v>
      </c>
      <c r="J727" s="43">
        <v>9</v>
      </c>
      <c r="K727" s="44">
        <v>4000000</v>
      </c>
      <c r="L727" s="43" t="s">
        <v>992</v>
      </c>
      <c r="M727" s="45">
        <v>46096</v>
      </c>
      <c r="N727" s="41">
        <v>159999.98000000001</v>
      </c>
      <c r="O727" s="42">
        <v>46056</v>
      </c>
      <c r="P727" s="46"/>
      <c r="Q727" s="41">
        <v>159999.98000000001</v>
      </c>
    </row>
    <row r="728" spans="1:17" ht="12" customHeight="1" x14ac:dyDescent="0.3">
      <c r="A728" s="39"/>
      <c r="B728" s="40" t="s">
        <v>1718</v>
      </c>
      <c r="C728" s="41">
        <v>390.6</v>
      </c>
      <c r="D728" s="42">
        <v>46006</v>
      </c>
      <c r="E728" s="43" t="s">
        <v>2</v>
      </c>
      <c r="F728" s="41">
        <v>0</v>
      </c>
      <c r="G728" s="41">
        <v>0</v>
      </c>
      <c r="H728" s="41">
        <v>390.6</v>
      </c>
      <c r="I728" s="43">
        <v>90</v>
      </c>
      <c r="J728" s="43">
        <v>9</v>
      </c>
      <c r="K728" s="44">
        <v>4000000</v>
      </c>
      <c r="L728" s="43" t="s">
        <v>992</v>
      </c>
      <c r="M728" s="45">
        <v>46096</v>
      </c>
      <c r="N728" s="41">
        <v>390.6</v>
      </c>
      <c r="O728" s="42">
        <v>46056</v>
      </c>
      <c r="P728" s="46"/>
      <c r="Q728" s="41">
        <v>390.6</v>
      </c>
    </row>
    <row r="729" spans="1:17" ht="12" customHeight="1" x14ac:dyDescent="0.3">
      <c r="A729" s="39"/>
      <c r="B729" s="40" t="s">
        <v>1719</v>
      </c>
      <c r="C729" s="41">
        <v>134.55000000000001</v>
      </c>
      <c r="D729" s="42">
        <v>46006</v>
      </c>
      <c r="E729" s="43" t="s">
        <v>2</v>
      </c>
      <c r="F729" s="41">
        <v>0</v>
      </c>
      <c r="G729" s="41">
        <v>0</v>
      </c>
      <c r="H729" s="41">
        <v>134.55000000000001</v>
      </c>
      <c r="I729" s="43">
        <v>90</v>
      </c>
      <c r="J729" s="43">
        <v>9</v>
      </c>
      <c r="K729" s="44">
        <v>4000000</v>
      </c>
      <c r="L729" s="43" t="s">
        <v>992</v>
      </c>
      <c r="M729" s="45">
        <v>46096</v>
      </c>
      <c r="N729" s="41">
        <v>134.55000000000001</v>
      </c>
      <c r="O729" s="42">
        <v>46056</v>
      </c>
      <c r="P729" s="46"/>
      <c r="Q729" s="41">
        <v>134.55000000000001</v>
      </c>
    </row>
    <row r="730" spans="1:17" ht="12" customHeight="1" x14ac:dyDescent="0.3">
      <c r="A730" s="39"/>
      <c r="B730" s="40" t="s">
        <v>1720</v>
      </c>
      <c r="C730" s="41">
        <v>960</v>
      </c>
      <c r="D730" s="42">
        <v>46006</v>
      </c>
      <c r="E730" s="43" t="s">
        <v>2</v>
      </c>
      <c r="F730" s="41">
        <v>0</v>
      </c>
      <c r="G730" s="41">
        <v>0</v>
      </c>
      <c r="H730" s="41">
        <v>960</v>
      </c>
      <c r="I730" s="43">
        <v>90</v>
      </c>
      <c r="J730" s="43">
        <v>9</v>
      </c>
      <c r="K730" s="44">
        <v>4000000</v>
      </c>
      <c r="L730" s="43" t="s">
        <v>992</v>
      </c>
      <c r="M730" s="45">
        <v>46096</v>
      </c>
      <c r="N730" s="41">
        <v>960</v>
      </c>
      <c r="O730" s="42">
        <v>46056</v>
      </c>
      <c r="P730" s="46"/>
      <c r="Q730" s="41">
        <v>960</v>
      </c>
    </row>
    <row r="731" spans="1:17" ht="12" customHeight="1" x14ac:dyDescent="0.3">
      <c r="A731" s="39"/>
      <c r="B731" s="40" t="s">
        <v>1721</v>
      </c>
      <c r="C731" s="41">
        <v>85000</v>
      </c>
      <c r="D731" s="42">
        <v>46006</v>
      </c>
      <c r="E731" s="43" t="s">
        <v>2</v>
      </c>
      <c r="F731" s="41">
        <v>0</v>
      </c>
      <c r="G731" s="41">
        <v>0</v>
      </c>
      <c r="H731" s="41">
        <v>85000</v>
      </c>
      <c r="I731" s="43">
        <v>90</v>
      </c>
      <c r="J731" s="43">
        <v>71</v>
      </c>
      <c r="K731" s="44">
        <v>3000000</v>
      </c>
      <c r="L731" s="43" t="s">
        <v>992</v>
      </c>
      <c r="M731" s="45">
        <v>46096</v>
      </c>
      <c r="N731" s="41">
        <v>85000</v>
      </c>
      <c r="O731" s="42">
        <v>46041</v>
      </c>
      <c r="P731" s="46"/>
      <c r="Q731" s="41">
        <v>85000</v>
      </c>
    </row>
    <row r="732" spans="1:17" ht="12" customHeight="1" x14ac:dyDescent="0.3">
      <c r="A732" s="39"/>
      <c r="B732" s="40" t="s">
        <v>1722</v>
      </c>
      <c r="C732" s="41">
        <v>184000</v>
      </c>
      <c r="D732" s="42">
        <v>46006</v>
      </c>
      <c r="E732" s="43" t="s">
        <v>2</v>
      </c>
      <c r="F732" s="41">
        <v>0</v>
      </c>
      <c r="G732" s="41">
        <v>0</v>
      </c>
      <c r="H732" s="41">
        <v>184000</v>
      </c>
      <c r="I732" s="43">
        <v>90</v>
      </c>
      <c r="J732" s="43">
        <v>13</v>
      </c>
      <c r="K732" s="44">
        <v>4975000</v>
      </c>
      <c r="L732" s="43" t="s">
        <v>992</v>
      </c>
      <c r="M732" s="45">
        <v>46096</v>
      </c>
      <c r="N732" s="41">
        <v>184000</v>
      </c>
      <c r="O732" s="42">
        <v>46081</v>
      </c>
      <c r="P732" s="46"/>
      <c r="Q732" s="41">
        <v>184000</v>
      </c>
    </row>
    <row r="733" spans="1:17" ht="12" customHeight="1" x14ac:dyDescent="0.3">
      <c r="A733" s="39"/>
      <c r="B733" s="40" t="s">
        <v>1723</v>
      </c>
      <c r="C733" s="41">
        <v>770000</v>
      </c>
      <c r="D733" s="42">
        <v>46007</v>
      </c>
      <c r="E733" s="43" t="s">
        <v>2</v>
      </c>
      <c r="F733" s="41">
        <v>0</v>
      </c>
      <c r="G733" s="41">
        <v>0</v>
      </c>
      <c r="H733" s="41">
        <v>770000</v>
      </c>
      <c r="I733" s="43">
        <v>90</v>
      </c>
      <c r="J733" s="43">
        <v>116</v>
      </c>
      <c r="K733" s="44">
        <v>2000000</v>
      </c>
      <c r="L733" s="43" t="s">
        <v>992</v>
      </c>
      <c r="M733" s="45">
        <v>46097</v>
      </c>
      <c r="N733" s="41">
        <v>770000</v>
      </c>
      <c r="O733" s="42">
        <v>46020</v>
      </c>
      <c r="P733" s="46"/>
      <c r="Q733" s="41">
        <v>770000</v>
      </c>
    </row>
    <row r="734" spans="1:17" ht="12" customHeight="1" x14ac:dyDescent="0.3">
      <c r="A734" s="39"/>
      <c r="B734" s="40" t="s">
        <v>1724</v>
      </c>
      <c r="C734" s="41">
        <v>100000</v>
      </c>
      <c r="D734" s="42">
        <v>46008</v>
      </c>
      <c r="E734" s="43" t="s">
        <v>2</v>
      </c>
      <c r="F734" s="41">
        <v>0</v>
      </c>
      <c r="G734" s="41">
        <v>0</v>
      </c>
      <c r="H734" s="41">
        <v>100000</v>
      </c>
      <c r="I734" s="43">
        <v>90</v>
      </c>
      <c r="J734" s="43">
        <v>71</v>
      </c>
      <c r="K734" s="44">
        <v>3000000</v>
      </c>
      <c r="L734" s="43" t="s">
        <v>992</v>
      </c>
      <c r="M734" s="45">
        <v>46098</v>
      </c>
      <c r="N734" s="41">
        <v>100000</v>
      </c>
      <c r="O734" s="42">
        <v>46041</v>
      </c>
      <c r="P734" s="46"/>
      <c r="Q734" s="41">
        <v>100000</v>
      </c>
    </row>
    <row r="735" spans="1:17" ht="12" customHeight="1" x14ac:dyDescent="0.3">
      <c r="A735" s="39"/>
      <c r="B735" s="40" t="s">
        <v>1725</v>
      </c>
      <c r="C735" s="41">
        <v>306.44</v>
      </c>
      <c r="D735" s="42">
        <v>46009</v>
      </c>
      <c r="E735" s="43" t="s">
        <v>2</v>
      </c>
      <c r="F735" s="41">
        <v>0</v>
      </c>
      <c r="G735" s="41">
        <v>0</v>
      </c>
      <c r="H735" s="41">
        <v>306.44</v>
      </c>
      <c r="I735" s="43">
        <v>90</v>
      </c>
      <c r="J735" s="43">
        <v>9</v>
      </c>
      <c r="K735" s="44">
        <v>4000000</v>
      </c>
      <c r="L735" s="43" t="s">
        <v>992</v>
      </c>
      <c r="M735" s="45">
        <v>46099</v>
      </c>
      <c r="N735" s="41">
        <v>306.44</v>
      </c>
      <c r="O735" s="42">
        <v>46056</v>
      </c>
      <c r="P735" s="46"/>
      <c r="Q735" s="41">
        <v>306.44</v>
      </c>
    </row>
    <row r="736" spans="1:17" ht="12" customHeight="1" x14ac:dyDescent="0.3">
      <c r="A736" s="39"/>
      <c r="B736" s="40" t="s">
        <v>1726</v>
      </c>
      <c r="C736" s="41">
        <v>148</v>
      </c>
      <c r="D736" s="42">
        <v>46009</v>
      </c>
      <c r="E736" s="43" t="s">
        <v>2</v>
      </c>
      <c r="F736" s="41">
        <v>0</v>
      </c>
      <c r="G736" s="41">
        <v>0</v>
      </c>
      <c r="H736" s="41">
        <v>148</v>
      </c>
      <c r="I736" s="43">
        <v>90</v>
      </c>
      <c r="J736" s="43">
        <v>9</v>
      </c>
      <c r="K736" s="44">
        <v>4000000</v>
      </c>
      <c r="L736" s="43" t="s">
        <v>992</v>
      </c>
      <c r="M736" s="45">
        <v>46099</v>
      </c>
      <c r="N736" s="41">
        <v>148</v>
      </c>
      <c r="O736" s="42">
        <v>46056</v>
      </c>
      <c r="P736" s="46"/>
      <c r="Q736" s="41">
        <v>148</v>
      </c>
    </row>
    <row r="737" spans="1:17" ht="12" customHeight="1" x14ac:dyDescent="0.3">
      <c r="A737" s="39"/>
      <c r="B737" s="40" t="s">
        <v>1727</v>
      </c>
      <c r="C737" s="41">
        <v>252</v>
      </c>
      <c r="D737" s="42">
        <v>46009</v>
      </c>
      <c r="E737" s="43" t="s">
        <v>2</v>
      </c>
      <c r="F737" s="41">
        <v>0</v>
      </c>
      <c r="G737" s="41">
        <v>0</v>
      </c>
      <c r="H737" s="41">
        <v>252</v>
      </c>
      <c r="I737" s="43">
        <v>90</v>
      </c>
      <c r="J737" s="43">
        <v>9</v>
      </c>
      <c r="K737" s="44">
        <v>4000000</v>
      </c>
      <c r="L737" s="43" t="s">
        <v>992</v>
      </c>
      <c r="M737" s="45">
        <v>46099</v>
      </c>
      <c r="N737" s="41">
        <v>252</v>
      </c>
      <c r="O737" s="42">
        <v>46056</v>
      </c>
      <c r="P737" s="46"/>
      <c r="Q737" s="41">
        <v>252</v>
      </c>
    </row>
    <row r="738" spans="1:17" ht="12" customHeight="1" x14ac:dyDescent="0.3">
      <c r="A738" s="39"/>
      <c r="B738" s="40" t="s">
        <v>1728</v>
      </c>
      <c r="C738" s="41">
        <v>120000</v>
      </c>
      <c r="D738" s="42">
        <v>46009</v>
      </c>
      <c r="E738" s="43" t="s">
        <v>2</v>
      </c>
      <c r="F738" s="41">
        <v>0</v>
      </c>
      <c r="G738" s="41">
        <v>0</v>
      </c>
      <c r="H738" s="41">
        <v>120000</v>
      </c>
      <c r="I738" s="43">
        <v>90</v>
      </c>
      <c r="J738" s="43">
        <v>9</v>
      </c>
      <c r="K738" s="44">
        <v>4000000</v>
      </c>
      <c r="L738" s="43" t="s">
        <v>992</v>
      </c>
      <c r="M738" s="45">
        <v>46099</v>
      </c>
      <c r="N738" s="41">
        <v>120000</v>
      </c>
      <c r="O738" s="42">
        <v>46057</v>
      </c>
      <c r="P738" s="46"/>
      <c r="Q738" s="41">
        <v>120000</v>
      </c>
    </row>
    <row r="739" spans="1:17" ht="12" customHeight="1" x14ac:dyDescent="0.3">
      <c r="A739" s="39"/>
      <c r="B739" s="40" t="s">
        <v>1729</v>
      </c>
      <c r="C739" s="41">
        <v>100000</v>
      </c>
      <c r="D739" s="42">
        <v>46009</v>
      </c>
      <c r="E739" s="43" t="s">
        <v>2</v>
      </c>
      <c r="F739" s="41">
        <v>0</v>
      </c>
      <c r="G739" s="41">
        <v>0</v>
      </c>
      <c r="H739" s="41">
        <v>100000</v>
      </c>
      <c r="I739" s="43">
        <v>90</v>
      </c>
      <c r="J739" s="43">
        <v>71</v>
      </c>
      <c r="K739" s="44">
        <v>3000000</v>
      </c>
      <c r="L739" s="43" t="s">
        <v>992</v>
      </c>
      <c r="M739" s="45">
        <v>46099</v>
      </c>
      <c r="N739" s="41">
        <v>100000</v>
      </c>
      <c r="O739" s="42">
        <v>46041</v>
      </c>
      <c r="P739" s="46"/>
      <c r="Q739" s="41">
        <v>100000</v>
      </c>
    </row>
    <row r="740" spans="1:17" ht="12" customHeight="1" x14ac:dyDescent="0.3">
      <c r="A740" s="39"/>
      <c r="B740" s="40" t="s">
        <v>1730</v>
      </c>
      <c r="C740" s="41">
        <v>4999999.99</v>
      </c>
      <c r="D740" s="42">
        <v>46009</v>
      </c>
      <c r="E740" s="43" t="s">
        <v>2</v>
      </c>
      <c r="F740" s="41">
        <v>0</v>
      </c>
      <c r="G740" s="41">
        <v>0</v>
      </c>
      <c r="H740" s="41">
        <v>4999999.99</v>
      </c>
      <c r="I740" s="43">
        <v>90</v>
      </c>
      <c r="J740" s="43">
        <v>197</v>
      </c>
      <c r="K740" s="44">
        <v>7000000</v>
      </c>
      <c r="L740" s="43" t="s">
        <v>992</v>
      </c>
      <c r="M740" s="45">
        <v>46099</v>
      </c>
      <c r="N740" s="41">
        <v>4999999.99</v>
      </c>
      <c r="O740" s="42">
        <v>46012</v>
      </c>
      <c r="P740" s="46"/>
      <c r="Q740" s="41">
        <v>4999999.99</v>
      </c>
    </row>
    <row r="741" spans="1:17" ht="12" customHeight="1" x14ac:dyDescent="0.3">
      <c r="A741" s="39"/>
      <c r="B741" s="40" t="s">
        <v>1731</v>
      </c>
      <c r="C741" s="41">
        <v>150000</v>
      </c>
      <c r="D741" s="42">
        <v>46010</v>
      </c>
      <c r="E741" s="43" t="s">
        <v>2</v>
      </c>
      <c r="F741" s="41">
        <v>0</v>
      </c>
      <c r="G741" s="41">
        <v>0</v>
      </c>
      <c r="H741" s="41">
        <v>150000</v>
      </c>
      <c r="I741" s="43">
        <v>90</v>
      </c>
      <c r="J741" s="43">
        <v>71</v>
      </c>
      <c r="K741" s="44">
        <v>3000000</v>
      </c>
      <c r="L741" s="43" t="s">
        <v>992</v>
      </c>
      <c r="M741" s="45">
        <v>46100</v>
      </c>
      <c r="N741" s="41">
        <v>150000</v>
      </c>
      <c r="O741" s="42">
        <v>46042</v>
      </c>
      <c r="P741" s="46"/>
      <c r="Q741" s="41">
        <v>150000</v>
      </c>
    </row>
    <row r="742" spans="1:17" ht="12" customHeight="1" x14ac:dyDescent="0.3">
      <c r="A742" s="39"/>
      <c r="B742" s="40" t="s">
        <v>1732</v>
      </c>
      <c r="C742" s="41">
        <v>4999999.99</v>
      </c>
      <c r="D742" s="42">
        <v>46010</v>
      </c>
      <c r="E742" s="43" t="s">
        <v>2</v>
      </c>
      <c r="F742" s="41">
        <v>0</v>
      </c>
      <c r="G742" s="41">
        <v>0</v>
      </c>
      <c r="H742" s="41">
        <v>4999999.99</v>
      </c>
      <c r="I742" s="43">
        <v>90</v>
      </c>
      <c r="J742" s="43">
        <v>197</v>
      </c>
      <c r="K742" s="44">
        <v>7000000</v>
      </c>
      <c r="L742" s="43" t="s">
        <v>992</v>
      </c>
      <c r="M742" s="45">
        <v>46100</v>
      </c>
      <c r="N742" s="41">
        <v>4999999.99</v>
      </c>
      <c r="O742" s="42">
        <v>46014</v>
      </c>
      <c r="P742" s="46"/>
      <c r="Q742" s="41">
        <v>4999999.99</v>
      </c>
    </row>
    <row r="743" spans="1:17" ht="12" customHeight="1" x14ac:dyDescent="0.3">
      <c r="A743" s="39"/>
      <c r="B743" s="40" t="s">
        <v>1733</v>
      </c>
      <c r="C743" s="41">
        <v>5000000</v>
      </c>
      <c r="D743" s="42">
        <v>46012</v>
      </c>
      <c r="E743" s="43" t="s">
        <v>2</v>
      </c>
      <c r="F743" s="41">
        <v>0</v>
      </c>
      <c r="G743" s="41">
        <v>0</v>
      </c>
      <c r="H743" s="41">
        <v>5000000</v>
      </c>
      <c r="I743" s="43">
        <v>90</v>
      </c>
      <c r="J743" s="43">
        <v>197</v>
      </c>
      <c r="K743" s="44">
        <v>7000000</v>
      </c>
      <c r="L743" s="43" t="s">
        <v>992</v>
      </c>
      <c r="M743" s="45">
        <v>46103</v>
      </c>
      <c r="N743" s="41">
        <v>5000000</v>
      </c>
      <c r="O743" s="42">
        <v>46019</v>
      </c>
      <c r="P743" s="46"/>
      <c r="Q743" s="41">
        <v>5000000</v>
      </c>
    </row>
    <row r="744" spans="1:17" ht="12" customHeight="1" x14ac:dyDescent="0.3">
      <c r="A744" s="39"/>
      <c r="B744" s="40" t="s">
        <v>1734</v>
      </c>
      <c r="C744" s="41">
        <v>115000</v>
      </c>
      <c r="D744" s="42">
        <v>46012</v>
      </c>
      <c r="E744" s="43" t="s">
        <v>2</v>
      </c>
      <c r="F744" s="41">
        <v>0</v>
      </c>
      <c r="G744" s="41">
        <v>0</v>
      </c>
      <c r="H744" s="41">
        <v>115000</v>
      </c>
      <c r="I744" s="43">
        <v>90</v>
      </c>
      <c r="J744" s="43">
        <v>71</v>
      </c>
      <c r="K744" s="44">
        <v>3000000</v>
      </c>
      <c r="L744" s="43" t="s">
        <v>992</v>
      </c>
      <c r="M744" s="45">
        <v>46103</v>
      </c>
      <c r="N744" s="41">
        <v>115000</v>
      </c>
      <c r="O744" s="42">
        <v>46042</v>
      </c>
      <c r="P744" s="46"/>
      <c r="Q744" s="41">
        <v>115000</v>
      </c>
    </row>
    <row r="745" spans="1:17" ht="12" customHeight="1" x14ac:dyDescent="0.3">
      <c r="A745" s="39"/>
      <c r="B745" s="40" t="s">
        <v>1735</v>
      </c>
      <c r="C745" s="41">
        <v>155000</v>
      </c>
      <c r="D745" s="42">
        <v>46012</v>
      </c>
      <c r="E745" s="43" t="s">
        <v>2</v>
      </c>
      <c r="F745" s="41">
        <v>0</v>
      </c>
      <c r="G745" s="41">
        <v>0</v>
      </c>
      <c r="H745" s="41">
        <v>155000</v>
      </c>
      <c r="I745" s="43">
        <v>90</v>
      </c>
      <c r="J745" s="43">
        <v>13</v>
      </c>
      <c r="K745" s="44">
        <v>5000000</v>
      </c>
      <c r="L745" s="43" t="s">
        <v>992</v>
      </c>
      <c r="M745" s="45">
        <v>46103</v>
      </c>
      <c r="N745" s="41">
        <v>155000</v>
      </c>
      <c r="O745" s="42">
        <v>46081</v>
      </c>
      <c r="P745" s="46"/>
      <c r="Q745" s="41">
        <v>155000</v>
      </c>
    </row>
    <row r="746" spans="1:17" ht="12" customHeight="1" x14ac:dyDescent="0.3">
      <c r="A746" s="39"/>
      <c r="B746" s="40" t="s">
        <v>1736</v>
      </c>
      <c r="C746" s="41">
        <v>302</v>
      </c>
      <c r="D746" s="42">
        <v>46012</v>
      </c>
      <c r="E746" s="43" t="s">
        <v>2</v>
      </c>
      <c r="F746" s="41">
        <v>0</v>
      </c>
      <c r="G746" s="41">
        <v>0</v>
      </c>
      <c r="H746" s="41">
        <v>302</v>
      </c>
      <c r="I746" s="43">
        <v>90</v>
      </c>
      <c r="J746" s="43">
        <v>9</v>
      </c>
      <c r="K746" s="44">
        <v>4000000</v>
      </c>
      <c r="L746" s="43" t="s">
        <v>992</v>
      </c>
      <c r="M746" s="45">
        <v>46103</v>
      </c>
      <c r="N746" s="41">
        <v>302</v>
      </c>
      <c r="O746" s="42">
        <v>46057</v>
      </c>
      <c r="P746" s="46"/>
      <c r="Q746" s="41">
        <v>302</v>
      </c>
    </row>
    <row r="747" spans="1:17" ht="12" customHeight="1" x14ac:dyDescent="0.3">
      <c r="A747" s="39"/>
      <c r="B747" s="40" t="s">
        <v>1737</v>
      </c>
      <c r="C747" s="41">
        <v>3946.51</v>
      </c>
      <c r="D747" s="42">
        <v>46012</v>
      </c>
      <c r="E747" s="43" t="s">
        <v>2</v>
      </c>
      <c r="F747" s="41">
        <v>0</v>
      </c>
      <c r="G747" s="41">
        <v>0</v>
      </c>
      <c r="H747" s="41">
        <v>3946.51</v>
      </c>
      <c r="I747" s="43">
        <v>90</v>
      </c>
      <c r="J747" s="43">
        <v>9</v>
      </c>
      <c r="K747" s="44">
        <v>4000000</v>
      </c>
      <c r="L747" s="43" t="s">
        <v>992</v>
      </c>
      <c r="M747" s="45">
        <v>46103</v>
      </c>
      <c r="N747" s="41">
        <v>3946.51</v>
      </c>
      <c r="O747" s="42">
        <v>46057</v>
      </c>
      <c r="P747" s="46"/>
      <c r="Q747" s="41">
        <v>3946.51</v>
      </c>
    </row>
    <row r="748" spans="1:17" ht="12" customHeight="1" x14ac:dyDescent="0.3">
      <c r="A748" s="39"/>
      <c r="B748" s="40" t="s">
        <v>1738</v>
      </c>
      <c r="C748" s="41">
        <v>1899.99</v>
      </c>
      <c r="D748" s="42">
        <v>46012</v>
      </c>
      <c r="E748" s="43" t="s">
        <v>2</v>
      </c>
      <c r="F748" s="41">
        <v>0</v>
      </c>
      <c r="G748" s="41">
        <v>0</v>
      </c>
      <c r="H748" s="41">
        <v>1899.99</v>
      </c>
      <c r="I748" s="43">
        <v>90</v>
      </c>
      <c r="J748" s="43">
        <v>9</v>
      </c>
      <c r="K748" s="44">
        <v>4000000</v>
      </c>
      <c r="L748" s="43" t="s">
        <v>992</v>
      </c>
      <c r="M748" s="45">
        <v>46103</v>
      </c>
      <c r="N748" s="41">
        <v>1899.99</v>
      </c>
      <c r="O748" s="42">
        <v>46057</v>
      </c>
      <c r="P748" s="46"/>
      <c r="Q748" s="41">
        <v>1899.99</v>
      </c>
    </row>
    <row r="749" spans="1:17" ht="12" customHeight="1" x14ac:dyDescent="0.3">
      <c r="A749" s="39"/>
      <c r="B749" s="40" t="s">
        <v>1739</v>
      </c>
      <c r="C749" s="41">
        <v>134</v>
      </c>
      <c r="D749" s="42">
        <v>46012</v>
      </c>
      <c r="E749" s="43" t="s">
        <v>2</v>
      </c>
      <c r="F749" s="41">
        <v>0</v>
      </c>
      <c r="G749" s="41">
        <v>0</v>
      </c>
      <c r="H749" s="41">
        <v>134</v>
      </c>
      <c r="I749" s="43">
        <v>90</v>
      </c>
      <c r="J749" s="43">
        <v>9</v>
      </c>
      <c r="K749" s="44">
        <v>4000000</v>
      </c>
      <c r="L749" s="43" t="s">
        <v>992</v>
      </c>
      <c r="M749" s="45">
        <v>46103</v>
      </c>
      <c r="N749" s="41">
        <v>134</v>
      </c>
      <c r="O749" s="42">
        <v>46057</v>
      </c>
      <c r="P749" s="46"/>
      <c r="Q749" s="41">
        <v>134</v>
      </c>
    </row>
    <row r="750" spans="1:17" ht="12" customHeight="1" x14ac:dyDescent="0.3">
      <c r="A750" s="39"/>
      <c r="B750" s="40" t="s">
        <v>1740</v>
      </c>
      <c r="C750" s="41">
        <v>151</v>
      </c>
      <c r="D750" s="42">
        <v>46012</v>
      </c>
      <c r="E750" s="43" t="s">
        <v>2</v>
      </c>
      <c r="F750" s="41">
        <v>0</v>
      </c>
      <c r="G750" s="41">
        <v>0</v>
      </c>
      <c r="H750" s="41">
        <v>151</v>
      </c>
      <c r="I750" s="43">
        <v>90</v>
      </c>
      <c r="J750" s="43">
        <v>9</v>
      </c>
      <c r="K750" s="44">
        <v>4000000</v>
      </c>
      <c r="L750" s="43" t="s">
        <v>992</v>
      </c>
      <c r="M750" s="45">
        <v>46103</v>
      </c>
      <c r="N750" s="41">
        <v>151</v>
      </c>
      <c r="O750" s="42">
        <v>46057</v>
      </c>
      <c r="P750" s="46"/>
      <c r="Q750" s="41">
        <v>151</v>
      </c>
    </row>
    <row r="751" spans="1:17" ht="12" customHeight="1" x14ac:dyDescent="0.3">
      <c r="A751" s="39"/>
      <c r="B751" s="40" t="s">
        <v>1741</v>
      </c>
      <c r="C751" s="41">
        <v>350</v>
      </c>
      <c r="D751" s="42">
        <v>46012</v>
      </c>
      <c r="E751" s="43" t="s">
        <v>2</v>
      </c>
      <c r="F751" s="41">
        <v>0</v>
      </c>
      <c r="G751" s="41">
        <v>0</v>
      </c>
      <c r="H751" s="41">
        <v>350</v>
      </c>
      <c r="I751" s="43">
        <v>90</v>
      </c>
      <c r="J751" s="43">
        <v>9</v>
      </c>
      <c r="K751" s="44">
        <v>4000000</v>
      </c>
      <c r="L751" s="43" t="s">
        <v>992</v>
      </c>
      <c r="M751" s="45">
        <v>46103</v>
      </c>
      <c r="N751" s="41">
        <v>350</v>
      </c>
      <c r="O751" s="42">
        <v>46057</v>
      </c>
      <c r="P751" s="46"/>
      <c r="Q751" s="41">
        <v>350</v>
      </c>
    </row>
    <row r="752" spans="1:17" ht="12" customHeight="1" x14ac:dyDescent="0.3">
      <c r="A752" s="39"/>
      <c r="B752" s="40" t="s">
        <v>1742</v>
      </c>
      <c r="C752" s="41">
        <v>480</v>
      </c>
      <c r="D752" s="42">
        <v>46012</v>
      </c>
      <c r="E752" s="43" t="s">
        <v>2</v>
      </c>
      <c r="F752" s="41">
        <v>0</v>
      </c>
      <c r="G752" s="41">
        <v>0</v>
      </c>
      <c r="H752" s="41">
        <v>480</v>
      </c>
      <c r="I752" s="43">
        <v>90</v>
      </c>
      <c r="J752" s="43">
        <v>9</v>
      </c>
      <c r="K752" s="44">
        <v>4000000</v>
      </c>
      <c r="L752" s="43" t="s">
        <v>992</v>
      </c>
      <c r="M752" s="45">
        <v>46103</v>
      </c>
      <c r="N752" s="41">
        <v>480</v>
      </c>
      <c r="O752" s="42">
        <v>46057</v>
      </c>
      <c r="P752" s="46"/>
      <c r="Q752" s="41">
        <v>480</v>
      </c>
    </row>
    <row r="753" spans="1:17" ht="12" customHeight="1" x14ac:dyDescent="0.3">
      <c r="A753" s="39"/>
      <c r="B753" s="40" t="s">
        <v>1743</v>
      </c>
      <c r="C753" s="41">
        <v>799999.82</v>
      </c>
      <c r="D753" s="42">
        <v>46012</v>
      </c>
      <c r="E753" s="43" t="s">
        <v>2</v>
      </c>
      <c r="F753" s="41">
        <v>0</v>
      </c>
      <c r="G753" s="41">
        <v>0</v>
      </c>
      <c r="H753" s="41">
        <v>799999.82</v>
      </c>
      <c r="I753" s="43">
        <v>90</v>
      </c>
      <c r="J753" s="43">
        <v>116</v>
      </c>
      <c r="K753" s="44">
        <v>2000000</v>
      </c>
      <c r="L753" s="43" t="s">
        <v>992</v>
      </c>
      <c r="M753" s="45">
        <v>46103</v>
      </c>
      <c r="N753" s="41">
        <v>799999.82</v>
      </c>
      <c r="O753" s="42">
        <v>46021</v>
      </c>
      <c r="P753" s="46"/>
      <c r="Q753" s="41">
        <v>799999.82</v>
      </c>
    </row>
    <row r="754" spans="1:17" ht="12" customHeight="1" x14ac:dyDescent="0.3">
      <c r="A754" s="39"/>
      <c r="B754" s="40" t="s">
        <v>1744</v>
      </c>
      <c r="C754" s="41">
        <v>346500</v>
      </c>
      <c r="D754" s="42">
        <v>46012</v>
      </c>
      <c r="E754" s="43" t="s">
        <v>2</v>
      </c>
      <c r="F754" s="41">
        <v>0</v>
      </c>
      <c r="G754" s="41">
        <v>0</v>
      </c>
      <c r="H754" s="41">
        <v>346500</v>
      </c>
      <c r="I754" s="43">
        <v>90</v>
      </c>
      <c r="J754" s="43">
        <v>16</v>
      </c>
      <c r="K754" s="44">
        <v>800000</v>
      </c>
      <c r="L754" s="43" t="s">
        <v>992</v>
      </c>
      <c r="M754" s="45">
        <v>46103</v>
      </c>
      <c r="N754" s="41">
        <v>346500</v>
      </c>
      <c r="O754" s="42">
        <v>46112</v>
      </c>
      <c r="P754" s="46"/>
      <c r="Q754" s="41">
        <v>346500</v>
      </c>
    </row>
    <row r="755" spans="1:17" ht="12" customHeight="1" x14ac:dyDescent="0.3">
      <c r="A755" s="39"/>
      <c r="B755" s="40" t="s">
        <v>1745</v>
      </c>
      <c r="C755" s="41">
        <v>3027082.68</v>
      </c>
      <c r="D755" s="42">
        <v>46013</v>
      </c>
      <c r="E755" s="43" t="s">
        <v>2</v>
      </c>
      <c r="F755" s="41">
        <v>0</v>
      </c>
      <c r="G755" s="41">
        <v>0</v>
      </c>
      <c r="H755" s="41">
        <v>3027082.68</v>
      </c>
      <c r="I755" s="43">
        <v>90</v>
      </c>
      <c r="J755" s="43">
        <v>20</v>
      </c>
      <c r="K755" s="44">
        <v>3000000</v>
      </c>
      <c r="L755" s="43" t="s">
        <v>992</v>
      </c>
      <c r="M755" s="45">
        <v>46103</v>
      </c>
      <c r="N755" s="41">
        <v>3027082.68</v>
      </c>
      <c r="O755" s="42">
        <v>46048</v>
      </c>
      <c r="P755" s="46"/>
      <c r="Q755" s="41">
        <v>3027082.68</v>
      </c>
    </row>
    <row r="756" spans="1:17" ht="12" customHeight="1" x14ac:dyDescent="0.3">
      <c r="A756" s="39"/>
      <c r="B756" s="40" t="s">
        <v>1746</v>
      </c>
      <c r="C756" s="41">
        <v>85000</v>
      </c>
      <c r="D756" s="42">
        <v>46014</v>
      </c>
      <c r="E756" s="43" t="s">
        <v>2</v>
      </c>
      <c r="F756" s="41">
        <v>0</v>
      </c>
      <c r="G756" s="41">
        <v>0</v>
      </c>
      <c r="H756" s="41">
        <v>85000</v>
      </c>
      <c r="I756" s="43">
        <v>90</v>
      </c>
      <c r="J756" s="43">
        <v>13</v>
      </c>
      <c r="K756" s="44">
        <v>5000000</v>
      </c>
      <c r="L756" s="43" t="s">
        <v>992</v>
      </c>
      <c r="M756" s="45">
        <v>46104</v>
      </c>
      <c r="N756" s="41">
        <v>85000</v>
      </c>
      <c r="O756" s="42">
        <v>46081</v>
      </c>
      <c r="P756" s="46"/>
      <c r="Q756" s="41">
        <v>85000</v>
      </c>
    </row>
    <row r="757" spans="1:17" ht="12" customHeight="1" x14ac:dyDescent="0.3">
      <c r="A757" s="39"/>
      <c r="B757" s="40" t="s">
        <v>1747</v>
      </c>
      <c r="C757" s="41">
        <v>282800</v>
      </c>
      <c r="D757" s="42">
        <v>46014</v>
      </c>
      <c r="E757" s="43" t="s">
        <v>2</v>
      </c>
      <c r="F757" s="41">
        <v>0</v>
      </c>
      <c r="G757" s="41">
        <v>0</v>
      </c>
      <c r="H757" s="41">
        <v>282800</v>
      </c>
      <c r="I757" s="43">
        <v>90</v>
      </c>
      <c r="J757" s="43">
        <v>71</v>
      </c>
      <c r="K757" s="44">
        <v>4000000</v>
      </c>
      <c r="L757" s="43" t="s">
        <v>992</v>
      </c>
      <c r="M757" s="45">
        <v>46104</v>
      </c>
      <c r="N757" s="41">
        <v>282800</v>
      </c>
      <c r="O757" s="42">
        <v>46043</v>
      </c>
      <c r="P757" s="46"/>
      <c r="Q757" s="41">
        <v>282800</v>
      </c>
    </row>
    <row r="758" spans="1:17" ht="12" customHeight="1" x14ac:dyDescent="0.3">
      <c r="A758" s="39"/>
      <c r="B758" s="40" t="s">
        <v>1748</v>
      </c>
      <c r="C758" s="41">
        <v>91834.2</v>
      </c>
      <c r="D758" s="42">
        <v>46014</v>
      </c>
      <c r="E758" s="43" t="s">
        <v>2</v>
      </c>
      <c r="F758" s="41">
        <v>0</v>
      </c>
      <c r="G758" s="41">
        <v>0</v>
      </c>
      <c r="H758" s="41">
        <v>91834.2</v>
      </c>
      <c r="I758" s="43">
        <v>90</v>
      </c>
      <c r="J758" s="43">
        <v>8</v>
      </c>
      <c r="K758" s="44">
        <v>3000000</v>
      </c>
      <c r="L758" s="43" t="s">
        <v>992</v>
      </c>
      <c r="M758" s="45">
        <v>46104</v>
      </c>
      <c r="N758" s="41">
        <v>91834.2</v>
      </c>
      <c r="O758" s="42">
        <v>46081</v>
      </c>
      <c r="P758" s="46"/>
      <c r="Q758" s="41">
        <v>91834.2</v>
      </c>
    </row>
    <row r="759" spans="1:17" ht="12" customHeight="1" x14ac:dyDescent="0.3">
      <c r="A759" s="39"/>
      <c r="B759" s="40" t="s">
        <v>1749</v>
      </c>
      <c r="C759" s="41">
        <v>100554.6</v>
      </c>
      <c r="D759" s="42">
        <v>46014</v>
      </c>
      <c r="E759" s="43" t="s">
        <v>2</v>
      </c>
      <c r="F759" s="41">
        <v>0</v>
      </c>
      <c r="G759" s="41">
        <v>0</v>
      </c>
      <c r="H759" s="41">
        <v>100554.6</v>
      </c>
      <c r="I759" s="43">
        <v>90</v>
      </c>
      <c r="J759" s="43">
        <v>8</v>
      </c>
      <c r="K759" s="44">
        <v>3000000</v>
      </c>
      <c r="L759" s="43" t="s">
        <v>992</v>
      </c>
      <c r="M759" s="45">
        <v>46104</v>
      </c>
      <c r="N759" s="41">
        <v>100554.6</v>
      </c>
      <c r="O759" s="42">
        <v>46081</v>
      </c>
      <c r="P759" s="46"/>
      <c r="Q759" s="41">
        <v>100554.6</v>
      </c>
    </row>
    <row r="760" spans="1:17" ht="12" customHeight="1" x14ac:dyDescent="0.3">
      <c r="A760" s="39"/>
      <c r="B760" s="40" t="s">
        <v>1750</v>
      </c>
      <c r="C760" s="41">
        <v>100000</v>
      </c>
      <c r="D760" s="42">
        <v>46014</v>
      </c>
      <c r="E760" s="43" t="s">
        <v>2</v>
      </c>
      <c r="F760" s="41">
        <v>0</v>
      </c>
      <c r="G760" s="41">
        <v>0</v>
      </c>
      <c r="H760" s="41">
        <v>100000</v>
      </c>
      <c r="I760" s="43">
        <v>90</v>
      </c>
      <c r="J760" s="43">
        <v>13</v>
      </c>
      <c r="K760" s="44">
        <v>5000000</v>
      </c>
      <c r="L760" s="43" t="s">
        <v>992</v>
      </c>
      <c r="M760" s="45">
        <v>46104</v>
      </c>
      <c r="N760" s="41">
        <v>100000</v>
      </c>
      <c r="O760" s="42">
        <v>46081</v>
      </c>
      <c r="P760" s="46"/>
      <c r="Q760" s="41">
        <v>100000</v>
      </c>
    </row>
    <row r="761" spans="1:17" ht="12" customHeight="1" x14ac:dyDescent="0.3">
      <c r="A761" s="39"/>
      <c r="B761" s="40" t="s">
        <v>1751</v>
      </c>
      <c r="C761" s="41">
        <v>250000</v>
      </c>
      <c r="D761" s="42">
        <v>46014</v>
      </c>
      <c r="E761" s="43" t="s">
        <v>2</v>
      </c>
      <c r="F761" s="41">
        <v>0</v>
      </c>
      <c r="G761" s="41">
        <v>0</v>
      </c>
      <c r="H761" s="41">
        <v>250000</v>
      </c>
      <c r="I761" s="43">
        <v>90</v>
      </c>
      <c r="J761" s="43">
        <v>71</v>
      </c>
      <c r="K761" s="44">
        <v>4000000</v>
      </c>
      <c r="L761" s="43" t="s">
        <v>992</v>
      </c>
      <c r="M761" s="45">
        <v>46104</v>
      </c>
      <c r="N761" s="41">
        <v>250000</v>
      </c>
      <c r="O761" s="42">
        <v>46044</v>
      </c>
      <c r="P761" s="46"/>
      <c r="Q761" s="41">
        <v>250000</v>
      </c>
    </row>
    <row r="762" spans="1:17" ht="12" customHeight="1" x14ac:dyDescent="0.3">
      <c r="A762" s="39"/>
      <c r="B762" s="40" t="s">
        <v>1752</v>
      </c>
      <c r="C762" s="41">
        <v>250000</v>
      </c>
      <c r="D762" s="42">
        <v>46014</v>
      </c>
      <c r="E762" s="43" t="s">
        <v>2</v>
      </c>
      <c r="F762" s="41">
        <v>0</v>
      </c>
      <c r="G762" s="41">
        <v>0</v>
      </c>
      <c r="H762" s="41">
        <v>250000</v>
      </c>
      <c r="I762" s="43">
        <v>90</v>
      </c>
      <c r="J762" s="43">
        <v>71</v>
      </c>
      <c r="K762" s="44">
        <v>4000000</v>
      </c>
      <c r="L762" s="43" t="s">
        <v>992</v>
      </c>
      <c r="M762" s="45">
        <v>46104</v>
      </c>
      <c r="N762" s="41">
        <v>250000</v>
      </c>
      <c r="O762" s="42">
        <v>46047</v>
      </c>
      <c r="P762" s="46"/>
      <c r="Q762" s="41">
        <v>250000</v>
      </c>
    </row>
    <row r="763" spans="1:17" ht="12" customHeight="1" x14ac:dyDescent="0.3">
      <c r="A763" s="39"/>
      <c r="B763" s="40" t="s">
        <v>1753</v>
      </c>
      <c r="C763" s="41">
        <v>250000</v>
      </c>
      <c r="D763" s="42">
        <v>46014</v>
      </c>
      <c r="E763" s="43" t="s">
        <v>2</v>
      </c>
      <c r="F763" s="41">
        <v>0</v>
      </c>
      <c r="G763" s="41">
        <v>0</v>
      </c>
      <c r="H763" s="41">
        <v>250000</v>
      </c>
      <c r="I763" s="43">
        <v>90</v>
      </c>
      <c r="J763" s="43">
        <v>71</v>
      </c>
      <c r="K763" s="44">
        <v>4000000</v>
      </c>
      <c r="L763" s="43" t="s">
        <v>992</v>
      </c>
      <c r="M763" s="45">
        <v>46104</v>
      </c>
      <c r="N763" s="41">
        <v>250000</v>
      </c>
      <c r="O763" s="42">
        <v>46047</v>
      </c>
      <c r="P763" s="46"/>
      <c r="Q763" s="41">
        <v>250000</v>
      </c>
    </row>
    <row r="764" spans="1:17" ht="12" customHeight="1" x14ac:dyDescent="0.3">
      <c r="A764" s="39"/>
      <c r="B764" s="40" t="s">
        <v>1754</v>
      </c>
      <c r="C764" s="41">
        <v>250000</v>
      </c>
      <c r="D764" s="42">
        <v>46014</v>
      </c>
      <c r="E764" s="43" t="s">
        <v>2</v>
      </c>
      <c r="F764" s="41">
        <v>0</v>
      </c>
      <c r="G764" s="41">
        <v>0</v>
      </c>
      <c r="H764" s="41">
        <v>250000</v>
      </c>
      <c r="I764" s="43">
        <v>90</v>
      </c>
      <c r="J764" s="43">
        <v>71</v>
      </c>
      <c r="K764" s="44">
        <v>4000000</v>
      </c>
      <c r="L764" s="43" t="s">
        <v>992</v>
      </c>
      <c r="M764" s="45">
        <v>46104</v>
      </c>
      <c r="N764" s="41">
        <v>250000</v>
      </c>
      <c r="O764" s="42">
        <v>46048</v>
      </c>
      <c r="P764" s="46"/>
      <c r="Q764" s="41">
        <v>250000</v>
      </c>
    </row>
    <row r="765" spans="1:17" ht="12" customHeight="1" x14ac:dyDescent="0.3">
      <c r="A765" s="39"/>
      <c r="B765" s="40" t="s">
        <v>1755</v>
      </c>
      <c r="C765" s="41">
        <v>55000</v>
      </c>
      <c r="D765" s="42">
        <v>46015</v>
      </c>
      <c r="E765" s="43" t="s">
        <v>2</v>
      </c>
      <c r="F765" s="41">
        <v>0</v>
      </c>
      <c r="G765" s="41">
        <v>0</v>
      </c>
      <c r="H765" s="41">
        <v>55000</v>
      </c>
      <c r="I765" s="43">
        <v>90</v>
      </c>
      <c r="J765" s="43">
        <v>16</v>
      </c>
      <c r="K765" s="44">
        <v>800000</v>
      </c>
      <c r="L765" s="43" t="s">
        <v>992</v>
      </c>
      <c r="M765" s="45">
        <v>46105</v>
      </c>
      <c r="N765" s="41">
        <v>55000</v>
      </c>
      <c r="O765" s="42">
        <v>46112</v>
      </c>
      <c r="P765" s="46"/>
      <c r="Q765" s="41">
        <v>55000</v>
      </c>
    </row>
    <row r="766" spans="1:17" ht="12" customHeight="1" x14ac:dyDescent="0.3">
      <c r="A766" s="39"/>
      <c r="B766" s="40" t="s">
        <v>1756</v>
      </c>
      <c r="C766" s="41">
        <v>167200.71</v>
      </c>
      <c r="D766" s="42">
        <v>46015</v>
      </c>
      <c r="E766" s="43" t="s">
        <v>2</v>
      </c>
      <c r="F766" s="41">
        <v>0</v>
      </c>
      <c r="G766" s="41">
        <v>0</v>
      </c>
      <c r="H766" s="41">
        <v>167200.71</v>
      </c>
      <c r="I766" s="43">
        <v>90</v>
      </c>
      <c r="J766" s="43">
        <v>71</v>
      </c>
      <c r="K766" s="44">
        <v>4000000</v>
      </c>
      <c r="L766" s="43" t="s">
        <v>992</v>
      </c>
      <c r="M766" s="45">
        <v>46105</v>
      </c>
      <c r="N766" s="41">
        <v>167200.71</v>
      </c>
      <c r="O766" s="42">
        <v>46049</v>
      </c>
      <c r="P766" s="46"/>
      <c r="Q766" s="41">
        <v>167200.71</v>
      </c>
    </row>
    <row r="767" spans="1:17" ht="12" customHeight="1" x14ac:dyDescent="0.3">
      <c r="A767" s="39"/>
      <c r="B767" s="40" t="s">
        <v>1757</v>
      </c>
      <c r="C767" s="41">
        <v>150000</v>
      </c>
      <c r="D767" s="42">
        <v>46015</v>
      </c>
      <c r="E767" s="43" t="s">
        <v>2</v>
      </c>
      <c r="F767" s="41">
        <v>0</v>
      </c>
      <c r="G767" s="41">
        <v>0</v>
      </c>
      <c r="H767" s="41">
        <v>150000</v>
      </c>
      <c r="I767" s="43">
        <v>90</v>
      </c>
      <c r="J767" s="43">
        <v>71</v>
      </c>
      <c r="K767" s="44">
        <v>4000000</v>
      </c>
      <c r="L767" s="43" t="s">
        <v>992</v>
      </c>
      <c r="M767" s="45">
        <v>46105</v>
      </c>
      <c r="N767" s="41">
        <v>150000</v>
      </c>
      <c r="O767" s="42">
        <v>46050</v>
      </c>
      <c r="P767" s="46"/>
      <c r="Q767" s="41">
        <v>150000</v>
      </c>
    </row>
    <row r="768" spans="1:17" ht="12" customHeight="1" x14ac:dyDescent="0.3">
      <c r="A768" s="39"/>
      <c r="B768" s="40" t="s">
        <v>1758</v>
      </c>
      <c r="C768" s="41">
        <v>74</v>
      </c>
      <c r="D768" s="42">
        <v>46015</v>
      </c>
      <c r="E768" s="43" t="s">
        <v>2</v>
      </c>
      <c r="F768" s="41">
        <v>0</v>
      </c>
      <c r="G768" s="41">
        <v>0</v>
      </c>
      <c r="H768" s="41">
        <v>74</v>
      </c>
      <c r="I768" s="43">
        <v>90</v>
      </c>
      <c r="J768" s="43">
        <v>9</v>
      </c>
      <c r="K768" s="44">
        <v>4000000</v>
      </c>
      <c r="L768" s="43" t="s">
        <v>992</v>
      </c>
      <c r="M768" s="45">
        <v>46105</v>
      </c>
      <c r="N768" s="41">
        <v>74</v>
      </c>
      <c r="O768" s="42">
        <v>46057</v>
      </c>
      <c r="P768" s="46"/>
      <c r="Q768" s="41">
        <v>74</v>
      </c>
    </row>
    <row r="769" spans="1:17" ht="12" customHeight="1" x14ac:dyDescent="0.3">
      <c r="A769" s="39"/>
      <c r="B769" s="40" t="s">
        <v>1759</v>
      </c>
      <c r="C769" s="41">
        <v>107</v>
      </c>
      <c r="D769" s="42">
        <v>46015</v>
      </c>
      <c r="E769" s="43" t="s">
        <v>2</v>
      </c>
      <c r="F769" s="41">
        <v>0</v>
      </c>
      <c r="G769" s="41">
        <v>0</v>
      </c>
      <c r="H769" s="41">
        <v>107</v>
      </c>
      <c r="I769" s="43">
        <v>90</v>
      </c>
      <c r="J769" s="43">
        <v>9</v>
      </c>
      <c r="K769" s="44">
        <v>4000000</v>
      </c>
      <c r="L769" s="43" t="s">
        <v>992</v>
      </c>
      <c r="M769" s="45">
        <v>46105</v>
      </c>
      <c r="N769" s="41">
        <v>107</v>
      </c>
      <c r="O769" s="42">
        <v>46057</v>
      </c>
      <c r="P769" s="46"/>
      <c r="Q769" s="41">
        <v>107</v>
      </c>
    </row>
    <row r="770" spans="1:17" ht="12" customHeight="1" x14ac:dyDescent="0.3">
      <c r="A770" s="39"/>
      <c r="B770" s="40" t="s">
        <v>1760</v>
      </c>
      <c r="C770" s="41">
        <v>420</v>
      </c>
      <c r="D770" s="42">
        <v>46015</v>
      </c>
      <c r="E770" s="43" t="s">
        <v>2</v>
      </c>
      <c r="F770" s="41">
        <v>0</v>
      </c>
      <c r="G770" s="41">
        <v>0</v>
      </c>
      <c r="H770" s="41">
        <v>420</v>
      </c>
      <c r="I770" s="43">
        <v>90</v>
      </c>
      <c r="J770" s="43">
        <v>9</v>
      </c>
      <c r="K770" s="44">
        <v>4000000</v>
      </c>
      <c r="L770" s="43" t="s">
        <v>992</v>
      </c>
      <c r="M770" s="45">
        <v>46105</v>
      </c>
      <c r="N770" s="41">
        <v>420</v>
      </c>
      <c r="O770" s="42">
        <v>46057</v>
      </c>
      <c r="P770" s="46"/>
      <c r="Q770" s="41">
        <v>420</v>
      </c>
    </row>
    <row r="771" spans="1:17" ht="12" customHeight="1" x14ac:dyDescent="0.3">
      <c r="A771" s="39"/>
      <c r="B771" s="40" t="s">
        <v>1761</v>
      </c>
      <c r="C771" s="41">
        <v>135</v>
      </c>
      <c r="D771" s="42">
        <v>46015</v>
      </c>
      <c r="E771" s="43" t="s">
        <v>2</v>
      </c>
      <c r="F771" s="41">
        <v>0</v>
      </c>
      <c r="G771" s="41">
        <v>0</v>
      </c>
      <c r="H771" s="41">
        <v>135</v>
      </c>
      <c r="I771" s="43">
        <v>90</v>
      </c>
      <c r="J771" s="43">
        <v>9</v>
      </c>
      <c r="K771" s="44">
        <v>4000000</v>
      </c>
      <c r="L771" s="43" t="s">
        <v>992</v>
      </c>
      <c r="M771" s="45">
        <v>46105</v>
      </c>
      <c r="N771" s="41">
        <v>135</v>
      </c>
      <c r="O771" s="42">
        <v>46057</v>
      </c>
      <c r="P771" s="46"/>
      <c r="Q771" s="41">
        <v>135</v>
      </c>
    </row>
    <row r="772" spans="1:17" ht="12" customHeight="1" x14ac:dyDescent="0.3">
      <c r="A772" s="39"/>
      <c r="B772" s="40" t="s">
        <v>1762</v>
      </c>
      <c r="C772" s="41">
        <v>150000</v>
      </c>
      <c r="D772" s="42">
        <v>46015</v>
      </c>
      <c r="E772" s="43" t="s">
        <v>1763</v>
      </c>
      <c r="F772" s="41">
        <v>107338</v>
      </c>
      <c r="G772" s="41">
        <v>0</v>
      </c>
      <c r="H772" s="41">
        <v>150000</v>
      </c>
      <c r="I772" s="43">
        <v>90</v>
      </c>
      <c r="J772" s="43">
        <v>16</v>
      </c>
      <c r="K772" s="44">
        <v>800000</v>
      </c>
      <c r="L772" s="43" t="s">
        <v>992</v>
      </c>
      <c r="M772" s="45">
        <v>46105</v>
      </c>
      <c r="N772" s="41">
        <v>42662</v>
      </c>
      <c r="O772" s="42">
        <v>46112</v>
      </c>
      <c r="P772" s="46">
        <v>97</v>
      </c>
      <c r="Q772" s="41">
        <v>42662</v>
      </c>
    </row>
    <row r="773" spans="1:17" ht="12" customHeight="1" x14ac:dyDescent="0.3">
      <c r="A773" s="39"/>
      <c r="B773" s="40" t="s">
        <v>1764</v>
      </c>
      <c r="C773" s="41">
        <v>331460.03999999998</v>
      </c>
      <c r="D773" s="42">
        <v>46016</v>
      </c>
      <c r="E773" s="43" t="s">
        <v>2</v>
      </c>
      <c r="F773" s="41">
        <v>0</v>
      </c>
      <c r="G773" s="41">
        <v>0</v>
      </c>
      <c r="H773" s="41">
        <v>331460.03999999998</v>
      </c>
      <c r="I773" s="43">
        <v>90</v>
      </c>
      <c r="J773" s="43">
        <v>197</v>
      </c>
      <c r="K773" s="44">
        <v>7000000</v>
      </c>
      <c r="L773" s="43" t="s">
        <v>992</v>
      </c>
      <c r="M773" s="45">
        <v>46106</v>
      </c>
      <c r="N773" s="41">
        <v>331460.03999999998</v>
      </c>
      <c r="O773" s="42">
        <v>46019</v>
      </c>
      <c r="P773" s="46"/>
      <c r="Q773" s="41">
        <v>331460.03999999998</v>
      </c>
    </row>
    <row r="774" spans="1:17" ht="12" customHeight="1" x14ac:dyDescent="0.3">
      <c r="A774" s="39"/>
      <c r="B774" s="40" t="s">
        <v>1765</v>
      </c>
      <c r="C774" s="41">
        <v>5000000</v>
      </c>
      <c r="D774" s="42">
        <v>46016</v>
      </c>
      <c r="E774" s="43" t="s">
        <v>2</v>
      </c>
      <c r="F774" s="41">
        <v>0</v>
      </c>
      <c r="G774" s="41">
        <v>0</v>
      </c>
      <c r="H774" s="41">
        <v>5000000</v>
      </c>
      <c r="I774" s="43">
        <v>90</v>
      </c>
      <c r="J774" s="43">
        <v>197</v>
      </c>
      <c r="K774" s="44">
        <v>7000000</v>
      </c>
      <c r="L774" s="43" t="s">
        <v>992</v>
      </c>
      <c r="M774" s="45">
        <v>46106</v>
      </c>
      <c r="N774" s="41">
        <v>5000000</v>
      </c>
      <c r="O774" s="42">
        <v>46019</v>
      </c>
      <c r="P774" s="46"/>
      <c r="Q774" s="41">
        <v>5000000</v>
      </c>
    </row>
    <row r="775" spans="1:17" ht="12" customHeight="1" x14ac:dyDescent="0.3">
      <c r="A775" s="39"/>
      <c r="B775" s="40" t="s">
        <v>1766</v>
      </c>
      <c r="C775" s="41">
        <v>100000.32000000001</v>
      </c>
      <c r="D775" s="42">
        <v>46017</v>
      </c>
      <c r="E775" s="43" t="s">
        <v>2</v>
      </c>
      <c r="F775" s="41">
        <v>0</v>
      </c>
      <c r="G775" s="41">
        <v>0</v>
      </c>
      <c r="H775" s="41">
        <v>100000.32000000001</v>
      </c>
      <c r="I775" s="43">
        <v>90</v>
      </c>
      <c r="J775" s="43">
        <v>20</v>
      </c>
      <c r="K775" s="44">
        <v>3000000</v>
      </c>
      <c r="L775" s="43" t="s">
        <v>992</v>
      </c>
      <c r="M775" s="45">
        <v>46107</v>
      </c>
      <c r="N775" s="41">
        <v>100000.32000000001</v>
      </c>
      <c r="O775" s="42">
        <v>46049</v>
      </c>
      <c r="P775" s="46"/>
      <c r="Q775" s="41">
        <v>100000.32000000001</v>
      </c>
    </row>
    <row r="776" spans="1:17" ht="12" customHeight="1" x14ac:dyDescent="0.3">
      <c r="A776" s="39"/>
      <c r="B776" s="40" t="s">
        <v>1767</v>
      </c>
      <c r="C776" s="41">
        <v>100000</v>
      </c>
      <c r="D776" s="42">
        <v>46019</v>
      </c>
      <c r="E776" s="43" t="s">
        <v>2</v>
      </c>
      <c r="F776" s="41">
        <v>0</v>
      </c>
      <c r="G776" s="41">
        <v>0</v>
      </c>
      <c r="H776" s="41">
        <v>100000</v>
      </c>
      <c r="I776" s="43">
        <v>90</v>
      </c>
      <c r="J776" s="43">
        <v>71</v>
      </c>
      <c r="K776" s="44">
        <v>4000000</v>
      </c>
      <c r="L776" s="43" t="s">
        <v>992</v>
      </c>
      <c r="M776" s="45">
        <v>46110</v>
      </c>
      <c r="N776" s="41">
        <v>100000</v>
      </c>
      <c r="O776" s="42">
        <v>46050</v>
      </c>
      <c r="P776" s="46"/>
      <c r="Q776" s="41">
        <v>100000</v>
      </c>
    </row>
    <row r="777" spans="1:17" ht="12" customHeight="1" x14ac:dyDescent="0.3">
      <c r="A777" s="39"/>
      <c r="B777" s="40" t="s">
        <v>1768</v>
      </c>
      <c r="C777" s="41">
        <v>5000000</v>
      </c>
      <c r="D777" s="42">
        <v>46019</v>
      </c>
      <c r="E777" s="43" t="s">
        <v>2</v>
      </c>
      <c r="F777" s="41">
        <v>0</v>
      </c>
      <c r="G777" s="41">
        <v>0</v>
      </c>
      <c r="H777" s="41">
        <v>5000000</v>
      </c>
      <c r="I777" s="43">
        <v>90</v>
      </c>
      <c r="J777" s="43">
        <v>197</v>
      </c>
      <c r="K777" s="44">
        <v>7000000</v>
      </c>
      <c r="L777" s="43" t="s">
        <v>992</v>
      </c>
      <c r="M777" s="45">
        <v>46110</v>
      </c>
      <c r="N777" s="41">
        <v>5000000</v>
      </c>
      <c r="O777" s="42">
        <v>46020</v>
      </c>
      <c r="P777" s="46"/>
      <c r="Q777" s="41">
        <v>5000000</v>
      </c>
    </row>
    <row r="778" spans="1:17" ht="12" customHeight="1" x14ac:dyDescent="0.3">
      <c r="A778" s="39"/>
      <c r="B778" s="40" t="s">
        <v>1769</v>
      </c>
      <c r="C778" s="41">
        <v>900000</v>
      </c>
      <c r="D778" s="42">
        <v>46019</v>
      </c>
      <c r="E778" s="43" t="s">
        <v>2</v>
      </c>
      <c r="F778" s="41">
        <v>0</v>
      </c>
      <c r="G778" s="41">
        <v>0</v>
      </c>
      <c r="H778" s="41">
        <v>900000</v>
      </c>
      <c r="I778" s="43">
        <v>90</v>
      </c>
      <c r="J778" s="43">
        <v>116</v>
      </c>
      <c r="K778" s="44">
        <v>2000000</v>
      </c>
      <c r="L778" s="43" t="s">
        <v>992</v>
      </c>
      <c r="M778" s="45">
        <v>46110</v>
      </c>
      <c r="N778" s="41">
        <v>900000</v>
      </c>
      <c r="O778" s="42">
        <v>46035</v>
      </c>
      <c r="P778" s="46"/>
      <c r="Q778" s="41">
        <v>900000</v>
      </c>
    </row>
    <row r="779" spans="1:17" ht="12" customHeight="1" x14ac:dyDescent="0.3">
      <c r="A779" s="39"/>
      <c r="B779" s="40" t="s">
        <v>1770</v>
      </c>
      <c r="C779" s="41">
        <v>168449.42</v>
      </c>
      <c r="D779" s="42">
        <v>46020</v>
      </c>
      <c r="E779" s="43" t="s">
        <v>2</v>
      </c>
      <c r="F779" s="41">
        <v>0</v>
      </c>
      <c r="G779" s="41">
        <v>0</v>
      </c>
      <c r="H779" s="41">
        <v>168449.42</v>
      </c>
      <c r="I779" s="43">
        <v>90</v>
      </c>
      <c r="J779" s="43">
        <v>13</v>
      </c>
      <c r="K779" s="44">
        <v>5000000</v>
      </c>
      <c r="L779" s="43" t="s">
        <v>992</v>
      </c>
      <c r="M779" s="45">
        <v>46110</v>
      </c>
      <c r="N779" s="41">
        <v>168449.42</v>
      </c>
      <c r="O779" s="42">
        <v>46081</v>
      </c>
      <c r="P779" s="46"/>
      <c r="Q779" s="41">
        <v>168449.42</v>
      </c>
    </row>
    <row r="780" spans="1:17" ht="12" customHeight="1" x14ac:dyDescent="0.3">
      <c r="A780" s="39"/>
      <c r="B780" s="40" t="s">
        <v>1771</v>
      </c>
      <c r="C780" s="41">
        <v>99975.96</v>
      </c>
      <c r="D780" s="42">
        <v>46020</v>
      </c>
      <c r="E780" s="43" t="s">
        <v>2</v>
      </c>
      <c r="F780" s="41">
        <v>0</v>
      </c>
      <c r="G780" s="41">
        <v>0</v>
      </c>
      <c r="H780" s="41">
        <v>99975.96</v>
      </c>
      <c r="I780" s="43">
        <v>90</v>
      </c>
      <c r="J780" s="43">
        <v>8</v>
      </c>
      <c r="K780" s="44">
        <v>3000000</v>
      </c>
      <c r="L780" s="43" t="s">
        <v>992</v>
      </c>
      <c r="M780" s="45">
        <v>46110</v>
      </c>
      <c r="N780" s="41">
        <v>99975.96</v>
      </c>
      <c r="O780" s="42">
        <v>46081</v>
      </c>
      <c r="P780" s="46"/>
      <c r="Q780" s="41">
        <v>99975.96</v>
      </c>
    </row>
    <row r="781" spans="1:17" ht="12" customHeight="1" x14ac:dyDescent="0.3">
      <c r="A781" s="39"/>
      <c r="B781" s="40" t="s">
        <v>1772</v>
      </c>
      <c r="C781" s="41">
        <v>168449.63</v>
      </c>
      <c r="D781" s="42">
        <v>46020</v>
      </c>
      <c r="E781" s="43" t="s">
        <v>2</v>
      </c>
      <c r="F781" s="41">
        <v>0</v>
      </c>
      <c r="G781" s="41">
        <v>0</v>
      </c>
      <c r="H781" s="41">
        <v>168449.63</v>
      </c>
      <c r="I781" s="43">
        <v>90</v>
      </c>
      <c r="J781" s="43">
        <v>197</v>
      </c>
      <c r="K781" s="44">
        <v>7000000</v>
      </c>
      <c r="L781" s="43" t="s">
        <v>992</v>
      </c>
      <c r="M781" s="45">
        <v>46110</v>
      </c>
      <c r="N781" s="41">
        <v>168449.63</v>
      </c>
      <c r="O781" s="42">
        <v>46020</v>
      </c>
      <c r="P781" s="46"/>
      <c r="Q781" s="41">
        <v>168449.63</v>
      </c>
    </row>
    <row r="782" spans="1:17" ht="12" customHeight="1" x14ac:dyDescent="0.3">
      <c r="A782" s="39"/>
      <c r="B782" s="40" t="s">
        <v>1773</v>
      </c>
      <c r="C782" s="41">
        <v>100</v>
      </c>
      <c r="D782" s="42">
        <v>46020</v>
      </c>
      <c r="E782" s="43" t="s">
        <v>2</v>
      </c>
      <c r="F782" s="41">
        <v>0</v>
      </c>
      <c r="G782" s="41">
        <v>0</v>
      </c>
      <c r="H782" s="41">
        <v>100</v>
      </c>
      <c r="I782" s="43">
        <v>90</v>
      </c>
      <c r="J782" s="43">
        <v>9</v>
      </c>
      <c r="K782" s="44">
        <v>4000000</v>
      </c>
      <c r="L782" s="43" t="s">
        <v>992</v>
      </c>
      <c r="M782" s="45">
        <v>46110</v>
      </c>
      <c r="N782" s="41">
        <v>100</v>
      </c>
      <c r="O782" s="42">
        <v>46057</v>
      </c>
      <c r="P782" s="46"/>
      <c r="Q782" s="41">
        <v>100</v>
      </c>
    </row>
    <row r="783" spans="1:17" ht="12" customHeight="1" x14ac:dyDescent="0.3">
      <c r="A783" s="39"/>
      <c r="B783" s="40" t="s">
        <v>1774</v>
      </c>
      <c r="C783" s="41">
        <v>350</v>
      </c>
      <c r="D783" s="42">
        <v>46020</v>
      </c>
      <c r="E783" s="43" t="s">
        <v>2</v>
      </c>
      <c r="F783" s="41">
        <v>0</v>
      </c>
      <c r="G783" s="41">
        <v>0</v>
      </c>
      <c r="H783" s="41">
        <v>350</v>
      </c>
      <c r="I783" s="43">
        <v>90</v>
      </c>
      <c r="J783" s="43">
        <v>9</v>
      </c>
      <c r="K783" s="44">
        <v>4000000</v>
      </c>
      <c r="L783" s="43" t="s">
        <v>992</v>
      </c>
      <c r="M783" s="45">
        <v>46110</v>
      </c>
      <c r="N783" s="41">
        <v>350</v>
      </c>
      <c r="O783" s="42">
        <v>46057</v>
      </c>
      <c r="P783" s="46"/>
      <c r="Q783" s="41">
        <v>350</v>
      </c>
    </row>
    <row r="784" spans="1:17" ht="12" customHeight="1" x14ac:dyDescent="0.3">
      <c r="A784" s="39"/>
      <c r="B784" s="40" t="s">
        <v>1775</v>
      </c>
      <c r="C784" s="41">
        <v>134.55000000000001</v>
      </c>
      <c r="D784" s="42">
        <v>46020</v>
      </c>
      <c r="E784" s="43" t="s">
        <v>2</v>
      </c>
      <c r="F784" s="41">
        <v>0</v>
      </c>
      <c r="G784" s="41">
        <v>0</v>
      </c>
      <c r="H784" s="41">
        <v>134.55000000000001</v>
      </c>
      <c r="I784" s="43">
        <v>90</v>
      </c>
      <c r="J784" s="43">
        <v>9</v>
      </c>
      <c r="K784" s="44">
        <v>4000000</v>
      </c>
      <c r="L784" s="43" t="s">
        <v>992</v>
      </c>
      <c r="M784" s="45">
        <v>46110</v>
      </c>
      <c r="N784" s="41">
        <v>134.55000000000001</v>
      </c>
      <c r="O784" s="42">
        <v>46057</v>
      </c>
      <c r="P784" s="46"/>
      <c r="Q784" s="41">
        <v>134.55000000000001</v>
      </c>
    </row>
    <row r="785" spans="1:17" ht="12" customHeight="1" x14ac:dyDescent="0.3">
      <c r="A785" s="39"/>
      <c r="B785" s="40" t="s">
        <v>1776</v>
      </c>
      <c r="C785" s="41">
        <v>5000000</v>
      </c>
      <c r="D785" s="42">
        <v>46020</v>
      </c>
      <c r="E785" s="43" t="s">
        <v>2</v>
      </c>
      <c r="F785" s="41">
        <v>0</v>
      </c>
      <c r="G785" s="41">
        <v>0</v>
      </c>
      <c r="H785" s="41">
        <v>5000000</v>
      </c>
      <c r="I785" s="43">
        <v>90</v>
      </c>
      <c r="J785" s="43">
        <v>197</v>
      </c>
      <c r="K785" s="44">
        <v>7000000</v>
      </c>
      <c r="L785" s="43" t="s">
        <v>992</v>
      </c>
      <c r="M785" s="45">
        <v>46110</v>
      </c>
      <c r="N785" s="41">
        <v>5000000</v>
      </c>
      <c r="O785" s="42">
        <v>46020</v>
      </c>
      <c r="P785" s="46"/>
      <c r="Q785" s="41">
        <v>5000000</v>
      </c>
    </row>
    <row r="786" spans="1:17" ht="12" customHeight="1" x14ac:dyDescent="0.3">
      <c r="A786" s="39"/>
      <c r="B786" s="40" t="s">
        <v>1777</v>
      </c>
      <c r="C786" s="41">
        <v>1606.24</v>
      </c>
      <c r="D786" s="42">
        <v>46020</v>
      </c>
      <c r="E786" s="43" t="s">
        <v>2</v>
      </c>
      <c r="F786" s="41">
        <v>0</v>
      </c>
      <c r="G786" s="41">
        <v>0</v>
      </c>
      <c r="H786" s="41">
        <v>1606.24</v>
      </c>
      <c r="I786" s="43">
        <v>90</v>
      </c>
      <c r="J786" s="43">
        <v>9</v>
      </c>
      <c r="K786" s="44">
        <v>4000000</v>
      </c>
      <c r="L786" s="43" t="s">
        <v>992</v>
      </c>
      <c r="M786" s="45">
        <v>46110</v>
      </c>
      <c r="N786" s="41">
        <v>1606.24</v>
      </c>
      <c r="O786" s="42">
        <v>46057</v>
      </c>
      <c r="P786" s="46"/>
      <c r="Q786" s="41">
        <v>1606.24</v>
      </c>
    </row>
    <row r="787" spans="1:17" ht="12" customHeight="1" x14ac:dyDescent="0.3">
      <c r="A787" s="39"/>
      <c r="B787" s="40" t="s">
        <v>1778</v>
      </c>
      <c r="C787" s="41">
        <v>360</v>
      </c>
      <c r="D787" s="42">
        <v>46020</v>
      </c>
      <c r="E787" s="43" t="s">
        <v>2</v>
      </c>
      <c r="F787" s="41">
        <v>0</v>
      </c>
      <c r="G787" s="41">
        <v>0</v>
      </c>
      <c r="H787" s="41">
        <v>360</v>
      </c>
      <c r="I787" s="43">
        <v>90</v>
      </c>
      <c r="J787" s="43">
        <v>9</v>
      </c>
      <c r="K787" s="44">
        <v>4000000</v>
      </c>
      <c r="L787" s="43" t="s">
        <v>992</v>
      </c>
      <c r="M787" s="45">
        <v>46110</v>
      </c>
      <c r="N787" s="41">
        <v>360</v>
      </c>
      <c r="O787" s="42">
        <v>46057</v>
      </c>
      <c r="P787" s="46"/>
      <c r="Q787" s="41">
        <v>360</v>
      </c>
    </row>
    <row r="788" spans="1:17" ht="12" customHeight="1" x14ac:dyDescent="0.3">
      <c r="A788" s="39"/>
      <c r="B788" s="40" t="s">
        <v>1779</v>
      </c>
      <c r="C788" s="41">
        <v>793.5</v>
      </c>
      <c r="D788" s="42">
        <v>46020</v>
      </c>
      <c r="E788" s="43" t="s">
        <v>2</v>
      </c>
      <c r="F788" s="41">
        <v>0</v>
      </c>
      <c r="G788" s="41">
        <v>0</v>
      </c>
      <c r="H788" s="41">
        <v>793.5</v>
      </c>
      <c r="I788" s="43">
        <v>90</v>
      </c>
      <c r="J788" s="43">
        <v>9</v>
      </c>
      <c r="K788" s="44">
        <v>4000000</v>
      </c>
      <c r="L788" s="43" t="s">
        <v>992</v>
      </c>
      <c r="M788" s="45">
        <v>46110</v>
      </c>
      <c r="N788" s="41">
        <v>793.5</v>
      </c>
      <c r="O788" s="42">
        <v>46057</v>
      </c>
      <c r="P788" s="46"/>
      <c r="Q788" s="41">
        <v>793.5</v>
      </c>
    </row>
    <row r="789" spans="1:17" ht="12" customHeight="1" x14ac:dyDescent="0.3">
      <c r="A789" s="39"/>
      <c r="B789" s="40" t="s">
        <v>1780</v>
      </c>
      <c r="C789" s="41">
        <v>134</v>
      </c>
      <c r="D789" s="42">
        <v>46020</v>
      </c>
      <c r="E789" s="43" t="s">
        <v>2</v>
      </c>
      <c r="F789" s="41">
        <v>0</v>
      </c>
      <c r="G789" s="41">
        <v>0</v>
      </c>
      <c r="H789" s="41">
        <v>134</v>
      </c>
      <c r="I789" s="43">
        <v>90</v>
      </c>
      <c r="J789" s="43">
        <v>9</v>
      </c>
      <c r="K789" s="44">
        <v>4000000</v>
      </c>
      <c r="L789" s="43" t="s">
        <v>992</v>
      </c>
      <c r="M789" s="45">
        <v>46110</v>
      </c>
      <c r="N789" s="41">
        <v>134</v>
      </c>
      <c r="O789" s="42">
        <v>46057</v>
      </c>
      <c r="P789" s="46"/>
      <c r="Q789" s="41">
        <v>134</v>
      </c>
    </row>
    <row r="790" spans="1:17" ht="12" customHeight="1" x14ac:dyDescent="0.3">
      <c r="A790" s="39"/>
      <c r="B790" s="40" t="s">
        <v>1781</v>
      </c>
      <c r="C790" s="41">
        <v>72</v>
      </c>
      <c r="D790" s="42">
        <v>46020</v>
      </c>
      <c r="E790" s="43" t="s">
        <v>2</v>
      </c>
      <c r="F790" s="41">
        <v>0</v>
      </c>
      <c r="G790" s="41">
        <v>0</v>
      </c>
      <c r="H790" s="41">
        <v>72</v>
      </c>
      <c r="I790" s="43">
        <v>90</v>
      </c>
      <c r="J790" s="43">
        <v>9</v>
      </c>
      <c r="K790" s="44">
        <v>4000000</v>
      </c>
      <c r="L790" s="43" t="s">
        <v>992</v>
      </c>
      <c r="M790" s="45">
        <v>46110</v>
      </c>
      <c r="N790" s="41">
        <v>72</v>
      </c>
      <c r="O790" s="42">
        <v>46057</v>
      </c>
      <c r="P790" s="46"/>
      <c r="Q790" s="41">
        <v>72</v>
      </c>
    </row>
    <row r="791" spans="1:17" ht="12" customHeight="1" x14ac:dyDescent="0.3">
      <c r="A791" s="39"/>
      <c r="B791" s="40" t="s">
        <v>1782</v>
      </c>
      <c r="C791" s="41">
        <v>134</v>
      </c>
      <c r="D791" s="42">
        <v>46020</v>
      </c>
      <c r="E791" s="43" t="s">
        <v>2</v>
      </c>
      <c r="F791" s="41">
        <v>0</v>
      </c>
      <c r="G791" s="41">
        <v>0</v>
      </c>
      <c r="H791" s="41">
        <v>134</v>
      </c>
      <c r="I791" s="43">
        <v>90</v>
      </c>
      <c r="J791" s="43">
        <v>9</v>
      </c>
      <c r="K791" s="44">
        <v>4000000</v>
      </c>
      <c r="L791" s="43" t="s">
        <v>992</v>
      </c>
      <c r="M791" s="45">
        <v>46110</v>
      </c>
      <c r="N791" s="41">
        <v>134</v>
      </c>
      <c r="O791" s="42">
        <v>46057</v>
      </c>
      <c r="P791" s="46"/>
      <c r="Q791" s="41">
        <v>134</v>
      </c>
    </row>
    <row r="792" spans="1:17" ht="12" customHeight="1" x14ac:dyDescent="0.3">
      <c r="A792" s="39"/>
      <c r="B792" s="40" t="s">
        <v>1783</v>
      </c>
      <c r="C792" s="41">
        <v>167199.69</v>
      </c>
      <c r="D792" s="42">
        <v>46020</v>
      </c>
      <c r="E792" s="43" t="s">
        <v>2</v>
      </c>
      <c r="F792" s="41">
        <v>0</v>
      </c>
      <c r="G792" s="41">
        <v>0</v>
      </c>
      <c r="H792" s="41">
        <v>167199.69</v>
      </c>
      <c r="I792" s="43">
        <v>90</v>
      </c>
      <c r="J792" s="43">
        <v>71</v>
      </c>
      <c r="K792" s="44">
        <v>4000000</v>
      </c>
      <c r="L792" s="43" t="s">
        <v>992</v>
      </c>
      <c r="M792" s="45">
        <v>46110</v>
      </c>
      <c r="N792" s="41">
        <v>167199.69</v>
      </c>
      <c r="O792" s="42">
        <v>46050</v>
      </c>
      <c r="P792" s="46"/>
      <c r="Q792" s="41">
        <v>167199.69</v>
      </c>
    </row>
    <row r="793" spans="1:17" ht="12" customHeight="1" x14ac:dyDescent="0.3">
      <c r="A793" s="39"/>
      <c r="B793" s="40" t="s">
        <v>1784</v>
      </c>
      <c r="C793" s="41">
        <v>200</v>
      </c>
      <c r="D793" s="42">
        <v>46021</v>
      </c>
      <c r="E793" s="43" t="s">
        <v>2</v>
      </c>
      <c r="F793" s="41">
        <v>0</v>
      </c>
      <c r="G793" s="41">
        <v>0</v>
      </c>
      <c r="H793" s="41">
        <v>200</v>
      </c>
      <c r="I793" s="43">
        <v>90</v>
      </c>
      <c r="J793" s="43">
        <v>9</v>
      </c>
      <c r="K793" s="44">
        <v>4000000</v>
      </c>
      <c r="L793" s="43" t="s">
        <v>992</v>
      </c>
      <c r="M793" s="45">
        <v>46111</v>
      </c>
      <c r="N793" s="41">
        <v>200</v>
      </c>
      <c r="O793" s="42">
        <v>46057</v>
      </c>
      <c r="P793" s="46"/>
      <c r="Q793" s="41">
        <v>200</v>
      </c>
    </row>
    <row r="794" spans="1:17" ht="12" customHeight="1" x14ac:dyDescent="0.3">
      <c r="A794" s="39"/>
      <c r="B794" s="40" t="s">
        <v>1785</v>
      </c>
      <c r="C794" s="41">
        <v>420</v>
      </c>
      <c r="D794" s="42">
        <v>46021</v>
      </c>
      <c r="E794" s="43" t="s">
        <v>2</v>
      </c>
      <c r="F794" s="41">
        <v>0</v>
      </c>
      <c r="G794" s="41">
        <v>0</v>
      </c>
      <c r="H794" s="41">
        <v>420</v>
      </c>
      <c r="I794" s="43">
        <v>90</v>
      </c>
      <c r="J794" s="43">
        <v>9</v>
      </c>
      <c r="K794" s="44">
        <v>4000000</v>
      </c>
      <c r="L794" s="43" t="s">
        <v>992</v>
      </c>
      <c r="M794" s="45">
        <v>46111</v>
      </c>
      <c r="N794" s="41">
        <v>420</v>
      </c>
      <c r="O794" s="42">
        <v>46057</v>
      </c>
      <c r="P794" s="46"/>
      <c r="Q794" s="41">
        <v>420</v>
      </c>
    </row>
    <row r="795" spans="1:17" ht="12" customHeight="1" x14ac:dyDescent="0.3">
      <c r="A795" s="39"/>
      <c r="B795" s="40" t="s">
        <v>1786</v>
      </c>
      <c r="C795" s="41">
        <v>202</v>
      </c>
      <c r="D795" s="42">
        <v>46021</v>
      </c>
      <c r="E795" s="43" t="s">
        <v>2</v>
      </c>
      <c r="F795" s="41">
        <v>0</v>
      </c>
      <c r="G795" s="41">
        <v>0</v>
      </c>
      <c r="H795" s="41">
        <v>202</v>
      </c>
      <c r="I795" s="43">
        <v>90</v>
      </c>
      <c r="J795" s="43">
        <v>9</v>
      </c>
      <c r="K795" s="44">
        <v>4000000</v>
      </c>
      <c r="L795" s="43" t="s">
        <v>992</v>
      </c>
      <c r="M795" s="45">
        <v>46111</v>
      </c>
      <c r="N795" s="41">
        <v>202</v>
      </c>
      <c r="O795" s="42">
        <v>46057</v>
      </c>
      <c r="P795" s="46"/>
      <c r="Q795" s="41">
        <v>202</v>
      </c>
    </row>
    <row r="796" spans="1:17" ht="12" customHeight="1" x14ac:dyDescent="0.3">
      <c r="A796" s="39"/>
      <c r="B796" s="40" t="s">
        <v>1787</v>
      </c>
      <c r="C796" s="41">
        <v>3495</v>
      </c>
      <c r="D796" s="42">
        <v>46021</v>
      </c>
      <c r="E796" s="43" t="s">
        <v>2</v>
      </c>
      <c r="F796" s="41">
        <v>0</v>
      </c>
      <c r="G796" s="41">
        <v>0</v>
      </c>
      <c r="H796" s="41">
        <v>3495</v>
      </c>
      <c r="I796" s="43">
        <v>90</v>
      </c>
      <c r="J796" s="43">
        <v>9</v>
      </c>
      <c r="K796" s="44">
        <v>4000000</v>
      </c>
      <c r="L796" s="43" t="s">
        <v>992</v>
      </c>
      <c r="M796" s="45">
        <v>46111</v>
      </c>
      <c r="N796" s="41">
        <v>3495</v>
      </c>
      <c r="O796" s="42">
        <v>46057</v>
      </c>
      <c r="P796" s="46"/>
      <c r="Q796" s="41">
        <v>3495</v>
      </c>
    </row>
    <row r="797" spans="1:17" ht="12" customHeight="1" x14ac:dyDescent="0.3">
      <c r="A797" s="39"/>
      <c r="B797" s="40" t="s">
        <v>1788</v>
      </c>
      <c r="C797" s="41">
        <v>190000.13</v>
      </c>
      <c r="D797" s="42">
        <v>46021</v>
      </c>
      <c r="E797" s="43" t="s">
        <v>2</v>
      </c>
      <c r="F797" s="41">
        <v>0</v>
      </c>
      <c r="G797" s="41">
        <v>0</v>
      </c>
      <c r="H797" s="41">
        <v>190000.13</v>
      </c>
      <c r="I797" s="43">
        <v>90</v>
      </c>
      <c r="J797" s="43">
        <v>9</v>
      </c>
      <c r="K797" s="44">
        <v>4000000</v>
      </c>
      <c r="L797" s="43" t="s">
        <v>992</v>
      </c>
      <c r="M797" s="45">
        <v>46111</v>
      </c>
      <c r="N797" s="41">
        <v>190000.13</v>
      </c>
      <c r="O797" s="42">
        <v>46061</v>
      </c>
      <c r="P797" s="46"/>
      <c r="Q797" s="41">
        <v>190000.13</v>
      </c>
    </row>
    <row r="798" spans="1:17" ht="12" customHeight="1" x14ac:dyDescent="0.3">
      <c r="A798" s="39"/>
      <c r="B798" s="40" t="s">
        <v>1789</v>
      </c>
      <c r="C798" s="41">
        <v>222000.22</v>
      </c>
      <c r="D798" s="42">
        <v>46021</v>
      </c>
      <c r="E798" s="43" t="s">
        <v>2</v>
      </c>
      <c r="F798" s="41">
        <v>0</v>
      </c>
      <c r="G798" s="41">
        <v>0</v>
      </c>
      <c r="H798" s="41">
        <v>222000.22</v>
      </c>
      <c r="I798" s="43">
        <v>90</v>
      </c>
      <c r="J798" s="43">
        <v>9</v>
      </c>
      <c r="K798" s="44">
        <v>4000000</v>
      </c>
      <c r="L798" s="43" t="s">
        <v>992</v>
      </c>
      <c r="M798" s="45">
        <v>46111</v>
      </c>
      <c r="N798" s="41">
        <v>222000.22</v>
      </c>
      <c r="O798" s="42">
        <v>46063</v>
      </c>
      <c r="P798" s="46"/>
      <c r="Q798" s="41">
        <v>222000.22</v>
      </c>
    </row>
    <row r="799" spans="1:17" ht="12" customHeight="1" x14ac:dyDescent="0.3">
      <c r="A799" s="39"/>
      <c r="B799" s="40" t="s">
        <v>1790</v>
      </c>
      <c r="C799" s="41">
        <v>120</v>
      </c>
      <c r="D799" s="42">
        <v>46021</v>
      </c>
      <c r="E799" s="43" t="s">
        <v>2</v>
      </c>
      <c r="F799" s="41">
        <v>0</v>
      </c>
      <c r="G799" s="41">
        <v>0</v>
      </c>
      <c r="H799" s="41">
        <v>120</v>
      </c>
      <c r="I799" s="43">
        <v>90</v>
      </c>
      <c r="J799" s="43">
        <v>9</v>
      </c>
      <c r="K799" s="44">
        <v>4000000</v>
      </c>
      <c r="L799" s="43" t="s">
        <v>992</v>
      </c>
      <c r="M799" s="45">
        <v>46111</v>
      </c>
      <c r="N799" s="41">
        <v>120</v>
      </c>
      <c r="O799" s="42">
        <v>46063</v>
      </c>
      <c r="P799" s="46"/>
      <c r="Q799" s="41">
        <v>120</v>
      </c>
    </row>
    <row r="800" spans="1:17" ht="12" customHeight="1" x14ac:dyDescent="0.3">
      <c r="A800" s="39"/>
      <c r="B800" s="40" t="s">
        <v>1791</v>
      </c>
      <c r="C800" s="41">
        <v>1425</v>
      </c>
      <c r="D800" s="42">
        <v>46021</v>
      </c>
      <c r="E800" s="43" t="s">
        <v>2</v>
      </c>
      <c r="F800" s="41">
        <v>0</v>
      </c>
      <c r="G800" s="41">
        <v>0</v>
      </c>
      <c r="H800" s="41">
        <v>1425</v>
      </c>
      <c r="I800" s="43">
        <v>90</v>
      </c>
      <c r="J800" s="43">
        <v>9</v>
      </c>
      <c r="K800" s="44">
        <v>4000000</v>
      </c>
      <c r="L800" s="43" t="s">
        <v>992</v>
      </c>
      <c r="M800" s="45">
        <v>46111</v>
      </c>
      <c r="N800" s="41">
        <v>1425</v>
      </c>
      <c r="O800" s="42">
        <v>46063</v>
      </c>
      <c r="P800" s="46"/>
      <c r="Q800" s="41">
        <v>1425</v>
      </c>
    </row>
    <row r="801" spans="1:17" ht="12" customHeight="1" x14ac:dyDescent="0.3">
      <c r="A801" s="39"/>
      <c r="B801" s="40" t="s">
        <v>1792</v>
      </c>
      <c r="C801" s="41">
        <v>600</v>
      </c>
      <c r="D801" s="42">
        <v>46021</v>
      </c>
      <c r="E801" s="43" t="s">
        <v>2</v>
      </c>
      <c r="F801" s="41">
        <v>0</v>
      </c>
      <c r="G801" s="41">
        <v>0</v>
      </c>
      <c r="H801" s="41">
        <v>600</v>
      </c>
      <c r="I801" s="43">
        <v>90</v>
      </c>
      <c r="J801" s="43">
        <v>9</v>
      </c>
      <c r="K801" s="44">
        <v>4000000</v>
      </c>
      <c r="L801" s="43" t="s">
        <v>992</v>
      </c>
      <c r="M801" s="45">
        <v>46111</v>
      </c>
      <c r="N801" s="41">
        <v>600</v>
      </c>
      <c r="O801" s="42">
        <v>46063</v>
      </c>
      <c r="P801" s="46"/>
      <c r="Q801" s="41">
        <v>600</v>
      </c>
    </row>
    <row r="802" spans="1:17" ht="12" customHeight="1" x14ac:dyDescent="0.3">
      <c r="A802" s="39"/>
      <c r="B802" s="40" t="s">
        <v>1793</v>
      </c>
      <c r="C802" s="41">
        <v>5000000</v>
      </c>
      <c r="D802" s="42">
        <v>46020</v>
      </c>
      <c r="E802" s="43" t="s">
        <v>2</v>
      </c>
      <c r="F802" s="41">
        <v>0</v>
      </c>
      <c r="G802" s="41">
        <v>0</v>
      </c>
      <c r="H802" s="41">
        <v>5000000</v>
      </c>
      <c r="I802" s="43">
        <v>90</v>
      </c>
      <c r="J802" s="43">
        <v>197</v>
      </c>
      <c r="K802" s="44">
        <v>7000000</v>
      </c>
      <c r="L802" s="43" t="s">
        <v>992</v>
      </c>
      <c r="M802" s="45">
        <v>46110</v>
      </c>
      <c r="N802" s="41">
        <v>5000000</v>
      </c>
      <c r="O802" s="42">
        <v>46047</v>
      </c>
      <c r="P802" s="46"/>
      <c r="Q802" s="41">
        <v>5000000</v>
      </c>
    </row>
    <row r="803" spans="1:17" ht="12" customHeight="1" x14ac:dyDescent="0.3">
      <c r="A803" s="39"/>
      <c r="B803" s="40" t="s">
        <v>1794</v>
      </c>
      <c r="C803" s="41">
        <v>800000</v>
      </c>
      <c r="D803" s="42">
        <v>46021</v>
      </c>
      <c r="E803" s="43" t="s">
        <v>2</v>
      </c>
      <c r="F803" s="41">
        <v>0</v>
      </c>
      <c r="G803" s="41">
        <v>0</v>
      </c>
      <c r="H803" s="41">
        <v>800000</v>
      </c>
      <c r="I803" s="43">
        <v>90</v>
      </c>
      <c r="J803" s="43">
        <v>116</v>
      </c>
      <c r="K803" s="44">
        <v>2000000</v>
      </c>
      <c r="L803" s="43" t="s">
        <v>992</v>
      </c>
      <c r="M803" s="45">
        <v>46111</v>
      </c>
      <c r="N803" s="41">
        <v>800000</v>
      </c>
      <c r="O803" s="42">
        <v>46048</v>
      </c>
      <c r="P803" s="46"/>
      <c r="Q803" s="41">
        <v>800000</v>
      </c>
    </row>
    <row r="804" spans="1:17" ht="12" customHeight="1" x14ac:dyDescent="0.3">
      <c r="A804" s="39"/>
      <c r="B804" s="40" t="s">
        <v>1795</v>
      </c>
      <c r="C804" s="41">
        <v>123001.43</v>
      </c>
      <c r="D804" s="42">
        <v>46021</v>
      </c>
      <c r="E804" s="43" t="s">
        <v>2</v>
      </c>
      <c r="F804" s="41">
        <v>0</v>
      </c>
      <c r="G804" s="41">
        <v>0</v>
      </c>
      <c r="H804" s="41">
        <v>123001.43</v>
      </c>
      <c r="I804" s="43">
        <v>90</v>
      </c>
      <c r="J804" s="43">
        <v>20</v>
      </c>
      <c r="K804" s="44">
        <v>3000000</v>
      </c>
      <c r="L804" s="43" t="s">
        <v>992</v>
      </c>
      <c r="M804" s="45">
        <v>46111</v>
      </c>
      <c r="N804" s="41">
        <v>123001.43</v>
      </c>
      <c r="O804" s="42">
        <v>46049</v>
      </c>
      <c r="P804" s="46"/>
      <c r="Q804" s="41">
        <v>123001.43</v>
      </c>
    </row>
    <row r="805" spans="1:17" ht="12" customHeight="1" x14ac:dyDescent="0.3">
      <c r="A805" s="39"/>
      <c r="B805" s="40" t="s">
        <v>1796</v>
      </c>
      <c r="C805" s="41">
        <v>145020.46</v>
      </c>
      <c r="D805" s="42">
        <v>46022</v>
      </c>
      <c r="E805" s="43" t="s">
        <v>2</v>
      </c>
      <c r="F805" s="41">
        <v>0</v>
      </c>
      <c r="G805" s="41">
        <v>0</v>
      </c>
      <c r="H805" s="41">
        <v>145020.46</v>
      </c>
      <c r="I805" s="43">
        <v>90</v>
      </c>
      <c r="J805" s="43">
        <v>20</v>
      </c>
      <c r="K805" s="44">
        <v>3000000</v>
      </c>
      <c r="L805" s="43" t="s">
        <v>992</v>
      </c>
      <c r="M805" s="45">
        <v>46112</v>
      </c>
      <c r="N805" s="41">
        <v>145020.46</v>
      </c>
      <c r="O805" s="42">
        <v>46050</v>
      </c>
      <c r="P805" s="46"/>
      <c r="Q805" s="41">
        <v>145020.46</v>
      </c>
    </row>
    <row r="806" spans="1:17" ht="12" customHeight="1" x14ac:dyDescent="0.3">
      <c r="A806" s="39"/>
      <c r="B806" s="40" t="s">
        <v>1797</v>
      </c>
      <c r="C806" s="41">
        <v>12397</v>
      </c>
      <c r="D806" s="42">
        <v>46022</v>
      </c>
      <c r="E806" s="43" t="s">
        <v>1763</v>
      </c>
      <c r="F806" s="41">
        <v>12397</v>
      </c>
      <c r="G806" s="41">
        <v>0</v>
      </c>
      <c r="H806" s="41">
        <v>12397</v>
      </c>
      <c r="I806" s="43">
        <v>90</v>
      </c>
      <c r="J806" s="43">
        <v>77</v>
      </c>
      <c r="K806" s="44">
        <v>800000</v>
      </c>
      <c r="L806" s="43" t="s">
        <v>992</v>
      </c>
      <c r="M806" s="45">
        <v>46112</v>
      </c>
      <c r="N806" s="41">
        <v>0</v>
      </c>
      <c r="O806" s="42"/>
      <c r="P806" s="46">
        <v>90</v>
      </c>
      <c r="Q806" s="41">
        <v>0</v>
      </c>
    </row>
    <row r="807" spans="1:17" ht="12" customHeight="1" x14ac:dyDescent="0.3">
      <c r="A807" s="39"/>
      <c r="B807" s="40" t="s">
        <v>1798</v>
      </c>
      <c r="C807" s="41">
        <v>500000</v>
      </c>
      <c r="D807" s="42">
        <v>46022</v>
      </c>
      <c r="E807" s="43" t="s">
        <v>2</v>
      </c>
      <c r="F807" s="41">
        <v>0</v>
      </c>
      <c r="G807" s="41">
        <v>0</v>
      </c>
      <c r="H807" s="41">
        <v>500000</v>
      </c>
      <c r="I807" s="43">
        <v>90</v>
      </c>
      <c r="J807" s="43">
        <v>116</v>
      </c>
      <c r="K807" s="44">
        <v>2000000</v>
      </c>
      <c r="L807" s="43" t="s">
        <v>992</v>
      </c>
      <c r="M807" s="45">
        <v>46112</v>
      </c>
      <c r="N807" s="41">
        <v>500000</v>
      </c>
      <c r="O807" s="42">
        <v>46050</v>
      </c>
      <c r="P807" s="46"/>
      <c r="Q807" s="41">
        <v>500000</v>
      </c>
    </row>
    <row r="808" spans="1:17" ht="12" customHeight="1" x14ac:dyDescent="0.3">
      <c r="A808" s="39"/>
      <c r="B808" s="40" t="s">
        <v>1799</v>
      </c>
      <c r="C808" s="41">
        <v>156426.51</v>
      </c>
      <c r="D808" s="42">
        <v>46022</v>
      </c>
      <c r="E808" s="43" t="s">
        <v>2</v>
      </c>
      <c r="F808" s="41">
        <v>0</v>
      </c>
      <c r="G808" s="41">
        <v>0</v>
      </c>
      <c r="H808" s="41">
        <v>156426.51</v>
      </c>
      <c r="I808" s="43">
        <v>90</v>
      </c>
      <c r="J808" s="43">
        <v>20</v>
      </c>
      <c r="K808" s="44">
        <v>3000000</v>
      </c>
      <c r="L808" s="43" t="s">
        <v>992</v>
      </c>
      <c r="M808" s="45">
        <v>46112</v>
      </c>
      <c r="N808" s="41">
        <v>156426.51</v>
      </c>
      <c r="O808" s="42">
        <v>46055</v>
      </c>
      <c r="P808" s="46"/>
      <c r="Q808" s="41">
        <v>156426.51</v>
      </c>
    </row>
    <row r="809" spans="1:17" ht="12" customHeight="1" x14ac:dyDescent="0.3">
      <c r="A809" s="39"/>
      <c r="B809" s="40" t="s">
        <v>1800</v>
      </c>
      <c r="C809" s="41">
        <v>5000000</v>
      </c>
      <c r="D809" s="42">
        <v>46022</v>
      </c>
      <c r="E809" s="43" t="s">
        <v>2</v>
      </c>
      <c r="F809" s="41">
        <v>0</v>
      </c>
      <c r="G809" s="41">
        <v>0</v>
      </c>
      <c r="H809" s="41">
        <v>5000000</v>
      </c>
      <c r="I809" s="43">
        <v>90</v>
      </c>
      <c r="J809" s="43">
        <v>197</v>
      </c>
      <c r="K809" s="44">
        <v>7000000</v>
      </c>
      <c r="L809" s="43" t="s">
        <v>992</v>
      </c>
      <c r="M809" s="45">
        <v>46112</v>
      </c>
      <c r="N809" s="41">
        <v>5000000</v>
      </c>
      <c r="O809" s="42">
        <v>46049</v>
      </c>
      <c r="P809" s="46"/>
      <c r="Q809" s="41">
        <v>5000000</v>
      </c>
    </row>
    <row r="810" spans="1:17" ht="12" customHeight="1" x14ac:dyDescent="0.3">
      <c r="A810" s="39"/>
      <c r="B810" s="40" t="s">
        <v>1801</v>
      </c>
      <c r="C810" s="41">
        <v>201.83</v>
      </c>
      <c r="D810" s="42">
        <v>46022</v>
      </c>
      <c r="E810" s="43" t="s">
        <v>2</v>
      </c>
      <c r="F810" s="41">
        <v>0</v>
      </c>
      <c r="G810" s="41">
        <v>0</v>
      </c>
      <c r="H810" s="41">
        <v>201.83</v>
      </c>
      <c r="I810" s="43">
        <v>90</v>
      </c>
      <c r="J810" s="43">
        <v>9</v>
      </c>
      <c r="K810" s="44">
        <v>4000000</v>
      </c>
      <c r="L810" s="43" t="s">
        <v>992</v>
      </c>
      <c r="M810" s="45">
        <v>46112</v>
      </c>
      <c r="N810" s="41">
        <v>201.83</v>
      </c>
      <c r="O810" s="42">
        <v>46063</v>
      </c>
      <c r="P810" s="46"/>
      <c r="Q810" s="41">
        <v>201.83</v>
      </c>
    </row>
    <row r="811" spans="1:17" ht="12" customHeight="1" x14ac:dyDescent="0.3">
      <c r="A811" s="39"/>
      <c r="B811" s="40" t="s">
        <v>1802</v>
      </c>
      <c r="C811" s="41">
        <v>139978</v>
      </c>
      <c r="D811" s="42">
        <v>46026</v>
      </c>
      <c r="E811" s="43" t="s">
        <v>2</v>
      </c>
      <c r="F811" s="41">
        <v>0</v>
      </c>
      <c r="G811" s="41">
        <v>0</v>
      </c>
      <c r="H811" s="41">
        <v>139978</v>
      </c>
      <c r="I811" s="43">
        <v>90</v>
      </c>
      <c r="J811" s="43">
        <v>20</v>
      </c>
      <c r="K811" s="44">
        <v>3000000</v>
      </c>
      <c r="L811" s="43" t="s">
        <v>992</v>
      </c>
      <c r="M811" s="45">
        <v>46117</v>
      </c>
      <c r="N811" s="41">
        <v>139978</v>
      </c>
      <c r="O811" s="42">
        <v>46056</v>
      </c>
      <c r="P811" s="46"/>
      <c r="Q811" s="41">
        <v>139978</v>
      </c>
    </row>
    <row r="812" spans="1:17" ht="12" customHeight="1" x14ac:dyDescent="0.3">
      <c r="A812" s="39"/>
      <c r="B812" s="40" t="s">
        <v>1803</v>
      </c>
      <c r="C812" s="41">
        <v>1606.22</v>
      </c>
      <c r="D812" s="42">
        <v>46026</v>
      </c>
      <c r="E812" s="43" t="s">
        <v>2</v>
      </c>
      <c r="F812" s="41">
        <v>0</v>
      </c>
      <c r="G812" s="41">
        <v>0</v>
      </c>
      <c r="H812" s="41">
        <v>1606.22</v>
      </c>
      <c r="I812" s="43">
        <v>90</v>
      </c>
      <c r="J812" s="43">
        <v>9</v>
      </c>
      <c r="K812" s="44">
        <v>4000000</v>
      </c>
      <c r="L812" s="43" t="s">
        <v>992</v>
      </c>
      <c r="M812" s="45">
        <v>46117</v>
      </c>
      <c r="N812" s="41">
        <v>1606.22</v>
      </c>
      <c r="O812" s="42">
        <v>46063</v>
      </c>
      <c r="P812" s="46"/>
      <c r="Q812" s="41">
        <v>1606.22</v>
      </c>
    </row>
    <row r="813" spans="1:17" ht="12" customHeight="1" x14ac:dyDescent="0.3">
      <c r="A813" s="39"/>
      <c r="B813" s="40" t="s">
        <v>1804</v>
      </c>
      <c r="C813" s="41">
        <v>350</v>
      </c>
      <c r="D813" s="42">
        <v>46026</v>
      </c>
      <c r="E813" s="43" t="s">
        <v>2</v>
      </c>
      <c r="F813" s="41">
        <v>0</v>
      </c>
      <c r="G813" s="41">
        <v>0</v>
      </c>
      <c r="H813" s="41">
        <v>350</v>
      </c>
      <c r="I813" s="43">
        <v>90</v>
      </c>
      <c r="J813" s="43">
        <v>9</v>
      </c>
      <c r="K813" s="44">
        <v>4000000</v>
      </c>
      <c r="L813" s="43" t="s">
        <v>992</v>
      </c>
      <c r="M813" s="45">
        <v>46117</v>
      </c>
      <c r="N813" s="41">
        <v>350</v>
      </c>
      <c r="O813" s="42">
        <v>46063</v>
      </c>
      <c r="P813" s="46"/>
      <c r="Q813" s="41">
        <v>350</v>
      </c>
    </row>
    <row r="814" spans="1:17" ht="12" customHeight="1" x14ac:dyDescent="0.3">
      <c r="A814" s="39"/>
      <c r="B814" s="40" t="s">
        <v>1805</v>
      </c>
      <c r="C814" s="41">
        <v>200</v>
      </c>
      <c r="D814" s="42">
        <v>46026</v>
      </c>
      <c r="E814" s="43" t="s">
        <v>2</v>
      </c>
      <c r="F814" s="41">
        <v>0</v>
      </c>
      <c r="G814" s="41">
        <v>0</v>
      </c>
      <c r="H814" s="41">
        <v>200</v>
      </c>
      <c r="I814" s="43">
        <v>90</v>
      </c>
      <c r="J814" s="43">
        <v>9</v>
      </c>
      <c r="K814" s="44">
        <v>4000000</v>
      </c>
      <c r="L814" s="43" t="s">
        <v>992</v>
      </c>
      <c r="M814" s="45">
        <v>46117</v>
      </c>
      <c r="N814" s="41">
        <v>200</v>
      </c>
      <c r="O814" s="42">
        <v>46063</v>
      </c>
      <c r="P814" s="46"/>
      <c r="Q814" s="41">
        <v>200</v>
      </c>
    </row>
    <row r="815" spans="1:17" ht="12" customHeight="1" x14ac:dyDescent="0.3">
      <c r="A815" s="39"/>
      <c r="B815" s="40" t="s">
        <v>1806</v>
      </c>
      <c r="C815" s="41">
        <v>202</v>
      </c>
      <c r="D815" s="42">
        <v>46026</v>
      </c>
      <c r="E815" s="43" t="s">
        <v>2</v>
      </c>
      <c r="F815" s="41">
        <v>0</v>
      </c>
      <c r="G815" s="41">
        <v>0</v>
      </c>
      <c r="H815" s="41">
        <v>202</v>
      </c>
      <c r="I815" s="43">
        <v>90</v>
      </c>
      <c r="J815" s="43">
        <v>9</v>
      </c>
      <c r="K815" s="44">
        <v>4000000</v>
      </c>
      <c r="L815" s="43" t="s">
        <v>992</v>
      </c>
      <c r="M815" s="45">
        <v>46117</v>
      </c>
      <c r="N815" s="41">
        <v>202</v>
      </c>
      <c r="O815" s="42">
        <v>46063</v>
      </c>
      <c r="P815" s="46"/>
      <c r="Q815" s="41">
        <v>202</v>
      </c>
    </row>
    <row r="816" spans="1:17" ht="12" customHeight="1" x14ac:dyDescent="0.3">
      <c r="A816" s="39"/>
      <c r="B816" s="40" t="s">
        <v>1807</v>
      </c>
      <c r="C816" s="41">
        <v>207</v>
      </c>
      <c r="D816" s="42">
        <v>46026</v>
      </c>
      <c r="E816" s="43" t="s">
        <v>2</v>
      </c>
      <c r="F816" s="41">
        <v>0</v>
      </c>
      <c r="G816" s="41">
        <v>0</v>
      </c>
      <c r="H816" s="41">
        <v>207</v>
      </c>
      <c r="I816" s="43">
        <v>90</v>
      </c>
      <c r="J816" s="43">
        <v>9</v>
      </c>
      <c r="K816" s="44">
        <v>4000000</v>
      </c>
      <c r="L816" s="43" t="s">
        <v>992</v>
      </c>
      <c r="M816" s="45">
        <v>46117</v>
      </c>
      <c r="N816" s="41">
        <v>207</v>
      </c>
      <c r="O816" s="42">
        <v>46063</v>
      </c>
      <c r="P816" s="46"/>
      <c r="Q816" s="41">
        <v>207</v>
      </c>
    </row>
    <row r="817" spans="1:17" ht="12" customHeight="1" x14ac:dyDescent="0.3">
      <c r="A817" s="39"/>
      <c r="B817" s="40" t="s">
        <v>1808</v>
      </c>
      <c r="C817" s="41">
        <v>135</v>
      </c>
      <c r="D817" s="42">
        <v>46026</v>
      </c>
      <c r="E817" s="43" t="s">
        <v>2</v>
      </c>
      <c r="F817" s="41">
        <v>0</v>
      </c>
      <c r="G817" s="41">
        <v>0</v>
      </c>
      <c r="H817" s="41">
        <v>135</v>
      </c>
      <c r="I817" s="43">
        <v>90</v>
      </c>
      <c r="J817" s="43">
        <v>9</v>
      </c>
      <c r="K817" s="44">
        <v>4000000</v>
      </c>
      <c r="L817" s="43" t="s">
        <v>992</v>
      </c>
      <c r="M817" s="45">
        <v>46117</v>
      </c>
      <c r="N817" s="41">
        <v>135</v>
      </c>
      <c r="O817" s="42">
        <v>46063</v>
      </c>
      <c r="P817" s="46"/>
      <c r="Q817" s="41">
        <v>135</v>
      </c>
    </row>
    <row r="818" spans="1:17" ht="12" customHeight="1" x14ac:dyDescent="0.3">
      <c r="A818" s="39"/>
      <c r="B818" s="40" t="s">
        <v>1809</v>
      </c>
      <c r="C818" s="41">
        <v>168</v>
      </c>
      <c r="D818" s="42">
        <v>46026</v>
      </c>
      <c r="E818" s="43" t="s">
        <v>2</v>
      </c>
      <c r="F818" s="41">
        <v>0</v>
      </c>
      <c r="G818" s="41">
        <v>0</v>
      </c>
      <c r="H818" s="41">
        <v>168</v>
      </c>
      <c r="I818" s="43">
        <v>90</v>
      </c>
      <c r="J818" s="43">
        <v>9</v>
      </c>
      <c r="K818" s="44">
        <v>4000000</v>
      </c>
      <c r="L818" s="43" t="s">
        <v>992</v>
      </c>
      <c r="M818" s="45">
        <v>46117</v>
      </c>
      <c r="N818" s="41">
        <v>168</v>
      </c>
      <c r="O818" s="42">
        <v>46063</v>
      </c>
      <c r="P818" s="46"/>
      <c r="Q818" s="41">
        <v>168</v>
      </c>
    </row>
    <row r="819" spans="1:17" ht="12" customHeight="1" x14ac:dyDescent="0.3">
      <c r="A819" s="39"/>
      <c r="B819" s="40" t="s">
        <v>1810</v>
      </c>
      <c r="C819" s="41">
        <v>112</v>
      </c>
      <c r="D819" s="42">
        <v>46026</v>
      </c>
      <c r="E819" s="43" t="s">
        <v>2</v>
      </c>
      <c r="F819" s="41">
        <v>0</v>
      </c>
      <c r="G819" s="41">
        <v>0</v>
      </c>
      <c r="H819" s="41">
        <v>112</v>
      </c>
      <c r="I819" s="43">
        <v>90</v>
      </c>
      <c r="J819" s="43">
        <v>9</v>
      </c>
      <c r="K819" s="44">
        <v>4000000</v>
      </c>
      <c r="L819" s="43" t="s">
        <v>992</v>
      </c>
      <c r="M819" s="45">
        <v>46117</v>
      </c>
      <c r="N819" s="41">
        <v>112</v>
      </c>
      <c r="O819" s="42">
        <v>46063</v>
      </c>
      <c r="P819" s="46"/>
      <c r="Q819" s="41">
        <v>112</v>
      </c>
    </row>
    <row r="820" spans="1:17" ht="12" customHeight="1" x14ac:dyDescent="0.3">
      <c r="A820" s="39"/>
      <c r="B820" s="40" t="s">
        <v>1811</v>
      </c>
      <c r="C820" s="41">
        <v>130005.2</v>
      </c>
      <c r="D820" s="42">
        <v>46027</v>
      </c>
      <c r="E820" s="43" t="s">
        <v>2</v>
      </c>
      <c r="F820" s="41">
        <v>0</v>
      </c>
      <c r="G820" s="41">
        <v>0</v>
      </c>
      <c r="H820" s="41">
        <v>130005.2</v>
      </c>
      <c r="I820" s="43">
        <v>90</v>
      </c>
      <c r="J820" s="43">
        <v>20</v>
      </c>
      <c r="K820" s="44">
        <v>3000000</v>
      </c>
      <c r="L820" s="43" t="s">
        <v>992</v>
      </c>
      <c r="M820" s="45">
        <v>46117</v>
      </c>
      <c r="N820" s="41">
        <v>130005.2</v>
      </c>
      <c r="O820" s="42">
        <v>46057</v>
      </c>
      <c r="P820" s="46"/>
      <c r="Q820" s="41">
        <v>130005.2</v>
      </c>
    </row>
    <row r="821" spans="1:17" ht="12" customHeight="1" x14ac:dyDescent="0.3">
      <c r="A821" s="39"/>
      <c r="B821" s="40" t="s">
        <v>1812</v>
      </c>
      <c r="C821" s="41">
        <v>252</v>
      </c>
      <c r="D821" s="42">
        <v>46029</v>
      </c>
      <c r="E821" s="43" t="s">
        <v>2</v>
      </c>
      <c r="F821" s="41">
        <v>0</v>
      </c>
      <c r="G821" s="41">
        <v>0</v>
      </c>
      <c r="H821" s="41">
        <v>252</v>
      </c>
      <c r="I821" s="43">
        <v>90</v>
      </c>
      <c r="J821" s="43">
        <v>9</v>
      </c>
      <c r="K821" s="44">
        <v>4000000</v>
      </c>
      <c r="L821" s="43" t="s">
        <v>992</v>
      </c>
      <c r="M821" s="45">
        <v>46119</v>
      </c>
      <c r="N821" s="41">
        <v>252</v>
      </c>
      <c r="O821" s="42">
        <v>46063</v>
      </c>
      <c r="P821" s="46"/>
      <c r="Q821" s="41">
        <v>252</v>
      </c>
    </row>
    <row r="822" spans="1:17" ht="12" customHeight="1" x14ac:dyDescent="0.3">
      <c r="A822" s="39"/>
      <c r="B822" s="40" t="s">
        <v>1813</v>
      </c>
      <c r="C822" s="41">
        <v>1900.01</v>
      </c>
      <c r="D822" s="42">
        <v>46029</v>
      </c>
      <c r="E822" s="43" t="s">
        <v>2</v>
      </c>
      <c r="F822" s="41">
        <v>0</v>
      </c>
      <c r="G822" s="41">
        <v>0</v>
      </c>
      <c r="H822" s="41">
        <v>1900.01</v>
      </c>
      <c r="I822" s="43">
        <v>90</v>
      </c>
      <c r="J822" s="43">
        <v>9</v>
      </c>
      <c r="K822" s="44">
        <v>4000000</v>
      </c>
      <c r="L822" s="43" t="s">
        <v>992</v>
      </c>
      <c r="M822" s="45">
        <v>46119</v>
      </c>
      <c r="N822" s="41">
        <v>1900.01</v>
      </c>
      <c r="O822" s="42">
        <v>46063</v>
      </c>
      <c r="P822" s="46"/>
      <c r="Q822" s="41">
        <v>1900.01</v>
      </c>
    </row>
    <row r="823" spans="1:17" ht="12" customHeight="1" x14ac:dyDescent="0.3">
      <c r="A823" s="39"/>
      <c r="B823" s="40" t="s">
        <v>1814</v>
      </c>
      <c r="C823" s="41">
        <v>74</v>
      </c>
      <c r="D823" s="42">
        <v>46029</v>
      </c>
      <c r="E823" s="43" t="s">
        <v>2</v>
      </c>
      <c r="F823" s="41">
        <v>0</v>
      </c>
      <c r="G823" s="41">
        <v>0</v>
      </c>
      <c r="H823" s="41">
        <v>74</v>
      </c>
      <c r="I823" s="43">
        <v>90</v>
      </c>
      <c r="J823" s="43">
        <v>9</v>
      </c>
      <c r="K823" s="44">
        <v>4000000</v>
      </c>
      <c r="L823" s="43" t="s">
        <v>992</v>
      </c>
      <c r="M823" s="45">
        <v>46119</v>
      </c>
      <c r="N823" s="41">
        <v>74</v>
      </c>
      <c r="O823" s="42">
        <v>46063</v>
      </c>
      <c r="P823" s="46"/>
      <c r="Q823" s="41">
        <v>74</v>
      </c>
    </row>
    <row r="824" spans="1:17" ht="12" customHeight="1" x14ac:dyDescent="0.3">
      <c r="A824" s="39"/>
      <c r="B824" s="40" t="s">
        <v>1815</v>
      </c>
      <c r="C824" s="41">
        <v>490</v>
      </c>
      <c r="D824" s="42">
        <v>46029</v>
      </c>
      <c r="E824" s="43" t="s">
        <v>2</v>
      </c>
      <c r="F824" s="41">
        <v>0</v>
      </c>
      <c r="G824" s="41">
        <v>0</v>
      </c>
      <c r="H824" s="41">
        <v>490</v>
      </c>
      <c r="I824" s="43">
        <v>90</v>
      </c>
      <c r="J824" s="43">
        <v>9</v>
      </c>
      <c r="K824" s="44">
        <v>4000000</v>
      </c>
      <c r="L824" s="43" t="s">
        <v>992</v>
      </c>
      <c r="M824" s="45">
        <v>46119</v>
      </c>
      <c r="N824" s="41">
        <v>490</v>
      </c>
      <c r="O824" s="42">
        <v>46063</v>
      </c>
      <c r="P824" s="46"/>
      <c r="Q824" s="41">
        <v>490</v>
      </c>
    </row>
    <row r="825" spans="1:17" ht="12" customHeight="1" x14ac:dyDescent="0.3">
      <c r="A825" s="39"/>
      <c r="B825" s="40" t="s">
        <v>1816</v>
      </c>
      <c r="C825" s="41">
        <v>400</v>
      </c>
      <c r="D825" s="42">
        <v>46029</v>
      </c>
      <c r="E825" s="43" t="s">
        <v>2</v>
      </c>
      <c r="F825" s="41">
        <v>0</v>
      </c>
      <c r="G825" s="41">
        <v>0</v>
      </c>
      <c r="H825" s="41">
        <v>400</v>
      </c>
      <c r="I825" s="43">
        <v>90</v>
      </c>
      <c r="J825" s="43">
        <v>9</v>
      </c>
      <c r="K825" s="44">
        <v>4000000</v>
      </c>
      <c r="L825" s="43" t="s">
        <v>992</v>
      </c>
      <c r="M825" s="45">
        <v>46119</v>
      </c>
      <c r="N825" s="41">
        <v>400</v>
      </c>
      <c r="O825" s="42">
        <v>46063</v>
      </c>
      <c r="P825" s="46"/>
      <c r="Q825" s="41">
        <v>400</v>
      </c>
    </row>
    <row r="826" spans="1:17" ht="12" customHeight="1" x14ac:dyDescent="0.3">
      <c r="A826" s="39"/>
      <c r="B826" s="40" t="s">
        <v>1817</v>
      </c>
      <c r="C826" s="41">
        <v>202</v>
      </c>
      <c r="D826" s="42">
        <v>46029</v>
      </c>
      <c r="E826" s="43" t="s">
        <v>2</v>
      </c>
      <c r="F826" s="41">
        <v>0</v>
      </c>
      <c r="G826" s="41">
        <v>0</v>
      </c>
      <c r="H826" s="41">
        <v>202</v>
      </c>
      <c r="I826" s="43">
        <v>90</v>
      </c>
      <c r="J826" s="43">
        <v>9</v>
      </c>
      <c r="K826" s="44">
        <v>4000000</v>
      </c>
      <c r="L826" s="43" t="s">
        <v>992</v>
      </c>
      <c r="M826" s="45">
        <v>46119</v>
      </c>
      <c r="N826" s="41">
        <v>202</v>
      </c>
      <c r="O826" s="42">
        <v>46063</v>
      </c>
      <c r="P826" s="46"/>
      <c r="Q826" s="41">
        <v>202</v>
      </c>
    </row>
    <row r="827" spans="1:17" ht="12" customHeight="1" x14ac:dyDescent="0.3">
      <c r="A827" s="39"/>
      <c r="B827" s="40" t="s">
        <v>1818</v>
      </c>
      <c r="C827" s="41">
        <v>381</v>
      </c>
      <c r="D827" s="42">
        <v>46029</v>
      </c>
      <c r="E827" s="43" t="s">
        <v>2</v>
      </c>
      <c r="F827" s="41">
        <v>0</v>
      </c>
      <c r="G827" s="41">
        <v>0</v>
      </c>
      <c r="H827" s="41">
        <v>381</v>
      </c>
      <c r="I827" s="43">
        <v>90</v>
      </c>
      <c r="J827" s="43">
        <v>9</v>
      </c>
      <c r="K827" s="44">
        <v>4000000</v>
      </c>
      <c r="L827" s="43" t="s">
        <v>992</v>
      </c>
      <c r="M827" s="45">
        <v>46119</v>
      </c>
      <c r="N827" s="41">
        <v>381</v>
      </c>
      <c r="O827" s="42">
        <v>46063</v>
      </c>
      <c r="P827" s="46"/>
      <c r="Q827" s="41">
        <v>381</v>
      </c>
    </row>
    <row r="828" spans="1:17" ht="12" customHeight="1" x14ac:dyDescent="0.3">
      <c r="A828" s="39"/>
      <c r="B828" s="40" t="s">
        <v>1819</v>
      </c>
      <c r="C828" s="41">
        <v>126137.3</v>
      </c>
      <c r="D828" s="42">
        <v>46029</v>
      </c>
      <c r="E828" s="43" t="s">
        <v>2</v>
      </c>
      <c r="F828" s="41">
        <v>0</v>
      </c>
      <c r="G828" s="41">
        <v>0</v>
      </c>
      <c r="H828" s="41">
        <v>126137.3</v>
      </c>
      <c r="I828" s="43">
        <v>90</v>
      </c>
      <c r="J828" s="43">
        <v>20</v>
      </c>
      <c r="K828" s="44">
        <v>3000000</v>
      </c>
      <c r="L828" s="43" t="s">
        <v>992</v>
      </c>
      <c r="M828" s="45">
        <v>46119</v>
      </c>
      <c r="N828" s="41">
        <v>126137.3</v>
      </c>
      <c r="O828" s="42">
        <v>46058</v>
      </c>
      <c r="P828" s="46"/>
      <c r="Q828" s="41">
        <v>126137.3</v>
      </c>
    </row>
    <row r="829" spans="1:17" ht="12" customHeight="1" x14ac:dyDescent="0.3">
      <c r="A829" s="39"/>
      <c r="B829" s="40" t="s">
        <v>1820</v>
      </c>
      <c r="C829" s="41">
        <v>170000</v>
      </c>
      <c r="D829" s="42">
        <v>46029</v>
      </c>
      <c r="E829" s="43" t="s">
        <v>2</v>
      </c>
      <c r="F829" s="41">
        <v>0</v>
      </c>
      <c r="G829" s="41">
        <v>0</v>
      </c>
      <c r="H829" s="41">
        <v>170000</v>
      </c>
      <c r="I829" s="43">
        <v>90</v>
      </c>
      <c r="J829" s="43">
        <v>71</v>
      </c>
      <c r="K829" s="44">
        <v>4000000</v>
      </c>
      <c r="L829" s="43" t="s">
        <v>992</v>
      </c>
      <c r="M829" s="45">
        <v>46119</v>
      </c>
      <c r="N829" s="41">
        <v>170000</v>
      </c>
      <c r="O829" s="42">
        <v>46056</v>
      </c>
      <c r="P829" s="46"/>
      <c r="Q829" s="41">
        <v>170000</v>
      </c>
    </row>
    <row r="830" spans="1:17" ht="12" customHeight="1" x14ac:dyDescent="0.3">
      <c r="A830" s="39"/>
      <c r="B830" s="40" t="s">
        <v>1821</v>
      </c>
      <c r="C830" s="41">
        <v>500000</v>
      </c>
      <c r="D830" s="42">
        <v>46029</v>
      </c>
      <c r="E830" s="43" t="s">
        <v>2</v>
      </c>
      <c r="F830" s="41">
        <v>0</v>
      </c>
      <c r="G830" s="41">
        <v>0</v>
      </c>
      <c r="H830" s="41">
        <v>500000</v>
      </c>
      <c r="I830" s="43">
        <v>90</v>
      </c>
      <c r="J830" s="43">
        <v>116</v>
      </c>
      <c r="K830" s="44">
        <v>2000000</v>
      </c>
      <c r="L830" s="43" t="s">
        <v>992</v>
      </c>
      <c r="M830" s="45">
        <v>46119</v>
      </c>
      <c r="N830" s="41">
        <v>500000</v>
      </c>
      <c r="O830" s="42">
        <v>46056</v>
      </c>
      <c r="P830" s="46"/>
      <c r="Q830" s="41">
        <v>500000</v>
      </c>
    </row>
    <row r="831" spans="1:17" ht="12" customHeight="1" x14ac:dyDescent="0.3">
      <c r="A831" s="39"/>
      <c r="B831" s="40" t="s">
        <v>1822</v>
      </c>
      <c r="C831" s="41">
        <v>52</v>
      </c>
      <c r="D831" s="42">
        <v>46030</v>
      </c>
      <c r="E831" s="43" t="s">
        <v>2</v>
      </c>
      <c r="F831" s="41">
        <v>0</v>
      </c>
      <c r="G831" s="41">
        <v>0</v>
      </c>
      <c r="H831" s="41">
        <v>52</v>
      </c>
      <c r="I831" s="43">
        <v>90</v>
      </c>
      <c r="J831" s="43">
        <v>9</v>
      </c>
      <c r="K831" s="44">
        <v>4000000</v>
      </c>
      <c r="L831" s="43" t="s">
        <v>992</v>
      </c>
      <c r="M831" s="45">
        <v>46120</v>
      </c>
      <c r="N831" s="41">
        <v>52</v>
      </c>
      <c r="O831" s="42">
        <v>46063</v>
      </c>
      <c r="P831" s="46"/>
      <c r="Q831" s="41">
        <v>52</v>
      </c>
    </row>
    <row r="832" spans="1:17" ht="12" customHeight="1" x14ac:dyDescent="0.3">
      <c r="A832" s="39"/>
      <c r="B832" s="40" t="s">
        <v>1823</v>
      </c>
      <c r="C832" s="41">
        <v>134</v>
      </c>
      <c r="D832" s="42">
        <v>46030</v>
      </c>
      <c r="E832" s="43" t="s">
        <v>2</v>
      </c>
      <c r="F832" s="41">
        <v>0</v>
      </c>
      <c r="G832" s="41">
        <v>0</v>
      </c>
      <c r="H832" s="41">
        <v>134</v>
      </c>
      <c r="I832" s="43">
        <v>90</v>
      </c>
      <c r="J832" s="43">
        <v>9</v>
      </c>
      <c r="K832" s="44">
        <v>4000000</v>
      </c>
      <c r="L832" s="43" t="s">
        <v>992</v>
      </c>
      <c r="M832" s="45">
        <v>46120</v>
      </c>
      <c r="N832" s="41">
        <v>134</v>
      </c>
      <c r="O832" s="42">
        <v>46063</v>
      </c>
      <c r="P832" s="46"/>
      <c r="Q832" s="41">
        <v>134</v>
      </c>
    </row>
    <row r="833" spans="1:17" ht="12" customHeight="1" x14ac:dyDescent="0.3">
      <c r="A833" s="39"/>
      <c r="B833" s="40" t="s">
        <v>1824</v>
      </c>
      <c r="C833" s="41">
        <v>1606.22</v>
      </c>
      <c r="D833" s="42">
        <v>46030</v>
      </c>
      <c r="E833" s="43" t="s">
        <v>2</v>
      </c>
      <c r="F833" s="41">
        <v>0</v>
      </c>
      <c r="G833" s="41">
        <v>0</v>
      </c>
      <c r="H833" s="41">
        <v>1606.22</v>
      </c>
      <c r="I833" s="43">
        <v>90</v>
      </c>
      <c r="J833" s="43">
        <v>9</v>
      </c>
      <c r="K833" s="44">
        <v>4000000</v>
      </c>
      <c r="L833" s="43" t="s">
        <v>992</v>
      </c>
      <c r="M833" s="45">
        <v>46120</v>
      </c>
      <c r="N833" s="41">
        <v>1606.22</v>
      </c>
      <c r="O833" s="42">
        <v>46063</v>
      </c>
      <c r="P833" s="46"/>
      <c r="Q833" s="41">
        <v>1606.22</v>
      </c>
    </row>
    <row r="834" spans="1:17" ht="12" customHeight="1" x14ac:dyDescent="0.3">
      <c r="A834" s="39"/>
      <c r="B834" s="40" t="s">
        <v>1825</v>
      </c>
      <c r="C834" s="41">
        <v>440</v>
      </c>
      <c r="D834" s="42">
        <v>46030</v>
      </c>
      <c r="E834" s="43" t="s">
        <v>2</v>
      </c>
      <c r="F834" s="41">
        <v>0</v>
      </c>
      <c r="G834" s="41">
        <v>0</v>
      </c>
      <c r="H834" s="41">
        <v>440</v>
      </c>
      <c r="I834" s="43">
        <v>90</v>
      </c>
      <c r="J834" s="43">
        <v>9</v>
      </c>
      <c r="K834" s="44">
        <v>4000000</v>
      </c>
      <c r="L834" s="43" t="s">
        <v>992</v>
      </c>
      <c r="M834" s="45">
        <v>46120</v>
      </c>
      <c r="N834" s="41">
        <v>440</v>
      </c>
      <c r="O834" s="42">
        <v>46063</v>
      </c>
      <c r="P834" s="46"/>
      <c r="Q834" s="41">
        <v>440</v>
      </c>
    </row>
    <row r="835" spans="1:17" ht="12" customHeight="1" x14ac:dyDescent="0.3">
      <c r="A835" s="39"/>
      <c r="B835" s="40" t="s">
        <v>1826</v>
      </c>
      <c r="C835" s="41">
        <v>175000</v>
      </c>
      <c r="D835" s="42">
        <v>46030</v>
      </c>
      <c r="E835" s="43" t="s">
        <v>2</v>
      </c>
      <c r="F835" s="41">
        <v>0</v>
      </c>
      <c r="G835" s="41">
        <v>0</v>
      </c>
      <c r="H835" s="41">
        <v>175000</v>
      </c>
      <c r="I835" s="43">
        <v>90</v>
      </c>
      <c r="J835" s="43">
        <v>71</v>
      </c>
      <c r="K835" s="44">
        <v>4000000</v>
      </c>
      <c r="L835" s="43" t="s">
        <v>992</v>
      </c>
      <c r="M835" s="45">
        <v>46120</v>
      </c>
      <c r="N835" s="41">
        <v>175000</v>
      </c>
      <c r="O835" s="42">
        <v>46057</v>
      </c>
      <c r="P835" s="46"/>
      <c r="Q835" s="41">
        <v>175000</v>
      </c>
    </row>
    <row r="836" spans="1:17" ht="12" customHeight="1" x14ac:dyDescent="0.3">
      <c r="A836" s="39"/>
      <c r="B836" s="40" t="s">
        <v>1827</v>
      </c>
      <c r="C836" s="41">
        <v>200000</v>
      </c>
      <c r="D836" s="42">
        <v>46030</v>
      </c>
      <c r="E836" s="43" t="s">
        <v>2</v>
      </c>
      <c r="F836" s="41">
        <v>0</v>
      </c>
      <c r="G836" s="41">
        <v>0</v>
      </c>
      <c r="H836" s="41">
        <v>200000</v>
      </c>
      <c r="I836" s="43">
        <v>90</v>
      </c>
      <c r="J836" s="43">
        <v>13</v>
      </c>
      <c r="K836" s="44">
        <v>5000000</v>
      </c>
      <c r="L836" s="43" t="s">
        <v>992</v>
      </c>
      <c r="M836" s="45">
        <v>46120</v>
      </c>
      <c r="N836" s="41">
        <v>200000</v>
      </c>
      <c r="O836" s="42">
        <v>46081</v>
      </c>
      <c r="P836" s="46"/>
      <c r="Q836" s="41">
        <v>200000</v>
      </c>
    </row>
    <row r="837" spans="1:17" ht="12" customHeight="1" x14ac:dyDescent="0.3">
      <c r="A837" s="39"/>
      <c r="B837" s="40" t="s">
        <v>1828</v>
      </c>
      <c r="C837" s="41">
        <v>8936.19</v>
      </c>
      <c r="D837" s="42">
        <v>46033</v>
      </c>
      <c r="E837" s="43" t="s">
        <v>2</v>
      </c>
      <c r="F837" s="41">
        <v>0</v>
      </c>
      <c r="G837" s="41">
        <v>0</v>
      </c>
      <c r="H837" s="41">
        <v>8936.19</v>
      </c>
      <c r="I837" s="43">
        <v>90</v>
      </c>
      <c r="J837" s="43">
        <v>9</v>
      </c>
      <c r="K837" s="44">
        <v>4000000</v>
      </c>
      <c r="L837" s="43" t="s">
        <v>992</v>
      </c>
      <c r="M837" s="45">
        <v>46124</v>
      </c>
      <c r="N837" s="41">
        <v>8936.19</v>
      </c>
      <c r="O837" s="42">
        <v>46063</v>
      </c>
      <c r="P837" s="46"/>
      <c r="Q837" s="41">
        <v>8936.19</v>
      </c>
    </row>
    <row r="838" spans="1:17" ht="12" customHeight="1" x14ac:dyDescent="0.3">
      <c r="A838" s="39"/>
      <c r="B838" s="40" t="s">
        <v>1829</v>
      </c>
      <c r="C838" s="41">
        <v>917.84</v>
      </c>
      <c r="D838" s="42">
        <v>46033</v>
      </c>
      <c r="E838" s="43" t="s">
        <v>2</v>
      </c>
      <c r="F838" s="41">
        <v>0</v>
      </c>
      <c r="G838" s="41">
        <v>0</v>
      </c>
      <c r="H838" s="41">
        <v>917.84</v>
      </c>
      <c r="I838" s="43">
        <v>90</v>
      </c>
      <c r="J838" s="43">
        <v>9</v>
      </c>
      <c r="K838" s="44">
        <v>4000000</v>
      </c>
      <c r="L838" s="43" t="s">
        <v>992</v>
      </c>
      <c r="M838" s="45">
        <v>46124</v>
      </c>
      <c r="N838" s="41">
        <v>917.84</v>
      </c>
      <c r="O838" s="42">
        <v>46063</v>
      </c>
      <c r="P838" s="46"/>
      <c r="Q838" s="41">
        <v>917.84</v>
      </c>
    </row>
    <row r="839" spans="1:17" ht="12" customHeight="1" x14ac:dyDescent="0.3">
      <c r="A839" s="39"/>
      <c r="B839" s="40" t="s">
        <v>1830</v>
      </c>
      <c r="C839" s="41">
        <v>269</v>
      </c>
      <c r="D839" s="42">
        <v>46033</v>
      </c>
      <c r="E839" s="43" t="s">
        <v>2</v>
      </c>
      <c r="F839" s="41">
        <v>0</v>
      </c>
      <c r="G839" s="41">
        <v>0</v>
      </c>
      <c r="H839" s="41">
        <v>269</v>
      </c>
      <c r="I839" s="43">
        <v>90</v>
      </c>
      <c r="J839" s="43">
        <v>9</v>
      </c>
      <c r="K839" s="44">
        <v>4000000</v>
      </c>
      <c r="L839" s="43" t="s">
        <v>992</v>
      </c>
      <c r="M839" s="45">
        <v>46124</v>
      </c>
      <c r="N839" s="41">
        <v>269</v>
      </c>
      <c r="O839" s="42">
        <v>46063</v>
      </c>
      <c r="P839" s="46"/>
      <c r="Q839" s="41">
        <v>269</v>
      </c>
    </row>
    <row r="840" spans="1:17" ht="12" customHeight="1" x14ac:dyDescent="0.3">
      <c r="A840" s="39"/>
      <c r="B840" s="40" t="s">
        <v>1831</v>
      </c>
      <c r="C840" s="41">
        <v>300</v>
      </c>
      <c r="D840" s="42">
        <v>46033</v>
      </c>
      <c r="E840" s="43" t="s">
        <v>2</v>
      </c>
      <c r="F840" s="41">
        <v>0</v>
      </c>
      <c r="G840" s="41">
        <v>0</v>
      </c>
      <c r="H840" s="41">
        <v>300</v>
      </c>
      <c r="I840" s="43">
        <v>90</v>
      </c>
      <c r="J840" s="43">
        <v>9</v>
      </c>
      <c r="K840" s="44">
        <v>4000000</v>
      </c>
      <c r="L840" s="43" t="s">
        <v>992</v>
      </c>
      <c r="M840" s="45">
        <v>46124</v>
      </c>
      <c r="N840" s="41">
        <v>300</v>
      </c>
      <c r="O840" s="42">
        <v>46063</v>
      </c>
      <c r="P840" s="46"/>
      <c r="Q840" s="41">
        <v>300</v>
      </c>
    </row>
    <row r="841" spans="1:17" ht="12" customHeight="1" x14ac:dyDescent="0.3">
      <c r="A841" s="39"/>
      <c r="B841" s="40" t="s">
        <v>1832</v>
      </c>
      <c r="C841" s="41">
        <v>400000</v>
      </c>
      <c r="D841" s="42">
        <v>46033</v>
      </c>
      <c r="E841" s="43" t="s">
        <v>2</v>
      </c>
      <c r="F841" s="41">
        <v>0</v>
      </c>
      <c r="G841" s="41">
        <v>0</v>
      </c>
      <c r="H841" s="41">
        <v>400000</v>
      </c>
      <c r="I841" s="43">
        <v>90</v>
      </c>
      <c r="J841" s="43">
        <v>13</v>
      </c>
      <c r="K841" s="44">
        <v>5000000</v>
      </c>
      <c r="L841" s="43" t="s">
        <v>992</v>
      </c>
      <c r="M841" s="45">
        <v>46124</v>
      </c>
      <c r="N841" s="41">
        <v>400000</v>
      </c>
      <c r="O841" s="42">
        <v>46105</v>
      </c>
      <c r="P841" s="46"/>
      <c r="Q841" s="41">
        <v>400000</v>
      </c>
    </row>
    <row r="842" spans="1:17" ht="12" customHeight="1" x14ac:dyDescent="0.3">
      <c r="A842" s="39"/>
      <c r="B842" s="40" t="s">
        <v>1833</v>
      </c>
      <c r="C842" s="41">
        <v>1473.18</v>
      </c>
      <c r="D842" s="42">
        <v>46033</v>
      </c>
      <c r="E842" s="43" t="s">
        <v>1763</v>
      </c>
      <c r="F842" s="41">
        <v>1473.18</v>
      </c>
      <c r="G842" s="41">
        <v>0</v>
      </c>
      <c r="H842" s="41">
        <v>1473.18</v>
      </c>
      <c r="I842" s="43">
        <v>90</v>
      </c>
      <c r="J842" s="43">
        <v>77</v>
      </c>
      <c r="K842" s="44">
        <v>800000</v>
      </c>
      <c r="L842" s="43" t="s">
        <v>992</v>
      </c>
      <c r="M842" s="45">
        <v>46124</v>
      </c>
      <c r="N842" s="41">
        <v>0</v>
      </c>
      <c r="O842" s="42"/>
      <c r="P842" s="46">
        <v>79</v>
      </c>
      <c r="Q842" s="41">
        <v>0</v>
      </c>
    </row>
    <row r="843" spans="1:17" ht="12" customHeight="1" x14ac:dyDescent="0.3">
      <c r="A843" s="39"/>
      <c r="B843" s="40" t="s">
        <v>1834</v>
      </c>
      <c r="C843" s="41">
        <v>12667.23</v>
      </c>
      <c r="D843" s="42">
        <v>46033</v>
      </c>
      <c r="E843" s="43" t="s">
        <v>1763</v>
      </c>
      <c r="F843" s="41">
        <v>12667.23</v>
      </c>
      <c r="G843" s="41">
        <v>0</v>
      </c>
      <c r="H843" s="41">
        <v>12667.23</v>
      </c>
      <c r="I843" s="43">
        <v>90</v>
      </c>
      <c r="J843" s="43">
        <v>77</v>
      </c>
      <c r="K843" s="44">
        <v>800000</v>
      </c>
      <c r="L843" s="43" t="s">
        <v>992</v>
      </c>
      <c r="M843" s="45">
        <v>46124</v>
      </c>
      <c r="N843" s="41">
        <v>0</v>
      </c>
      <c r="O843" s="42"/>
      <c r="P843" s="46">
        <v>79</v>
      </c>
      <c r="Q843" s="41">
        <v>0</v>
      </c>
    </row>
    <row r="844" spans="1:17" ht="12" customHeight="1" x14ac:dyDescent="0.3">
      <c r="A844" s="39"/>
      <c r="B844" s="40" t="s">
        <v>1835</v>
      </c>
      <c r="C844" s="41">
        <v>10399.450000000001</v>
      </c>
      <c r="D844" s="42">
        <v>46033</v>
      </c>
      <c r="E844" s="43" t="s">
        <v>1763</v>
      </c>
      <c r="F844" s="41">
        <v>10399.450000000001</v>
      </c>
      <c r="G844" s="41">
        <v>0</v>
      </c>
      <c r="H844" s="41">
        <v>10399.450000000001</v>
      </c>
      <c r="I844" s="43">
        <v>90</v>
      </c>
      <c r="J844" s="43">
        <v>77</v>
      </c>
      <c r="K844" s="44">
        <v>800000</v>
      </c>
      <c r="L844" s="43" t="s">
        <v>992</v>
      </c>
      <c r="M844" s="45">
        <v>46124</v>
      </c>
      <c r="N844" s="41">
        <v>0</v>
      </c>
      <c r="O844" s="42"/>
      <c r="P844" s="46">
        <v>79</v>
      </c>
      <c r="Q844" s="41">
        <v>0</v>
      </c>
    </row>
    <row r="845" spans="1:17" ht="12" customHeight="1" x14ac:dyDescent="0.3">
      <c r="A845" s="39"/>
      <c r="B845" s="40" t="s">
        <v>1836</v>
      </c>
      <c r="C845" s="41">
        <v>300000</v>
      </c>
      <c r="D845" s="42">
        <v>46034</v>
      </c>
      <c r="E845" s="43" t="s">
        <v>2</v>
      </c>
      <c r="F845" s="41">
        <v>0</v>
      </c>
      <c r="G845" s="41">
        <v>0</v>
      </c>
      <c r="H845" s="41">
        <v>300000</v>
      </c>
      <c r="I845" s="43">
        <v>90</v>
      </c>
      <c r="J845" s="43">
        <v>13</v>
      </c>
      <c r="K845" s="44">
        <v>5000000</v>
      </c>
      <c r="L845" s="43" t="s">
        <v>992</v>
      </c>
      <c r="M845" s="45">
        <v>46124</v>
      </c>
      <c r="N845" s="41">
        <v>300000</v>
      </c>
      <c r="O845" s="42">
        <v>46106</v>
      </c>
      <c r="P845" s="46"/>
      <c r="Q845" s="41">
        <v>300000</v>
      </c>
    </row>
    <row r="846" spans="1:17" ht="12" customHeight="1" x14ac:dyDescent="0.3">
      <c r="A846" s="39"/>
      <c r="B846" s="40" t="s">
        <v>1837</v>
      </c>
      <c r="C846" s="41">
        <v>269</v>
      </c>
      <c r="D846" s="42">
        <v>46034</v>
      </c>
      <c r="E846" s="43" t="s">
        <v>2</v>
      </c>
      <c r="F846" s="41">
        <v>0</v>
      </c>
      <c r="G846" s="41">
        <v>0</v>
      </c>
      <c r="H846" s="41">
        <v>269</v>
      </c>
      <c r="I846" s="43">
        <v>90</v>
      </c>
      <c r="J846" s="43">
        <v>9</v>
      </c>
      <c r="K846" s="44">
        <v>4000000</v>
      </c>
      <c r="L846" s="43" t="s">
        <v>992</v>
      </c>
      <c r="M846" s="45">
        <v>46124</v>
      </c>
      <c r="N846" s="41">
        <v>269</v>
      </c>
      <c r="O846" s="42">
        <v>46063</v>
      </c>
      <c r="P846" s="46"/>
      <c r="Q846" s="41">
        <v>269</v>
      </c>
    </row>
    <row r="847" spans="1:17" ht="12" customHeight="1" x14ac:dyDescent="0.3">
      <c r="A847" s="39"/>
      <c r="B847" s="40" t="s">
        <v>1838</v>
      </c>
      <c r="C847" s="41">
        <v>14794.81</v>
      </c>
      <c r="D847" s="42">
        <v>46034</v>
      </c>
      <c r="E847" s="43" t="s">
        <v>2</v>
      </c>
      <c r="F847" s="41">
        <v>0</v>
      </c>
      <c r="G847" s="41">
        <v>0</v>
      </c>
      <c r="H847" s="41">
        <v>14794.81</v>
      </c>
      <c r="I847" s="43">
        <v>90</v>
      </c>
      <c r="J847" s="43">
        <v>9</v>
      </c>
      <c r="K847" s="44">
        <v>4000000</v>
      </c>
      <c r="L847" s="43" t="s">
        <v>992</v>
      </c>
      <c r="M847" s="45">
        <v>46124</v>
      </c>
      <c r="N847" s="41">
        <v>14794.81</v>
      </c>
      <c r="O847" s="42">
        <v>46063</v>
      </c>
      <c r="P847" s="46"/>
      <c r="Q847" s="41">
        <v>14794.81</v>
      </c>
    </row>
    <row r="848" spans="1:17" ht="12" customHeight="1" x14ac:dyDescent="0.3">
      <c r="A848" s="39"/>
      <c r="B848" s="40" t="s">
        <v>1839</v>
      </c>
      <c r="C848" s="41">
        <v>125337.7</v>
      </c>
      <c r="D848" s="42">
        <v>46034</v>
      </c>
      <c r="E848" s="43" t="s">
        <v>2</v>
      </c>
      <c r="F848" s="41">
        <v>0</v>
      </c>
      <c r="G848" s="41">
        <v>0</v>
      </c>
      <c r="H848" s="41">
        <v>125337.7</v>
      </c>
      <c r="I848" s="43">
        <v>90</v>
      </c>
      <c r="J848" s="43">
        <v>20</v>
      </c>
      <c r="K848" s="44">
        <v>3000000</v>
      </c>
      <c r="L848" s="43" t="s">
        <v>992</v>
      </c>
      <c r="M848" s="45">
        <v>46124</v>
      </c>
      <c r="N848" s="41">
        <v>125337.7</v>
      </c>
      <c r="O848" s="42">
        <v>46062</v>
      </c>
      <c r="P848" s="46"/>
      <c r="Q848" s="41">
        <v>125337.7</v>
      </c>
    </row>
    <row r="849" spans="1:17" ht="12" customHeight="1" x14ac:dyDescent="0.3">
      <c r="A849" s="39"/>
      <c r="B849" s="40" t="s">
        <v>1840</v>
      </c>
      <c r="C849" s="41">
        <v>3136</v>
      </c>
      <c r="D849" s="42">
        <v>46034</v>
      </c>
      <c r="E849" s="43" t="s">
        <v>2</v>
      </c>
      <c r="F849" s="41">
        <v>0</v>
      </c>
      <c r="G849" s="41">
        <v>0</v>
      </c>
      <c r="H849" s="41">
        <v>3136</v>
      </c>
      <c r="I849" s="43">
        <v>90</v>
      </c>
      <c r="J849" s="43">
        <v>9</v>
      </c>
      <c r="K849" s="44">
        <v>4000000</v>
      </c>
      <c r="L849" s="43" t="s">
        <v>992</v>
      </c>
      <c r="M849" s="45">
        <v>46124</v>
      </c>
      <c r="N849" s="41">
        <v>3136</v>
      </c>
      <c r="O849" s="42">
        <v>46063</v>
      </c>
      <c r="P849" s="46"/>
      <c r="Q849" s="41">
        <v>3136</v>
      </c>
    </row>
    <row r="850" spans="1:17" ht="12" customHeight="1" x14ac:dyDescent="0.3">
      <c r="A850" s="39"/>
      <c r="B850" s="40" t="s">
        <v>1841</v>
      </c>
      <c r="C850" s="41">
        <v>99999.99</v>
      </c>
      <c r="D850" s="42">
        <v>46034</v>
      </c>
      <c r="E850" s="43" t="s">
        <v>2</v>
      </c>
      <c r="F850" s="41">
        <v>0</v>
      </c>
      <c r="G850" s="41">
        <v>0</v>
      </c>
      <c r="H850" s="41">
        <v>99999.99</v>
      </c>
      <c r="I850" s="43">
        <v>90</v>
      </c>
      <c r="J850" s="43">
        <v>8</v>
      </c>
      <c r="K850" s="44">
        <v>3000000</v>
      </c>
      <c r="L850" s="43" t="s">
        <v>992</v>
      </c>
      <c r="M850" s="45">
        <v>46124</v>
      </c>
      <c r="N850" s="41">
        <v>99999.99</v>
      </c>
      <c r="O850" s="42">
        <v>46081</v>
      </c>
      <c r="P850" s="46"/>
      <c r="Q850" s="41">
        <v>99999.99</v>
      </c>
    </row>
    <row r="851" spans="1:17" ht="12" customHeight="1" x14ac:dyDescent="0.3">
      <c r="A851" s="39"/>
      <c r="B851" s="40" t="s">
        <v>1842</v>
      </c>
      <c r="C851" s="41">
        <v>125074.2</v>
      </c>
      <c r="D851" s="42">
        <v>46034</v>
      </c>
      <c r="E851" s="43" t="s">
        <v>2</v>
      </c>
      <c r="F851" s="41">
        <v>0</v>
      </c>
      <c r="G851" s="41">
        <v>0</v>
      </c>
      <c r="H851" s="41">
        <v>125074.2</v>
      </c>
      <c r="I851" s="43">
        <v>90</v>
      </c>
      <c r="J851" s="43">
        <v>20</v>
      </c>
      <c r="K851" s="44">
        <v>3000000</v>
      </c>
      <c r="L851" s="43" t="s">
        <v>992</v>
      </c>
      <c r="M851" s="45">
        <v>46124</v>
      </c>
      <c r="N851" s="41">
        <v>125074.2</v>
      </c>
      <c r="O851" s="42">
        <v>46063</v>
      </c>
      <c r="P851" s="46"/>
      <c r="Q851" s="41">
        <v>125074.2</v>
      </c>
    </row>
    <row r="852" spans="1:17" ht="12" customHeight="1" x14ac:dyDescent="0.3">
      <c r="A852" s="39"/>
      <c r="B852" s="40" t="s">
        <v>1843</v>
      </c>
      <c r="C852" s="41">
        <v>10200.299999999999</v>
      </c>
      <c r="D852" s="42">
        <v>46035</v>
      </c>
      <c r="E852" s="43" t="s">
        <v>1763</v>
      </c>
      <c r="F852" s="41">
        <v>10200.299999999999</v>
      </c>
      <c r="G852" s="41">
        <v>0</v>
      </c>
      <c r="H852" s="41">
        <v>10200.299999999999</v>
      </c>
      <c r="I852" s="43">
        <v>90</v>
      </c>
      <c r="J852" s="43">
        <v>77</v>
      </c>
      <c r="K852" s="44">
        <v>800000</v>
      </c>
      <c r="L852" s="43" t="s">
        <v>992</v>
      </c>
      <c r="M852" s="45">
        <v>46125</v>
      </c>
      <c r="N852" s="41">
        <v>0</v>
      </c>
      <c r="O852" s="42"/>
      <c r="P852" s="46">
        <v>77</v>
      </c>
      <c r="Q852" s="41">
        <v>0</v>
      </c>
    </row>
    <row r="853" spans="1:17" ht="12" customHeight="1" x14ac:dyDescent="0.3">
      <c r="A853" s="39"/>
      <c r="B853" s="40" t="s">
        <v>1844</v>
      </c>
      <c r="C853" s="41">
        <v>40006.5</v>
      </c>
      <c r="D853" s="42">
        <v>46035</v>
      </c>
      <c r="E853" s="43" t="s">
        <v>1763</v>
      </c>
      <c r="F853" s="41">
        <v>40006.5</v>
      </c>
      <c r="G853" s="41">
        <v>0</v>
      </c>
      <c r="H853" s="41">
        <v>40006.5</v>
      </c>
      <c r="I853" s="43">
        <v>90</v>
      </c>
      <c r="J853" s="43">
        <v>16</v>
      </c>
      <c r="K853" s="44">
        <v>800000</v>
      </c>
      <c r="L853" s="43" t="s">
        <v>992</v>
      </c>
      <c r="M853" s="45">
        <v>46125</v>
      </c>
      <c r="N853" s="41">
        <v>0</v>
      </c>
      <c r="O853" s="42"/>
      <c r="P853" s="46">
        <v>77</v>
      </c>
      <c r="Q853" s="41">
        <v>0</v>
      </c>
    </row>
    <row r="854" spans="1:17" ht="12" customHeight="1" x14ac:dyDescent="0.3">
      <c r="A854" s="39"/>
      <c r="B854" s="40" t="s">
        <v>1845</v>
      </c>
      <c r="C854" s="41">
        <v>10999</v>
      </c>
      <c r="D854" s="42">
        <v>46035</v>
      </c>
      <c r="E854" s="43" t="s">
        <v>1763</v>
      </c>
      <c r="F854" s="41">
        <v>10999</v>
      </c>
      <c r="G854" s="41">
        <v>0</v>
      </c>
      <c r="H854" s="41">
        <v>10999</v>
      </c>
      <c r="I854" s="43">
        <v>90</v>
      </c>
      <c r="J854" s="43">
        <v>77</v>
      </c>
      <c r="K854" s="44">
        <v>800000</v>
      </c>
      <c r="L854" s="43" t="s">
        <v>992</v>
      </c>
      <c r="M854" s="45">
        <v>46125</v>
      </c>
      <c r="N854" s="41">
        <v>0</v>
      </c>
      <c r="O854" s="42"/>
      <c r="P854" s="46">
        <v>77</v>
      </c>
      <c r="Q854" s="41">
        <v>0</v>
      </c>
    </row>
    <row r="855" spans="1:17" ht="12" customHeight="1" x14ac:dyDescent="0.3">
      <c r="A855" s="39"/>
      <c r="B855" s="40" t="s">
        <v>1846</v>
      </c>
      <c r="C855" s="41">
        <v>450000</v>
      </c>
      <c r="D855" s="42">
        <v>46036</v>
      </c>
      <c r="E855" s="43" t="s">
        <v>2</v>
      </c>
      <c r="F855" s="41">
        <v>0</v>
      </c>
      <c r="G855" s="41">
        <v>0</v>
      </c>
      <c r="H855" s="41">
        <v>450000</v>
      </c>
      <c r="I855" s="43">
        <v>90</v>
      </c>
      <c r="J855" s="43">
        <v>116</v>
      </c>
      <c r="K855" s="44">
        <v>2000000</v>
      </c>
      <c r="L855" s="43" t="s">
        <v>992</v>
      </c>
      <c r="M855" s="45">
        <v>46126</v>
      </c>
      <c r="N855" s="41">
        <v>450000</v>
      </c>
      <c r="O855" s="42">
        <v>46069</v>
      </c>
      <c r="P855" s="46"/>
      <c r="Q855" s="41">
        <v>450000</v>
      </c>
    </row>
    <row r="856" spans="1:17" ht="12" customHeight="1" x14ac:dyDescent="0.3">
      <c r="A856" s="39"/>
      <c r="B856" s="40" t="s">
        <v>1847</v>
      </c>
      <c r="C856" s="41">
        <v>250270.4</v>
      </c>
      <c r="D856" s="42">
        <v>46036</v>
      </c>
      <c r="E856" s="43" t="s">
        <v>2</v>
      </c>
      <c r="F856" s="41">
        <v>0</v>
      </c>
      <c r="G856" s="41">
        <v>0</v>
      </c>
      <c r="H856" s="41">
        <v>250270.4</v>
      </c>
      <c r="I856" s="43">
        <v>90</v>
      </c>
      <c r="J856" s="43">
        <v>20</v>
      </c>
      <c r="K856" s="44">
        <v>3000000</v>
      </c>
      <c r="L856" s="43" t="s">
        <v>992</v>
      </c>
      <c r="M856" s="45">
        <v>46126</v>
      </c>
      <c r="N856" s="41">
        <v>250270.4</v>
      </c>
      <c r="O856" s="42">
        <v>46064</v>
      </c>
      <c r="P856" s="46"/>
      <c r="Q856" s="41">
        <v>250270.4</v>
      </c>
    </row>
    <row r="857" spans="1:17" ht="12" customHeight="1" x14ac:dyDescent="0.3">
      <c r="A857" s="39"/>
      <c r="B857" s="40" t="s">
        <v>1848</v>
      </c>
      <c r="C857" s="41">
        <v>338820</v>
      </c>
      <c r="D857" s="42">
        <v>46036</v>
      </c>
      <c r="E857" s="43" t="s">
        <v>2</v>
      </c>
      <c r="F857" s="41">
        <v>0</v>
      </c>
      <c r="G857" s="41">
        <v>0</v>
      </c>
      <c r="H857" s="41">
        <v>338820</v>
      </c>
      <c r="I857" s="43">
        <v>90</v>
      </c>
      <c r="J857" s="43">
        <v>197</v>
      </c>
      <c r="K857" s="44">
        <v>7000000</v>
      </c>
      <c r="L857" s="43" t="s">
        <v>992</v>
      </c>
      <c r="M857" s="45">
        <v>46126</v>
      </c>
      <c r="N857" s="41">
        <v>338820</v>
      </c>
      <c r="O857" s="42">
        <v>46049</v>
      </c>
      <c r="P857" s="46"/>
      <c r="Q857" s="41">
        <v>338820</v>
      </c>
    </row>
    <row r="858" spans="1:17" ht="12" customHeight="1" x14ac:dyDescent="0.3">
      <c r="A858" s="39"/>
      <c r="B858" s="40" t="s">
        <v>1849</v>
      </c>
      <c r="C858" s="41">
        <v>220</v>
      </c>
      <c r="D858" s="42">
        <v>46037</v>
      </c>
      <c r="E858" s="43" t="s">
        <v>2</v>
      </c>
      <c r="F858" s="41">
        <v>0</v>
      </c>
      <c r="G858" s="41">
        <v>0</v>
      </c>
      <c r="H858" s="41">
        <v>220</v>
      </c>
      <c r="I858" s="43">
        <v>90</v>
      </c>
      <c r="J858" s="43">
        <v>9</v>
      </c>
      <c r="K858" s="44">
        <v>4000000</v>
      </c>
      <c r="L858" s="43" t="s">
        <v>992</v>
      </c>
      <c r="M858" s="45">
        <v>46127</v>
      </c>
      <c r="N858" s="41">
        <v>220</v>
      </c>
      <c r="O858" s="42">
        <v>46063</v>
      </c>
      <c r="P858" s="46"/>
      <c r="Q858" s="41">
        <v>220</v>
      </c>
    </row>
    <row r="859" spans="1:17" ht="12" customHeight="1" x14ac:dyDescent="0.3">
      <c r="A859" s="39"/>
      <c r="B859" s="40" t="s">
        <v>1850</v>
      </c>
      <c r="C859" s="41">
        <v>11440.85</v>
      </c>
      <c r="D859" s="42">
        <v>46037</v>
      </c>
      <c r="E859" s="43" t="s">
        <v>2</v>
      </c>
      <c r="F859" s="41">
        <v>0</v>
      </c>
      <c r="G859" s="41">
        <v>0</v>
      </c>
      <c r="H859" s="41">
        <v>11440.85</v>
      </c>
      <c r="I859" s="43">
        <v>90</v>
      </c>
      <c r="J859" s="43">
        <v>9</v>
      </c>
      <c r="K859" s="44">
        <v>4000000</v>
      </c>
      <c r="L859" s="43" t="s">
        <v>992</v>
      </c>
      <c r="M859" s="45">
        <v>46127</v>
      </c>
      <c r="N859" s="41">
        <v>11440.85</v>
      </c>
      <c r="O859" s="42">
        <v>46063</v>
      </c>
      <c r="P859" s="46"/>
      <c r="Q859" s="41">
        <v>11440.85</v>
      </c>
    </row>
    <row r="860" spans="1:17" ht="12" customHeight="1" x14ac:dyDescent="0.3">
      <c r="A860" s="39"/>
      <c r="B860" s="40" t="s">
        <v>1851</v>
      </c>
      <c r="C860" s="41">
        <v>13248.23</v>
      </c>
      <c r="D860" s="42">
        <v>46037</v>
      </c>
      <c r="E860" s="43" t="s">
        <v>2</v>
      </c>
      <c r="F860" s="41">
        <v>0</v>
      </c>
      <c r="G860" s="41">
        <v>0</v>
      </c>
      <c r="H860" s="41">
        <v>13248.23</v>
      </c>
      <c r="I860" s="43">
        <v>90</v>
      </c>
      <c r="J860" s="43">
        <v>9</v>
      </c>
      <c r="K860" s="44">
        <v>4000000</v>
      </c>
      <c r="L860" s="43" t="s">
        <v>992</v>
      </c>
      <c r="M860" s="45">
        <v>46127</v>
      </c>
      <c r="N860" s="41">
        <v>13248.23</v>
      </c>
      <c r="O860" s="42">
        <v>46063</v>
      </c>
      <c r="P860" s="46"/>
      <c r="Q860" s="41">
        <v>13248.23</v>
      </c>
    </row>
    <row r="861" spans="1:17" ht="12" customHeight="1" x14ac:dyDescent="0.3">
      <c r="A861" s="39"/>
      <c r="B861" s="40" t="s">
        <v>1852</v>
      </c>
      <c r="C861" s="41">
        <v>202</v>
      </c>
      <c r="D861" s="42">
        <v>46037</v>
      </c>
      <c r="E861" s="43" t="s">
        <v>2</v>
      </c>
      <c r="F861" s="41">
        <v>0</v>
      </c>
      <c r="G861" s="41">
        <v>0</v>
      </c>
      <c r="H861" s="41">
        <v>202</v>
      </c>
      <c r="I861" s="43">
        <v>90</v>
      </c>
      <c r="J861" s="43">
        <v>9</v>
      </c>
      <c r="K861" s="44">
        <v>4000000</v>
      </c>
      <c r="L861" s="43" t="s">
        <v>992</v>
      </c>
      <c r="M861" s="45">
        <v>46127</v>
      </c>
      <c r="N861" s="41">
        <v>202</v>
      </c>
      <c r="O861" s="42">
        <v>46063</v>
      </c>
      <c r="P861" s="46"/>
      <c r="Q861" s="41">
        <v>202</v>
      </c>
    </row>
    <row r="862" spans="1:17" ht="12" customHeight="1" x14ac:dyDescent="0.3">
      <c r="A862" s="39"/>
      <c r="B862" s="40" t="s">
        <v>1853</v>
      </c>
      <c r="C862" s="41">
        <v>423916</v>
      </c>
      <c r="D862" s="42">
        <v>46037</v>
      </c>
      <c r="E862" s="43" t="s">
        <v>2</v>
      </c>
      <c r="F862" s="41">
        <v>0</v>
      </c>
      <c r="G862" s="41">
        <v>0</v>
      </c>
      <c r="H862" s="41">
        <v>423916</v>
      </c>
      <c r="I862" s="43">
        <v>90</v>
      </c>
      <c r="J862" s="43">
        <v>9</v>
      </c>
      <c r="K862" s="44">
        <v>4000000</v>
      </c>
      <c r="L862" s="43" t="s">
        <v>992</v>
      </c>
      <c r="M862" s="45">
        <v>46127</v>
      </c>
      <c r="N862" s="41">
        <v>423916</v>
      </c>
      <c r="O862" s="42">
        <v>46063</v>
      </c>
      <c r="P862" s="46"/>
      <c r="Q862" s="41">
        <v>423916</v>
      </c>
    </row>
    <row r="863" spans="1:17" ht="12" customHeight="1" x14ac:dyDescent="0.3">
      <c r="A863" s="39"/>
      <c r="B863" s="40" t="s">
        <v>1854</v>
      </c>
      <c r="C863" s="41">
        <v>220</v>
      </c>
      <c r="D863" s="42">
        <v>46037</v>
      </c>
      <c r="E863" s="43" t="s">
        <v>2</v>
      </c>
      <c r="F863" s="41">
        <v>0</v>
      </c>
      <c r="G863" s="41">
        <v>0</v>
      </c>
      <c r="H863" s="41">
        <v>220</v>
      </c>
      <c r="I863" s="43">
        <v>90</v>
      </c>
      <c r="J863" s="43">
        <v>9</v>
      </c>
      <c r="K863" s="44">
        <v>4000000</v>
      </c>
      <c r="L863" s="43" t="s">
        <v>992</v>
      </c>
      <c r="M863" s="45">
        <v>46127</v>
      </c>
      <c r="N863" s="41">
        <v>220</v>
      </c>
      <c r="O863" s="42">
        <v>46063</v>
      </c>
      <c r="P863" s="46"/>
      <c r="Q863" s="41">
        <v>220</v>
      </c>
    </row>
    <row r="864" spans="1:17" ht="12" customHeight="1" x14ac:dyDescent="0.3">
      <c r="A864" s="39"/>
      <c r="B864" s="40" t="s">
        <v>1855</v>
      </c>
      <c r="C864" s="41">
        <v>420</v>
      </c>
      <c r="D864" s="42">
        <v>46037</v>
      </c>
      <c r="E864" s="43" t="s">
        <v>2</v>
      </c>
      <c r="F864" s="41">
        <v>0</v>
      </c>
      <c r="G864" s="41">
        <v>0</v>
      </c>
      <c r="H864" s="41">
        <v>420</v>
      </c>
      <c r="I864" s="43">
        <v>90</v>
      </c>
      <c r="J864" s="43">
        <v>9</v>
      </c>
      <c r="K864" s="44">
        <v>4000000</v>
      </c>
      <c r="L864" s="43" t="s">
        <v>992</v>
      </c>
      <c r="M864" s="45">
        <v>46127</v>
      </c>
      <c r="N864" s="41">
        <v>420</v>
      </c>
      <c r="O864" s="42">
        <v>46063</v>
      </c>
      <c r="P864" s="46"/>
      <c r="Q864" s="41">
        <v>420</v>
      </c>
    </row>
    <row r="865" spans="1:17" ht="12" customHeight="1" x14ac:dyDescent="0.3">
      <c r="A865" s="39"/>
      <c r="B865" s="40" t="s">
        <v>1856</v>
      </c>
      <c r="C865" s="41">
        <v>1425</v>
      </c>
      <c r="D865" s="42">
        <v>46037</v>
      </c>
      <c r="E865" s="43" t="s">
        <v>2</v>
      </c>
      <c r="F865" s="41">
        <v>0</v>
      </c>
      <c r="G865" s="41">
        <v>0</v>
      </c>
      <c r="H865" s="41">
        <v>1425</v>
      </c>
      <c r="I865" s="43">
        <v>90</v>
      </c>
      <c r="J865" s="43">
        <v>9</v>
      </c>
      <c r="K865" s="44">
        <v>4000000</v>
      </c>
      <c r="L865" s="43" t="s">
        <v>992</v>
      </c>
      <c r="M865" s="45">
        <v>46127</v>
      </c>
      <c r="N865" s="41">
        <v>1425</v>
      </c>
      <c r="O865" s="42">
        <v>46063</v>
      </c>
      <c r="P865" s="46"/>
      <c r="Q865" s="41">
        <v>1425</v>
      </c>
    </row>
    <row r="866" spans="1:17" ht="12" customHeight="1" x14ac:dyDescent="0.3">
      <c r="A866" s="39"/>
      <c r="B866" s="40" t="s">
        <v>1857</v>
      </c>
      <c r="C866" s="41">
        <v>11042.65</v>
      </c>
      <c r="D866" s="42">
        <v>46039</v>
      </c>
      <c r="E866" s="43" t="s">
        <v>1763</v>
      </c>
      <c r="F866" s="41">
        <v>11042.65</v>
      </c>
      <c r="G866" s="41">
        <v>0</v>
      </c>
      <c r="H866" s="41">
        <v>11042.65</v>
      </c>
      <c r="I866" s="43">
        <v>90</v>
      </c>
      <c r="J866" s="43">
        <v>77</v>
      </c>
      <c r="K866" s="44">
        <v>800000</v>
      </c>
      <c r="L866" s="43" t="s">
        <v>992</v>
      </c>
      <c r="M866" s="45">
        <v>46131</v>
      </c>
      <c r="N866" s="41">
        <v>0</v>
      </c>
      <c r="O866" s="42"/>
      <c r="P866" s="46">
        <v>73</v>
      </c>
      <c r="Q866" s="41">
        <v>0</v>
      </c>
    </row>
    <row r="867" spans="1:17" ht="12" customHeight="1" x14ac:dyDescent="0.3">
      <c r="A867" s="39"/>
      <c r="B867" s="40" t="s">
        <v>1858</v>
      </c>
      <c r="C867" s="41">
        <v>299797.42</v>
      </c>
      <c r="D867" s="42">
        <v>46039</v>
      </c>
      <c r="E867" s="43" t="s">
        <v>2</v>
      </c>
      <c r="F867" s="41">
        <v>0</v>
      </c>
      <c r="G867" s="41">
        <v>0</v>
      </c>
      <c r="H867" s="41">
        <v>299797.42</v>
      </c>
      <c r="I867" s="43">
        <v>90</v>
      </c>
      <c r="J867" s="43">
        <v>20</v>
      </c>
      <c r="K867" s="44">
        <v>3000000</v>
      </c>
      <c r="L867" s="43" t="s">
        <v>992</v>
      </c>
      <c r="M867" s="45">
        <v>46131</v>
      </c>
      <c r="N867" s="41">
        <v>299797.42</v>
      </c>
      <c r="O867" s="42">
        <v>46065</v>
      </c>
      <c r="P867" s="46"/>
      <c r="Q867" s="41">
        <v>299797.42</v>
      </c>
    </row>
    <row r="868" spans="1:17" ht="12" customHeight="1" x14ac:dyDescent="0.3">
      <c r="A868" s="39"/>
      <c r="B868" s="40" t="s">
        <v>1859</v>
      </c>
      <c r="C868" s="41">
        <v>300025.43</v>
      </c>
      <c r="D868" s="42">
        <v>46040</v>
      </c>
      <c r="E868" s="43" t="s">
        <v>2</v>
      </c>
      <c r="F868" s="41">
        <v>0</v>
      </c>
      <c r="G868" s="41">
        <v>0</v>
      </c>
      <c r="H868" s="41">
        <v>300025.43</v>
      </c>
      <c r="I868" s="43">
        <v>90</v>
      </c>
      <c r="J868" s="43">
        <v>20</v>
      </c>
      <c r="K868" s="44">
        <v>3000000</v>
      </c>
      <c r="L868" s="43" t="s">
        <v>992</v>
      </c>
      <c r="M868" s="45">
        <v>46131</v>
      </c>
      <c r="N868" s="41">
        <v>300025.43</v>
      </c>
      <c r="O868" s="42">
        <v>46068</v>
      </c>
      <c r="P868" s="46"/>
      <c r="Q868" s="41">
        <v>300025.43</v>
      </c>
    </row>
    <row r="869" spans="1:17" ht="12" customHeight="1" x14ac:dyDescent="0.3">
      <c r="A869" s="39"/>
      <c r="B869" s="40" t="s">
        <v>1860</v>
      </c>
      <c r="C869" s="41">
        <v>300000</v>
      </c>
      <c r="D869" s="42">
        <v>46040</v>
      </c>
      <c r="E869" s="43" t="s">
        <v>1763</v>
      </c>
      <c r="F869" s="41">
        <v>214628.9</v>
      </c>
      <c r="G869" s="41">
        <v>0</v>
      </c>
      <c r="H869" s="41">
        <v>300000</v>
      </c>
      <c r="I869" s="43">
        <v>90</v>
      </c>
      <c r="J869" s="43">
        <v>13</v>
      </c>
      <c r="K869" s="44">
        <v>5000000</v>
      </c>
      <c r="L869" s="43" t="s">
        <v>992</v>
      </c>
      <c r="M869" s="45">
        <v>46131</v>
      </c>
      <c r="N869" s="41">
        <v>85371.1</v>
      </c>
      <c r="O869" s="42">
        <v>46106</v>
      </c>
      <c r="P869" s="46">
        <v>72</v>
      </c>
      <c r="Q869" s="41">
        <v>85371.1</v>
      </c>
    </row>
    <row r="870" spans="1:17" ht="12" customHeight="1" x14ac:dyDescent="0.3">
      <c r="A870" s="39"/>
      <c r="B870" s="40" t="s">
        <v>1861</v>
      </c>
      <c r="C870" s="41">
        <v>500000</v>
      </c>
      <c r="D870" s="42">
        <v>46040</v>
      </c>
      <c r="E870" s="43" t="s">
        <v>2</v>
      </c>
      <c r="F870" s="41">
        <v>0</v>
      </c>
      <c r="G870" s="41">
        <v>0</v>
      </c>
      <c r="H870" s="41">
        <v>500000</v>
      </c>
      <c r="I870" s="43">
        <v>90</v>
      </c>
      <c r="J870" s="43">
        <v>71</v>
      </c>
      <c r="K870" s="44">
        <v>4000000</v>
      </c>
      <c r="L870" s="43" t="s">
        <v>992</v>
      </c>
      <c r="M870" s="45">
        <v>46131</v>
      </c>
      <c r="N870" s="41">
        <v>500000</v>
      </c>
      <c r="O870" s="42">
        <v>46065</v>
      </c>
      <c r="P870" s="46"/>
      <c r="Q870" s="41">
        <v>500000</v>
      </c>
    </row>
    <row r="871" spans="1:17" ht="12" customHeight="1" x14ac:dyDescent="0.3">
      <c r="A871" s="39"/>
      <c r="B871" s="40" t="s">
        <v>1862</v>
      </c>
      <c r="C871" s="41">
        <v>500000</v>
      </c>
      <c r="D871" s="42">
        <v>46040</v>
      </c>
      <c r="E871" s="43" t="s">
        <v>2</v>
      </c>
      <c r="F871" s="41">
        <v>0</v>
      </c>
      <c r="G871" s="41">
        <v>0</v>
      </c>
      <c r="H871" s="41">
        <v>500000</v>
      </c>
      <c r="I871" s="43">
        <v>90</v>
      </c>
      <c r="J871" s="43">
        <v>71</v>
      </c>
      <c r="K871" s="44">
        <v>4000000</v>
      </c>
      <c r="L871" s="43" t="s">
        <v>992</v>
      </c>
      <c r="M871" s="45">
        <v>46131</v>
      </c>
      <c r="N871" s="41">
        <v>500000</v>
      </c>
      <c r="O871" s="42">
        <v>46071</v>
      </c>
      <c r="P871" s="46"/>
      <c r="Q871" s="41">
        <v>500000</v>
      </c>
    </row>
    <row r="872" spans="1:17" ht="12" customHeight="1" x14ac:dyDescent="0.3">
      <c r="A872" s="39"/>
      <c r="B872" s="40" t="s">
        <v>1863</v>
      </c>
      <c r="C872" s="41">
        <v>169000</v>
      </c>
      <c r="D872" s="42">
        <v>46040</v>
      </c>
      <c r="E872" s="43" t="s">
        <v>2</v>
      </c>
      <c r="F872" s="41">
        <v>0</v>
      </c>
      <c r="G872" s="41">
        <v>0</v>
      </c>
      <c r="H872" s="41">
        <v>169000</v>
      </c>
      <c r="I872" s="43">
        <v>90</v>
      </c>
      <c r="J872" s="43">
        <v>197</v>
      </c>
      <c r="K872" s="44">
        <v>7000000</v>
      </c>
      <c r="L872" s="43" t="s">
        <v>992</v>
      </c>
      <c r="M872" s="45">
        <v>46131</v>
      </c>
      <c r="N872" s="41">
        <v>169000</v>
      </c>
      <c r="O872" s="42">
        <v>46049</v>
      </c>
      <c r="P872" s="46"/>
      <c r="Q872" s="41">
        <v>169000</v>
      </c>
    </row>
    <row r="873" spans="1:17" ht="12" customHeight="1" x14ac:dyDescent="0.3">
      <c r="A873" s="39"/>
      <c r="B873" s="40" t="s">
        <v>1864</v>
      </c>
      <c r="C873" s="41">
        <v>300</v>
      </c>
      <c r="D873" s="42">
        <v>46040</v>
      </c>
      <c r="E873" s="43" t="s">
        <v>2</v>
      </c>
      <c r="F873" s="41">
        <v>0</v>
      </c>
      <c r="G873" s="41">
        <v>0</v>
      </c>
      <c r="H873" s="41">
        <v>300</v>
      </c>
      <c r="I873" s="43">
        <v>90</v>
      </c>
      <c r="J873" s="43">
        <v>9</v>
      </c>
      <c r="K873" s="44">
        <v>4000000</v>
      </c>
      <c r="L873" s="43" t="s">
        <v>992</v>
      </c>
      <c r="M873" s="45">
        <v>46131</v>
      </c>
      <c r="N873" s="41">
        <v>300</v>
      </c>
      <c r="O873" s="42">
        <v>46063</v>
      </c>
      <c r="P873" s="46"/>
      <c r="Q873" s="41">
        <v>300</v>
      </c>
    </row>
    <row r="874" spans="1:17" ht="12" customHeight="1" x14ac:dyDescent="0.3">
      <c r="A874" s="39"/>
      <c r="B874" s="40" t="s">
        <v>1865</v>
      </c>
      <c r="C874" s="41">
        <v>74</v>
      </c>
      <c r="D874" s="42">
        <v>46040</v>
      </c>
      <c r="E874" s="43" t="s">
        <v>2</v>
      </c>
      <c r="F874" s="41">
        <v>0</v>
      </c>
      <c r="G874" s="41">
        <v>0</v>
      </c>
      <c r="H874" s="41">
        <v>74</v>
      </c>
      <c r="I874" s="43">
        <v>90</v>
      </c>
      <c r="J874" s="43">
        <v>9</v>
      </c>
      <c r="K874" s="44">
        <v>4000000</v>
      </c>
      <c r="L874" s="43" t="s">
        <v>992</v>
      </c>
      <c r="M874" s="45">
        <v>46131</v>
      </c>
      <c r="N874" s="41">
        <v>74</v>
      </c>
      <c r="O874" s="42">
        <v>46063</v>
      </c>
      <c r="P874" s="46"/>
      <c r="Q874" s="41">
        <v>74</v>
      </c>
    </row>
    <row r="875" spans="1:17" ht="12" customHeight="1" x14ac:dyDescent="0.3">
      <c r="A875" s="39"/>
      <c r="B875" s="40" t="s">
        <v>1866</v>
      </c>
      <c r="C875" s="41">
        <v>280</v>
      </c>
      <c r="D875" s="42">
        <v>46040</v>
      </c>
      <c r="E875" s="43" t="s">
        <v>2</v>
      </c>
      <c r="F875" s="41">
        <v>0</v>
      </c>
      <c r="G875" s="41">
        <v>0</v>
      </c>
      <c r="H875" s="41">
        <v>280</v>
      </c>
      <c r="I875" s="43">
        <v>90</v>
      </c>
      <c r="J875" s="43">
        <v>9</v>
      </c>
      <c r="K875" s="44">
        <v>4000000</v>
      </c>
      <c r="L875" s="43" t="s">
        <v>992</v>
      </c>
      <c r="M875" s="45">
        <v>46131</v>
      </c>
      <c r="N875" s="41">
        <v>280</v>
      </c>
      <c r="O875" s="42">
        <v>46063</v>
      </c>
      <c r="P875" s="46"/>
      <c r="Q875" s="41">
        <v>280</v>
      </c>
    </row>
    <row r="876" spans="1:17" ht="12" customHeight="1" x14ac:dyDescent="0.3">
      <c r="A876" s="39"/>
      <c r="B876" s="40" t="s">
        <v>1867</v>
      </c>
      <c r="C876" s="41">
        <v>300000</v>
      </c>
      <c r="D876" s="42">
        <v>46041</v>
      </c>
      <c r="E876" s="43" t="s">
        <v>2</v>
      </c>
      <c r="F876" s="41">
        <v>0</v>
      </c>
      <c r="G876" s="41">
        <v>0</v>
      </c>
      <c r="H876" s="41">
        <v>300000</v>
      </c>
      <c r="I876" s="43">
        <v>90</v>
      </c>
      <c r="J876" s="43">
        <v>116</v>
      </c>
      <c r="K876" s="44">
        <v>2000000</v>
      </c>
      <c r="L876" s="43" t="s">
        <v>992</v>
      </c>
      <c r="M876" s="45">
        <v>46131</v>
      </c>
      <c r="N876" s="41">
        <v>300000</v>
      </c>
      <c r="O876" s="42">
        <v>46083</v>
      </c>
      <c r="P876" s="46"/>
      <c r="Q876" s="41">
        <v>300000</v>
      </c>
    </row>
    <row r="877" spans="1:17" ht="12" customHeight="1" x14ac:dyDescent="0.3">
      <c r="A877" s="39"/>
      <c r="B877" s="40" t="s">
        <v>1868</v>
      </c>
      <c r="C877" s="41">
        <v>10205.68</v>
      </c>
      <c r="D877" s="42">
        <v>46041</v>
      </c>
      <c r="E877" s="43" t="s">
        <v>1763</v>
      </c>
      <c r="F877" s="41">
        <v>10205.68</v>
      </c>
      <c r="G877" s="41">
        <v>0</v>
      </c>
      <c r="H877" s="41">
        <v>10205.68</v>
      </c>
      <c r="I877" s="43">
        <v>90</v>
      </c>
      <c r="J877" s="43">
        <v>77</v>
      </c>
      <c r="K877" s="44">
        <v>800000</v>
      </c>
      <c r="L877" s="43" t="s">
        <v>992</v>
      </c>
      <c r="M877" s="45">
        <v>46131</v>
      </c>
      <c r="N877" s="41">
        <v>0</v>
      </c>
      <c r="O877" s="42"/>
      <c r="P877" s="46">
        <v>71</v>
      </c>
      <c r="Q877" s="41">
        <v>0</v>
      </c>
    </row>
    <row r="878" spans="1:17" ht="12" customHeight="1" x14ac:dyDescent="0.3">
      <c r="A878" s="39"/>
      <c r="B878" s="40" t="s">
        <v>1869</v>
      </c>
      <c r="C878" s="41">
        <v>300000</v>
      </c>
      <c r="D878" s="42">
        <v>46041</v>
      </c>
      <c r="E878" s="43" t="s">
        <v>2</v>
      </c>
      <c r="F878" s="41">
        <v>0</v>
      </c>
      <c r="G878" s="41">
        <v>0</v>
      </c>
      <c r="H878" s="41">
        <v>300000</v>
      </c>
      <c r="I878" s="43">
        <v>90</v>
      </c>
      <c r="J878" s="43">
        <v>71</v>
      </c>
      <c r="K878" s="44">
        <v>4000000</v>
      </c>
      <c r="L878" s="43" t="s">
        <v>992</v>
      </c>
      <c r="M878" s="45">
        <v>46131</v>
      </c>
      <c r="N878" s="41">
        <v>300000</v>
      </c>
      <c r="O878" s="42">
        <v>46071</v>
      </c>
      <c r="P878" s="46"/>
      <c r="Q878" s="41">
        <v>300000</v>
      </c>
    </row>
    <row r="879" spans="1:17" ht="12" customHeight="1" x14ac:dyDescent="0.3">
      <c r="A879" s="39"/>
      <c r="B879" s="40" t="s">
        <v>1870</v>
      </c>
      <c r="C879" s="41">
        <v>300000</v>
      </c>
      <c r="D879" s="42">
        <v>46041</v>
      </c>
      <c r="E879" s="43" t="s">
        <v>2</v>
      </c>
      <c r="F879" s="41">
        <v>0</v>
      </c>
      <c r="G879" s="41">
        <v>0</v>
      </c>
      <c r="H879" s="41">
        <v>300000</v>
      </c>
      <c r="I879" s="43">
        <v>90</v>
      </c>
      <c r="J879" s="43">
        <v>71</v>
      </c>
      <c r="K879" s="44">
        <v>4000000</v>
      </c>
      <c r="L879" s="43" t="s">
        <v>992</v>
      </c>
      <c r="M879" s="45">
        <v>46131</v>
      </c>
      <c r="N879" s="41">
        <v>300000</v>
      </c>
      <c r="O879" s="42">
        <v>46080</v>
      </c>
      <c r="P879" s="46"/>
      <c r="Q879" s="41">
        <v>300000</v>
      </c>
    </row>
    <row r="880" spans="1:17" ht="12" customHeight="1" x14ac:dyDescent="0.3">
      <c r="A880" s="39"/>
      <c r="B880" s="40" t="s">
        <v>1871</v>
      </c>
      <c r="C880" s="41">
        <v>624</v>
      </c>
      <c r="D880" s="42">
        <v>46042</v>
      </c>
      <c r="E880" s="43" t="s">
        <v>2</v>
      </c>
      <c r="F880" s="41">
        <v>0</v>
      </c>
      <c r="G880" s="41">
        <v>0</v>
      </c>
      <c r="H880" s="41">
        <v>624</v>
      </c>
      <c r="I880" s="43">
        <v>90</v>
      </c>
      <c r="J880" s="43">
        <v>9</v>
      </c>
      <c r="K880" s="44">
        <v>4000000</v>
      </c>
      <c r="L880" s="43" t="s">
        <v>992</v>
      </c>
      <c r="M880" s="45">
        <v>46132</v>
      </c>
      <c r="N880" s="41">
        <v>624</v>
      </c>
      <c r="O880" s="42">
        <v>46063</v>
      </c>
      <c r="P880" s="46"/>
      <c r="Q880" s="41">
        <v>624</v>
      </c>
    </row>
    <row r="881" spans="1:17" ht="12" customHeight="1" x14ac:dyDescent="0.3">
      <c r="A881" s="39"/>
      <c r="B881" s="40" t="s">
        <v>1872</v>
      </c>
      <c r="C881" s="41">
        <v>125000</v>
      </c>
      <c r="D881" s="42">
        <v>46042</v>
      </c>
      <c r="E881" s="43" t="s">
        <v>2</v>
      </c>
      <c r="F881" s="41">
        <v>0</v>
      </c>
      <c r="G881" s="41">
        <v>0</v>
      </c>
      <c r="H881" s="41">
        <v>125000</v>
      </c>
      <c r="I881" s="43">
        <v>90</v>
      </c>
      <c r="J881" s="43">
        <v>197</v>
      </c>
      <c r="K881" s="44">
        <v>7000000</v>
      </c>
      <c r="L881" s="43" t="s">
        <v>992</v>
      </c>
      <c r="M881" s="45">
        <v>46132</v>
      </c>
      <c r="N881" s="41">
        <v>125000</v>
      </c>
      <c r="O881" s="42">
        <v>46049</v>
      </c>
      <c r="P881" s="46"/>
      <c r="Q881" s="41">
        <v>125000</v>
      </c>
    </row>
    <row r="882" spans="1:17" ht="12" customHeight="1" x14ac:dyDescent="0.3">
      <c r="A882" s="39"/>
      <c r="B882" s="40" t="s">
        <v>1873</v>
      </c>
      <c r="C882" s="41">
        <v>298520.64</v>
      </c>
      <c r="D882" s="42">
        <v>46042</v>
      </c>
      <c r="E882" s="43" t="s">
        <v>2</v>
      </c>
      <c r="F882" s="41">
        <v>0</v>
      </c>
      <c r="G882" s="41">
        <v>0</v>
      </c>
      <c r="H882" s="41">
        <v>298520.64</v>
      </c>
      <c r="I882" s="43">
        <v>90</v>
      </c>
      <c r="J882" s="43">
        <v>20</v>
      </c>
      <c r="K882" s="44">
        <v>3000000</v>
      </c>
      <c r="L882" s="43" t="s">
        <v>992</v>
      </c>
      <c r="M882" s="45">
        <v>46132</v>
      </c>
      <c r="N882" s="41">
        <v>298520.64</v>
      </c>
      <c r="O882" s="42">
        <v>46069</v>
      </c>
      <c r="P882" s="46"/>
      <c r="Q882" s="41">
        <v>298520.64</v>
      </c>
    </row>
    <row r="883" spans="1:17" ht="12" customHeight="1" x14ac:dyDescent="0.3">
      <c r="A883" s="39"/>
      <c r="B883" s="40" t="s">
        <v>1874</v>
      </c>
      <c r="C883" s="41">
        <v>10597.02</v>
      </c>
      <c r="D883" s="42">
        <v>46042</v>
      </c>
      <c r="E883" s="43" t="s">
        <v>1763</v>
      </c>
      <c r="F883" s="41">
        <v>10597.02</v>
      </c>
      <c r="G883" s="41">
        <v>0</v>
      </c>
      <c r="H883" s="41">
        <v>10597.02</v>
      </c>
      <c r="I883" s="43">
        <v>90</v>
      </c>
      <c r="J883" s="43">
        <v>77</v>
      </c>
      <c r="K883" s="44">
        <v>800000</v>
      </c>
      <c r="L883" s="43" t="s">
        <v>992</v>
      </c>
      <c r="M883" s="45">
        <v>46132</v>
      </c>
      <c r="N883" s="41">
        <v>0</v>
      </c>
      <c r="O883" s="42"/>
      <c r="P883" s="46">
        <v>70</v>
      </c>
      <c r="Q883" s="41">
        <v>0</v>
      </c>
    </row>
    <row r="884" spans="1:17" ht="12" customHeight="1" x14ac:dyDescent="0.3">
      <c r="A884" s="39"/>
      <c r="B884" s="40" t="s">
        <v>1875</v>
      </c>
      <c r="C884" s="41">
        <v>166499.63</v>
      </c>
      <c r="D884" s="42">
        <v>46042</v>
      </c>
      <c r="E884" s="43" t="s">
        <v>2</v>
      </c>
      <c r="F884" s="41">
        <v>0</v>
      </c>
      <c r="G884" s="41">
        <v>0</v>
      </c>
      <c r="H884" s="41">
        <v>166499.63</v>
      </c>
      <c r="I884" s="43">
        <v>90</v>
      </c>
      <c r="J884" s="43">
        <v>197</v>
      </c>
      <c r="K884" s="44">
        <v>7000000</v>
      </c>
      <c r="L884" s="43" t="s">
        <v>992</v>
      </c>
      <c r="M884" s="45">
        <v>46132</v>
      </c>
      <c r="N884" s="41">
        <v>166499.63</v>
      </c>
      <c r="O884" s="42">
        <v>46049</v>
      </c>
      <c r="P884" s="46"/>
      <c r="Q884" s="41">
        <v>166499.63</v>
      </c>
    </row>
    <row r="885" spans="1:17" ht="12" customHeight="1" x14ac:dyDescent="0.3">
      <c r="A885" s="39"/>
      <c r="B885" s="40" t="s">
        <v>1876</v>
      </c>
      <c r="C885" s="41">
        <v>300000</v>
      </c>
      <c r="D885" s="42">
        <v>46042</v>
      </c>
      <c r="E885" s="43" t="s">
        <v>2</v>
      </c>
      <c r="F885" s="41">
        <v>0</v>
      </c>
      <c r="G885" s="41">
        <v>0</v>
      </c>
      <c r="H885" s="41">
        <v>300000</v>
      </c>
      <c r="I885" s="43">
        <v>90</v>
      </c>
      <c r="J885" s="43">
        <v>71</v>
      </c>
      <c r="K885" s="44">
        <v>4000000</v>
      </c>
      <c r="L885" s="43" t="s">
        <v>992</v>
      </c>
      <c r="M885" s="45">
        <v>46132</v>
      </c>
      <c r="N885" s="41">
        <v>300000</v>
      </c>
      <c r="O885" s="42">
        <v>46080</v>
      </c>
      <c r="P885" s="46"/>
      <c r="Q885" s="41">
        <v>300000</v>
      </c>
    </row>
    <row r="886" spans="1:17" ht="12" customHeight="1" x14ac:dyDescent="0.3">
      <c r="A886" s="39"/>
      <c r="B886" s="40" t="s">
        <v>1877</v>
      </c>
      <c r="C886" s="41">
        <v>171679.96</v>
      </c>
      <c r="D886" s="42">
        <v>46042</v>
      </c>
      <c r="E886" s="43" t="s">
        <v>2</v>
      </c>
      <c r="F886" s="41">
        <v>0</v>
      </c>
      <c r="G886" s="41">
        <v>0</v>
      </c>
      <c r="H886" s="41">
        <v>171679.96</v>
      </c>
      <c r="I886" s="43">
        <v>90</v>
      </c>
      <c r="J886" s="43">
        <v>197</v>
      </c>
      <c r="K886" s="44">
        <v>7000000</v>
      </c>
      <c r="L886" s="43" t="s">
        <v>992</v>
      </c>
      <c r="M886" s="45">
        <v>46132</v>
      </c>
      <c r="N886" s="41">
        <v>171679.96</v>
      </c>
      <c r="O886" s="42">
        <v>46049</v>
      </c>
      <c r="P886" s="46"/>
      <c r="Q886" s="41">
        <v>171679.96</v>
      </c>
    </row>
    <row r="887" spans="1:17" ht="12" customHeight="1" x14ac:dyDescent="0.3">
      <c r="A887" s="39"/>
      <c r="B887" s="40" t="s">
        <v>1878</v>
      </c>
      <c r="C887" s="41">
        <v>250000</v>
      </c>
      <c r="D887" s="42">
        <v>46042</v>
      </c>
      <c r="E887" s="43" t="s">
        <v>1763</v>
      </c>
      <c r="F887" s="41">
        <v>250000</v>
      </c>
      <c r="G887" s="41">
        <v>0</v>
      </c>
      <c r="H887" s="41">
        <v>250000</v>
      </c>
      <c r="I887" s="43">
        <v>90</v>
      </c>
      <c r="J887" s="43">
        <v>13</v>
      </c>
      <c r="K887" s="44">
        <v>5000000</v>
      </c>
      <c r="L887" s="43" t="s">
        <v>992</v>
      </c>
      <c r="M887" s="45">
        <v>46132</v>
      </c>
      <c r="N887" s="41">
        <v>0</v>
      </c>
      <c r="O887" s="42"/>
      <c r="P887" s="46">
        <v>70</v>
      </c>
      <c r="Q887" s="41">
        <v>0</v>
      </c>
    </row>
    <row r="888" spans="1:17" ht="12" customHeight="1" x14ac:dyDescent="0.3">
      <c r="A888" s="39"/>
      <c r="B888" s="40" t="s">
        <v>1879</v>
      </c>
      <c r="C888" s="41">
        <v>11827.21</v>
      </c>
      <c r="D888" s="42">
        <v>46042</v>
      </c>
      <c r="E888" s="43" t="s">
        <v>2</v>
      </c>
      <c r="F888" s="41">
        <v>0</v>
      </c>
      <c r="G888" s="41">
        <v>0</v>
      </c>
      <c r="H888" s="41">
        <v>11827.21</v>
      </c>
      <c r="I888" s="43">
        <v>90</v>
      </c>
      <c r="J888" s="43">
        <v>9</v>
      </c>
      <c r="K888" s="44">
        <v>4000000</v>
      </c>
      <c r="L888" s="43" t="s">
        <v>992</v>
      </c>
      <c r="M888" s="45">
        <v>46132</v>
      </c>
      <c r="N888" s="41">
        <v>11827.21</v>
      </c>
      <c r="O888" s="42">
        <v>46063</v>
      </c>
      <c r="P888" s="46"/>
      <c r="Q888" s="41">
        <v>11827.21</v>
      </c>
    </row>
    <row r="889" spans="1:17" ht="12" customHeight="1" x14ac:dyDescent="0.3">
      <c r="A889" s="39"/>
      <c r="B889" s="40" t="s">
        <v>1880</v>
      </c>
      <c r="C889" s="41">
        <v>74</v>
      </c>
      <c r="D889" s="42">
        <v>46042</v>
      </c>
      <c r="E889" s="43" t="s">
        <v>2</v>
      </c>
      <c r="F889" s="41">
        <v>0</v>
      </c>
      <c r="G889" s="41">
        <v>0</v>
      </c>
      <c r="H889" s="41">
        <v>74</v>
      </c>
      <c r="I889" s="43">
        <v>90</v>
      </c>
      <c r="J889" s="43">
        <v>9</v>
      </c>
      <c r="K889" s="44">
        <v>4000000</v>
      </c>
      <c r="L889" s="43" t="s">
        <v>992</v>
      </c>
      <c r="M889" s="45">
        <v>46132</v>
      </c>
      <c r="N889" s="41">
        <v>74</v>
      </c>
      <c r="O889" s="42">
        <v>46063</v>
      </c>
      <c r="P889" s="46"/>
      <c r="Q889" s="41">
        <v>74</v>
      </c>
    </row>
    <row r="890" spans="1:17" ht="12" customHeight="1" x14ac:dyDescent="0.3">
      <c r="A890" s="39"/>
      <c r="B890" s="40" t="s">
        <v>1881</v>
      </c>
      <c r="C890" s="41">
        <v>101</v>
      </c>
      <c r="D890" s="42">
        <v>46042</v>
      </c>
      <c r="E890" s="43" t="s">
        <v>2</v>
      </c>
      <c r="F890" s="41">
        <v>0</v>
      </c>
      <c r="G890" s="41">
        <v>0</v>
      </c>
      <c r="H890" s="41">
        <v>101</v>
      </c>
      <c r="I890" s="43">
        <v>90</v>
      </c>
      <c r="J890" s="43">
        <v>9</v>
      </c>
      <c r="K890" s="44">
        <v>4000000</v>
      </c>
      <c r="L890" s="43" t="s">
        <v>992</v>
      </c>
      <c r="M890" s="45">
        <v>46132</v>
      </c>
      <c r="N890" s="41">
        <v>101</v>
      </c>
      <c r="O890" s="42">
        <v>46063</v>
      </c>
      <c r="P890" s="46"/>
      <c r="Q890" s="41">
        <v>101</v>
      </c>
    </row>
    <row r="891" spans="1:17" ht="12" customHeight="1" x14ac:dyDescent="0.3">
      <c r="A891" s="39"/>
      <c r="B891" s="40" t="s">
        <v>1882</v>
      </c>
      <c r="C891" s="41">
        <v>135000</v>
      </c>
      <c r="D891" s="42">
        <v>46043</v>
      </c>
      <c r="E891" s="43" t="s">
        <v>2</v>
      </c>
      <c r="F891" s="41">
        <v>0</v>
      </c>
      <c r="G891" s="41">
        <v>0</v>
      </c>
      <c r="H891" s="41">
        <v>135000</v>
      </c>
      <c r="I891" s="43">
        <v>90</v>
      </c>
      <c r="J891" s="43">
        <v>9</v>
      </c>
      <c r="K891" s="44">
        <v>4000000</v>
      </c>
      <c r="L891" s="43" t="s">
        <v>992</v>
      </c>
      <c r="M891" s="45">
        <v>46133</v>
      </c>
      <c r="N891" s="41">
        <v>135000</v>
      </c>
      <c r="O891" s="42">
        <v>46063</v>
      </c>
      <c r="P891" s="46"/>
      <c r="Q891" s="41">
        <v>135000</v>
      </c>
    </row>
    <row r="892" spans="1:17" ht="12" customHeight="1" x14ac:dyDescent="0.3">
      <c r="A892" s="39"/>
      <c r="B892" s="40" t="s">
        <v>1883</v>
      </c>
      <c r="C892" s="41">
        <v>11005.21</v>
      </c>
      <c r="D892" s="42">
        <v>46043</v>
      </c>
      <c r="E892" s="43" t="s">
        <v>1763</v>
      </c>
      <c r="F892" s="41">
        <v>11005.21</v>
      </c>
      <c r="G892" s="41">
        <v>0</v>
      </c>
      <c r="H892" s="41">
        <v>11005.21</v>
      </c>
      <c r="I892" s="43">
        <v>90</v>
      </c>
      <c r="J892" s="43">
        <v>77</v>
      </c>
      <c r="K892" s="44">
        <v>800000</v>
      </c>
      <c r="L892" s="43" t="s">
        <v>992</v>
      </c>
      <c r="M892" s="45">
        <v>46133</v>
      </c>
      <c r="N892" s="41">
        <v>0</v>
      </c>
      <c r="O892" s="42"/>
      <c r="P892" s="46">
        <v>69</v>
      </c>
      <c r="Q892" s="41">
        <v>0</v>
      </c>
    </row>
    <row r="893" spans="1:17" ht="12" customHeight="1" x14ac:dyDescent="0.3">
      <c r="A893" s="39"/>
      <c r="B893" s="40" t="s">
        <v>1884</v>
      </c>
      <c r="C893" s="41">
        <v>298652.09999999998</v>
      </c>
      <c r="D893" s="42">
        <v>46043</v>
      </c>
      <c r="E893" s="43" t="s">
        <v>2</v>
      </c>
      <c r="F893" s="41">
        <v>0</v>
      </c>
      <c r="G893" s="41">
        <v>0</v>
      </c>
      <c r="H893" s="41">
        <v>298652.09999999998</v>
      </c>
      <c r="I893" s="43">
        <v>90</v>
      </c>
      <c r="J893" s="43">
        <v>20</v>
      </c>
      <c r="K893" s="44">
        <v>3000000</v>
      </c>
      <c r="L893" s="43" t="s">
        <v>992</v>
      </c>
      <c r="M893" s="45">
        <v>46133</v>
      </c>
      <c r="N893" s="41">
        <v>298652.09999999998</v>
      </c>
      <c r="O893" s="42">
        <v>46077</v>
      </c>
      <c r="P893" s="46"/>
      <c r="Q893" s="41">
        <v>298652.09999999998</v>
      </c>
    </row>
    <row r="894" spans="1:17" ht="12" customHeight="1" x14ac:dyDescent="0.3">
      <c r="A894" s="39"/>
      <c r="B894" s="40" t="s">
        <v>1885</v>
      </c>
      <c r="C894" s="41">
        <v>275000</v>
      </c>
      <c r="D894" s="42">
        <v>46043</v>
      </c>
      <c r="E894" s="43" t="s">
        <v>1763</v>
      </c>
      <c r="F894" s="41">
        <v>275000</v>
      </c>
      <c r="G894" s="41">
        <v>0</v>
      </c>
      <c r="H894" s="41">
        <v>275000</v>
      </c>
      <c r="I894" s="43">
        <v>90</v>
      </c>
      <c r="J894" s="43">
        <v>13</v>
      </c>
      <c r="K894" s="44">
        <v>5000000</v>
      </c>
      <c r="L894" s="43" t="s">
        <v>992</v>
      </c>
      <c r="M894" s="45">
        <v>46133</v>
      </c>
      <c r="N894" s="41">
        <v>0</v>
      </c>
      <c r="O894" s="42"/>
      <c r="P894" s="46">
        <v>69</v>
      </c>
      <c r="Q894" s="41">
        <v>0</v>
      </c>
    </row>
    <row r="895" spans="1:17" ht="12" customHeight="1" x14ac:dyDescent="0.3">
      <c r="A895" s="39"/>
      <c r="B895" s="40" t="s">
        <v>1886</v>
      </c>
      <c r="C895" s="41">
        <v>130800</v>
      </c>
      <c r="D895" s="42">
        <v>46043</v>
      </c>
      <c r="E895" s="43" t="s">
        <v>2</v>
      </c>
      <c r="F895" s="41">
        <v>0</v>
      </c>
      <c r="G895" s="41">
        <v>0</v>
      </c>
      <c r="H895" s="41">
        <v>130800</v>
      </c>
      <c r="I895" s="43">
        <v>90</v>
      </c>
      <c r="J895" s="43">
        <v>71</v>
      </c>
      <c r="K895" s="44">
        <v>4000000</v>
      </c>
      <c r="L895" s="43" t="s">
        <v>992</v>
      </c>
      <c r="M895" s="45">
        <v>46133</v>
      </c>
      <c r="N895" s="41">
        <v>130800</v>
      </c>
      <c r="O895" s="42">
        <v>46080</v>
      </c>
      <c r="P895" s="46"/>
      <c r="Q895" s="41">
        <v>130800</v>
      </c>
    </row>
    <row r="896" spans="1:17" ht="12" customHeight="1" x14ac:dyDescent="0.3">
      <c r="A896" s="39"/>
      <c r="B896" s="40" t="s">
        <v>1887</v>
      </c>
      <c r="C896" s="41">
        <v>169199.99</v>
      </c>
      <c r="D896" s="42">
        <v>46044</v>
      </c>
      <c r="E896" s="43" t="s">
        <v>2</v>
      </c>
      <c r="F896" s="41">
        <v>0</v>
      </c>
      <c r="G896" s="41">
        <v>0</v>
      </c>
      <c r="H896" s="41">
        <v>169199.99</v>
      </c>
      <c r="I896" s="43">
        <v>90</v>
      </c>
      <c r="J896" s="43">
        <v>71</v>
      </c>
      <c r="K896" s="44">
        <v>4000000</v>
      </c>
      <c r="L896" s="43" t="s">
        <v>992</v>
      </c>
      <c r="M896" s="45">
        <v>46134</v>
      </c>
      <c r="N896" s="41">
        <v>169199.99</v>
      </c>
      <c r="O896" s="42">
        <v>46080</v>
      </c>
      <c r="P896" s="46"/>
      <c r="Q896" s="41">
        <v>169199.99</v>
      </c>
    </row>
    <row r="897" spans="1:17" ht="12" customHeight="1" x14ac:dyDescent="0.3">
      <c r="A897" s="39"/>
      <c r="B897" s="40" t="s">
        <v>1888</v>
      </c>
      <c r="C897" s="41">
        <v>135000</v>
      </c>
      <c r="D897" s="42">
        <v>46044</v>
      </c>
      <c r="E897" s="43" t="s">
        <v>2</v>
      </c>
      <c r="F897" s="41">
        <v>0</v>
      </c>
      <c r="G897" s="41">
        <v>0</v>
      </c>
      <c r="H897" s="41">
        <v>135000</v>
      </c>
      <c r="I897" s="43">
        <v>90</v>
      </c>
      <c r="J897" s="43">
        <v>71</v>
      </c>
      <c r="K897" s="44">
        <v>4000000</v>
      </c>
      <c r="L897" s="43" t="s">
        <v>992</v>
      </c>
      <c r="M897" s="45">
        <v>46134</v>
      </c>
      <c r="N897" s="41">
        <v>135000</v>
      </c>
      <c r="O897" s="42">
        <v>46080</v>
      </c>
      <c r="P897" s="46"/>
      <c r="Q897" s="41">
        <v>135000</v>
      </c>
    </row>
    <row r="898" spans="1:17" ht="12" customHeight="1" x14ac:dyDescent="0.3">
      <c r="A898" s="39"/>
      <c r="B898" s="40" t="s">
        <v>1889</v>
      </c>
      <c r="C898" s="41">
        <v>250000</v>
      </c>
      <c r="D898" s="42">
        <v>46044</v>
      </c>
      <c r="E898" s="43" t="s">
        <v>1763</v>
      </c>
      <c r="F898" s="41">
        <v>250000</v>
      </c>
      <c r="G898" s="41">
        <v>0</v>
      </c>
      <c r="H898" s="41">
        <v>250000</v>
      </c>
      <c r="I898" s="43">
        <v>90</v>
      </c>
      <c r="J898" s="43">
        <v>13</v>
      </c>
      <c r="K898" s="44">
        <v>5000000</v>
      </c>
      <c r="L898" s="43" t="s">
        <v>992</v>
      </c>
      <c r="M898" s="45">
        <v>46134</v>
      </c>
      <c r="N898" s="41">
        <v>0</v>
      </c>
      <c r="O898" s="42"/>
      <c r="P898" s="46">
        <v>68</v>
      </c>
      <c r="Q898" s="41">
        <v>0</v>
      </c>
    </row>
    <row r="899" spans="1:17" ht="12" customHeight="1" x14ac:dyDescent="0.3">
      <c r="A899" s="39"/>
      <c r="B899" s="40" t="s">
        <v>1890</v>
      </c>
      <c r="C899" s="41">
        <v>500000</v>
      </c>
      <c r="D899" s="42">
        <v>46047</v>
      </c>
      <c r="E899" s="43" t="s">
        <v>2</v>
      </c>
      <c r="F899" s="41">
        <v>0</v>
      </c>
      <c r="G899" s="41">
        <v>0</v>
      </c>
      <c r="H899" s="41">
        <v>500000</v>
      </c>
      <c r="I899" s="43">
        <v>90</v>
      </c>
      <c r="J899" s="43">
        <v>71</v>
      </c>
      <c r="K899" s="44">
        <v>4000000</v>
      </c>
      <c r="L899" s="43" t="s">
        <v>992</v>
      </c>
      <c r="M899" s="45">
        <v>46138</v>
      </c>
      <c r="N899" s="41">
        <v>500000</v>
      </c>
      <c r="O899" s="42">
        <v>46080</v>
      </c>
      <c r="P899" s="46"/>
      <c r="Q899" s="41">
        <v>500000</v>
      </c>
    </row>
    <row r="900" spans="1:17" ht="12" customHeight="1" x14ac:dyDescent="0.3">
      <c r="A900" s="39"/>
      <c r="B900" s="40" t="s">
        <v>1891</v>
      </c>
      <c r="C900" s="41">
        <v>399999.99</v>
      </c>
      <c r="D900" s="42">
        <v>46047</v>
      </c>
      <c r="E900" s="43" t="s">
        <v>1763</v>
      </c>
      <c r="F900" s="41">
        <v>399999.99</v>
      </c>
      <c r="G900" s="41">
        <v>0</v>
      </c>
      <c r="H900" s="41">
        <v>399999.99</v>
      </c>
      <c r="I900" s="43">
        <v>90</v>
      </c>
      <c r="J900" s="43">
        <v>13</v>
      </c>
      <c r="K900" s="44">
        <v>5000000</v>
      </c>
      <c r="L900" s="43" t="s">
        <v>992</v>
      </c>
      <c r="M900" s="45">
        <v>46138</v>
      </c>
      <c r="N900" s="41">
        <v>0</v>
      </c>
      <c r="O900" s="42"/>
      <c r="P900" s="46">
        <v>65</v>
      </c>
      <c r="Q900" s="41">
        <v>0</v>
      </c>
    </row>
    <row r="901" spans="1:17" ht="12" customHeight="1" x14ac:dyDescent="0.3">
      <c r="A901" s="39"/>
      <c r="B901" s="40" t="s">
        <v>1892</v>
      </c>
      <c r="C901" s="41">
        <v>80</v>
      </c>
      <c r="D901" s="42">
        <v>46047</v>
      </c>
      <c r="E901" s="43" t="s">
        <v>2</v>
      </c>
      <c r="F901" s="41">
        <v>0</v>
      </c>
      <c r="G901" s="41">
        <v>0</v>
      </c>
      <c r="H901" s="41">
        <v>80</v>
      </c>
      <c r="I901" s="43">
        <v>90</v>
      </c>
      <c r="J901" s="43">
        <v>9</v>
      </c>
      <c r="K901" s="44">
        <v>4000000</v>
      </c>
      <c r="L901" s="43" t="s">
        <v>992</v>
      </c>
      <c r="M901" s="45">
        <v>46138</v>
      </c>
      <c r="N901" s="41">
        <v>80</v>
      </c>
      <c r="O901" s="42">
        <v>46063</v>
      </c>
      <c r="P901" s="46"/>
      <c r="Q901" s="41">
        <v>80</v>
      </c>
    </row>
    <row r="902" spans="1:17" ht="12" customHeight="1" x14ac:dyDescent="0.3">
      <c r="A902" s="39"/>
      <c r="B902" s="40" t="s">
        <v>1893</v>
      </c>
      <c r="C902" s="41">
        <v>490</v>
      </c>
      <c r="D902" s="42">
        <v>46047</v>
      </c>
      <c r="E902" s="43" t="s">
        <v>2</v>
      </c>
      <c r="F902" s="41">
        <v>0</v>
      </c>
      <c r="G902" s="41">
        <v>0</v>
      </c>
      <c r="H902" s="41">
        <v>490</v>
      </c>
      <c r="I902" s="43">
        <v>90</v>
      </c>
      <c r="J902" s="43">
        <v>9</v>
      </c>
      <c r="K902" s="44">
        <v>4000000</v>
      </c>
      <c r="L902" s="43" t="s">
        <v>992</v>
      </c>
      <c r="M902" s="45">
        <v>46138</v>
      </c>
      <c r="N902" s="41">
        <v>490</v>
      </c>
      <c r="O902" s="42">
        <v>46063</v>
      </c>
      <c r="P902" s="46"/>
      <c r="Q902" s="41">
        <v>490</v>
      </c>
    </row>
    <row r="903" spans="1:17" ht="12" customHeight="1" x14ac:dyDescent="0.3">
      <c r="A903" s="39"/>
      <c r="B903" s="40" t="s">
        <v>1894</v>
      </c>
      <c r="C903" s="41">
        <v>134.55000000000001</v>
      </c>
      <c r="D903" s="42">
        <v>46047</v>
      </c>
      <c r="E903" s="43" t="s">
        <v>2</v>
      </c>
      <c r="F903" s="41">
        <v>0</v>
      </c>
      <c r="G903" s="41">
        <v>0</v>
      </c>
      <c r="H903" s="41">
        <v>134.55000000000001</v>
      </c>
      <c r="I903" s="43">
        <v>90</v>
      </c>
      <c r="J903" s="43">
        <v>9</v>
      </c>
      <c r="K903" s="44">
        <v>4000000</v>
      </c>
      <c r="L903" s="43" t="s">
        <v>992</v>
      </c>
      <c r="M903" s="45">
        <v>46138</v>
      </c>
      <c r="N903" s="41">
        <v>134.55000000000001</v>
      </c>
      <c r="O903" s="42">
        <v>46063</v>
      </c>
      <c r="P903" s="46"/>
      <c r="Q903" s="41">
        <v>134.55000000000001</v>
      </c>
    </row>
    <row r="904" spans="1:17" ht="12" customHeight="1" x14ac:dyDescent="0.3">
      <c r="A904" s="39"/>
      <c r="B904" s="40" t="s">
        <v>1895</v>
      </c>
      <c r="C904" s="41">
        <v>250151.64</v>
      </c>
      <c r="D904" s="42">
        <v>46047</v>
      </c>
      <c r="E904" s="43" t="s">
        <v>1763</v>
      </c>
      <c r="F904" s="41">
        <v>79455.56</v>
      </c>
      <c r="G904" s="41">
        <v>0</v>
      </c>
      <c r="H904" s="41">
        <v>250151.64</v>
      </c>
      <c r="I904" s="43">
        <v>90</v>
      </c>
      <c r="J904" s="43">
        <v>20</v>
      </c>
      <c r="K904" s="44">
        <v>3000000</v>
      </c>
      <c r="L904" s="43" t="s">
        <v>992</v>
      </c>
      <c r="M904" s="45">
        <v>46138</v>
      </c>
      <c r="N904" s="41">
        <v>170696.08</v>
      </c>
      <c r="O904" s="42">
        <v>46079</v>
      </c>
      <c r="P904" s="46">
        <v>65</v>
      </c>
      <c r="Q904" s="41">
        <v>170696.08</v>
      </c>
    </row>
    <row r="905" spans="1:17" ht="12" customHeight="1" x14ac:dyDescent="0.3">
      <c r="A905" s="39"/>
      <c r="B905" s="40" t="s">
        <v>1896</v>
      </c>
      <c r="C905" s="41">
        <v>134.55000000000001</v>
      </c>
      <c r="D905" s="42">
        <v>46047</v>
      </c>
      <c r="E905" s="43" t="s">
        <v>2</v>
      </c>
      <c r="F905" s="41">
        <v>0</v>
      </c>
      <c r="G905" s="41">
        <v>0</v>
      </c>
      <c r="H905" s="41">
        <v>134.55000000000001</v>
      </c>
      <c r="I905" s="43">
        <v>90</v>
      </c>
      <c r="J905" s="43">
        <v>9</v>
      </c>
      <c r="K905" s="44">
        <v>4000000</v>
      </c>
      <c r="L905" s="43" t="s">
        <v>992</v>
      </c>
      <c r="M905" s="45">
        <v>46138</v>
      </c>
      <c r="N905" s="41">
        <v>134.55000000000001</v>
      </c>
      <c r="O905" s="42">
        <v>46063</v>
      </c>
      <c r="P905" s="46"/>
      <c r="Q905" s="41">
        <v>134.55000000000001</v>
      </c>
    </row>
    <row r="906" spans="1:17" ht="12" customHeight="1" x14ac:dyDescent="0.3">
      <c r="A906" s="39"/>
      <c r="B906" s="40" t="s">
        <v>1897</v>
      </c>
      <c r="C906" s="41">
        <v>120</v>
      </c>
      <c r="D906" s="42">
        <v>46047</v>
      </c>
      <c r="E906" s="43" t="s">
        <v>2</v>
      </c>
      <c r="F906" s="41">
        <v>0</v>
      </c>
      <c r="G906" s="41">
        <v>0</v>
      </c>
      <c r="H906" s="41">
        <v>120</v>
      </c>
      <c r="I906" s="43">
        <v>90</v>
      </c>
      <c r="J906" s="43">
        <v>9</v>
      </c>
      <c r="K906" s="44">
        <v>4000000</v>
      </c>
      <c r="L906" s="43" t="s">
        <v>992</v>
      </c>
      <c r="M906" s="45">
        <v>46138</v>
      </c>
      <c r="N906" s="41">
        <v>120</v>
      </c>
      <c r="O906" s="42">
        <v>46063</v>
      </c>
      <c r="P906" s="46"/>
      <c r="Q906" s="41">
        <v>120</v>
      </c>
    </row>
    <row r="907" spans="1:17" ht="12" customHeight="1" x14ac:dyDescent="0.3">
      <c r="A907" s="39"/>
      <c r="B907" s="40" t="s">
        <v>1898</v>
      </c>
      <c r="C907" s="41">
        <v>1606.22</v>
      </c>
      <c r="D907" s="42">
        <v>46047</v>
      </c>
      <c r="E907" s="43" t="s">
        <v>2</v>
      </c>
      <c r="F907" s="41">
        <v>0</v>
      </c>
      <c r="G907" s="41">
        <v>0</v>
      </c>
      <c r="H907" s="41">
        <v>1606.22</v>
      </c>
      <c r="I907" s="43">
        <v>90</v>
      </c>
      <c r="J907" s="43">
        <v>9</v>
      </c>
      <c r="K907" s="44">
        <v>4000000</v>
      </c>
      <c r="L907" s="43" t="s">
        <v>992</v>
      </c>
      <c r="M907" s="45">
        <v>46138</v>
      </c>
      <c r="N907" s="41">
        <v>1606.22</v>
      </c>
      <c r="O907" s="42">
        <v>46063</v>
      </c>
      <c r="P907" s="46"/>
      <c r="Q907" s="41">
        <v>1606.22</v>
      </c>
    </row>
    <row r="908" spans="1:17" ht="12" customHeight="1" x14ac:dyDescent="0.3">
      <c r="A908" s="39"/>
      <c r="B908" s="40" t="s">
        <v>1899</v>
      </c>
      <c r="C908" s="41">
        <v>240581.99</v>
      </c>
      <c r="D908" s="42">
        <v>46048</v>
      </c>
      <c r="E908" s="43" t="s">
        <v>1763</v>
      </c>
      <c r="F908" s="41">
        <v>240581.99</v>
      </c>
      <c r="G908" s="41">
        <v>0</v>
      </c>
      <c r="H908" s="41">
        <v>240581.99</v>
      </c>
      <c r="I908" s="43">
        <v>90</v>
      </c>
      <c r="J908" s="43">
        <v>20</v>
      </c>
      <c r="K908" s="44">
        <v>3000000</v>
      </c>
      <c r="L908" s="43" t="s">
        <v>992</v>
      </c>
      <c r="M908" s="45">
        <v>46138</v>
      </c>
      <c r="N908" s="41">
        <v>0</v>
      </c>
      <c r="O908" s="42"/>
      <c r="P908" s="46">
        <v>64</v>
      </c>
      <c r="Q908" s="41">
        <v>0</v>
      </c>
    </row>
    <row r="909" spans="1:17" ht="12" customHeight="1" x14ac:dyDescent="0.3">
      <c r="A909" s="39"/>
      <c r="B909" s="40" t="s">
        <v>1900</v>
      </c>
      <c r="C909" s="41">
        <v>11281.5</v>
      </c>
      <c r="D909" s="42">
        <v>46048</v>
      </c>
      <c r="E909" s="43" t="s">
        <v>1763</v>
      </c>
      <c r="F909" s="41">
        <v>11281.5</v>
      </c>
      <c r="G909" s="41">
        <v>0</v>
      </c>
      <c r="H909" s="41">
        <v>11281.5</v>
      </c>
      <c r="I909" s="43">
        <v>90</v>
      </c>
      <c r="J909" s="43">
        <v>77</v>
      </c>
      <c r="K909" s="44">
        <v>800000</v>
      </c>
      <c r="L909" s="43" t="s">
        <v>992</v>
      </c>
      <c r="M909" s="45">
        <v>46138</v>
      </c>
      <c r="N909" s="41">
        <v>0</v>
      </c>
      <c r="O909" s="42"/>
      <c r="P909" s="46">
        <v>64</v>
      </c>
      <c r="Q909" s="41">
        <v>0</v>
      </c>
    </row>
    <row r="910" spans="1:17" ht="12" customHeight="1" x14ac:dyDescent="0.3">
      <c r="A910" s="39"/>
      <c r="B910" s="40" t="s">
        <v>1901</v>
      </c>
      <c r="C910" s="41">
        <v>300000</v>
      </c>
      <c r="D910" s="42">
        <v>46048</v>
      </c>
      <c r="E910" s="43" t="s">
        <v>2</v>
      </c>
      <c r="F910" s="41">
        <v>0</v>
      </c>
      <c r="G910" s="41">
        <v>0</v>
      </c>
      <c r="H910" s="41">
        <v>300000</v>
      </c>
      <c r="I910" s="43">
        <v>90</v>
      </c>
      <c r="J910" s="43">
        <v>116</v>
      </c>
      <c r="K910" s="44">
        <v>2000000</v>
      </c>
      <c r="L910" s="43" t="s">
        <v>992</v>
      </c>
      <c r="M910" s="45">
        <v>46138</v>
      </c>
      <c r="N910" s="41">
        <v>300000</v>
      </c>
      <c r="O910" s="42">
        <v>46084</v>
      </c>
      <c r="P910" s="46"/>
      <c r="Q910" s="41">
        <v>300000</v>
      </c>
    </row>
    <row r="911" spans="1:17" ht="12" customHeight="1" x14ac:dyDescent="0.3">
      <c r="A911" s="39"/>
      <c r="B911" s="40" t="s">
        <v>1902</v>
      </c>
      <c r="C911" s="41">
        <v>280000.01</v>
      </c>
      <c r="D911" s="42">
        <v>46048</v>
      </c>
      <c r="E911" s="43" t="s">
        <v>1763</v>
      </c>
      <c r="F911" s="41">
        <v>280000.01</v>
      </c>
      <c r="G911" s="41">
        <v>0</v>
      </c>
      <c r="H911" s="41">
        <v>280000.01</v>
      </c>
      <c r="I911" s="43">
        <v>90</v>
      </c>
      <c r="J911" s="43">
        <v>13</v>
      </c>
      <c r="K911" s="44">
        <v>5000000</v>
      </c>
      <c r="L911" s="43" t="s">
        <v>992</v>
      </c>
      <c r="M911" s="45">
        <v>46138</v>
      </c>
      <c r="N911" s="41">
        <v>0</v>
      </c>
      <c r="O911" s="42"/>
      <c r="P911" s="46">
        <v>64</v>
      </c>
      <c r="Q911" s="41">
        <v>0</v>
      </c>
    </row>
    <row r="912" spans="1:17" ht="12" customHeight="1" x14ac:dyDescent="0.3">
      <c r="A912" s="39"/>
      <c r="B912" s="40" t="s">
        <v>1903</v>
      </c>
      <c r="C912" s="41">
        <v>700000.42</v>
      </c>
      <c r="D912" s="42">
        <v>46048</v>
      </c>
      <c r="E912" s="43" t="s">
        <v>2</v>
      </c>
      <c r="F912" s="41">
        <v>0</v>
      </c>
      <c r="G912" s="41">
        <v>0</v>
      </c>
      <c r="H912" s="41">
        <v>700000.42</v>
      </c>
      <c r="I912" s="43">
        <v>90</v>
      </c>
      <c r="J912" s="43">
        <v>197</v>
      </c>
      <c r="K912" s="44">
        <v>7000000</v>
      </c>
      <c r="L912" s="43" t="s">
        <v>992</v>
      </c>
      <c r="M912" s="45">
        <v>46138</v>
      </c>
      <c r="N912" s="41">
        <v>700000.42</v>
      </c>
      <c r="O912" s="42">
        <v>46049</v>
      </c>
      <c r="P912" s="46"/>
      <c r="Q912" s="41">
        <v>700000.42</v>
      </c>
    </row>
    <row r="913" spans="1:17" ht="12" customHeight="1" x14ac:dyDescent="0.3">
      <c r="A913" s="39"/>
      <c r="B913" s="40" t="s">
        <v>1904</v>
      </c>
      <c r="C913" s="41">
        <v>1300000</v>
      </c>
      <c r="D913" s="42">
        <v>46048</v>
      </c>
      <c r="E913" s="43" t="s">
        <v>2</v>
      </c>
      <c r="F913" s="41">
        <v>0</v>
      </c>
      <c r="G913" s="41">
        <v>0</v>
      </c>
      <c r="H913" s="41">
        <v>1300000</v>
      </c>
      <c r="I913" s="43">
        <v>90</v>
      </c>
      <c r="J913" s="43">
        <v>197</v>
      </c>
      <c r="K913" s="44">
        <v>7000000</v>
      </c>
      <c r="L913" s="43" t="s">
        <v>992</v>
      </c>
      <c r="M913" s="45">
        <v>46138</v>
      </c>
      <c r="N913" s="41">
        <v>1300000</v>
      </c>
      <c r="O913" s="42">
        <v>46050</v>
      </c>
      <c r="P913" s="46"/>
      <c r="Q913" s="41">
        <v>1300000</v>
      </c>
    </row>
    <row r="914" spans="1:17" ht="12" customHeight="1" x14ac:dyDescent="0.3">
      <c r="A914" s="39"/>
      <c r="B914" s="40" t="s">
        <v>1905</v>
      </c>
      <c r="C914" s="41">
        <v>1425</v>
      </c>
      <c r="D914" s="42">
        <v>46049</v>
      </c>
      <c r="E914" s="43" t="s">
        <v>2</v>
      </c>
      <c r="F914" s="41">
        <v>0</v>
      </c>
      <c r="G914" s="41">
        <v>0</v>
      </c>
      <c r="H914" s="41">
        <v>1425</v>
      </c>
      <c r="I914" s="43">
        <v>90</v>
      </c>
      <c r="J914" s="43">
        <v>9</v>
      </c>
      <c r="K914" s="44">
        <v>4000000</v>
      </c>
      <c r="L914" s="43" t="s">
        <v>992</v>
      </c>
      <c r="M914" s="45">
        <v>46139</v>
      </c>
      <c r="N914" s="41">
        <v>1425</v>
      </c>
      <c r="O914" s="42">
        <v>46063</v>
      </c>
      <c r="P914" s="46"/>
      <c r="Q914" s="41">
        <v>1425</v>
      </c>
    </row>
    <row r="915" spans="1:17" ht="12" customHeight="1" x14ac:dyDescent="0.3">
      <c r="A915" s="39"/>
      <c r="B915" s="40" t="s">
        <v>1906</v>
      </c>
      <c r="C915" s="41">
        <v>480</v>
      </c>
      <c r="D915" s="42">
        <v>46049</v>
      </c>
      <c r="E915" s="43" t="s">
        <v>2</v>
      </c>
      <c r="F915" s="41">
        <v>0</v>
      </c>
      <c r="G915" s="41">
        <v>0</v>
      </c>
      <c r="H915" s="41">
        <v>480</v>
      </c>
      <c r="I915" s="43">
        <v>90</v>
      </c>
      <c r="J915" s="43">
        <v>9</v>
      </c>
      <c r="K915" s="44">
        <v>4000000</v>
      </c>
      <c r="L915" s="43" t="s">
        <v>992</v>
      </c>
      <c r="M915" s="45">
        <v>46139</v>
      </c>
      <c r="N915" s="41">
        <v>480</v>
      </c>
      <c r="O915" s="42">
        <v>46063</v>
      </c>
      <c r="P915" s="46"/>
      <c r="Q915" s="41">
        <v>480</v>
      </c>
    </row>
    <row r="916" spans="1:17" ht="12" customHeight="1" x14ac:dyDescent="0.3">
      <c r="A916" s="39"/>
      <c r="B916" s="40" t="s">
        <v>1907</v>
      </c>
      <c r="C916" s="41">
        <v>2371.98</v>
      </c>
      <c r="D916" s="42">
        <v>46049</v>
      </c>
      <c r="E916" s="43" t="s">
        <v>2</v>
      </c>
      <c r="F916" s="41">
        <v>0</v>
      </c>
      <c r="G916" s="41">
        <v>0</v>
      </c>
      <c r="H916" s="41">
        <v>2371.98</v>
      </c>
      <c r="I916" s="43">
        <v>90</v>
      </c>
      <c r="J916" s="43">
        <v>9</v>
      </c>
      <c r="K916" s="44">
        <v>4000000</v>
      </c>
      <c r="L916" s="43" t="s">
        <v>992</v>
      </c>
      <c r="M916" s="45">
        <v>46139</v>
      </c>
      <c r="N916" s="41">
        <v>2371.98</v>
      </c>
      <c r="O916" s="42">
        <v>46063</v>
      </c>
      <c r="P916" s="46"/>
      <c r="Q916" s="41">
        <v>2371.98</v>
      </c>
    </row>
    <row r="917" spans="1:17" ht="12" customHeight="1" x14ac:dyDescent="0.3">
      <c r="A917" s="39"/>
      <c r="B917" s="40" t="s">
        <v>1908</v>
      </c>
      <c r="C917" s="41">
        <v>490</v>
      </c>
      <c r="D917" s="42">
        <v>46049</v>
      </c>
      <c r="E917" s="43" t="s">
        <v>2</v>
      </c>
      <c r="F917" s="41">
        <v>0</v>
      </c>
      <c r="G917" s="41">
        <v>0</v>
      </c>
      <c r="H917" s="41">
        <v>490</v>
      </c>
      <c r="I917" s="43">
        <v>90</v>
      </c>
      <c r="J917" s="43">
        <v>9</v>
      </c>
      <c r="K917" s="44">
        <v>4000000</v>
      </c>
      <c r="L917" s="43" t="s">
        <v>992</v>
      </c>
      <c r="M917" s="45">
        <v>46139</v>
      </c>
      <c r="N917" s="41">
        <v>490</v>
      </c>
      <c r="O917" s="42">
        <v>46063</v>
      </c>
      <c r="P917" s="46"/>
      <c r="Q917" s="41">
        <v>490</v>
      </c>
    </row>
    <row r="918" spans="1:17" ht="12" customHeight="1" x14ac:dyDescent="0.3">
      <c r="A918" s="39"/>
      <c r="B918" s="40" t="s">
        <v>1909</v>
      </c>
      <c r="C918" s="41">
        <v>3045</v>
      </c>
      <c r="D918" s="42">
        <v>46049</v>
      </c>
      <c r="E918" s="43" t="s">
        <v>2</v>
      </c>
      <c r="F918" s="41">
        <v>0</v>
      </c>
      <c r="G918" s="41">
        <v>0</v>
      </c>
      <c r="H918" s="41">
        <v>3045</v>
      </c>
      <c r="I918" s="43">
        <v>90</v>
      </c>
      <c r="J918" s="43">
        <v>9</v>
      </c>
      <c r="K918" s="44">
        <v>4000000</v>
      </c>
      <c r="L918" s="43" t="s">
        <v>992</v>
      </c>
      <c r="M918" s="45">
        <v>46139</v>
      </c>
      <c r="N918" s="41">
        <v>3045</v>
      </c>
      <c r="O918" s="42">
        <v>46063</v>
      </c>
      <c r="P918" s="46"/>
      <c r="Q918" s="41">
        <v>3045</v>
      </c>
    </row>
    <row r="919" spans="1:17" ht="12" customHeight="1" x14ac:dyDescent="0.3">
      <c r="A919" s="39"/>
      <c r="B919" s="40" t="s">
        <v>1910</v>
      </c>
      <c r="C919" s="41">
        <v>120</v>
      </c>
      <c r="D919" s="42">
        <v>46049</v>
      </c>
      <c r="E919" s="43" t="s">
        <v>2</v>
      </c>
      <c r="F919" s="41">
        <v>0</v>
      </c>
      <c r="G919" s="41">
        <v>0</v>
      </c>
      <c r="H919" s="41">
        <v>120</v>
      </c>
      <c r="I919" s="43">
        <v>90</v>
      </c>
      <c r="J919" s="43">
        <v>9</v>
      </c>
      <c r="K919" s="44">
        <v>4000000</v>
      </c>
      <c r="L919" s="43" t="s">
        <v>992</v>
      </c>
      <c r="M919" s="45">
        <v>46139</v>
      </c>
      <c r="N919" s="41">
        <v>120</v>
      </c>
      <c r="O919" s="42">
        <v>46063</v>
      </c>
      <c r="P919" s="46"/>
      <c r="Q919" s="41">
        <v>120</v>
      </c>
    </row>
    <row r="920" spans="1:17" ht="12" customHeight="1" x14ac:dyDescent="0.3">
      <c r="A920" s="39"/>
      <c r="B920" s="40" t="s">
        <v>1911</v>
      </c>
      <c r="C920" s="41">
        <v>135</v>
      </c>
      <c r="D920" s="42">
        <v>46049</v>
      </c>
      <c r="E920" s="43" t="s">
        <v>2</v>
      </c>
      <c r="F920" s="41">
        <v>0</v>
      </c>
      <c r="G920" s="41">
        <v>0</v>
      </c>
      <c r="H920" s="41">
        <v>135</v>
      </c>
      <c r="I920" s="43">
        <v>90</v>
      </c>
      <c r="J920" s="43">
        <v>9</v>
      </c>
      <c r="K920" s="44">
        <v>4000000</v>
      </c>
      <c r="L920" s="43" t="s">
        <v>992</v>
      </c>
      <c r="M920" s="45">
        <v>46139</v>
      </c>
      <c r="N920" s="41">
        <v>135</v>
      </c>
      <c r="O920" s="42">
        <v>46063</v>
      </c>
      <c r="P920" s="46"/>
      <c r="Q920" s="41">
        <v>135</v>
      </c>
    </row>
    <row r="921" spans="1:17" ht="12" customHeight="1" x14ac:dyDescent="0.3">
      <c r="A921" s="39"/>
      <c r="B921" s="40" t="s">
        <v>1912</v>
      </c>
      <c r="C921" s="41">
        <v>150000</v>
      </c>
      <c r="D921" s="42">
        <v>46049</v>
      </c>
      <c r="E921" s="43" t="s">
        <v>1763</v>
      </c>
      <c r="F921" s="41">
        <v>150000</v>
      </c>
      <c r="G921" s="41">
        <v>0</v>
      </c>
      <c r="H921" s="41">
        <v>150000</v>
      </c>
      <c r="I921" s="43">
        <v>90</v>
      </c>
      <c r="J921" s="43">
        <v>16</v>
      </c>
      <c r="K921" s="44">
        <v>800000</v>
      </c>
      <c r="L921" s="43" t="s">
        <v>992</v>
      </c>
      <c r="M921" s="45">
        <v>46139</v>
      </c>
      <c r="N921" s="41">
        <v>0</v>
      </c>
      <c r="O921" s="42"/>
      <c r="P921" s="46">
        <v>63</v>
      </c>
      <c r="Q921" s="41">
        <v>0</v>
      </c>
    </row>
    <row r="922" spans="1:17" ht="12" customHeight="1" x14ac:dyDescent="0.3">
      <c r="A922" s="39"/>
      <c r="B922" s="40" t="s">
        <v>1913</v>
      </c>
      <c r="C922" s="41">
        <v>250000</v>
      </c>
      <c r="D922" s="42">
        <v>46049</v>
      </c>
      <c r="E922" s="43" t="s">
        <v>2</v>
      </c>
      <c r="F922" s="41">
        <v>0</v>
      </c>
      <c r="G922" s="41">
        <v>0</v>
      </c>
      <c r="H922" s="41">
        <v>250000</v>
      </c>
      <c r="I922" s="43">
        <v>90</v>
      </c>
      <c r="J922" s="43">
        <v>71</v>
      </c>
      <c r="K922" s="44">
        <v>4000000</v>
      </c>
      <c r="L922" s="43" t="s">
        <v>992</v>
      </c>
      <c r="M922" s="45">
        <v>46139</v>
      </c>
      <c r="N922" s="41">
        <v>250000</v>
      </c>
      <c r="O922" s="42">
        <v>46080</v>
      </c>
      <c r="P922" s="46"/>
      <c r="Q922" s="41">
        <v>250000</v>
      </c>
    </row>
    <row r="923" spans="1:17" ht="12" customHeight="1" x14ac:dyDescent="0.3">
      <c r="A923" s="39"/>
      <c r="B923" s="40" t="s">
        <v>1914</v>
      </c>
      <c r="C923" s="41">
        <v>1500000.3</v>
      </c>
      <c r="D923" s="42">
        <v>46049</v>
      </c>
      <c r="E923" s="43" t="s">
        <v>2</v>
      </c>
      <c r="F923" s="41">
        <v>0</v>
      </c>
      <c r="G923" s="41">
        <v>0</v>
      </c>
      <c r="H923" s="41">
        <v>1500000.3</v>
      </c>
      <c r="I923" s="43">
        <v>90</v>
      </c>
      <c r="J923" s="43">
        <v>197</v>
      </c>
      <c r="K923" s="44">
        <v>7000000</v>
      </c>
      <c r="L923" s="43" t="s">
        <v>992</v>
      </c>
      <c r="M923" s="45">
        <v>46139</v>
      </c>
      <c r="N923" s="41">
        <v>1500000.3</v>
      </c>
      <c r="O923" s="42">
        <v>46050</v>
      </c>
      <c r="P923" s="46"/>
      <c r="Q923" s="41">
        <v>1500000.3</v>
      </c>
    </row>
    <row r="924" spans="1:17" ht="12" customHeight="1" x14ac:dyDescent="0.3">
      <c r="A924" s="39"/>
      <c r="B924" s="40" t="s">
        <v>1915</v>
      </c>
      <c r="C924" s="41">
        <v>500000.4</v>
      </c>
      <c r="D924" s="42">
        <v>46049</v>
      </c>
      <c r="E924" s="43" t="s">
        <v>2</v>
      </c>
      <c r="F924" s="41">
        <v>0</v>
      </c>
      <c r="G924" s="41">
        <v>0</v>
      </c>
      <c r="H924" s="41">
        <v>500000.4</v>
      </c>
      <c r="I924" s="43">
        <v>90</v>
      </c>
      <c r="J924" s="43">
        <v>197</v>
      </c>
      <c r="K924" s="44">
        <v>7000000</v>
      </c>
      <c r="L924" s="43" t="s">
        <v>992</v>
      </c>
      <c r="M924" s="45">
        <v>46139</v>
      </c>
      <c r="N924" s="41">
        <v>500000.4</v>
      </c>
      <c r="O924" s="42">
        <v>46050</v>
      </c>
      <c r="P924" s="46"/>
      <c r="Q924" s="41">
        <v>500000.4</v>
      </c>
    </row>
    <row r="925" spans="1:17" ht="12" customHeight="1" x14ac:dyDescent="0.3">
      <c r="A925" s="39"/>
      <c r="B925" s="40" t="s">
        <v>1916</v>
      </c>
      <c r="C925" s="41">
        <v>300000</v>
      </c>
      <c r="D925" s="42">
        <v>46049</v>
      </c>
      <c r="E925" s="43" t="s">
        <v>2</v>
      </c>
      <c r="F925" s="41">
        <v>0</v>
      </c>
      <c r="G925" s="41">
        <v>0</v>
      </c>
      <c r="H925" s="41">
        <v>300000</v>
      </c>
      <c r="I925" s="43">
        <v>90</v>
      </c>
      <c r="J925" s="43">
        <v>71</v>
      </c>
      <c r="K925" s="44">
        <v>4000000</v>
      </c>
      <c r="L925" s="43" t="s">
        <v>992</v>
      </c>
      <c r="M925" s="45">
        <v>46139</v>
      </c>
      <c r="N925" s="41">
        <v>300000</v>
      </c>
      <c r="O925" s="42">
        <v>46080</v>
      </c>
      <c r="P925" s="46"/>
      <c r="Q925" s="41">
        <v>300000</v>
      </c>
    </row>
    <row r="926" spans="1:17" ht="12" customHeight="1" x14ac:dyDescent="0.3">
      <c r="A926" s="39"/>
      <c r="B926" s="40" t="s">
        <v>1917</v>
      </c>
      <c r="C926" s="41">
        <v>400000</v>
      </c>
      <c r="D926" s="42">
        <v>46049</v>
      </c>
      <c r="E926" s="43" t="s">
        <v>2</v>
      </c>
      <c r="F926" s="41">
        <v>0</v>
      </c>
      <c r="G926" s="41">
        <v>0</v>
      </c>
      <c r="H926" s="41">
        <v>400000</v>
      </c>
      <c r="I926" s="43">
        <v>90</v>
      </c>
      <c r="J926" s="43">
        <v>116</v>
      </c>
      <c r="K926" s="44">
        <v>2000000</v>
      </c>
      <c r="L926" s="43" t="s">
        <v>992</v>
      </c>
      <c r="M926" s="45">
        <v>46139</v>
      </c>
      <c r="N926" s="41">
        <v>400000</v>
      </c>
      <c r="O926" s="42">
        <v>46092</v>
      </c>
      <c r="P926" s="46"/>
      <c r="Q926" s="41">
        <v>400000</v>
      </c>
    </row>
    <row r="927" spans="1:17" ht="12" customHeight="1" x14ac:dyDescent="0.3">
      <c r="A927" s="39"/>
      <c r="B927" s="40" t="s">
        <v>1918</v>
      </c>
      <c r="C927" s="41">
        <v>200000</v>
      </c>
      <c r="D927" s="42">
        <v>46049</v>
      </c>
      <c r="E927" s="43" t="s">
        <v>1763</v>
      </c>
      <c r="F927" s="41">
        <v>200000</v>
      </c>
      <c r="G927" s="41">
        <v>0</v>
      </c>
      <c r="H927" s="41">
        <v>200000</v>
      </c>
      <c r="I927" s="43">
        <v>90</v>
      </c>
      <c r="J927" s="43">
        <v>13</v>
      </c>
      <c r="K927" s="44">
        <v>5000000</v>
      </c>
      <c r="L927" s="43" t="s">
        <v>992</v>
      </c>
      <c r="M927" s="45">
        <v>46139</v>
      </c>
      <c r="N927" s="41">
        <v>0</v>
      </c>
      <c r="O927" s="42"/>
      <c r="P927" s="46">
        <v>63</v>
      </c>
      <c r="Q927" s="41">
        <v>0</v>
      </c>
    </row>
    <row r="928" spans="1:17" ht="12" customHeight="1" x14ac:dyDescent="0.3">
      <c r="A928" s="39"/>
      <c r="B928" s="40" t="s">
        <v>1919</v>
      </c>
      <c r="C928" s="41">
        <v>225000</v>
      </c>
      <c r="D928" s="42">
        <v>46050</v>
      </c>
      <c r="E928" s="43" t="s">
        <v>2</v>
      </c>
      <c r="F928" s="41">
        <v>0</v>
      </c>
      <c r="G928" s="41">
        <v>0</v>
      </c>
      <c r="H928" s="41">
        <v>225000</v>
      </c>
      <c r="I928" s="43">
        <v>90</v>
      </c>
      <c r="J928" s="43">
        <v>9</v>
      </c>
      <c r="K928" s="44">
        <v>4000000</v>
      </c>
      <c r="L928" s="43" t="s">
        <v>992</v>
      </c>
      <c r="M928" s="45">
        <v>46140</v>
      </c>
      <c r="N928" s="41">
        <v>225000</v>
      </c>
      <c r="O928" s="42">
        <v>46063</v>
      </c>
      <c r="P928" s="46"/>
      <c r="Q928" s="41">
        <v>225000</v>
      </c>
    </row>
    <row r="929" spans="1:17" ht="12" customHeight="1" x14ac:dyDescent="0.3">
      <c r="A929" s="39"/>
      <c r="B929" s="40" t="s">
        <v>1920</v>
      </c>
      <c r="C929" s="41">
        <v>275000</v>
      </c>
      <c r="D929" s="42">
        <v>46050</v>
      </c>
      <c r="E929" s="43" t="s">
        <v>2</v>
      </c>
      <c r="F929" s="41">
        <v>0</v>
      </c>
      <c r="G929" s="41">
        <v>0</v>
      </c>
      <c r="H929" s="41">
        <v>275000</v>
      </c>
      <c r="I929" s="43">
        <v>90</v>
      </c>
      <c r="J929" s="43">
        <v>71</v>
      </c>
      <c r="K929" s="44">
        <v>4000000</v>
      </c>
      <c r="L929" s="43" t="s">
        <v>992</v>
      </c>
      <c r="M929" s="45">
        <v>46140</v>
      </c>
      <c r="N929" s="41">
        <v>275000</v>
      </c>
      <c r="O929" s="42">
        <v>46080</v>
      </c>
      <c r="P929" s="46"/>
      <c r="Q929" s="41">
        <v>275000</v>
      </c>
    </row>
    <row r="930" spans="1:17" ht="12" customHeight="1" x14ac:dyDescent="0.3">
      <c r="A930" s="39"/>
      <c r="B930" s="40" t="s">
        <v>1921</v>
      </c>
      <c r="C930" s="41">
        <v>500000</v>
      </c>
      <c r="D930" s="42">
        <v>46050</v>
      </c>
      <c r="E930" s="43" t="s">
        <v>2</v>
      </c>
      <c r="F930" s="41">
        <v>0</v>
      </c>
      <c r="G930" s="41">
        <v>0</v>
      </c>
      <c r="H930" s="41">
        <v>500000</v>
      </c>
      <c r="I930" s="43">
        <v>90</v>
      </c>
      <c r="J930" s="43">
        <v>116</v>
      </c>
      <c r="K930" s="44">
        <v>2000000</v>
      </c>
      <c r="L930" s="43" t="s">
        <v>992</v>
      </c>
      <c r="M930" s="45">
        <v>46140</v>
      </c>
      <c r="N930" s="41">
        <v>500000</v>
      </c>
      <c r="O930" s="42">
        <v>46107</v>
      </c>
      <c r="P930" s="46"/>
      <c r="Q930" s="41">
        <v>500000</v>
      </c>
    </row>
    <row r="931" spans="1:17" ht="12" customHeight="1" x14ac:dyDescent="0.3">
      <c r="A931" s="39"/>
      <c r="B931" s="40" t="s">
        <v>1922</v>
      </c>
      <c r="C931" s="41">
        <v>1950000.78</v>
      </c>
      <c r="D931" s="42">
        <v>46050</v>
      </c>
      <c r="E931" s="43" t="s">
        <v>2</v>
      </c>
      <c r="F931" s="41">
        <v>0</v>
      </c>
      <c r="G931" s="41">
        <v>0</v>
      </c>
      <c r="H931" s="41">
        <v>1950000.78</v>
      </c>
      <c r="I931" s="43">
        <v>90</v>
      </c>
      <c r="J931" s="43">
        <v>197</v>
      </c>
      <c r="K931" s="44">
        <v>7000000</v>
      </c>
      <c r="L931" s="43" t="s">
        <v>992</v>
      </c>
      <c r="M931" s="45">
        <v>46140</v>
      </c>
      <c r="N931" s="41">
        <v>1950000.78</v>
      </c>
      <c r="O931" s="42">
        <v>46051</v>
      </c>
      <c r="P931" s="46"/>
      <c r="Q931" s="41">
        <v>1950000.78</v>
      </c>
    </row>
    <row r="932" spans="1:17" ht="12" customHeight="1" x14ac:dyDescent="0.3">
      <c r="A932" s="39"/>
      <c r="B932" s="40" t="s">
        <v>1923</v>
      </c>
      <c r="C932" s="41">
        <v>269.10000000000002</v>
      </c>
      <c r="D932" s="42">
        <v>46050</v>
      </c>
      <c r="E932" s="43" t="s">
        <v>2</v>
      </c>
      <c r="F932" s="41">
        <v>0</v>
      </c>
      <c r="G932" s="41">
        <v>0</v>
      </c>
      <c r="H932" s="41">
        <v>269.10000000000002</v>
      </c>
      <c r="I932" s="43">
        <v>90</v>
      </c>
      <c r="J932" s="43">
        <v>9</v>
      </c>
      <c r="K932" s="44">
        <v>4000000</v>
      </c>
      <c r="L932" s="43" t="s">
        <v>992</v>
      </c>
      <c r="M932" s="45">
        <v>46140</v>
      </c>
      <c r="N932" s="41">
        <v>269.10000000000002</v>
      </c>
      <c r="O932" s="42">
        <v>46063</v>
      </c>
      <c r="P932" s="46"/>
      <c r="Q932" s="41">
        <v>269.10000000000002</v>
      </c>
    </row>
    <row r="933" spans="1:17" ht="12" customHeight="1" x14ac:dyDescent="0.3">
      <c r="A933" s="39"/>
      <c r="B933" s="40" t="s">
        <v>1924</v>
      </c>
      <c r="C933" s="41">
        <v>6360.19</v>
      </c>
      <c r="D933" s="42">
        <v>46050</v>
      </c>
      <c r="E933" s="43" t="s">
        <v>2</v>
      </c>
      <c r="F933" s="41">
        <v>0</v>
      </c>
      <c r="G933" s="41">
        <v>0</v>
      </c>
      <c r="H933" s="41">
        <v>6360.19</v>
      </c>
      <c r="I933" s="43">
        <v>90</v>
      </c>
      <c r="J933" s="43">
        <v>9</v>
      </c>
      <c r="K933" s="44">
        <v>4000000</v>
      </c>
      <c r="L933" s="43" t="s">
        <v>992</v>
      </c>
      <c r="M933" s="45">
        <v>46140</v>
      </c>
      <c r="N933" s="41">
        <v>6360.19</v>
      </c>
      <c r="O933" s="42">
        <v>46063</v>
      </c>
      <c r="P933" s="46"/>
      <c r="Q933" s="41">
        <v>6360.19</v>
      </c>
    </row>
    <row r="934" spans="1:17" ht="12" customHeight="1" x14ac:dyDescent="0.3">
      <c r="A934" s="39"/>
      <c r="B934" s="40" t="s">
        <v>1925</v>
      </c>
      <c r="C934" s="41">
        <v>7664.51</v>
      </c>
      <c r="D934" s="42">
        <v>46050</v>
      </c>
      <c r="E934" s="43" t="s">
        <v>2</v>
      </c>
      <c r="F934" s="41">
        <v>0</v>
      </c>
      <c r="G934" s="41">
        <v>0</v>
      </c>
      <c r="H934" s="41">
        <v>7664.51</v>
      </c>
      <c r="I934" s="43">
        <v>90</v>
      </c>
      <c r="J934" s="43">
        <v>9</v>
      </c>
      <c r="K934" s="44">
        <v>4000000</v>
      </c>
      <c r="L934" s="43" t="s">
        <v>992</v>
      </c>
      <c r="M934" s="45">
        <v>46140</v>
      </c>
      <c r="N934" s="41">
        <v>7664.51</v>
      </c>
      <c r="O934" s="42">
        <v>46063</v>
      </c>
      <c r="P934" s="46"/>
      <c r="Q934" s="41">
        <v>7664.51</v>
      </c>
    </row>
    <row r="935" spans="1:17" ht="12" customHeight="1" x14ac:dyDescent="0.3">
      <c r="A935" s="39"/>
      <c r="B935" s="40" t="s">
        <v>1926</v>
      </c>
      <c r="C935" s="41">
        <v>17937.79</v>
      </c>
      <c r="D935" s="42">
        <v>46050</v>
      </c>
      <c r="E935" s="43" t="s">
        <v>2</v>
      </c>
      <c r="F935" s="41">
        <v>0</v>
      </c>
      <c r="G935" s="41">
        <v>0</v>
      </c>
      <c r="H935" s="41">
        <v>17937.79</v>
      </c>
      <c r="I935" s="43">
        <v>90</v>
      </c>
      <c r="J935" s="43">
        <v>9</v>
      </c>
      <c r="K935" s="44">
        <v>4000000</v>
      </c>
      <c r="L935" s="43" t="s">
        <v>992</v>
      </c>
      <c r="M935" s="45">
        <v>46140</v>
      </c>
      <c r="N935" s="41">
        <v>17937.79</v>
      </c>
      <c r="O935" s="42">
        <v>46063</v>
      </c>
      <c r="P935" s="46"/>
      <c r="Q935" s="41">
        <v>17937.79</v>
      </c>
    </row>
    <row r="936" spans="1:17" ht="12" customHeight="1" x14ac:dyDescent="0.3">
      <c r="A936" s="39"/>
      <c r="B936" s="40" t="s">
        <v>1927</v>
      </c>
      <c r="C936" s="41">
        <v>17773.599999999999</v>
      </c>
      <c r="D936" s="42">
        <v>46050</v>
      </c>
      <c r="E936" s="43" t="s">
        <v>2</v>
      </c>
      <c r="F936" s="41">
        <v>0</v>
      </c>
      <c r="G936" s="41">
        <v>0</v>
      </c>
      <c r="H936" s="41">
        <v>17773.599999999999</v>
      </c>
      <c r="I936" s="43">
        <v>90</v>
      </c>
      <c r="J936" s="43">
        <v>9</v>
      </c>
      <c r="K936" s="44">
        <v>4000000</v>
      </c>
      <c r="L936" s="43" t="s">
        <v>992</v>
      </c>
      <c r="M936" s="45">
        <v>46140</v>
      </c>
      <c r="N936" s="41">
        <v>17773.599999999999</v>
      </c>
      <c r="O936" s="42">
        <v>46063</v>
      </c>
      <c r="P936" s="46"/>
      <c r="Q936" s="41">
        <v>17773.599999999999</v>
      </c>
    </row>
    <row r="937" spans="1:17" ht="12" customHeight="1" x14ac:dyDescent="0.3">
      <c r="A937" s="39"/>
      <c r="B937" s="40" t="s">
        <v>1928</v>
      </c>
      <c r="C937" s="41">
        <v>134.55000000000001</v>
      </c>
      <c r="D937" s="42">
        <v>46050</v>
      </c>
      <c r="E937" s="43" t="s">
        <v>2</v>
      </c>
      <c r="F937" s="41">
        <v>0</v>
      </c>
      <c r="G937" s="41">
        <v>0</v>
      </c>
      <c r="H937" s="41">
        <v>134.55000000000001</v>
      </c>
      <c r="I937" s="43">
        <v>90</v>
      </c>
      <c r="J937" s="43">
        <v>9</v>
      </c>
      <c r="K937" s="44">
        <v>4000000</v>
      </c>
      <c r="L937" s="43" t="s">
        <v>992</v>
      </c>
      <c r="M937" s="45">
        <v>46140</v>
      </c>
      <c r="N937" s="41">
        <v>134.55000000000001</v>
      </c>
      <c r="O937" s="42">
        <v>46063</v>
      </c>
      <c r="P937" s="46"/>
      <c r="Q937" s="41">
        <v>134.55000000000001</v>
      </c>
    </row>
    <row r="938" spans="1:17" ht="12" customHeight="1" x14ac:dyDescent="0.3">
      <c r="A938" s="39"/>
      <c r="B938" s="40" t="s">
        <v>1929</v>
      </c>
      <c r="C938" s="41">
        <v>1950003.12</v>
      </c>
      <c r="D938" s="42">
        <v>46050</v>
      </c>
      <c r="E938" s="43" t="s">
        <v>2</v>
      </c>
      <c r="F938" s="41">
        <v>0</v>
      </c>
      <c r="G938" s="41">
        <v>0</v>
      </c>
      <c r="H938" s="41">
        <v>1950003.12</v>
      </c>
      <c r="I938" s="43">
        <v>90</v>
      </c>
      <c r="J938" s="43">
        <v>197</v>
      </c>
      <c r="K938" s="44">
        <v>7000000</v>
      </c>
      <c r="L938" s="43" t="s">
        <v>992</v>
      </c>
      <c r="M938" s="45">
        <v>46140</v>
      </c>
      <c r="N938" s="41">
        <v>1950003.12</v>
      </c>
      <c r="O938" s="42">
        <v>46077</v>
      </c>
      <c r="P938" s="46"/>
      <c r="Q938" s="41">
        <v>1950003.12</v>
      </c>
    </row>
    <row r="939" spans="1:17" ht="12" customHeight="1" x14ac:dyDescent="0.3">
      <c r="A939" s="39"/>
      <c r="B939" s="40" t="s">
        <v>1930</v>
      </c>
      <c r="C939" s="41">
        <v>2000000</v>
      </c>
      <c r="D939" s="42">
        <v>46050</v>
      </c>
      <c r="E939" s="43" t="s">
        <v>2</v>
      </c>
      <c r="F939" s="41">
        <v>0</v>
      </c>
      <c r="G939" s="41">
        <v>0</v>
      </c>
      <c r="H939" s="41">
        <v>2000000</v>
      </c>
      <c r="I939" s="43">
        <v>90</v>
      </c>
      <c r="J939" s="43">
        <v>197</v>
      </c>
      <c r="K939" s="44">
        <v>7000000</v>
      </c>
      <c r="L939" s="43" t="s">
        <v>992</v>
      </c>
      <c r="M939" s="45">
        <v>46140</v>
      </c>
      <c r="N939" s="41">
        <v>2000000</v>
      </c>
      <c r="O939" s="42">
        <v>46077</v>
      </c>
      <c r="P939" s="46"/>
      <c r="Q939" s="41">
        <v>2000000</v>
      </c>
    </row>
    <row r="940" spans="1:17" ht="12" customHeight="1" x14ac:dyDescent="0.3">
      <c r="A940" s="39"/>
      <c r="B940" s="40" t="s">
        <v>1931</v>
      </c>
      <c r="C940" s="41">
        <v>10205.68</v>
      </c>
      <c r="D940" s="42">
        <v>46050</v>
      </c>
      <c r="E940" s="43" t="s">
        <v>1763</v>
      </c>
      <c r="F940" s="41">
        <v>10205.68</v>
      </c>
      <c r="G940" s="41">
        <v>0</v>
      </c>
      <c r="H940" s="41">
        <v>10205.68</v>
      </c>
      <c r="I940" s="43">
        <v>90</v>
      </c>
      <c r="J940" s="43">
        <v>77</v>
      </c>
      <c r="K940" s="44">
        <v>800000</v>
      </c>
      <c r="L940" s="43" t="s">
        <v>992</v>
      </c>
      <c r="M940" s="45">
        <v>46140</v>
      </c>
      <c r="N940" s="41">
        <v>0</v>
      </c>
      <c r="O940" s="42"/>
      <c r="P940" s="46">
        <v>62</v>
      </c>
      <c r="Q940" s="41">
        <v>0</v>
      </c>
    </row>
    <row r="941" spans="1:17" ht="12" customHeight="1" x14ac:dyDescent="0.3">
      <c r="A941" s="39"/>
      <c r="B941" s="40" t="s">
        <v>1932</v>
      </c>
      <c r="C941" s="41">
        <v>240102.21</v>
      </c>
      <c r="D941" s="42">
        <v>46050</v>
      </c>
      <c r="E941" s="43" t="s">
        <v>1763</v>
      </c>
      <c r="F941" s="41">
        <v>240102.21</v>
      </c>
      <c r="G941" s="41">
        <v>0</v>
      </c>
      <c r="H941" s="41">
        <v>240102.21</v>
      </c>
      <c r="I941" s="43">
        <v>90</v>
      </c>
      <c r="J941" s="43">
        <v>20</v>
      </c>
      <c r="K941" s="44">
        <v>3000000</v>
      </c>
      <c r="L941" s="43" t="s">
        <v>992</v>
      </c>
      <c r="M941" s="45">
        <v>46140</v>
      </c>
      <c r="N941" s="41">
        <v>0</v>
      </c>
      <c r="O941" s="42"/>
      <c r="P941" s="46">
        <v>62</v>
      </c>
      <c r="Q941" s="41">
        <v>0</v>
      </c>
    </row>
    <row r="942" spans="1:17" ht="12" customHeight="1" x14ac:dyDescent="0.3">
      <c r="A942" s="39"/>
      <c r="B942" s="40" t="s">
        <v>1933</v>
      </c>
      <c r="C942" s="41">
        <v>1950000.63</v>
      </c>
      <c r="D942" s="42">
        <v>46051</v>
      </c>
      <c r="E942" s="43" t="s">
        <v>2</v>
      </c>
      <c r="F942" s="41">
        <v>0</v>
      </c>
      <c r="G942" s="41">
        <v>0</v>
      </c>
      <c r="H942" s="41">
        <v>1950000.63</v>
      </c>
      <c r="I942" s="43">
        <v>90</v>
      </c>
      <c r="J942" s="43">
        <v>197</v>
      </c>
      <c r="K942" s="44">
        <v>7000000</v>
      </c>
      <c r="L942" s="43" t="s">
        <v>992</v>
      </c>
      <c r="M942" s="45">
        <v>46141</v>
      </c>
      <c r="N942" s="41">
        <v>1950000.63</v>
      </c>
      <c r="O942" s="42">
        <v>46077</v>
      </c>
      <c r="P942" s="46"/>
      <c r="Q942" s="41">
        <v>1950000.63</v>
      </c>
    </row>
    <row r="943" spans="1:17" ht="12" customHeight="1" x14ac:dyDescent="0.3">
      <c r="A943" s="39"/>
      <c r="B943" s="40" t="s">
        <v>1934</v>
      </c>
      <c r="C943" s="41">
        <v>180045.94</v>
      </c>
      <c r="D943" s="42">
        <v>46051</v>
      </c>
      <c r="E943" s="43" t="s">
        <v>1763</v>
      </c>
      <c r="F943" s="41">
        <v>180045.94</v>
      </c>
      <c r="G943" s="41">
        <v>0</v>
      </c>
      <c r="H943" s="41">
        <v>180045.94</v>
      </c>
      <c r="I943" s="43">
        <v>90</v>
      </c>
      <c r="J943" s="43">
        <v>20</v>
      </c>
      <c r="K943" s="44">
        <v>3000000</v>
      </c>
      <c r="L943" s="43" t="s">
        <v>992</v>
      </c>
      <c r="M943" s="45">
        <v>46141</v>
      </c>
      <c r="N943" s="41">
        <v>0</v>
      </c>
      <c r="O943" s="42"/>
      <c r="P943" s="46">
        <v>61</v>
      </c>
      <c r="Q943" s="41">
        <v>0</v>
      </c>
    </row>
    <row r="944" spans="1:17" ht="12" customHeight="1" x14ac:dyDescent="0.3">
      <c r="A944" s="39"/>
      <c r="B944" s="40" t="s">
        <v>1935</v>
      </c>
      <c r="C944" s="41">
        <v>1950000.63</v>
      </c>
      <c r="D944" s="42">
        <v>46051</v>
      </c>
      <c r="E944" s="43" t="s">
        <v>2</v>
      </c>
      <c r="F944" s="41">
        <v>0</v>
      </c>
      <c r="G944" s="41">
        <v>0</v>
      </c>
      <c r="H944" s="41">
        <v>1950000.63</v>
      </c>
      <c r="I944" s="43">
        <v>90</v>
      </c>
      <c r="J944" s="43">
        <v>197</v>
      </c>
      <c r="K944" s="44">
        <v>7000000</v>
      </c>
      <c r="L944" s="43" t="s">
        <v>992</v>
      </c>
      <c r="M944" s="45">
        <v>46141</v>
      </c>
      <c r="N944" s="41">
        <v>1950000.63</v>
      </c>
      <c r="O944" s="42">
        <v>46077</v>
      </c>
      <c r="P944" s="46"/>
      <c r="Q944" s="41">
        <v>1950000.63</v>
      </c>
    </row>
    <row r="945" spans="1:17" ht="12" customHeight="1" x14ac:dyDescent="0.3">
      <c r="A945" s="39"/>
      <c r="B945" s="40" t="s">
        <v>1936</v>
      </c>
      <c r="C945" s="41">
        <v>2200500</v>
      </c>
      <c r="D945" s="42">
        <v>46052</v>
      </c>
      <c r="E945" s="43" t="s">
        <v>2</v>
      </c>
      <c r="F945" s="41">
        <v>0</v>
      </c>
      <c r="G945" s="41">
        <v>0</v>
      </c>
      <c r="H945" s="41">
        <v>2200500</v>
      </c>
      <c r="I945" s="43">
        <v>90</v>
      </c>
      <c r="J945" s="43">
        <v>9</v>
      </c>
      <c r="K945" s="44">
        <v>4000000</v>
      </c>
      <c r="L945" s="43" t="s">
        <v>992</v>
      </c>
      <c r="M945" s="45">
        <v>46142</v>
      </c>
      <c r="N945" s="41">
        <v>2200500</v>
      </c>
      <c r="O945" s="42">
        <v>46081</v>
      </c>
      <c r="P945" s="46"/>
      <c r="Q945" s="41">
        <v>2200500</v>
      </c>
    </row>
    <row r="946" spans="1:17" ht="12" customHeight="1" x14ac:dyDescent="0.3">
      <c r="A946" s="39"/>
      <c r="B946" s="40" t="s">
        <v>1937</v>
      </c>
      <c r="C946" s="41">
        <v>100000.27</v>
      </c>
      <c r="D946" s="42">
        <v>46053</v>
      </c>
      <c r="E946" s="43" t="s">
        <v>1763</v>
      </c>
      <c r="F946" s="41">
        <v>100000.27</v>
      </c>
      <c r="G946" s="41">
        <v>0</v>
      </c>
      <c r="H946" s="41">
        <v>100000.27</v>
      </c>
      <c r="I946" s="43">
        <v>90</v>
      </c>
      <c r="J946" s="43">
        <v>16</v>
      </c>
      <c r="K946" s="44">
        <v>800000</v>
      </c>
      <c r="L946" s="43" t="s">
        <v>992</v>
      </c>
      <c r="M946" s="45">
        <v>46145</v>
      </c>
      <c r="N946" s="41">
        <v>0</v>
      </c>
      <c r="O946" s="42"/>
      <c r="P946" s="46">
        <v>59</v>
      </c>
      <c r="Q946" s="41">
        <v>0</v>
      </c>
    </row>
    <row r="947" spans="1:17" ht="12" customHeight="1" x14ac:dyDescent="0.3">
      <c r="A947" s="39"/>
      <c r="B947" s="40" t="s">
        <v>1938</v>
      </c>
      <c r="C947" s="41">
        <v>130000.1</v>
      </c>
      <c r="D947" s="42">
        <v>46055</v>
      </c>
      <c r="E947" s="43" t="s">
        <v>1763</v>
      </c>
      <c r="F947" s="41">
        <v>130000.1</v>
      </c>
      <c r="G947" s="41">
        <v>0</v>
      </c>
      <c r="H947" s="41">
        <v>130000.1</v>
      </c>
      <c r="I947" s="43">
        <v>90</v>
      </c>
      <c r="J947" s="43">
        <v>20</v>
      </c>
      <c r="K947" s="44">
        <v>3000000</v>
      </c>
      <c r="L947" s="43" t="s">
        <v>992</v>
      </c>
      <c r="M947" s="45">
        <v>46145</v>
      </c>
      <c r="N947" s="41">
        <v>0</v>
      </c>
      <c r="O947" s="42"/>
      <c r="P947" s="46">
        <v>57</v>
      </c>
      <c r="Q947" s="41">
        <v>0</v>
      </c>
    </row>
    <row r="948" spans="1:17" ht="12" customHeight="1" x14ac:dyDescent="0.3">
      <c r="A948" s="39"/>
      <c r="B948" s="40" t="s">
        <v>1939</v>
      </c>
      <c r="C948" s="41">
        <v>207</v>
      </c>
      <c r="D948" s="42">
        <v>46055</v>
      </c>
      <c r="E948" s="43" t="s">
        <v>2</v>
      </c>
      <c r="F948" s="41">
        <v>0</v>
      </c>
      <c r="G948" s="41">
        <v>0</v>
      </c>
      <c r="H948" s="41">
        <v>207</v>
      </c>
      <c r="I948" s="43">
        <v>90</v>
      </c>
      <c r="J948" s="43">
        <v>9</v>
      </c>
      <c r="K948" s="44">
        <v>4000000</v>
      </c>
      <c r="L948" s="43" t="s">
        <v>992</v>
      </c>
      <c r="M948" s="45">
        <v>46145</v>
      </c>
      <c r="N948" s="41">
        <v>207</v>
      </c>
      <c r="O948" s="42">
        <v>46081</v>
      </c>
      <c r="P948" s="46"/>
      <c r="Q948" s="41">
        <v>207</v>
      </c>
    </row>
    <row r="949" spans="1:17" ht="12" customHeight="1" x14ac:dyDescent="0.3">
      <c r="A949" s="39"/>
      <c r="B949" s="40" t="s">
        <v>1940</v>
      </c>
      <c r="C949" s="41">
        <v>440</v>
      </c>
      <c r="D949" s="42">
        <v>46055</v>
      </c>
      <c r="E949" s="43" t="s">
        <v>2</v>
      </c>
      <c r="F949" s="41">
        <v>0</v>
      </c>
      <c r="G949" s="41">
        <v>0</v>
      </c>
      <c r="H949" s="41">
        <v>440</v>
      </c>
      <c r="I949" s="43">
        <v>90</v>
      </c>
      <c r="J949" s="43">
        <v>9</v>
      </c>
      <c r="K949" s="44">
        <v>4000000</v>
      </c>
      <c r="L949" s="43" t="s">
        <v>992</v>
      </c>
      <c r="M949" s="45">
        <v>46145</v>
      </c>
      <c r="N949" s="41">
        <v>440</v>
      </c>
      <c r="O949" s="42">
        <v>46081</v>
      </c>
      <c r="P949" s="46"/>
      <c r="Q949" s="41">
        <v>440</v>
      </c>
    </row>
    <row r="950" spans="1:17" ht="12" customHeight="1" x14ac:dyDescent="0.3">
      <c r="A950" s="39"/>
      <c r="B950" s="40" t="s">
        <v>1941</v>
      </c>
      <c r="C950" s="41">
        <v>135</v>
      </c>
      <c r="D950" s="42">
        <v>46055</v>
      </c>
      <c r="E950" s="43" t="s">
        <v>2</v>
      </c>
      <c r="F950" s="41">
        <v>0</v>
      </c>
      <c r="G950" s="41">
        <v>0</v>
      </c>
      <c r="H950" s="41">
        <v>135</v>
      </c>
      <c r="I950" s="43">
        <v>90</v>
      </c>
      <c r="J950" s="43">
        <v>9</v>
      </c>
      <c r="K950" s="44">
        <v>4000000</v>
      </c>
      <c r="L950" s="43" t="s">
        <v>992</v>
      </c>
      <c r="M950" s="45">
        <v>46145</v>
      </c>
      <c r="N950" s="41">
        <v>135</v>
      </c>
      <c r="O950" s="42">
        <v>46081</v>
      </c>
      <c r="P950" s="46"/>
      <c r="Q950" s="41">
        <v>135</v>
      </c>
    </row>
    <row r="951" spans="1:17" ht="12" customHeight="1" x14ac:dyDescent="0.3">
      <c r="A951" s="39"/>
      <c r="B951" s="40" t="s">
        <v>1942</v>
      </c>
      <c r="C951" s="41">
        <v>350</v>
      </c>
      <c r="D951" s="42">
        <v>46055</v>
      </c>
      <c r="E951" s="43" t="s">
        <v>2</v>
      </c>
      <c r="F951" s="41">
        <v>0</v>
      </c>
      <c r="G951" s="41">
        <v>0</v>
      </c>
      <c r="H951" s="41">
        <v>350</v>
      </c>
      <c r="I951" s="43">
        <v>90</v>
      </c>
      <c r="J951" s="43">
        <v>9</v>
      </c>
      <c r="K951" s="44">
        <v>4000000</v>
      </c>
      <c r="L951" s="43" t="s">
        <v>992</v>
      </c>
      <c r="M951" s="45">
        <v>46145</v>
      </c>
      <c r="N951" s="41">
        <v>350</v>
      </c>
      <c r="O951" s="42">
        <v>46081</v>
      </c>
      <c r="P951" s="46"/>
      <c r="Q951" s="41">
        <v>350</v>
      </c>
    </row>
    <row r="952" spans="1:17" ht="12" customHeight="1" x14ac:dyDescent="0.3">
      <c r="A952" s="39"/>
      <c r="B952" s="40" t="s">
        <v>1943</v>
      </c>
      <c r="C952" s="41">
        <v>280</v>
      </c>
      <c r="D952" s="42">
        <v>46055</v>
      </c>
      <c r="E952" s="43" t="s">
        <v>2</v>
      </c>
      <c r="F952" s="41">
        <v>0</v>
      </c>
      <c r="G952" s="41">
        <v>0</v>
      </c>
      <c r="H952" s="41">
        <v>280</v>
      </c>
      <c r="I952" s="43">
        <v>90</v>
      </c>
      <c r="J952" s="43">
        <v>9</v>
      </c>
      <c r="K952" s="44">
        <v>4000000</v>
      </c>
      <c r="L952" s="43" t="s">
        <v>992</v>
      </c>
      <c r="M952" s="45">
        <v>46145</v>
      </c>
      <c r="N952" s="41">
        <v>280</v>
      </c>
      <c r="O952" s="42">
        <v>46081</v>
      </c>
      <c r="P952" s="46"/>
      <c r="Q952" s="41">
        <v>280</v>
      </c>
    </row>
    <row r="953" spans="1:17" ht="12" customHeight="1" x14ac:dyDescent="0.3">
      <c r="A953" s="39"/>
      <c r="B953" s="40" t="s">
        <v>1944</v>
      </c>
      <c r="C953" s="41">
        <v>360</v>
      </c>
      <c r="D953" s="42">
        <v>46055</v>
      </c>
      <c r="E953" s="43" t="s">
        <v>2</v>
      </c>
      <c r="F953" s="41">
        <v>0</v>
      </c>
      <c r="G953" s="41">
        <v>0</v>
      </c>
      <c r="H953" s="41">
        <v>360</v>
      </c>
      <c r="I953" s="43">
        <v>90</v>
      </c>
      <c r="J953" s="43">
        <v>9</v>
      </c>
      <c r="K953" s="44">
        <v>4000000</v>
      </c>
      <c r="L953" s="43" t="s">
        <v>992</v>
      </c>
      <c r="M953" s="45">
        <v>46145</v>
      </c>
      <c r="N953" s="41">
        <v>360</v>
      </c>
      <c r="O953" s="42">
        <v>46081</v>
      </c>
      <c r="P953" s="46"/>
      <c r="Q953" s="41">
        <v>360</v>
      </c>
    </row>
    <row r="954" spans="1:17" ht="12" customHeight="1" x14ac:dyDescent="0.3">
      <c r="A954" s="39"/>
      <c r="B954" s="40" t="s">
        <v>1945</v>
      </c>
      <c r="C954" s="41">
        <v>269.10000000000002</v>
      </c>
      <c r="D954" s="42">
        <v>46055</v>
      </c>
      <c r="E954" s="43" t="s">
        <v>2</v>
      </c>
      <c r="F954" s="41">
        <v>0</v>
      </c>
      <c r="G954" s="41">
        <v>0</v>
      </c>
      <c r="H954" s="41">
        <v>269.10000000000002</v>
      </c>
      <c r="I954" s="43">
        <v>90</v>
      </c>
      <c r="J954" s="43">
        <v>9</v>
      </c>
      <c r="K954" s="44">
        <v>4000000</v>
      </c>
      <c r="L954" s="43" t="s">
        <v>992</v>
      </c>
      <c r="M954" s="45">
        <v>46145</v>
      </c>
      <c r="N954" s="41">
        <v>269.10000000000002</v>
      </c>
      <c r="O954" s="42">
        <v>46081</v>
      </c>
      <c r="P954" s="46"/>
      <c r="Q954" s="41">
        <v>269.10000000000002</v>
      </c>
    </row>
    <row r="955" spans="1:17" ht="12" customHeight="1" x14ac:dyDescent="0.3">
      <c r="A955" s="39"/>
      <c r="B955" s="40" t="s">
        <v>1946</v>
      </c>
      <c r="C955" s="41">
        <v>720</v>
      </c>
      <c r="D955" s="42">
        <v>46055</v>
      </c>
      <c r="E955" s="43" t="s">
        <v>2</v>
      </c>
      <c r="F955" s="41">
        <v>0</v>
      </c>
      <c r="G955" s="41">
        <v>0</v>
      </c>
      <c r="H955" s="41">
        <v>720</v>
      </c>
      <c r="I955" s="43">
        <v>90</v>
      </c>
      <c r="J955" s="43">
        <v>9</v>
      </c>
      <c r="K955" s="44">
        <v>4000000</v>
      </c>
      <c r="L955" s="43" t="s">
        <v>992</v>
      </c>
      <c r="M955" s="45">
        <v>46145</v>
      </c>
      <c r="N955" s="41">
        <v>720</v>
      </c>
      <c r="O955" s="42">
        <v>46081</v>
      </c>
      <c r="P955" s="46"/>
      <c r="Q955" s="41">
        <v>720</v>
      </c>
    </row>
    <row r="956" spans="1:17" ht="12" customHeight="1" x14ac:dyDescent="0.3">
      <c r="A956" s="39"/>
      <c r="B956" s="40" t="s">
        <v>1947</v>
      </c>
      <c r="C956" s="41">
        <v>300000</v>
      </c>
      <c r="D956" s="42">
        <v>46056</v>
      </c>
      <c r="E956" s="43" t="s">
        <v>2</v>
      </c>
      <c r="F956" s="41">
        <v>0</v>
      </c>
      <c r="G956" s="41">
        <v>0</v>
      </c>
      <c r="H956" s="41">
        <v>300000</v>
      </c>
      <c r="I956" s="43">
        <v>90</v>
      </c>
      <c r="J956" s="43">
        <v>116</v>
      </c>
      <c r="K956" s="44">
        <v>2000000</v>
      </c>
      <c r="L956" s="43" t="s">
        <v>992</v>
      </c>
      <c r="M956" s="45">
        <v>46146</v>
      </c>
      <c r="N956" s="41">
        <v>300000</v>
      </c>
      <c r="O956" s="42">
        <v>46110</v>
      </c>
      <c r="P956" s="46"/>
      <c r="Q956" s="41">
        <v>300000</v>
      </c>
    </row>
    <row r="957" spans="1:17" ht="12" customHeight="1" x14ac:dyDescent="0.3">
      <c r="A957" s="39"/>
      <c r="B957" s="40" t="s">
        <v>1948</v>
      </c>
      <c r="C957" s="41">
        <v>110000</v>
      </c>
      <c r="D957" s="42">
        <v>46056</v>
      </c>
      <c r="E957" s="43" t="s">
        <v>2</v>
      </c>
      <c r="F957" s="41">
        <v>0</v>
      </c>
      <c r="G957" s="41">
        <v>0</v>
      </c>
      <c r="H957" s="41">
        <v>110000</v>
      </c>
      <c r="I957" s="43">
        <v>90</v>
      </c>
      <c r="J957" s="43">
        <v>71</v>
      </c>
      <c r="K957" s="44">
        <v>4000000</v>
      </c>
      <c r="L957" s="43" t="s">
        <v>992</v>
      </c>
      <c r="M957" s="45">
        <v>46146</v>
      </c>
      <c r="N957" s="41">
        <v>110000</v>
      </c>
      <c r="O957" s="42">
        <v>46080</v>
      </c>
      <c r="P957" s="46"/>
      <c r="Q957" s="41">
        <v>110000</v>
      </c>
    </row>
    <row r="958" spans="1:17" ht="12" customHeight="1" x14ac:dyDescent="0.3">
      <c r="A958" s="39"/>
      <c r="B958" s="40" t="s">
        <v>1949</v>
      </c>
      <c r="C958" s="41">
        <v>145000</v>
      </c>
      <c r="D958" s="42">
        <v>46056</v>
      </c>
      <c r="E958" s="43" t="s">
        <v>2</v>
      </c>
      <c r="F958" s="41">
        <v>0</v>
      </c>
      <c r="G958" s="41">
        <v>0</v>
      </c>
      <c r="H958" s="41">
        <v>145000</v>
      </c>
      <c r="I958" s="43">
        <v>90</v>
      </c>
      <c r="J958" s="43">
        <v>71</v>
      </c>
      <c r="K958" s="44">
        <v>4000000</v>
      </c>
      <c r="L958" s="43" t="s">
        <v>992</v>
      </c>
      <c r="M958" s="45">
        <v>46146</v>
      </c>
      <c r="N958" s="41">
        <v>145000</v>
      </c>
      <c r="O958" s="42">
        <v>46080</v>
      </c>
      <c r="P958" s="46"/>
      <c r="Q958" s="41">
        <v>145000</v>
      </c>
    </row>
    <row r="959" spans="1:17" ht="12" customHeight="1" x14ac:dyDescent="0.3">
      <c r="A959" s="39"/>
      <c r="B959" s="40" t="s">
        <v>1950</v>
      </c>
      <c r="C959" s="41">
        <v>230000</v>
      </c>
      <c r="D959" s="42">
        <v>46056</v>
      </c>
      <c r="E959" s="43" t="s">
        <v>2</v>
      </c>
      <c r="F959" s="41">
        <v>0</v>
      </c>
      <c r="G959" s="41">
        <v>0</v>
      </c>
      <c r="H959" s="41">
        <v>230000</v>
      </c>
      <c r="I959" s="43">
        <v>90</v>
      </c>
      <c r="J959" s="43">
        <v>9</v>
      </c>
      <c r="K959" s="44">
        <v>4000000</v>
      </c>
      <c r="L959" s="43" t="s">
        <v>992</v>
      </c>
      <c r="M959" s="45">
        <v>46146</v>
      </c>
      <c r="N959" s="41">
        <v>230000</v>
      </c>
      <c r="O959" s="42">
        <v>46081</v>
      </c>
      <c r="P959" s="46"/>
      <c r="Q959" s="41">
        <v>230000</v>
      </c>
    </row>
    <row r="960" spans="1:17" ht="12" customHeight="1" x14ac:dyDescent="0.3">
      <c r="A960" s="39"/>
      <c r="B960" s="40" t="s">
        <v>1951</v>
      </c>
      <c r="C960" s="41">
        <v>125057</v>
      </c>
      <c r="D960" s="42">
        <v>46057</v>
      </c>
      <c r="E960" s="43" t="s">
        <v>1763</v>
      </c>
      <c r="F960" s="41">
        <v>125057</v>
      </c>
      <c r="G960" s="41">
        <v>0</v>
      </c>
      <c r="H960" s="41">
        <v>125057</v>
      </c>
      <c r="I960" s="43">
        <v>90</v>
      </c>
      <c r="J960" s="43">
        <v>20</v>
      </c>
      <c r="K960" s="44">
        <v>3000000</v>
      </c>
      <c r="L960" s="43" t="s">
        <v>992</v>
      </c>
      <c r="M960" s="45">
        <v>46147</v>
      </c>
      <c r="N960" s="41">
        <v>0</v>
      </c>
      <c r="O960" s="42"/>
      <c r="P960" s="46">
        <v>55</v>
      </c>
      <c r="Q960" s="41">
        <v>0</v>
      </c>
    </row>
    <row r="961" spans="1:17" ht="12" customHeight="1" x14ac:dyDescent="0.3">
      <c r="A961" s="39"/>
      <c r="B961" s="40" t="s">
        <v>1952</v>
      </c>
      <c r="C961" s="41">
        <v>150000</v>
      </c>
      <c r="D961" s="42">
        <v>46057</v>
      </c>
      <c r="E961" s="43" t="s">
        <v>2</v>
      </c>
      <c r="F961" s="41">
        <v>0</v>
      </c>
      <c r="G961" s="41">
        <v>0</v>
      </c>
      <c r="H961" s="41">
        <v>150000</v>
      </c>
      <c r="I961" s="43">
        <v>90</v>
      </c>
      <c r="J961" s="43">
        <v>71</v>
      </c>
      <c r="K961" s="44">
        <v>4000000</v>
      </c>
      <c r="L961" s="43" t="s">
        <v>992</v>
      </c>
      <c r="M961" s="45">
        <v>46147</v>
      </c>
      <c r="N961" s="41">
        <v>150000</v>
      </c>
      <c r="O961" s="42">
        <v>46080</v>
      </c>
      <c r="P961" s="46"/>
      <c r="Q961" s="41">
        <v>150000</v>
      </c>
    </row>
    <row r="962" spans="1:17" ht="12" customHeight="1" x14ac:dyDescent="0.3">
      <c r="A962" s="39"/>
      <c r="B962" s="40" t="s">
        <v>1953</v>
      </c>
      <c r="C962" s="41">
        <v>129000.9</v>
      </c>
      <c r="D962" s="42">
        <v>46057</v>
      </c>
      <c r="E962" s="43" t="s">
        <v>1763</v>
      </c>
      <c r="F962" s="41">
        <v>129000.9</v>
      </c>
      <c r="G962" s="41">
        <v>0</v>
      </c>
      <c r="H962" s="41">
        <v>129000.9</v>
      </c>
      <c r="I962" s="43">
        <v>90</v>
      </c>
      <c r="J962" s="43">
        <v>20</v>
      </c>
      <c r="K962" s="44">
        <v>3000000</v>
      </c>
      <c r="L962" s="43" t="s">
        <v>992</v>
      </c>
      <c r="M962" s="45">
        <v>46147</v>
      </c>
      <c r="N962" s="41">
        <v>0</v>
      </c>
      <c r="O962" s="42"/>
      <c r="P962" s="46">
        <v>55</v>
      </c>
      <c r="Q962" s="41">
        <v>0</v>
      </c>
    </row>
    <row r="963" spans="1:17" ht="12" customHeight="1" x14ac:dyDescent="0.3">
      <c r="A963" s="39"/>
      <c r="B963" s="40" t="s">
        <v>1954</v>
      </c>
      <c r="C963" s="41">
        <v>100000</v>
      </c>
      <c r="D963" s="42">
        <v>46057</v>
      </c>
      <c r="E963" s="43" t="s">
        <v>2</v>
      </c>
      <c r="F963" s="41">
        <v>0</v>
      </c>
      <c r="G963" s="41">
        <v>0</v>
      </c>
      <c r="H963" s="41">
        <v>100000</v>
      </c>
      <c r="I963" s="43">
        <v>90</v>
      </c>
      <c r="J963" s="43">
        <v>9</v>
      </c>
      <c r="K963" s="44">
        <v>4000000</v>
      </c>
      <c r="L963" s="43" t="s">
        <v>992</v>
      </c>
      <c r="M963" s="45">
        <v>46147</v>
      </c>
      <c r="N963" s="41">
        <v>100000</v>
      </c>
      <c r="O963" s="42">
        <v>46081</v>
      </c>
      <c r="P963" s="46"/>
      <c r="Q963" s="41">
        <v>100000</v>
      </c>
    </row>
    <row r="964" spans="1:17" ht="12" customHeight="1" x14ac:dyDescent="0.3">
      <c r="A964" s="39"/>
      <c r="B964" s="40" t="s">
        <v>1955</v>
      </c>
      <c r="C964" s="41">
        <v>176000</v>
      </c>
      <c r="D964" s="42">
        <v>46061</v>
      </c>
      <c r="E964" s="43" t="s">
        <v>2</v>
      </c>
      <c r="F964" s="41">
        <v>0</v>
      </c>
      <c r="G964" s="41">
        <v>0</v>
      </c>
      <c r="H964" s="41">
        <v>176000</v>
      </c>
      <c r="I964" s="43">
        <v>90</v>
      </c>
      <c r="J964" s="43">
        <v>71</v>
      </c>
      <c r="K964" s="44">
        <v>4000000</v>
      </c>
      <c r="L964" s="43" t="s">
        <v>992</v>
      </c>
      <c r="M964" s="45">
        <v>46152</v>
      </c>
      <c r="N964" s="41">
        <v>176000</v>
      </c>
      <c r="O964" s="42">
        <v>46080</v>
      </c>
      <c r="P964" s="46"/>
      <c r="Q964" s="41">
        <v>176000</v>
      </c>
    </row>
    <row r="965" spans="1:17" ht="12" customHeight="1" x14ac:dyDescent="0.3">
      <c r="A965" s="39"/>
      <c r="B965" s="40" t="s">
        <v>1956</v>
      </c>
      <c r="C965" s="41">
        <v>109900</v>
      </c>
      <c r="D965" s="42">
        <v>46061</v>
      </c>
      <c r="E965" s="43" t="s">
        <v>2</v>
      </c>
      <c r="F965" s="41">
        <v>0</v>
      </c>
      <c r="G965" s="41">
        <v>0</v>
      </c>
      <c r="H965" s="41">
        <v>109900</v>
      </c>
      <c r="I965" s="43">
        <v>90</v>
      </c>
      <c r="J965" s="43">
        <v>197</v>
      </c>
      <c r="K965" s="44">
        <v>7000000</v>
      </c>
      <c r="L965" s="43" t="s">
        <v>992</v>
      </c>
      <c r="M965" s="45">
        <v>46152</v>
      </c>
      <c r="N965" s="41">
        <v>109900</v>
      </c>
      <c r="O965" s="42">
        <v>46077</v>
      </c>
      <c r="P965" s="46"/>
      <c r="Q965" s="41">
        <v>109900</v>
      </c>
    </row>
    <row r="966" spans="1:17" ht="12" customHeight="1" x14ac:dyDescent="0.3">
      <c r="A966" s="39"/>
      <c r="B966" s="40" t="s">
        <v>1957</v>
      </c>
      <c r="C966" s="41">
        <v>247000</v>
      </c>
      <c r="D966" s="42">
        <v>46061</v>
      </c>
      <c r="E966" s="43" t="s">
        <v>2</v>
      </c>
      <c r="F966" s="41">
        <v>0</v>
      </c>
      <c r="G966" s="41">
        <v>0</v>
      </c>
      <c r="H966" s="41">
        <v>247000</v>
      </c>
      <c r="I966" s="43">
        <v>90</v>
      </c>
      <c r="J966" s="43">
        <v>71</v>
      </c>
      <c r="K966" s="44">
        <v>4000000</v>
      </c>
      <c r="L966" s="43" t="s">
        <v>992</v>
      </c>
      <c r="M966" s="45">
        <v>46152</v>
      </c>
      <c r="N966" s="41">
        <v>247000</v>
      </c>
      <c r="O966" s="42">
        <v>46080</v>
      </c>
      <c r="P966" s="46"/>
      <c r="Q966" s="41">
        <v>247000</v>
      </c>
    </row>
    <row r="967" spans="1:17" ht="12" customHeight="1" x14ac:dyDescent="0.3">
      <c r="A967" s="39"/>
      <c r="B967" s="40" t="s">
        <v>1958</v>
      </c>
      <c r="C967" s="41">
        <v>150000.29999999999</v>
      </c>
      <c r="D967" s="42">
        <v>46061</v>
      </c>
      <c r="E967" s="43" t="s">
        <v>1763</v>
      </c>
      <c r="F967" s="41">
        <v>116593.43</v>
      </c>
      <c r="G967" s="41">
        <v>0</v>
      </c>
      <c r="H967" s="41">
        <v>150000.29999999999</v>
      </c>
      <c r="I967" s="43">
        <v>90</v>
      </c>
      <c r="J967" s="43">
        <v>9</v>
      </c>
      <c r="K967" s="44">
        <v>4000000</v>
      </c>
      <c r="L967" s="43" t="s">
        <v>992</v>
      </c>
      <c r="M967" s="45">
        <v>46152</v>
      </c>
      <c r="N967" s="41">
        <v>33406.870000000003</v>
      </c>
      <c r="O967" s="42">
        <v>46082</v>
      </c>
      <c r="P967" s="46">
        <v>51</v>
      </c>
      <c r="Q967" s="41">
        <v>33406.870000000003</v>
      </c>
    </row>
    <row r="968" spans="1:17" ht="12" customHeight="1" x14ac:dyDescent="0.3">
      <c r="A968" s="39"/>
      <c r="B968" s="40" t="s">
        <v>1959</v>
      </c>
      <c r="C968" s="41">
        <v>150000.29999999999</v>
      </c>
      <c r="D968" s="42">
        <v>46061</v>
      </c>
      <c r="E968" s="43" t="s">
        <v>2</v>
      </c>
      <c r="F968" s="41">
        <v>0</v>
      </c>
      <c r="G968" s="41">
        <v>0</v>
      </c>
      <c r="H968" s="41">
        <v>150000.29999999999</v>
      </c>
      <c r="I968" s="43">
        <v>90</v>
      </c>
      <c r="J968" s="43">
        <v>8</v>
      </c>
      <c r="K968" s="44">
        <v>3000000</v>
      </c>
      <c r="L968" s="43" t="s">
        <v>992</v>
      </c>
      <c r="M968" s="45">
        <v>46152</v>
      </c>
      <c r="N968" s="41">
        <v>150000.29999999999</v>
      </c>
      <c r="O968" s="42">
        <v>46081</v>
      </c>
      <c r="P968" s="46"/>
      <c r="Q968" s="41">
        <v>150000.29999999999</v>
      </c>
    </row>
    <row r="969" spans="1:17" ht="12" customHeight="1" x14ac:dyDescent="0.3">
      <c r="A969" s="39"/>
      <c r="B969" s="40" t="s">
        <v>1960</v>
      </c>
      <c r="C969" s="41">
        <v>130157.8</v>
      </c>
      <c r="D969" s="42">
        <v>46062</v>
      </c>
      <c r="E969" s="43" t="s">
        <v>1763</v>
      </c>
      <c r="F969" s="41">
        <v>130157.8</v>
      </c>
      <c r="G969" s="41">
        <v>0</v>
      </c>
      <c r="H969" s="41">
        <v>130157.8</v>
      </c>
      <c r="I969" s="43">
        <v>90</v>
      </c>
      <c r="J969" s="43">
        <v>20</v>
      </c>
      <c r="K969" s="44">
        <v>3000000</v>
      </c>
      <c r="L969" s="43" t="s">
        <v>992</v>
      </c>
      <c r="M969" s="45">
        <v>46152</v>
      </c>
      <c r="N969" s="41">
        <v>0</v>
      </c>
      <c r="O969" s="42"/>
      <c r="P969" s="46">
        <v>50</v>
      </c>
      <c r="Q969" s="41">
        <v>0</v>
      </c>
    </row>
    <row r="970" spans="1:17" ht="12" customHeight="1" x14ac:dyDescent="0.3">
      <c r="A970" s="39"/>
      <c r="B970" s="40" t="s">
        <v>1961</v>
      </c>
      <c r="C970" s="41">
        <v>125160.5</v>
      </c>
      <c r="D970" s="42">
        <v>46063</v>
      </c>
      <c r="E970" s="43" t="s">
        <v>1763</v>
      </c>
      <c r="F970" s="41">
        <v>125160.5</v>
      </c>
      <c r="G970" s="41">
        <v>0</v>
      </c>
      <c r="H970" s="41">
        <v>125160.5</v>
      </c>
      <c r="I970" s="43">
        <v>90</v>
      </c>
      <c r="J970" s="43">
        <v>20</v>
      </c>
      <c r="K970" s="44">
        <v>3000000</v>
      </c>
      <c r="L970" s="43" t="s">
        <v>992</v>
      </c>
      <c r="M970" s="45">
        <v>46153</v>
      </c>
      <c r="N970" s="41">
        <v>0</v>
      </c>
      <c r="O970" s="42"/>
      <c r="P970" s="46">
        <v>49</v>
      </c>
      <c r="Q970" s="41">
        <v>0</v>
      </c>
    </row>
    <row r="971" spans="1:17" ht="12" customHeight="1" x14ac:dyDescent="0.3">
      <c r="A971" s="39"/>
      <c r="B971" s="40" t="s">
        <v>1962</v>
      </c>
      <c r="C971" s="41">
        <v>126024.1</v>
      </c>
      <c r="D971" s="42">
        <v>46063</v>
      </c>
      <c r="E971" s="43" t="s">
        <v>1763</v>
      </c>
      <c r="F971" s="41">
        <v>126024.1</v>
      </c>
      <c r="G971" s="41">
        <v>0</v>
      </c>
      <c r="H971" s="41">
        <v>126024.1</v>
      </c>
      <c r="I971" s="43">
        <v>90</v>
      </c>
      <c r="J971" s="43">
        <v>20</v>
      </c>
      <c r="K971" s="44">
        <v>3000000</v>
      </c>
      <c r="L971" s="43" t="s">
        <v>992</v>
      </c>
      <c r="M971" s="45">
        <v>46153</v>
      </c>
      <c r="N971" s="41">
        <v>0</v>
      </c>
      <c r="O971" s="42"/>
      <c r="P971" s="46">
        <v>49</v>
      </c>
      <c r="Q971" s="41">
        <v>0</v>
      </c>
    </row>
    <row r="972" spans="1:17" ht="12" customHeight="1" x14ac:dyDescent="0.3">
      <c r="A972" s="39"/>
      <c r="B972" s="40" t="s">
        <v>1963</v>
      </c>
      <c r="C972" s="41">
        <v>150000</v>
      </c>
      <c r="D972" s="42">
        <v>46063</v>
      </c>
      <c r="E972" s="43" t="s">
        <v>2</v>
      </c>
      <c r="F972" s="41">
        <v>0</v>
      </c>
      <c r="G972" s="41">
        <v>0</v>
      </c>
      <c r="H972" s="41">
        <v>150000</v>
      </c>
      <c r="I972" s="43">
        <v>90</v>
      </c>
      <c r="J972" s="43">
        <v>8</v>
      </c>
      <c r="K972" s="44">
        <v>3000000</v>
      </c>
      <c r="L972" s="43" t="s">
        <v>992</v>
      </c>
      <c r="M972" s="45">
        <v>46153</v>
      </c>
      <c r="N972" s="41">
        <v>150000</v>
      </c>
      <c r="O972" s="42">
        <v>46081</v>
      </c>
      <c r="P972" s="46"/>
      <c r="Q972" s="41">
        <v>150000</v>
      </c>
    </row>
    <row r="973" spans="1:17" ht="12" customHeight="1" x14ac:dyDescent="0.3">
      <c r="A973" s="39"/>
      <c r="B973" s="40" t="s">
        <v>1964</v>
      </c>
      <c r="C973" s="41">
        <v>150000.20000000001</v>
      </c>
      <c r="D973" s="42">
        <v>46064</v>
      </c>
      <c r="E973" s="43" t="s">
        <v>2</v>
      </c>
      <c r="F973" s="41">
        <v>0</v>
      </c>
      <c r="G973" s="41">
        <v>0</v>
      </c>
      <c r="H973" s="41">
        <v>150000.20000000001</v>
      </c>
      <c r="I973" s="43">
        <v>90</v>
      </c>
      <c r="J973" s="43">
        <v>8</v>
      </c>
      <c r="K973" s="44">
        <v>3000000</v>
      </c>
      <c r="L973" s="43" t="s">
        <v>992</v>
      </c>
      <c r="M973" s="45">
        <v>46154</v>
      </c>
      <c r="N973" s="41">
        <v>150000.20000000001</v>
      </c>
      <c r="O973" s="42">
        <v>46081</v>
      </c>
      <c r="P973" s="46"/>
      <c r="Q973" s="41">
        <v>150000.20000000001</v>
      </c>
    </row>
    <row r="974" spans="1:17" ht="12" customHeight="1" x14ac:dyDescent="0.3">
      <c r="A974" s="39"/>
      <c r="B974" s="40" t="s">
        <v>1965</v>
      </c>
      <c r="C974" s="41">
        <v>320065.90000000002</v>
      </c>
      <c r="D974" s="42">
        <v>46064</v>
      </c>
      <c r="E974" s="43" t="s">
        <v>1763</v>
      </c>
      <c r="F974" s="41">
        <v>320065.90000000002</v>
      </c>
      <c r="G974" s="41">
        <v>0</v>
      </c>
      <c r="H974" s="41">
        <v>320065.90000000002</v>
      </c>
      <c r="I974" s="43">
        <v>90</v>
      </c>
      <c r="J974" s="43">
        <v>20</v>
      </c>
      <c r="K974" s="44">
        <v>3000000</v>
      </c>
      <c r="L974" s="43" t="s">
        <v>992</v>
      </c>
      <c r="M974" s="45">
        <v>46154</v>
      </c>
      <c r="N974" s="41">
        <v>0</v>
      </c>
      <c r="O974" s="42"/>
      <c r="P974" s="46">
        <v>48</v>
      </c>
      <c r="Q974" s="41">
        <v>0</v>
      </c>
    </row>
    <row r="975" spans="1:17" ht="12" customHeight="1" x14ac:dyDescent="0.3">
      <c r="A975" s="39"/>
      <c r="B975" s="40" t="s">
        <v>1966</v>
      </c>
      <c r="C975" s="41">
        <v>110000</v>
      </c>
      <c r="D975" s="42">
        <v>46064</v>
      </c>
      <c r="E975" s="43" t="s">
        <v>1763</v>
      </c>
      <c r="F975" s="41">
        <v>110000</v>
      </c>
      <c r="G975" s="41">
        <v>0</v>
      </c>
      <c r="H975" s="41">
        <v>110000</v>
      </c>
      <c r="I975" s="43">
        <v>90</v>
      </c>
      <c r="J975" s="43">
        <v>9</v>
      </c>
      <c r="K975" s="44">
        <v>4000000</v>
      </c>
      <c r="L975" s="43" t="s">
        <v>992</v>
      </c>
      <c r="M975" s="45">
        <v>46154</v>
      </c>
      <c r="N975" s="41">
        <v>0</v>
      </c>
      <c r="O975" s="42"/>
      <c r="P975" s="46">
        <v>48</v>
      </c>
      <c r="Q975" s="41">
        <v>0</v>
      </c>
    </row>
    <row r="976" spans="1:17" ht="12" customHeight="1" x14ac:dyDescent="0.3">
      <c r="A976" s="39"/>
      <c r="B976" s="40" t="s">
        <v>1967</v>
      </c>
      <c r="C976" s="41">
        <v>169501.2</v>
      </c>
      <c r="D976" s="42">
        <v>46064</v>
      </c>
      <c r="E976" s="43" t="s">
        <v>2</v>
      </c>
      <c r="F976" s="41">
        <v>0</v>
      </c>
      <c r="G976" s="41">
        <v>0</v>
      </c>
      <c r="H976" s="41">
        <v>169501.2</v>
      </c>
      <c r="I976" s="43">
        <v>90</v>
      </c>
      <c r="J976" s="43">
        <v>197</v>
      </c>
      <c r="K976" s="44">
        <v>7000000</v>
      </c>
      <c r="L976" s="43" t="s">
        <v>992</v>
      </c>
      <c r="M976" s="45">
        <v>46154</v>
      </c>
      <c r="N976" s="41">
        <v>169501.2</v>
      </c>
      <c r="O976" s="42">
        <v>46077</v>
      </c>
      <c r="P976" s="46"/>
      <c r="Q976" s="41">
        <v>169501.2</v>
      </c>
    </row>
    <row r="977" spans="1:17" ht="12" customHeight="1" x14ac:dyDescent="0.3">
      <c r="A977" s="39"/>
      <c r="B977" s="40" t="s">
        <v>1968</v>
      </c>
      <c r="C977" s="41">
        <v>76000</v>
      </c>
      <c r="D977" s="42">
        <v>46065</v>
      </c>
      <c r="E977" s="43" t="s">
        <v>1763</v>
      </c>
      <c r="F977" s="41">
        <v>76000</v>
      </c>
      <c r="G977" s="41">
        <v>0</v>
      </c>
      <c r="H977" s="41">
        <v>76000</v>
      </c>
      <c r="I977" s="43">
        <v>90</v>
      </c>
      <c r="J977" s="43">
        <v>13</v>
      </c>
      <c r="K977" s="44">
        <v>5000000</v>
      </c>
      <c r="L977" s="43" t="s">
        <v>992</v>
      </c>
      <c r="M977" s="45">
        <v>46155</v>
      </c>
      <c r="N977" s="41">
        <v>0</v>
      </c>
      <c r="O977" s="42"/>
      <c r="P977" s="46">
        <v>47</v>
      </c>
      <c r="Q977" s="41">
        <v>0</v>
      </c>
    </row>
    <row r="978" spans="1:17" ht="12" customHeight="1" x14ac:dyDescent="0.3">
      <c r="A978" s="39"/>
      <c r="B978" s="40" t="s">
        <v>1969</v>
      </c>
      <c r="C978" s="41">
        <v>110000</v>
      </c>
      <c r="D978" s="42">
        <v>46065</v>
      </c>
      <c r="E978" s="43" t="s">
        <v>1763</v>
      </c>
      <c r="F978" s="41">
        <v>110000</v>
      </c>
      <c r="G978" s="41">
        <v>0</v>
      </c>
      <c r="H978" s="41">
        <v>110000</v>
      </c>
      <c r="I978" s="43">
        <v>90</v>
      </c>
      <c r="J978" s="43">
        <v>13</v>
      </c>
      <c r="K978" s="44">
        <v>5000000</v>
      </c>
      <c r="L978" s="43" t="s">
        <v>992</v>
      </c>
      <c r="M978" s="45">
        <v>46155</v>
      </c>
      <c r="N978" s="41">
        <v>0</v>
      </c>
      <c r="O978" s="42"/>
      <c r="P978" s="46">
        <v>47</v>
      </c>
      <c r="Q978" s="41">
        <v>0</v>
      </c>
    </row>
    <row r="979" spans="1:17" ht="12" customHeight="1" x14ac:dyDescent="0.3">
      <c r="A979" s="39"/>
      <c r="B979" s="40" t="s">
        <v>1970</v>
      </c>
      <c r="C979" s="41">
        <v>180000</v>
      </c>
      <c r="D979" s="42">
        <v>46065</v>
      </c>
      <c r="E979" s="43" t="s">
        <v>2</v>
      </c>
      <c r="F979" s="41">
        <v>0</v>
      </c>
      <c r="G979" s="41">
        <v>0</v>
      </c>
      <c r="H979" s="41">
        <v>180000</v>
      </c>
      <c r="I979" s="43">
        <v>90</v>
      </c>
      <c r="J979" s="43">
        <v>197</v>
      </c>
      <c r="K979" s="44">
        <v>7000000</v>
      </c>
      <c r="L979" s="43" t="s">
        <v>992</v>
      </c>
      <c r="M979" s="45">
        <v>46155</v>
      </c>
      <c r="N979" s="41">
        <v>180000</v>
      </c>
      <c r="O979" s="42">
        <v>46077</v>
      </c>
      <c r="P979" s="46"/>
      <c r="Q979" s="41">
        <v>180000</v>
      </c>
    </row>
    <row r="980" spans="1:17" ht="12" customHeight="1" x14ac:dyDescent="0.3">
      <c r="A980" s="39"/>
      <c r="B980" s="40" t="s">
        <v>1971</v>
      </c>
      <c r="C980" s="41">
        <v>300040.59999999998</v>
      </c>
      <c r="D980" s="42">
        <v>46065</v>
      </c>
      <c r="E980" s="43" t="s">
        <v>1763</v>
      </c>
      <c r="F980" s="41">
        <v>300040.59999999998</v>
      </c>
      <c r="G980" s="41">
        <v>0</v>
      </c>
      <c r="H980" s="41">
        <v>300040.59999999998</v>
      </c>
      <c r="I980" s="43">
        <v>90</v>
      </c>
      <c r="J980" s="43">
        <v>20</v>
      </c>
      <c r="K980" s="44">
        <v>3000000</v>
      </c>
      <c r="L980" s="43" t="s">
        <v>992</v>
      </c>
      <c r="M980" s="45">
        <v>46155</v>
      </c>
      <c r="N980" s="41">
        <v>0</v>
      </c>
      <c r="O980" s="42"/>
      <c r="P980" s="46">
        <v>47</v>
      </c>
      <c r="Q980" s="41">
        <v>0</v>
      </c>
    </row>
    <row r="981" spans="1:17" ht="12" customHeight="1" x14ac:dyDescent="0.3">
      <c r="A981" s="39"/>
      <c r="B981" s="40" t="s">
        <v>1972</v>
      </c>
      <c r="C981" s="41">
        <v>150000</v>
      </c>
      <c r="D981" s="42">
        <v>46068</v>
      </c>
      <c r="E981" s="43" t="s">
        <v>2</v>
      </c>
      <c r="F981" s="41">
        <v>0</v>
      </c>
      <c r="G981" s="41">
        <v>0</v>
      </c>
      <c r="H981" s="41">
        <v>150000</v>
      </c>
      <c r="I981" s="43">
        <v>90</v>
      </c>
      <c r="J981" s="43">
        <v>8</v>
      </c>
      <c r="K981" s="44">
        <v>3000000</v>
      </c>
      <c r="L981" s="43" t="s">
        <v>992</v>
      </c>
      <c r="M981" s="45">
        <v>46159</v>
      </c>
      <c r="N981" s="41">
        <v>150000</v>
      </c>
      <c r="O981" s="42">
        <v>46081</v>
      </c>
      <c r="P981" s="46"/>
      <c r="Q981" s="41">
        <v>150000</v>
      </c>
    </row>
    <row r="982" spans="1:17" ht="12" customHeight="1" x14ac:dyDescent="0.3">
      <c r="A982" s="39"/>
      <c r="B982" s="40" t="s">
        <v>1973</v>
      </c>
      <c r="C982" s="41">
        <v>225171.9</v>
      </c>
      <c r="D982" s="42">
        <v>46068</v>
      </c>
      <c r="E982" s="43" t="s">
        <v>1763</v>
      </c>
      <c r="F982" s="41">
        <v>225171.9</v>
      </c>
      <c r="G982" s="41">
        <v>0</v>
      </c>
      <c r="H982" s="41">
        <v>225171.9</v>
      </c>
      <c r="I982" s="43">
        <v>90</v>
      </c>
      <c r="J982" s="43">
        <v>20</v>
      </c>
      <c r="K982" s="44">
        <v>3000000</v>
      </c>
      <c r="L982" s="43" t="s">
        <v>992</v>
      </c>
      <c r="M982" s="45">
        <v>46159</v>
      </c>
      <c r="N982" s="41">
        <v>0</v>
      </c>
      <c r="O982" s="42"/>
      <c r="P982" s="46">
        <v>44</v>
      </c>
      <c r="Q982" s="41">
        <v>0</v>
      </c>
    </row>
    <row r="983" spans="1:17" ht="12" customHeight="1" x14ac:dyDescent="0.3">
      <c r="A983" s="39"/>
      <c r="B983" s="40" t="s">
        <v>1974</v>
      </c>
      <c r="C983" s="41">
        <v>101000</v>
      </c>
      <c r="D983" s="42">
        <v>46068</v>
      </c>
      <c r="E983" s="43" t="s">
        <v>2</v>
      </c>
      <c r="F983" s="41">
        <v>0</v>
      </c>
      <c r="G983" s="41">
        <v>0</v>
      </c>
      <c r="H983" s="41">
        <v>101000</v>
      </c>
      <c r="I983" s="43">
        <v>90</v>
      </c>
      <c r="J983" s="43">
        <v>71</v>
      </c>
      <c r="K983" s="44">
        <v>4000000</v>
      </c>
      <c r="L983" s="43" t="s">
        <v>992</v>
      </c>
      <c r="M983" s="45">
        <v>46159</v>
      </c>
      <c r="N983" s="41">
        <v>101000</v>
      </c>
      <c r="O983" s="42">
        <v>46083</v>
      </c>
      <c r="P983" s="46"/>
      <c r="Q983" s="41">
        <v>101000</v>
      </c>
    </row>
    <row r="984" spans="1:17" ht="12" customHeight="1" x14ac:dyDescent="0.3">
      <c r="A984" s="39"/>
      <c r="B984" s="40" t="s">
        <v>1975</v>
      </c>
      <c r="C984" s="41">
        <v>289300.28999999998</v>
      </c>
      <c r="D984" s="42">
        <v>46069</v>
      </c>
      <c r="E984" s="43" t="s">
        <v>2</v>
      </c>
      <c r="F984" s="41">
        <v>0</v>
      </c>
      <c r="G984" s="41">
        <v>0</v>
      </c>
      <c r="H984" s="41">
        <v>289300.28999999998</v>
      </c>
      <c r="I984" s="43">
        <v>90</v>
      </c>
      <c r="J984" s="43">
        <v>197</v>
      </c>
      <c r="K984" s="44">
        <v>7000000</v>
      </c>
      <c r="L984" s="43" t="s">
        <v>992</v>
      </c>
      <c r="M984" s="45">
        <v>46159</v>
      </c>
      <c r="N984" s="41">
        <v>289300.28999999998</v>
      </c>
      <c r="O984" s="42">
        <v>46077</v>
      </c>
      <c r="P984" s="46"/>
      <c r="Q984" s="41">
        <v>289300.28999999998</v>
      </c>
    </row>
    <row r="985" spans="1:17" ht="12" customHeight="1" x14ac:dyDescent="0.3">
      <c r="A985" s="39"/>
      <c r="B985" s="40" t="s">
        <v>1976</v>
      </c>
      <c r="C985" s="41">
        <v>100000</v>
      </c>
      <c r="D985" s="42">
        <v>46069</v>
      </c>
      <c r="E985" s="43" t="s">
        <v>2</v>
      </c>
      <c r="F985" s="41">
        <v>0</v>
      </c>
      <c r="G985" s="41">
        <v>0</v>
      </c>
      <c r="H985" s="41">
        <v>100000</v>
      </c>
      <c r="I985" s="43">
        <v>90</v>
      </c>
      <c r="J985" s="43">
        <v>71</v>
      </c>
      <c r="K985" s="44">
        <v>4000000</v>
      </c>
      <c r="L985" s="43" t="s">
        <v>992</v>
      </c>
      <c r="M985" s="45">
        <v>46159</v>
      </c>
      <c r="N985" s="41">
        <v>100000</v>
      </c>
      <c r="O985" s="42">
        <v>46084</v>
      </c>
      <c r="P985" s="46"/>
      <c r="Q985" s="41">
        <v>100000</v>
      </c>
    </row>
    <row r="986" spans="1:17" ht="12" customHeight="1" x14ac:dyDescent="0.3">
      <c r="A986" s="39"/>
      <c r="B986" s="40" t="s">
        <v>1977</v>
      </c>
      <c r="C986" s="41">
        <v>4524.7700000000004</v>
      </c>
      <c r="D986" s="42">
        <v>46070</v>
      </c>
      <c r="E986" s="43" t="s">
        <v>1763</v>
      </c>
      <c r="F986" s="41">
        <v>4524.7700000000004</v>
      </c>
      <c r="G986" s="41">
        <v>0</v>
      </c>
      <c r="H986" s="41">
        <v>4524.7700000000004</v>
      </c>
      <c r="I986" s="43">
        <v>90</v>
      </c>
      <c r="J986" s="43">
        <v>9</v>
      </c>
      <c r="K986" s="44">
        <v>4000000</v>
      </c>
      <c r="L986" s="43" t="s">
        <v>992</v>
      </c>
      <c r="M986" s="45">
        <v>46160</v>
      </c>
      <c r="N986" s="41">
        <v>0</v>
      </c>
      <c r="O986" s="42"/>
      <c r="P986" s="46">
        <v>42</v>
      </c>
      <c r="Q986" s="41">
        <v>0</v>
      </c>
    </row>
    <row r="987" spans="1:17" ht="12" customHeight="1" x14ac:dyDescent="0.3">
      <c r="A987" s="39"/>
      <c r="B987" s="40" t="s">
        <v>1978</v>
      </c>
      <c r="C987" s="41">
        <v>12332.23</v>
      </c>
      <c r="D987" s="42">
        <v>46070</v>
      </c>
      <c r="E987" s="43" t="s">
        <v>1763</v>
      </c>
      <c r="F987" s="41">
        <v>12332.23</v>
      </c>
      <c r="G987" s="41">
        <v>0</v>
      </c>
      <c r="H987" s="41">
        <v>12332.23</v>
      </c>
      <c r="I987" s="43">
        <v>90</v>
      </c>
      <c r="J987" s="43">
        <v>9</v>
      </c>
      <c r="K987" s="44">
        <v>4000000</v>
      </c>
      <c r="L987" s="43" t="s">
        <v>992</v>
      </c>
      <c r="M987" s="45">
        <v>46160</v>
      </c>
      <c r="N987" s="41">
        <v>0</v>
      </c>
      <c r="O987" s="42"/>
      <c r="P987" s="46">
        <v>42</v>
      </c>
      <c r="Q987" s="41">
        <v>0</v>
      </c>
    </row>
    <row r="988" spans="1:17" ht="12" customHeight="1" x14ac:dyDescent="0.3">
      <c r="A988" s="39"/>
      <c r="B988" s="40" t="s">
        <v>1979</v>
      </c>
      <c r="C988" s="41">
        <v>276</v>
      </c>
      <c r="D988" s="42">
        <v>46070</v>
      </c>
      <c r="E988" s="43" t="s">
        <v>1763</v>
      </c>
      <c r="F988" s="41">
        <v>276</v>
      </c>
      <c r="G988" s="41">
        <v>0</v>
      </c>
      <c r="H988" s="41">
        <v>276</v>
      </c>
      <c r="I988" s="43">
        <v>90</v>
      </c>
      <c r="J988" s="43">
        <v>9</v>
      </c>
      <c r="K988" s="44">
        <v>4000000</v>
      </c>
      <c r="L988" s="43" t="s">
        <v>992</v>
      </c>
      <c r="M988" s="45">
        <v>46160</v>
      </c>
      <c r="N988" s="41">
        <v>0</v>
      </c>
      <c r="O988" s="42"/>
      <c r="P988" s="46">
        <v>42</v>
      </c>
      <c r="Q988" s="41">
        <v>0</v>
      </c>
    </row>
    <row r="989" spans="1:17" ht="12" customHeight="1" x14ac:dyDescent="0.3">
      <c r="A989" s="39"/>
      <c r="B989" s="40" t="s">
        <v>1980</v>
      </c>
      <c r="C989" s="41">
        <v>350</v>
      </c>
      <c r="D989" s="42">
        <v>46070</v>
      </c>
      <c r="E989" s="43" t="s">
        <v>1763</v>
      </c>
      <c r="F989" s="41">
        <v>350</v>
      </c>
      <c r="G989" s="41">
        <v>0</v>
      </c>
      <c r="H989" s="41">
        <v>350</v>
      </c>
      <c r="I989" s="43">
        <v>90</v>
      </c>
      <c r="J989" s="43">
        <v>9</v>
      </c>
      <c r="K989" s="44">
        <v>4000000</v>
      </c>
      <c r="L989" s="43" t="s">
        <v>992</v>
      </c>
      <c r="M989" s="45">
        <v>46160</v>
      </c>
      <c r="N989" s="41">
        <v>0</v>
      </c>
      <c r="O989" s="42"/>
      <c r="P989" s="46">
        <v>42</v>
      </c>
      <c r="Q989" s="41">
        <v>0</v>
      </c>
    </row>
    <row r="990" spans="1:17" ht="12" customHeight="1" x14ac:dyDescent="0.3">
      <c r="A990" s="39"/>
      <c r="B990" s="40" t="s">
        <v>1981</v>
      </c>
      <c r="C990" s="41">
        <v>269</v>
      </c>
      <c r="D990" s="42">
        <v>46070</v>
      </c>
      <c r="E990" s="43" t="s">
        <v>1763</v>
      </c>
      <c r="F990" s="41">
        <v>269</v>
      </c>
      <c r="G990" s="41">
        <v>0</v>
      </c>
      <c r="H990" s="41">
        <v>269</v>
      </c>
      <c r="I990" s="43">
        <v>90</v>
      </c>
      <c r="J990" s="43">
        <v>9</v>
      </c>
      <c r="K990" s="44">
        <v>4000000</v>
      </c>
      <c r="L990" s="43" t="s">
        <v>992</v>
      </c>
      <c r="M990" s="45">
        <v>46160</v>
      </c>
      <c r="N990" s="41">
        <v>0</v>
      </c>
      <c r="O990" s="42"/>
      <c r="P990" s="46">
        <v>42</v>
      </c>
      <c r="Q990" s="41">
        <v>0</v>
      </c>
    </row>
    <row r="991" spans="1:17" ht="12" customHeight="1" x14ac:dyDescent="0.3">
      <c r="A991" s="39"/>
      <c r="B991" s="40" t="s">
        <v>1982</v>
      </c>
      <c r="C991" s="41">
        <v>11743.27</v>
      </c>
      <c r="D991" s="42">
        <v>46070</v>
      </c>
      <c r="E991" s="43" t="s">
        <v>1763</v>
      </c>
      <c r="F991" s="41">
        <v>11743.27</v>
      </c>
      <c r="G991" s="41">
        <v>0</v>
      </c>
      <c r="H991" s="41">
        <v>11743.27</v>
      </c>
      <c r="I991" s="43">
        <v>90</v>
      </c>
      <c r="J991" s="43">
        <v>9</v>
      </c>
      <c r="K991" s="44">
        <v>4000000</v>
      </c>
      <c r="L991" s="43" t="s">
        <v>992</v>
      </c>
      <c r="M991" s="45">
        <v>46160</v>
      </c>
      <c r="N991" s="41">
        <v>0</v>
      </c>
      <c r="O991" s="42"/>
      <c r="P991" s="46">
        <v>42</v>
      </c>
      <c r="Q991" s="41">
        <v>0</v>
      </c>
    </row>
    <row r="992" spans="1:17" ht="12" customHeight="1" x14ac:dyDescent="0.3">
      <c r="A992" s="39"/>
      <c r="B992" s="40" t="s">
        <v>1983</v>
      </c>
      <c r="C992" s="41">
        <v>350</v>
      </c>
      <c r="D992" s="42">
        <v>46070</v>
      </c>
      <c r="E992" s="43" t="s">
        <v>1763</v>
      </c>
      <c r="F992" s="41">
        <v>350</v>
      </c>
      <c r="G992" s="41">
        <v>0</v>
      </c>
      <c r="H992" s="41">
        <v>350</v>
      </c>
      <c r="I992" s="43">
        <v>90</v>
      </c>
      <c r="J992" s="43">
        <v>9</v>
      </c>
      <c r="K992" s="44">
        <v>4000000</v>
      </c>
      <c r="L992" s="43" t="s">
        <v>992</v>
      </c>
      <c r="M992" s="45">
        <v>46160</v>
      </c>
      <c r="N992" s="41">
        <v>0</v>
      </c>
      <c r="O992" s="42"/>
      <c r="P992" s="46">
        <v>42</v>
      </c>
      <c r="Q992" s="41">
        <v>0</v>
      </c>
    </row>
    <row r="993" spans="1:17" ht="12" customHeight="1" x14ac:dyDescent="0.3">
      <c r="A993" s="39"/>
      <c r="B993" s="40" t="s">
        <v>1984</v>
      </c>
      <c r="C993" s="41">
        <v>202</v>
      </c>
      <c r="D993" s="42">
        <v>46070</v>
      </c>
      <c r="E993" s="43" t="s">
        <v>1763</v>
      </c>
      <c r="F993" s="41">
        <v>202</v>
      </c>
      <c r="G993" s="41">
        <v>0</v>
      </c>
      <c r="H993" s="41">
        <v>202</v>
      </c>
      <c r="I993" s="43">
        <v>90</v>
      </c>
      <c r="J993" s="43">
        <v>9</v>
      </c>
      <c r="K993" s="44">
        <v>4000000</v>
      </c>
      <c r="L993" s="43" t="s">
        <v>992</v>
      </c>
      <c r="M993" s="45">
        <v>46160</v>
      </c>
      <c r="N993" s="41">
        <v>0</v>
      </c>
      <c r="O993" s="42"/>
      <c r="P993" s="46">
        <v>42</v>
      </c>
      <c r="Q993" s="41">
        <v>0</v>
      </c>
    </row>
    <row r="994" spans="1:17" ht="12" customHeight="1" x14ac:dyDescent="0.3">
      <c r="A994" s="39"/>
      <c r="B994" s="40" t="s">
        <v>1985</v>
      </c>
      <c r="C994" s="41">
        <v>134.55000000000001</v>
      </c>
      <c r="D994" s="42">
        <v>46070</v>
      </c>
      <c r="E994" s="43" t="s">
        <v>1763</v>
      </c>
      <c r="F994" s="41">
        <v>134.55000000000001</v>
      </c>
      <c r="G994" s="41">
        <v>0</v>
      </c>
      <c r="H994" s="41">
        <v>134.55000000000001</v>
      </c>
      <c r="I994" s="43">
        <v>90</v>
      </c>
      <c r="J994" s="43">
        <v>9</v>
      </c>
      <c r="K994" s="44">
        <v>4000000</v>
      </c>
      <c r="L994" s="43" t="s">
        <v>992</v>
      </c>
      <c r="M994" s="45">
        <v>46160</v>
      </c>
      <c r="N994" s="41">
        <v>0</v>
      </c>
      <c r="O994" s="42"/>
      <c r="P994" s="46">
        <v>42</v>
      </c>
      <c r="Q994" s="41">
        <v>0</v>
      </c>
    </row>
    <row r="995" spans="1:17" ht="12" customHeight="1" x14ac:dyDescent="0.3">
      <c r="A995" s="39"/>
      <c r="B995" s="40" t="s">
        <v>1986</v>
      </c>
      <c r="C995" s="41">
        <v>100</v>
      </c>
      <c r="D995" s="42">
        <v>46070</v>
      </c>
      <c r="E995" s="43" t="s">
        <v>1763</v>
      </c>
      <c r="F995" s="41">
        <v>100</v>
      </c>
      <c r="G995" s="41">
        <v>0</v>
      </c>
      <c r="H995" s="41">
        <v>100</v>
      </c>
      <c r="I995" s="43">
        <v>90</v>
      </c>
      <c r="J995" s="43">
        <v>9</v>
      </c>
      <c r="K995" s="44">
        <v>4000000</v>
      </c>
      <c r="L995" s="43" t="s">
        <v>992</v>
      </c>
      <c r="M995" s="45">
        <v>46160</v>
      </c>
      <c r="N995" s="41">
        <v>0</v>
      </c>
      <c r="O995" s="42"/>
      <c r="P995" s="46">
        <v>42</v>
      </c>
      <c r="Q995" s="41">
        <v>0</v>
      </c>
    </row>
    <row r="996" spans="1:17" ht="12" customHeight="1" x14ac:dyDescent="0.3">
      <c r="A996" s="39"/>
      <c r="B996" s="40" t="s">
        <v>1987</v>
      </c>
      <c r="C996" s="41">
        <v>3399.4</v>
      </c>
      <c r="D996" s="42">
        <v>46070</v>
      </c>
      <c r="E996" s="43" t="s">
        <v>1763</v>
      </c>
      <c r="F996" s="41">
        <v>3399.4</v>
      </c>
      <c r="G996" s="41">
        <v>0</v>
      </c>
      <c r="H996" s="41">
        <v>3399.4</v>
      </c>
      <c r="I996" s="43">
        <v>90</v>
      </c>
      <c r="J996" s="43">
        <v>9</v>
      </c>
      <c r="K996" s="44">
        <v>4000000</v>
      </c>
      <c r="L996" s="43" t="s">
        <v>992</v>
      </c>
      <c r="M996" s="45">
        <v>46160</v>
      </c>
      <c r="N996" s="41">
        <v>0</v>
      </c>
      <c r="O996" s="42"/>
      <c r="P996" s="46">
        <v>42</v>
      </c>
      <c r="Q996" s="41">
        <v>0</v>
      </c>
    </row>
    <row r="997" spans="1:17" ht="12" customHeight="1" x14ac:dyDescent="0.3">
      <c r="A997" s="39"/>
      <c r="B997" s="40" t="s">
        <v>1988</v>
      </c>
      <c r="C997" s="41">
        <v>300</v>
      </c>
      <c r="D997" s="42">
        <v>46070</v>
      </c>
      <c r="E997" s="43" t="s">
        <v>1763</v>
      </c>
      <c r="F997" s="41">
        <v>300</v>
      </c>
      <c r="G997" s="41">
        <v>0</v>
      </c>
      <c r="H997" s="41">
        <v>300</v>
      </c>
      <c r="I997" s="43">
        <v>90</v>
      </c>
      <c r="J997" s="43">
        <v>9</v>
      </c>
      <c r="K997" s="44">
        <v>4000000</v>
      </c>
      <c r="L997" s="43" t="s">
        <v>992</v>
      </c>
      <c r="M997" s="45">
        <v>46160</v>
      </c>
      <c r="N997" s="41">
        <v>0</v>
      </c>
      <c r="O997" s="42"/>
      <c r="P997" s="46">
        <v>42</v>
      </c>
      <c r="Q997" s="41">
        <v>0</v>
      </c>
    </row>
    <row r="998" spans="1:17" ht="12" customHeight="1" x14ac:dyDescent="0.3">
      <c r="A998" s="39"/>
      <c r="B998" s="40" t="s">
        <v>1989</v>
      </c>
      <c r="C998" s="41">
        <v>201.83</v>
      </c>
      <c r="D998" s="42">
        <v>46070</v>
      </c>
      <c r="E998" s="43" t="s">
        <v>1763</v>
      </c>
      <c r="F998" s="41">
        <v>201.83</v>
      </c>
      <c r="G998" s="41">
        <v>0</v>
      </c>
      <c r="H998" s="41">
        <v>201.83</v>
      </c>
      <c r="I998" s="43">
        <v>90</v>
      </c>
      <c r="J998" s="43">
        <v>9</v>
      </c>
      <c r="K998" s="44">
        <v>4000000</v>
      </c>
      <c r="L998" s="43" t="s">
        <v>992</v>
      </c>
      <c r="M998" s="45">
        <v>46160</v>
      </c>
      <c r="N998" s="41">
        <v>0</v>
      </c>
      <c r="O998" s="42"/>
      <c r="P998" s="46">
        <v>42</v>
      </c>
      <c r="Q998" s="41">
        <v>0</v>
      </c>
    </row>
    <row r="999" spans="1:17" ht="12" customHeight="1" x14ac:dyDescent="0.3">
      <c r="A999" s="39"/>
      <c r="B999" s="40" t="s">
        <v>1990</v>
      </c>
      <c r="C999" s="41">
        <v>352</v>
      </c>
      <c r="D999" s="42">
        <v>46070</v>
      </c>
      <c r="E999" s="43" t="s">
        <v>1763</v>
      </c>
      <c r="F999" s="41">
        <v>352</v>
      </c>
      <c r="G999" s="41">
        <v>0</v>
      </c>
      <c r="H999" s="41">
        <v>352</v>
      </c>
      <c r="I999" s="43">
        <v>90</v>
      </c>
      <c r="J999" s="43">
        <v>9</v>
      </c>
      <c r="K999" s="44">
        <v>4000000</v>
      </c>
      <c r="L999" s="43" t="s">
        <v>992</v>
      </c>
      <c r="M999" s="45">
        <v>46160</v>
      </c>
      <c r="N999" s="41">
        <v>0</v>
      </c>
      <c r="O999" s="42"/>
      <c r="P999" s="46">
        <v>42</v>
      </c>
      <c r="Q999" s="41">
        <v>0</v>
      </c>
    </row>
    <row r="1000" spans="1:17" ht="12" customHeight="1" x14ac:dyDescent="0.3">
      <c r="A1000" s="39"/>
      <c r="B1000" s="40" t="s">
        <v>1991</v>
      </c>
      <c r="C1000" s="41">
        <v>350</v>
      </c>
      <c r="D1000" s="42">
        <v>46070</v>
      </c>
      <c r="E1000" s="43" t="s">
        <v>1763</v>
      </c>
      <c r="F1000" s="41">
        <v>350</v>
      </c>
      <c r="G1000" s="41">
        <v>0</v>
      </c>
      <c r="H1000" s="41">
        <v>350</v>
      </c>
      <c r="I1000" s="43">
        <v>90</v>
      </c>
      <c r="J1000" s="43">
        <v>9</v>
      </c>
      <c r="K1000" s="44">
        <v>4000000</v>
      </c>
      <c r="L1000" s="43" t="s">
        <v>992</v>
      </c>
      <c r="M1000" s="45">
        <v>46160</v>
      </c>
      <c r="N1000" s="41">
        <v>0</v>
      </c>
      <c r="O1000" s="42"/>
      <c r="P1000" s="46">
        <v>42</v>
      </c>
      <c r="Q1000" s="41">
        <v>0</v>
      </c>
    </row>
    <row r="1001" spans="1:17" ht="12" customHeight="1" x14ac:dyDescent="0.3">
      <c r="A1001" s="39"/>
      <c r="B1001" s="40" t="s">
        <v>1992</v>
      </c>
      <c r="C1001" s="41">
        <v>201</v>
      </c>
      <c r="D1001" s="42">
        <v>46070</v>
      </c>
      <c r="E1001" s="43" t="s">
        <v>1763</v>
      </c>
      <c r="F1001" s="41">
        <v>201</v>
      </c>
      <c r="G1001" s="41">
        <v>0</v>
      </c>
      <c r="H1001" s="41">
        <v>201</v>
      </c>
      <c r="I1001" s="43">
        <v>90</v>
      </c>
      <c r="J1001" s="43">
        <v>9</v>
      </c>
      <c r="K1001" s="44">
        <v>4000000</v>
      </c>
      <c r="L1001" s="43" t="s">
        <v>992</v>
      </c>
      <c r="M1001" s="45">
        <v>46160</v>
      </c>
      <c r="N1001" s="41">
        <v>0</v>
      </c>
      <c r="O1001" s="42"/>
      <c r="P1001" s="46">
        <v>42</v>
      </c>
      <c r="Q1001" s="41">
        <v>0</v>
      </c>
    </row>
    <row r="1002" spans="1:17" ht="12" customHeight="1" x14ac:dyDescent="0.3">
      <c r="A1002" s="39"/>
      <c r="B1002" s="40" t="s">
        <v>1993</v>
      </c>
      <c r="C1002" s="41">
        <v>135000</v>
      </c>
      <c r="D1002" s="42">
        <v>46070</v>
      </c>
      <c r="E1002" s="43" t="s">
        <v>2</v>
      </c>
      <c r="F1002" s="41">
        <v>0</v>
      </c>
      <c r="G1002" s="41">
        <v>0</v>
      </c>
      <c r="H1002" s="41">
        <v>135000</v>
      </c>
      <c r="I1002" s="43">
        <v>90</v>
      </c>
      <c r="J1002" s="43">
        <v>71</v>
      </c>
      <c r="K1002" s="44">
        <v>4000000</v>
      </c>
      <c r="L1002" s="43" t="s">
        <v>992</v>
      </c>
      <c r="M1002" s="45">
        <v>46160</v>
      </c>
      <c r="N1002" s="41">
        <v>135000</v>
      </c>
      <c r="O1002" s="42">
        <v>46084</v>
      </c>
      <c r="P1002" s="46"/>
      <c r="Q1002" s="41">
        <v>135000</v>
      </c>
    </row>
    <row r="1003" spans="1:17" ht="12" customHeight="1" x14ac:dyDescent="0.3">
      <c r="A1003" s="39"/>
      <c r="B1003" s="40" t="s">
        <v>1994</v>
      </c>
      <c r="C1003" s="41">
        <v>3605.01</v>
      </c>
      <c r="D1003" s="42">
        <v>46070</v>
      </c>
      <c r="E1003" s="43" t="s">
        <v>1763</v>
      </c>
      <c r="F1003" s="41">
        <v>3605.01</v>
      </c>
      <c r="G1003" s="41">
        <v>0</v>
      </c>
      <c r="H1003" s="41">
        <v>3605.01</v>
      </c>
      <c r="I1003" s="43">
        <v>90</v>
      </c>
      <c r="J1003" s="43">
        <v>9</v>
      </c>
      <c r="K1003" s="44">
        <v>4000000</v>
      </c>
      <c r="L1003" s="43" t="s">
        <v>992</v>
      </c>
      <c r="M1003" s="45">
        <v>46160</v>
      </c>
      <c r="N1003" s="41">
        <v>0</v>
      </c>
      <c r="O1003" s="42"/>
      <c r="P1003" s="46">
        <v>42</v>
      </c>
      <c r="Q1003" s="41">
        <v>0</v>
      </c>
    </row>
    <row r="1004" spans="1:17" ht="12" customHeight="1" x14ac:dyDescent="0.3">
      <c r="A1004" s="39"/>
      <c r="B1004" s="40" t="s">
        <v>1995</v>
      </c>
      <c r="C1004" s="41">
        <v>560</v>
      </c>
      <c r="D1004" s="42">
        <v>46070</v>
      </c>
      <c r="E1004" s="43" t="s">
        <v>1763</v>
      </c>
      <c r="F1004" s="41">
        <v>560</v>
      </c>
      <c r="G1004" s="41">
        <v>0</v>
      </c>
      <c r="H1004" s="41">
        <v>560</v>
      </c>
      <c r="I1004" s="43">
        <v>90</v>
      </c>
      <c r="J1004" s="43">
        <v>9</v>
      </c>
      <c r="K1004" s="44">
        <v>4000000</v>
      </c>
      <c r="L1004" s="43" t="s">
        <v>992</v>
      </c>
      <c r="M1004" s="45">
        <v>46160</v>
      </c>
      <c r="N1004" s="41">
        <v>0</v>
      </c>
      <c r="O1004" s="42"/>
      <c r="P1004" s="46">
        <v>42</v>
      </c>
      <c r="Q1004" s="41">
        <v>0</v>
      </c>
    </row>
    <row r="1005" spans="1:17" ht="12" customHeight="1" x14ac:dyDescent="0.3">
      <c r="A1005" s="39"/>
      <c r="B1005" s="40" t="s">
        <v>1996</v>
      </c>
      <c r="C1005" s="41">
        <v>252</v>
      </c>
      <c r="D1005" s="42">
        <v>46070</v>
      </c>
      <c r="E1005" s="43" t="s">
        <v>1763</v>
      </c>
      <c r="F1005" s="41">
        <v>252</v>
      </c>
      <c r="G1005" s="41">
        <v>0</v>
      </c>
      <c r="H1005" s="41">
        <v>252</v>
      </c>
      <c r="I1005" s="43">
        <v>90</v>
      </c>
      <c r="J1005" s="43">
        <v>9</v>
      </c>
      <c r="K1005" s="44">
        <v>4000000</v>
      </c>
      <c r="L1005" s="43" t="s">
        <v>992</v>
      </c>
      <c r="M1005" s="45">
        <v>46160</v>
      </c>
      <c r="N1005" s="41">
        <v>0</v>
      </c>
      <c r="O1005" s="42"/>
      <c r="P1005" s="46">
        <v>42</v>
      </c>
      <c r="Q1005" s="41">
        <v>0</v>
      </c>
    </row>
    <row r="1006" spans="1:17" ht="12" customHeight="1" x14ac:dyDescent="0.3">
      <c r="A1006" s="39"/>
      <c r="B1006" s="40" t="s">
        <v>1997</v>
      </c>
      <c r="C1006" s="41">
        <v>100.8</v>
      </c>
      <c r="D1006" s="42">
        <v>46070</v>
      </c>
      <c r="E1006" s="43" t="s">
        <v>1763</v>
      </c>
      <c r="F1006" s="41">
        <v>100.8</v>
      </c>
      <c r="G1006" s="41">
        <v>0</v>
      </c>
      <c r="H1006" s="41">
        <v>100.8</v>
      </c>
      <c r="I1006" s="43">
        <v>90</v>
      </c>
      <c r="J1006" s="43">
        <v>9</v>
      </c>
      <c r="K1006" s="44">
        <v>4000000</v>
      </c>
      <c r="L1006" s="43" t="s">
        <v>992</v>
      </c>
      <c r="M1006" s="45">
        <v>46160</v>
      </c>
      <c r="N1006" s="41">
        <v>0</v>
      </c>
      <c r="O1006" s="42"/>
      <c r="P1006" s="46">
        <v>42</v>
      </c>
      <c r="Q1006" s="41">
        <v>0</v>
      </c>
    </row>
    <row r="1007" spans="1:17" ht="12" customHeight="1" x14ac:dyDescent="0.3">
      <c r="A1007" s="39"/>
      <c r="B1007" s="40" t="s">
        <v>1998</v>
      </c>
      <c r="C1007" s="41">
        <v>32995.730000000003</v>
      </c>
      <c r="D1007" s="42">
        <v>46070</v>
      </c>
      <c r="E1007" s="43" t="s">
        <v>1763</v>
      </c>
      <c r="F1007" s="41">
        <v>32995.730000000003</v>
      </c>
      <c r="G1007" s="41">
        <v>0</v>
      </c>
      <c r="H1007" s="41">
        <v>32995.730000000003</v>
      </c>
      <c r="I1007" s="43">
        <v>90</v>
      </c>
      <c r="J1007" s="43">
        <v>9</v>
      </c>
      <c r="K1007" s="44">
        <v>4000000</v>
      </c>
      <c r="L1007" s="43" t="s">
        <v>992</v>
      </c>
      <c r="M1007" s="45">
        <v>46160</v>
      </c>
      <c r="N1007" s="41">
        <v>0</v>
      </c>
      <c r="O1007" s="42"/>
      <c r="P1007" s="46">
        <v>42</v>
      </c>
      <c r="Q1007" s="41">
        <v>0</v>
      </c>
    </row>
    <row r="1008" spans="1:17" ht="12" customHeight="1" x14ac:dyDescent="0.3">
      <c r="A1008" s="39"/>
      <c r="B1008" s="40" t="s">
        <v>1999</v>
      </c>
      <c r="C1008" s="41">
        <v>75.599999999999994</v>
      </c>
      <c r="D1008" s="42">
        <v>46070</v>
      </c>
      <c r="E1008" s="43" t="s">
        <v>1763</v>
      </c>
      <c r="F1008" s="41">
        <v>75.599999999999994</v>
      </c>
      <c r="G1008" s="41">
        <v>0</v>
      </c>
      <c r="H1008" s="41">
        <v>75.599999999999994</v>
      </c>
      <c r="I1008" s="43">
        <v>90</v>
      </c>
      <c r="J1008" s="43">
        <v>9</v>
      </c>
      <c r="K1008" s="44">
        <v>4000000</v>
      </c>
      <c r="L1008" s="43" t="s">
        <v>992</v>
      </c>
      <c r="M1008" s="45">
        <v>46160</v>
      </c>
      <c r="N1008" s="41">
        <v>0</v>
      </c>
      <c r="O1008" s="42"/>
      <c r="P1008" s="46">
        <v>42</v>
      </c>
      <c r="Q1008" s="41">
        <v>0</v>
      </c>
    </row>
    <row r="1009" spans="1:17" ht="12" customHeight="1" x14ac:dyDescent="0.3">
      <c r="A1009" s="39"/>
      <c r="B1009" s="40" t="s">
        <v>2000</v>
      </c>
      <c r="C1009" s="41">
        <v>150000.01999999999</v>
      </c>
      <c r="D1009" s="42">
        <v>46070</v>
      </c>
      <c r="E1009" s="43" t="s">
        <v>2</v>
      </c>
      <c r="F1009" s="41">
        <v>0</v>
      </c>
      <c r="G1009" s="41">
        <v>0</v>
      </c>
      <c r="H1009" s="41">
        <v>150000.01999999999</v>
      </c>
      <c r="I1009" s="43">
        <v>90</v>
      </c>
      <c r="J1009" s="43">
        <v>8</v>
      </c>
      <c r="K1009" s="44">
        <v>3000000</v>
      </c>
      <c r="L1009" s="43" t="s">
        <v>992</v>
      </c>
      <c r="M1009" s="45">
        <v>46160</v>
      </c>
      <c r="N1009" s="41">
        <v>150000.01999999999</v>
      </c>
      <c r="O1009" s="42">
        <v>46081</v>
      </c>
      <c r="P1009" s="46"/>
      <c r="Q1009" s="41">
        <v>150000.01999999999</v>
      </c>
    </row>
    <row r="1010" spans="1:17" ht="12" customHeight="1" x14ac:dyDescent="0.3">
      <c r="A1010" s="39"/>
      <c r="B1010" s="40" t="s">
        <v>2001</v>
      </c>
      <c r="C1010" s="41">
        <v>225474.35</v>
      </c>
      <c r="D1010" s="42">
        <v>46070</v>
      </c>
      <c r="E1010" s="43" t="s">
        <v>1763</v>
      </c>
      <c r="F1010" s="41">
        <v>225474.35</v>
      </c>
      <c r="G1010" s="41">
        <v>0</v>
      </c>
      <c r="H1010" s="41">
        <v>225474.35</v>
      </c>
      <c r="I1010" s="43">
        <v>90</v>
      </c>
      <c r="J1010" s="43">
        <v>20</v>
      </c>
      <c r="K1010" s="44">
        <v>3000000</v>
      </c>
      <c r="L1010" s="43" t="s">
        <v>992</v>
      </c>
      <c r="M1010" s="45">
        <v>46160</v>
      </c>
      <c r="N1010" s="41">
        <v>0</v>
      </c>
      <c r="O1010" s="42"/>
      <c r="P1010" s="46">
        <v>42</v>
      </c>
      <c r="Q1010" s="41">
        <v>0</v>
      </c>
    </row>
    <row r="1011" spans="1:17" ht="12" customHeight="1" x14ac:dyDescent="0.3">
      <c r="A1011" s="39"/>
      <c r="B1011" s="40" t="s">
        <v>2002</v>
      </c>
      <c r="C1011" s="41">
        <v>240</v>
      </c>
      <c r="D1011" s="42">
        <v>46070</v>
      </c>
      <c r="E1011" s="43" t="s">
        <v>1763</v>
      </c>
      <c r="F1011" s="41">
        <v>240</v>
      </c>
      <c r="G1011" s="41">
        <v>0</v>
      </c>
      <c r="H1011" s="41">
        <v>240</v>
      </c>
      <c r="I1011" s="43">
        <v>90</v>
      </c>
      <c r="J1011" s="43">
        <v>9</v>
      </c>
      <c r="K1011" s="44">
        <v>4000000</v>
      </c>
      <c r="L1011" s="43" t="s">
        <v>992</v>
      </c>
      <c r="M1011" s="45">
        <v>46160</v>
      </c>
      <c r="N1011" s="41">
        <v>0</v>
      </c>
      <c r="O1011" s="42"/>
      <c r="P1011" s="46">
        <v>42</v>
      </c>
      <c r="Q1011" s="41">
        <v>0</v>
      </c>
    </row>
    <row r="1012" spans="1:17" ht="12" customHeight="1" x14ac:dyDescent="0.3">
      <c r="A1012" s="39"/>
      <c r="B1012" s="40" t="s">
        <v>2003</v>
      </c>
      <c r="C1012" s="41">
        <v>2610</v>
      </c>
      <c r="D1012" s="42">
        <v>46070</v>
      </c>
      <c r="E1012" s="43" t="s">
        <v>1763</v>
      </c>
      <c r="F1012" s="41">
        <v>2610</v>
      </c>
      <c r="G1012" s="41">
        <v>0</v>
      </c>
      <c r="H1012" s="41">
        <v>2610</v>
      </c>
      <c r="I1012" s="43">
        <v>90</v>
      </c>
      <c r="J1012" s="43">
        <v>9</v>
      </c>
      <c r="K1012" s="44">
        <v>4000000</v>
      </c>
      <c r="L1012" s="43" t="s">
        <v>992</v>
      </c>
      <c r="M1012" s="45">
        <v>46160</v>
      </c>
      <c r="N1012" s="41">
        <v>0</v>
      </c>
      <c r="O1012" s="42"/>
      <c r="P1012" s="46">
        <v>42</v>
      </c>
      <c r="Q1012" s="41">
        <v>0</v>
      </c>
    </row>
    <row r="1013" spans="1:17" ht="12" customHeight="1" x14ac:dyDescent="0.3">
      <c r="A1013" s="39"/>
      <c r="B1013" s="40" t="s">
        <v>2004</v>
      </c>
      <c r="C1013" s="41">
        <v>269.10000000000002</v>
      </c>
      <c r="D1013" s="42">
        <v>46070</v>
      </c>
      <c r="E1013" s="43" t="s">
        <v>1763</v>
      </c>
      <c r="F1013" s="41">
        <v>269.10000000000002</v>
      </c>
      <c r="G1013" s="41">
        <v>0</v>
      </c>
      <c r="H1013" s="41">
        <v>269.10000000000002</v>
      </c>
      <c r="I1013" s="43">
        <v>90</v>
      </c>
      <c r="J1013" s="43">
        <v>9</v>
      </c>
      <c r="K1013" s="44">
        <v>4000000</v>
      </c>
      <c r="L1013" s="43" t="s">
        <v>992</v>
      </c>
      <c r="M1013" s="45">
        <v>46160</v>
      </c>
      <c r="N1013" s="41">
        <v>0</v>
      </c>
      <c r="O1013" s="42"/>
      <c r="P1013" s="46">
        <v>42</v>
      </c>
      <c r="Q1013" s="41">
        <v>0</v>
      </c>
    </row>
    <row r="1014" spans="1:17" ht="12" customHeight="1" x14ac:dyDescent="0.3">
      <c r="A1014" s="39"/>
      <c r="B1014" s="40" t="s">
        <v>2005</v>
      </c>
      <c r="C1014" s="41">
        <v>201.83</v>
      </c>
      <c r="D1014" s="42">
        <v>46070</v>
      </c>
      <c r="E1014" s="43" t="s">
        <v>1763</v>
      </c>
      <c r="F1014" s="41">
        <v>201.83</v>
      </c>
      <c r="G1014" s="41">
        <v>0</v>
      </c>
      <c r="H1014" s="41">
        <v>201.83</v>
      </c>
      <c r="I1014" s="43">
        <v>90</v>
      </c>
      <c r="J1014" s="43">
        <v>9</v>
      </c>
      <c r="K1014" s="44">
        <v>4000000</v>
      </c>
      <c r="L1014" s="43" t="s">
        <v>992</v>
      </c>
      <c r="M1014" s="45">
        <v>46160</v>
      </c>
      <c r="N1014" s="41">
        <v>0</v>
      </c>
      <c r="O1014" s="42"/>
      <c r="P1014" s="46">
        <v>42</v>
      </c>
      <c r="Q1014" s="41">
        <v>0</v>
      </c>
    </row>
    <row r="1015" spans="1:17" ht="12" customHeight="1" x14ac:dyDescent="0.3">
      <c r="A1015" s="39"/>
      <c r="B1015" s="40" t="s">
        <v>2006</v>
      </c>
      <c r="C1015" s="41">
        <v>1699.71</v>
      </c>
      <c r="D1015" s="42">
        <v>46070</v>
      </c>
      <c r="E1015" s="43" t="s">
        <v>1763</v>
      </c>
      <c r="F1015" s="41">
        <v>1699.71</v>
      </c>
      <c r="G1015" s="41">
        <v>0</v>
      </c>
      <c r="H1015" s="41">
        <v>1699.71</v>
      </c>
      <c r="I1015" s="43">
        <v>90</v>
      </c>
      <c r="J1015" s="43">
        <v>9</v>
      </c>
      <c r="K1015" s="44">
        <v>4000000</v>
      </c>
      <c r="L1015" s="43" t="s">
        <v>992</v>
      </c>
      <c r="M1015" s="45">
        <v>46160</v>
      </c>
      <c r="N1015" s="41">
        <v>0</v>
      </c>
      <c r="O1015" s="42"/>
      <c r="P1015" s="46">
        <v>42</v>
      </c>
      <c r="Q1015" s="41">
        <v>0</v>
      </c>
    </row>
    <row r="1016" spans="1:17" ht="12" customHeight="1" x14ac:dyDescent="0.3">
      <c r="A1016" s="39"/>
      <c r="B1016" s="40" t="s">
        <v>2007</v>
      </c>
      <c r="C1016" s="41">
        <v>414</v>
      </c>
      <c r="D1016" s="42">
        <v>46070</v>
      </c>
      <c r="E1016" s="43" t="s">
        <v>1763</v>
      </c>
      <c r="F1016" s="41">
        <v>414</v>
      </c>
      <c r="G1016" s="41">
        <v>0</v>
      </c>
      <c r="H1016" s="41">
        <v>414</v>
      </c>
      <c r="I1016" s="43">
        <v>90</v>
      </c>
      <c r="J1016" s="43">
        <v>9</v>
      </c>
      <c r="K1016" s="44">
        <v>4000000</v>
      </c>
      <c r="L1016" s="43" t="s">
        <v>992</v>
      </c>
      <c r="M1016" s="45">
        <v>46160</v>
      </c>
      <c r="N1016" s="41">
        <v>0</v>
      </c>
      <c r="O1016" s="42"/>
      <c r="P1016" s="46">
        <v>42</v>
      </c>
      <c r="Q1016" s="41">
        <v>0</v>
      </c>
    </row>
    <row r="1017" spans="1:17" ht="12" customHeight="1" x14ac:dyDescent="0.3">
      <c r="A1017" s="39"/>
      <c r="B1017" s="40" t="s">
        <v>2008</v>
      </c>
      <c r="C1017" s="41">
        <v>100.91</v>
      </c>
      <c r="D1017" s="42">
        <v>46070</v>
      </c>
      <c r="E1017" s="43" t="s">
        <v>1763</v>
      </c>
      <c r="F1017" s="41">
        <v>100.91</v>
      </c>
      <c r="G1017" s="41">
        <v>0</v>
      </c>
      <c r="H1017" s="41">
        <v>100.91</v>
      </c>
      <c r="I1017" s="43">
        <v>90</v>
      </c>
      <c r="J1017" s="43">
        <v>9</v>
      </c>
      <c r="K1017" s="44">
        <v>4000000</v>
      </c>
      <c r="L1017" s="43" t="s">
        <v>992</v>
      </c>
      <c r="M1017" s="45">
        <v>46160</v>
      </c>
      <c r="N1017" s="41">
        <v>0</v>
      </c>
      <c r="O1017" s="42"/>
      <c r="P1017" s="46">
        <v>42</v>
      </c>
      <c r="Q1017" s="41">
        <v>0</v>
      </c>
    </row>
    <row r="1018" spans="1:17" ht="12" customHeight="1" x14ac:dyDescent="0.3">
      <c r="A1018" s="39"/>
      <c r="B1018" s="40" t="s">
        <v>2009</v>
      </c>
      <c r="C1018" s="41">
        <v>238</v>
      </c>
      <c r="D1018" s="42">
        <v>46070</v>
      </c>
      <c r="E1018" s="43" t="s">
        <v>1763</v>
      </c>
      <c r="F1018" s="41">
        <v>238</v>
      </c>
      <c r="G1018" s="41">
        <v>0</v>
      </c>
      <c r="H1018" s="41">
        <v>238</v>
      </c>
      <c r="I1018" s="43">
        <v>90</v>
      </c>
      <c r="J1018" s="43">
        <v>9</v>
      </c>
      <c r="K1018" s="44">
        <v>4000000</v>
      </c>
      <c r="L1018" s="43" t="s">
        <v>992</v>
      </c>
      <c r="M1018" s="45">
        <v>46160</v>
      </c>
      <c r="N1018" s="41">
        <v>0</v>
      </c>
      <c r="O1018" s="42"/>
      <c r="P1018" s="46">
        <v>42</v>
      </c>
      <c r="Q1018" s="41">
        <v>0</v>
      </c>
    </row>
    <row r="1019" spans="1:17" ht="12" customHeight="1" x14ac:dyDescent="0.3">
      <c r="A1019" s="39"/>
      <c r="B1019" s="40" t="s">
        <v>2010</v>
      </c>
      <c r="C1019" s="41">
        <v>212</v>
      </c>
      <c r="D1019" s="42">
        <v>46070</v>
      </c>
      <c r="E1019" s="43" t="s">
        <v>1763</v>
      </c>
      <c r="F1019" s="41">
        <v>212</v>
      </c>
      <c r="G1019" s="41">
        <v>0</v>
      </c>
      <c r="H1019" s="41">
        <v>212</v>
      </c>
      <c r="I1019" s="43">
        <v>90</v>
      </c>
      <c r="J1019" s="43">
        <v>9</v>
      </c>
      <c r="K1019" s="44">
        <v>4000000</v>
      </c>
      <c r="L1019" s="43" t="s">
        <v>992</v>
      </c>
      <c r="M1019" s="45">
        <v>46160</v>
      </c>
      <c r="N1019" s="41">
        <v>0</v>
      </c>
      <c r="O1019" s="42"/>
      <c r="P1019" s="46">
        <v>42</v>
      </c>
      <c r="Q1019" s="41">
        <v>0</v>
      </c>
    </row>
    <row r="1020" spans="1:17" ht="12" customHeight="1" x14ac:dyDescent="0.3">
      <c r="A1020" s="39"/>
      <c r="B1020" s="40" t="s">
        <v>2011</v>
      </c>
      <c r="C1020" s="41">
        <v>91000</v>
      </c>
      <c r="D1020" s="42">
        <v>46070</v>
      </c>
      <c r="E1020" s="43" t="s">
        <v>2</v>
      </c>
      <c r="F1020" s="41">
        <v>0</v>
      </c>
      <c r="G1020" s="41">
        <v>0</v>
      </c>
      <c r="H1020" s="41">
        <v>91000</v>
      </c>
      <c r="I1020" s="43">
        <v>90</v>
      </c>
      <c r="J1020" s="43">
        <v>71</v>
      </c>
      <c r="K1020" s="44">
        <v>4000000</v>
      </c>
      <c r="L1020" s="43" t="s">
        <v>992</v>
      </c>
      <c r="M1020" s="45">
        <v>46160</v>
      </c>
      <c r="N1020" s="41">
        <v>91000</v>
      </c>
      <c r="O1020" s="42">
        <v>46089</v>
      </c>
      <c r="P1020" s="46"/>
      <c r="Q1020" s="41">
        <v>91000</v>
      </c>
    </row>
    <row r="1021" spans="1:17" ht="12" customHeight="1" x14ac:dyDescent="0.3">
      <c r="A1021" s="39"/>
      <c r="B1021" s="40" t="s">
        <v>2012</v>
      </c>
      <c r="C1021" s="41">
        <v>289300.12</v>
      </c>
      <c r="D1021" s="42">
        <v>46070</v>
      </c>
      <c r="E1021" s="43" t="s">
        <v>1763</v>
      </c>
      <c r="F1021" s="41">
        <v>289300.12</v>
      </c>
      <c r="G1021" s="41">
        <v>0</v>
      </c>
      <c r="H1021" s="41">
        <v>289300.12</v>
      </c>
      <c r="I1021" s="43">
        <v>90</v>
      </c>
      <c r="J1021" s="43">
        <v>9</v>
      </c>
      <c r="K1021" s="44">
        <v>4000000</v>
      </c>
      <c r="L1021" s="43" t="s">
        <v>992</v>
      </c>
      <c r="M1021" s="45">
        <v>46160</v>
      </c>
      <c r="N1021" s="41">
        <v>0</v>
      </c>
      <c r="O1021" s="42"/>
      <c r="P1021" s="46">
        <v>42</v>
      </c>
      <c r="Q1021" s="41">
        <v>0</v>
      </c>
    </row>
    <row r="1022" spans="1:17" ht="12" customHeight="1" x14ac:dyDescent="0.3">
      <c r="A1022" s="39"/>
      <c r="B1022" s="40" t="s">
        <v>2013</v>
      </c>
      <c r="C1022" s="41">
        <v>380</v>
      </c>
      <c r="D1022" s="42">
        <v>46071</v>
      </c>
      <c r="E1022" s="43" t="s">
        <v>1763</v>
      </c>
      <c r="F1022" s="41">
        <v>380</v>
      </c>
      <c r="G1022" s="41">
        <v>0</v>
      </c>
      <c r="H1022" s="41">
        <v>380</v>
      </c>
      <c r="I1022" s="43">
        <v>90</v>
      </c>
      <c r="J1022" s="43">
        <v>9</v>
      </c>
      <c r="K1022" s="44">
        <v>4000000</v>
      </c>
      <c r="L1022" s="43" t="s">
        <v>992</v>
      </c>
      <c r="M1022" s="45">
        <v>46161</v>
      </c>
      <c r="N1022" s="41">
        <v>0</v>
      </c>
      <c r="O1022" s="42"/>
      <c r="P1022" s="46">
        <v>41</v>
      </c>
      <c r="Q1022" s="41">
        <v>0</v>
      </c>
    </row>
    <row r="1023" spans="1:17" ht="12" customHeight="1" x14ac:dyDescent="0.3">
      <c r="A1023" s="39"/>
      <c r="B1023" s="40" t="s">
        <v>2014</v>
      </c>
      <c r="C1023" s="41">
        <v>490</v>
      </c>
      <c r="D1023" s="42">
        <v>46071</v>
      </c>
      <c r="E1023" s="43" t="s">
        <v>1763</v>
      </c>
      <c r="F1023" s="41">
        <v>490</v>
      </c>
      <c r="G1023" s="41">
        <v>0</v>
      </c>
      <c r="H1023" s="41">
        <v>490</v>
      </c>
      <c r="I1023" s="43">
        <v>90</v>
      </c>
      <c r="J1023" s="43">
        <v>9</v>
      </c>
      <c r="K1023" s="44">
        <v>4000000</v>
      </c>
      <c r="L1023" s="43" t="s">
        <v>992</v>
      </c>
      <c r="M1023" s="45">
        <v>46161</v>
      </c>
      <c r="N1023" s="41">
        <v>0</v>
      </c>
      <c r="O1023" s="42"/>
      <c r="P1023" s="46">
        <v>41</v>
      </c>
      <c r="Q1023" s="41">
        <v>0</v>
      </c>
    </row>
    <row r="1024" spans="1:17" ht="12" customHeight="1" x14ac:dyDescent="0.3">
      <c r="A1024" s="39"/>
      <c r="B1024" s="40" t="s">
        <v>2015</v>
      </c>
      <c r="C1024" s="41">
        <v>200</v>
      </c>
      <c r="D1024" s="42">
        <v>46071</v>
      </c>
      <c r="E1024" s="43" t="s">
        <v>1763</v>
      </c>
      <c r="F1024" s="41">
        <v>200</v>
      </c>
      <c r="G1024" s="41">
        <v>0</v>
      </c>
      <c r="H1024" s="41">
        <v>200</v>
      </c>
      <c r="I1024" s="43">
        <v>90</v>
      </c>
      <c r="J1024" s="43">
        <v>9</v>
      </c>
      <c r="K1024" s="44">
        <v>4000000</v>
      </c>
      <c r="L1024" s="43" t="s">
        <v>992</v>
      </c>
      <c r="M1024" s="45">
        <v>46161</v>
      </c>
      <c r="N1024" s="41">
        <v>0</v>
      </c>
      <c r="O1024" s="42"/>
      <c r="P1024" s="46">
        <v>41</v>
      </c>
      <c r="Q1024" s="41">
        <v>0</v>
      </c>
    </row>
    <row r="1025" spans="1:17" ht="12" customHeight="1" x14ac:dyDescent="0.3">
      <c r="A1025" s="39"/>
      <c r="B1025" s="40" t="s">
        <v>2016</v>
      </c>
      <c r="C1025" s="41">
        <v>336.38</v>
      </c>
      <c r="D1025" s="42">
        <v>46071</v>
      </c>
      <c r="E1025" s="43" t="s">
        <v>1763</v>
      </c>
      <c r="F1025" s="41">
        <v>336.38</v>
      </c>
      <c r="G1025" s="41">
        <v>0</v>
      </c>
      <c r="H1025" s="41">
        <v>336.38</v>
      </c>
      <c r="I1025" s="43">
        <v>90</v>
      </c>
      <c r="J1025" s="43">
        <v>9</v>
      </c>
      <c r="K1025" s="44">
        <v>4000000</v>
      </c>
      <c r="L1025" s="43" t="s">
        <v>992</v>
      </c>
      <c r="M1025" s="45">
        <v>46161</v>
      </c>
      <c r="N1025" s="41">
        <v>0</v>
      </c>
      <c r="O1025" s="42"/>
      <c r="P1025" s="46">
        <v>41</v>
      </c>
      <c r="Q1025" s="41">
        <v>0</v>
      </c>
    </row>
    <row r="1026" spans="1:17" ht="12" customHeight="1" x14ac:dyDescent="0.3">
      <c r="A1026" s="39"/>
      <c r="B1026" s="40" t="s">
        <v>2017</v>
      </c>
      <c r="C1026" s="41">
        <v>3000</v>
      </c>
      <c r="D1026" s="42">
        <v>46071</v>
      </c>
      <c r="E1026" s="43" t="s">
        <v>1763</v>
      </c>
      <c r="F1026" s="41">
        <v>3000</v>
      </c>
      <c r="G1026" s="41">
        <v>0</v>
      </c>
      <c r="H1026" s="41">
        <v>3000</v>
      </c>
      <c r="I1026" s="43">
        <v>90</v>
      </c>
      <c r="J1026" s="43">
        <v>9</v>
      </c>
      <c r="K1026" s="44">
        <v>4000000</v>
      </c>
      <c r="L1026" s="43" t="s">
        <v>992</v>
      </c>
      <c r="M1026" s="45">
        <v>46161</v>
      </c>
      <c r="N1026" s="41">
        <v>0</v>
      </c>
      <c r="O1026" s="42"/>
      <c r="P1026" s="46">
        <v>41</v>
      </c>
      <c r="Q1026" s="41">
        <v>0</v>
      </c>
    </row>
    <row r="1027" spans="1:17" ht="12" customHeight="1" x14ac:dyDescent="0.3">
      <c r="A1027" s="39"/>
      <c r="B1027" s="40" t="s">
        <v>2018</v>
      </c>
      <c r="C1027" s="41">
        <v>120</v>
      </c>
      <c r="D1027" s="42">
        <v>46071</v>
      </c>
      <c r="E1027" s="43" t="s">
        <v>1763</v>
      </c>
      <c r="F1027" s="41">
        <v>120</v>
      </c>
      <c r="G1027" s="41">
        <v>0</v>
      </c>
      <c r="H1027" s="41">
        <v>120</v>
      </c>
      <c r="I1027" s="43">
        <v>90</v>
      </c>
      <c r="J1027" s="43">
        <v>9</v>
      </c>
      <c r="K1027" s="44">
        <v>4000000</v>
      </c>
      <c r="L1027" s="43" t="s">
        <v>992</v>
      </c>
      <c r="M1027" s="45">
        <v>46161</v>
      </c>
      <c r="N1027" s="41">
        <v>0</v>
      </c>
      <c r="O1027" s="42"/>
      <c r="P1027" s="46">
        <v>41</v>
      </c>
      <c r="Q1027" s="41">
        <v>0</v>
      </c>
    </row>
    <row r="1028" spans="1:17" ht="12" customHeight="1" x14ac:dyDescent="0.3">
      <c r="A1028" s="39"/>
      <c r="B1028" s="40" t="s">
        <v>2019</v>
      </c>
      <c r="C1028" s="41">
        <v>9192.4500000000007</v>
      </c>
      <c r="D1028" s="42">
        <v>46071</v>
      </c>
      <c r="E1028" s="43" t="s">
        <v>1763</v>
      </c>
      <c r="F1028" s="41">
        <v>9192.4500000000007</v>
      </c>
      <c r="G1028" s="41">
        <v>0</v>
      </c>
      <c r="H1028" s="41">
        <v>9192.4500000000007</v>
      </c>
      <c r="I1028" s="43">
        <v>90</v>
      </c>
      <c r="J1028" s="43">
        <v>9</v>
      </c>
      <c r="K1028" s="44">
        <v>4000000</v>
      </c>
      <c r="L1028" s="43" t="s">
        <v>992</v>
      </c>
      <c r="M1028" s="45">
        <v>46161</v>
      </c>
      <c r="N1028" s="41">
        <v>0</v>
      </c>
      <c r="O1028" s="42"/>
      <c r="P1028" s="46">
        <v>41</v>
      </c>
      <c r="Q1028" s="41">
        <v>0</v>
      </c>
    </row>
    <row r="1029" spans="1:17" ht="12" customHeight="1" x14ac:dyDescent="0.3">
      <c r="A1029" s="39"/>
      <c r="B1029" s="40" t="s">
        <v>2020</v>
      </c>
      <c r="C1029" s="41">
        <v>130000</v>
      </c>
      <c r="D1029" s="42">
        <v>46071</v>
      </c>
      <c r="E1029" s="43" t="s">
        <v>2</v>
      </c>
      <c r="F1029" s="41">
        <v>0</v>
      </c>
      <c r="G1029" s="41">
        <v>0</v>
      </c>
      <c r="H1029" s="41">
        <v>130000</v>
      </c>
      <c r="I1029" s="43">
        <v>90</v>
      </c>
      <c r="J1029" s="43">
        <v>71</v>
      </c>
      <c r="K1029" s="44">
        <v>4000000</v>
      </c>
      <c r="L1029" s="43" t="s">
        <v>992</v>
      </c>
      <c r="M1029" s="45">
        <v>46161</v>
      </c>
      <c r="N1029" s="41">
        <v>130000</v>
      </c>
      <c r="O1029" s="42">
        <v>46089</v>
      </c>
      <c r="P1029" s="46"/>
      <c r="Q1029" s="41">
        <v>130000</v>
      </c>
    </row>
    <row r="1030" spans="1:17" ht="12" customHeight="1" x14ac:dyDescent="0.3">
      <c r="A1030" s="39"/>
      <c r="B1030" s="40" t="s">
        <v>2021</v>
      </c>
      <c r="C1030" s="41">
        <v>250600.5</v>
      </c>
      <c r="D1030" s="42">
        <v>46071</v>
      </c>
      <c r="E1030" s="43" t="s">
        <v>1763</v>
      </c>
      <c r="F1030" s="41">
        <v>250600.5</v>
      </c>
      <c r="G1030" s="41">
        <v>0</v>
      </c>
      <c r="H1030" s="41">
        <v>250600.5</v>
      </c>
      <c r="I1030" s="43">
        <v>90</v>
      </c>
      <c r="J1030" s="43">
        <v>20</v>
      </c>
      <c r="K1030" s="44">
        <v>3000000</v>
      </c>
      <c r="L1030" s="43" t="s">
        <v>992</v>
      </c>
      <c r="M1030" s="45">
        <v>46161</v>
      </c>
      <c r="N1030" s="41">
        <v>0</v>
      </c>
      <c r="O1030" s="42"/>
      <c r="P1030" s="46">
        <v>41</v>
      </c>
      <c r="Q1030" s="41">
        <v>0</v>
      </c>
    </row>
    <row r="1031" spans="1:17" ht="12" customHeight="1" x14ac:dyDescent="0.3">
      <c r="A1031" s="39"/>
      <c r="B1031" s="40" t="s">
        <v>2022</v>
      </c>
      <c r="C1031" s="41">
        <v>225000.01</v>
      </c>
      <c r="D1031" s="42">
        <v>46072</v>
      </c>
      <c r="E1031" s="43" t="s">
        <v>2</v>
      </c>
      <c r="F1031" s="41">
        <v>0</v>
      </c>
      <c r="G1031" s="41">
        <v>0</v>
      </c>
      <c r="H1031" s="41">
        <v>225000.01</v>
      </c>
      <c r="I1031" s="43">
        <v>90</v>
      </c>
      <c r="J1031" s="43">
        <v>116</v>
      </c>
      <c r="K1031" s="44">
        <v>2000000</v>
      </c>
      <c r="L1031" s="43" t="s">
        <v>992</v>
      </c>
      <c r="M1031" s="45">
        <v>46162</v>
      </c>
      <c r="N1031" s="41">
        <v>225000.01</v>
      </c>
      <c r="O1031" s="42">
        <v>46110</v>
      </c>
      <c r="P1031" s="46"/>
      <c r="Q1031" s="41">
        <v>225000.01</v>
      </c>
    </row>
    <row r="1032" spans="1:17" ht="12" customHeight="1" x14ac:dyDescent="0.3">
      <c r="A1032" s="39"/>
      <c r="B1032" s="40" t="s">
        <v>2023</v>
      </c>
      <c r="C1032" s="41">
        <v>160700.10999999999</v>
      </c>
      <c r="D1032" s="42">
        <v>46072</v>
      </c>
      <c r="E1032" s="43" t="s">
        <v>2</v>
      </c>
      <c r="F1032" s="41">
        <v>0</v>
      </c>
      <c r="G1032" s="41">
        <v>0</v>
      </c>
      <c r="H1032" s="41">
        <v>160700.10999999999</v>
      </c>
      <c r="I1032" s="43">
        <v>90</v>
      </c>
      <c r="J1032" s="43">
        <v>197</v>
      </c>
      <c r="K1032" s="44">
        <v>7000000</v>
      </c>
      <c r="L1032" s="43" t="s">
        <v>992</v>
      </c>
      <c r="M1032" s="45">
        <v>46162</v>
      </c>
      <c r="N1032" s="41">
        <v>160700.10999999999</v>
      </c>
      <c r="O1032" s="42">
        <v>46077</v>
      </c>
      <c r="P1032" s="46"/>
      <c r="Q1032" s="41">
        <v>160700.10999999999</v>
      </c>
    </row>
    <row r="1033" spans="1:17" ht="12" customHeight="1" x14ac:dyDescent="0.3">
      <c r="A1033" s="39"/>
      <c r="B1033" s="40" t="s">
        <v>2024</v>
      </c>
      <c r="C1033" s="41">
        <v>150000.20000000001</v>
      </c>
      <c r="D1033" s="42">
        <v>46075</v>
      </c>
      <c r="E1033" s="43" t="s">
        <v>2</v>
      </c>
      <c r="F1033" s="41">
        <v>0</v>
      </c>
      <c r="G1033" s="41">
        <v>0</v>
      </c>
      <c r="H1033" s="41">
        <v>150000.20000000001</v>
      </c>
      <c r="I1033" s="43">
        <v>90</v>
      </c>
      <c r="J1033" s="43">
        <v>8</v>
      </c>
      <c r="K1033" s="44">
        <v>3000000</v>
      </c>
      <c r="L1033" s="43" t="s">
        <v>992</v>
      </c>
      <c r="M1033" s="45">
        <v>46166</v>
      </c>
      <c r="N1033" s="41">
        <v>150000.20000000001</v>
      </c>
      <c r="O1033" s="42">
        <v>46081</v>
      </c>
      <c r="P1033" s="46"/>
      <c r="Q1033" s="41">
        <v>150000.20000000001</v>
      </c>
    </row>
    <row r="1034" spans="1:17" ht="12" customHeight="1" x14ac:dyDescent="0.3">
      <c r="A1034" s="39"/>
      <c r="B1034" s="40" t="s">
        <v>2025</v>
      </c>
      <c r="C1034" s="41">
        <v>35000.01</v>
      </c>
      <c r="D1034" s="42">
        <v>46075</v>
      </c>
      <c r="E1034" s="43" t="s">
        <v>2</v>
      </c>
      <c r="F1034" s="41">
        <v>0</v>
      </c>
      <c r="G1034" s="41">
        <v>0</v>
      </c>
      <c r="H1034" s="41">
        <v>35000.01</v>
      </c>
      <c r="I1034" s="43">
        <v>90</v>
      </c>
      <c r="J1034" s="43">
        <v>116</v>
      </c>
      <c r="K1034" s="44">
        <v>2000000</v>
      </c>
      <c r="L1034" s="43" t="s">
        <v>992</v>
      </c>
      <c r="M1034" s="45">
        <v>46166</v>
      </c>
      <c r="N1034" s="41">
        <v>35000.01</v>
      </c>
      <c r="O1034" s="42">
        <v>46110</v>
      </c>
      <c r="P1034" s="46"/>
      <c r="Q1034" s="41">
        <v>35000.01</v>
      </c>
    </row>
    <row r="1035" spans="1:17" ht="12" customHeight="1" x14ac:dyDescent="0.3">
      <c r="A1035" s="39"/>
      <c r="B1035" s="40" t="s">
        <v>2026</v>
      </c>
      <c r="C1035" s="41">
        <v>70000</v>
      </c>
      <c r="D1035" s="42">
        <v>46076</v>
      </c>
      <c r="E1035" s="43" t="s">
        <v>1763</v>
      </c>
      <c r="F1035" s="41">
        <v>70000</v>
      </c>
      <c r="G1035" s="41">
        <v>0</v>
      </c>
      <c r="H1035" s="41">
        <v>70000</v>
      </c>
      <c r="I1035" s="43">
        <v>90</v>
      </c>
      <c r="J1035" s="43">
        <v>13</v>
      </c>
      <c r="K1035" s="44">
        <v>5000000</v>
      </c>
      <c r="L1035" s="43" t="s">
        <v>992</v>
      </c>
      <c r="M1035" s="45">
        <v>46166</v>
      </c>
      <c r="N1035" s="41">
        <v>0</v>
      </c>
      <c r="O1035" s="42"/>
      <c r="P1035" s="46">
        <v>36</v>
      </c>
      <c r="Q1035" s="41">
        <v>0</v>
      </c>
    </row>
    <row r="1036" spans="1:17" ht="12" customHeight="1" x14ac:dyDescent="0.3">
      <c r="A1036" s="39"/>
      <c r="B1036" s="40" t="s">
        <v>2027</v>
      </c>
      <c r="C1036" s="41">
        <v>75000</v>
      </c>
      <c r="D1036" s="42">
        <v>46077</v>
      </c>
      <c r="E1036" s="43" t="s">
        <v>1763</v>
      </c>
      <c r="F1036" s="41">
        <v>75000</v>
      </c>
      <c r="G1036" s="41">
        <v>0</v>
      </c>
      <c r="H1036" s="41">
        <v>75000</v>
      </c>
      <c r="I1036" s="43">
        <v>90</v>
      </c>
      <c r="J1036" s="43">
        <v>13</v>
      </c>
      <c r="K1036" s="44">
        <v>5000000</v>
      </c>
      <c r="L1036" s="43" t="s">
        <v>992</v>
      </c>
      <c r="M1036" s="45">
        <v>46167</v>
      </c>
      <c r="N1036" s="41">
        <v>0</v>
      </c>
      <c r="O1036" s="42"/>
      <c r="P1036" s="46">
        <v>35</v>
      </c>
      <c r="Q1036" s="41">
        <v>0</v>
      </c>
    </row>
    <row r="1037" spans="1:17" ht="12" customHeight="1" x14ac:dyDescent="0.3">
      <c r="A1037" s="39"/>
      <c r="B1037" s="40" t="s">
        <v>2028</v>
      </c>
      <c r="C1037" s="41">
        <v>352</v>
      </c>
      <c r="D1037" s="42">
        <v>46079</v>
      </c>
      <c r="E1037" s="43" t="s">
        <v>1763</v>
      </c>
      <c r="F1037" s="41">
        <v>352</v>
      </c>
      <c r="G1037" s="41">
        <v>0</v>
      </c>
      <c r="H1037" s="41">
        <v>352</v>
      </c>
      <c r="I1037" s="43">
        <v>90</v>
      </c>
      <c r="J1037" s="43">
        <v>9</v>
      </c>
      <c r="K1037" s="44">
        <v>4000000</v>
      </c>
      <c r="L1037" s="43" t="s">
        <v>992</v>
      </c>
      <c r="M1037" s="45">
        <v>46169</v>
      </c>
      <c r="N1037" s="41">
        <v>0</v>
      </c>
      <c r="O1037" s="42"/>
      <c r="P1037" s="46">
        <v>33</v>
      </c>
      <c r="Q1037" s="41">
        <v>0</v>
      </c>
    </row>
    <row r="1038" spans="1:17" ht="12" customHeight="1" x14ac:dyDescent="0.3">
      <c r="A1038" s="39"/>
      <c r="B1038" s="40" t="s">
        <v>2029</v>
      </c>
      <c r="C1038" s="41">
        <v>2520</v>
      </c>
      <c r="D1038" s="42">
        <v>46079</v>
      </c>
      <c r="E1038" s="43" t="s">
        <v>1763</v>
      </c>
      <c r="F1038" s="41">
        <v>2520</v>
      </c>
      <c r="G1038" s="41">
        <v>0</v>
      </c>
      <c r="H1038" s="41">
        <v>2520</v>
      </c>
      <c r="I1038" s="43">
        <v>90</v>
      </c>
      <c r="J1038" s="43">
        <v>9</v>
      </c>
      <c r="K1038" s="44">
        <v>4000000</v>
      </c>
      <c r="L1038" s="43" t="s">
        <v>992</v>
      </c>
      <c r="M1038" s="45">
        <v>46169</v>
      </c>
      <c r="N1038" s="41">
        <v>0</v>
      </c>
      <c r="O1038" s="42"/>
      <c r="P1038" s="46">
        <v>33</v>
      </c>
      <c r="Q1038" s="41">
        <v>0</v>
      </c>
    </row>
    <row r="1039" spans="1:17" ht="12" customHeight="1" x14ac:dyDescent="0.3">
      <c r="A1039" s="39"/>
      <c r="B1039" s="40" t="s">
        <v>2030</v>
      </c>
      <c r="C1039" s="41">
        <v>400</v>
      </c>
      <c r="D1039" s="42">
        <v>46079</v>
      </c>
      <c r="E1039" s="43" t="s">
        <v>1763</v>
      </c>
      <c r="F1039" s="41">
        <v>400</v>
      </c>
      <c r="G1039" s="41">
        <v>0</v>
      </c>
      <c r="H1039" s="41">
        <v>400</v>
      </c>
      <c r="I1039" s="43">
        <v>90</v>
      </c>
      <c r="J1039" s="43">
        <v>9</v>
      </c>
      <c r="K1039" s="44">
        <v>4000000</v>
      </c>
      <c r="L1039" s="43" t="s">
        <v>992</v>
      </c>
      <c r="M1039" s="45">
        <v>46169</v>
      </c>
      <c r="N1039" s="41">
        <v>0</v>
      </c>
      <c r="O1039" s="42"/>
      <c r="P1039" s="46">
        <v>33</v>
      </c>
      <c r="Q1039" s="41">
        <v>0</v>
      </c>
    </row>
    <row r="1040" spans="1:17" ht="12" customHeight="1" x14ac:dyDescent="0.3">
      <c r="A1040" s="39"/>
      <c r="B1040" s="40" t="s">
        <v>2031</v>
      </c>
      <c r="C1040" s="41">
        <v>420</v>
      </c>
      <c r="D1040" s="42">
        <v>46079</v>
      </c>
      <c r="E1040" s="43" t="s">
        <v>1763</v>
      </c>
      <c r="F1040" s="41">
        <v>420</v>
      </c>
      <c r="G1040" s="41">
        <v>0</v>
      </c>
      <c r="H1040" s="41">
        <v>420</v>
      </c>
      <c r="I1040" s="43">
        <v>90</v>
      </c>
      <c r="J1040" s="43">
        <v>9</v>
      </c>
      <c r="K1040" s="44">
        <v>4000000</v>
      </c>
      <c r="L1040" s="43" t="s">
        <v>992</v>
      </c>
      <c r="M1040" s="45">
        <v>46169</v>
      </c>
      <c r="N1040" s="41">
        <v>0</v>
      </c>
      <c r="O1040" s="42"/>
      <c r="P1040" s="46">
        <v>33</v>
      </c>
      <c r="Q1040" s="41">
        <v>0</v>
      </c>
    </row>
    <row r="1041" spans="1:17" ht="12" customHeight="1" x14ac:dyDescent="0.3">
      <c r="A1041" s="39"/>
      <c r="B1041" s="40" t="s">
        <v>2032</v>
      </c>
      <c r="C1041" s="41">
        <v>336</v>
      </c>
      <c r="D1041" s="42">
        <v>46079</v>
      </c>
      <c r="E1041" s="43" t="s">
        <v>1763</v>
      </c>
      <c r="F1041" s="41">
        <v>336</v>
      </c>
      <c r="G1041" s="41">
        <v>0</v>
      </c>
      <c r="H1041" s="41">
        <v>336</v>
      </c>
      <c r="I1041" s="43">
        <v>90</v>
      </c>
      <c r="J1041" s="43">
        <v>9</v>
      </c>
      <c r="K1041" s="44">
        <v>4000000</v>
      </c>
      <c r="L1041" s="43" t="s">
        <v>992</v>
      </c>
      <c r="M1041" s="45">
        <v>46169</v>
      </c>
      <c r="N1041" s="41">
        <v>0</v>
      </c>
      <c r="O1041" s="42"/>
      <c r="P1041" s="46">
        <v>33</v>
      </c>
      <c r="Q1041" s="41">
        <v>0</v>
      </c>
    </row>
    <row r="1042" spans="1:17" ht="12" customHeight="1" x14ac:dyDescent="0.3">
      <c r="A1042" s="39"/>
      <c r="B1042" s="40" t="s">
        <v>2033</v>
      </c>
      <c r="C1042" s="41">
        <v>490</v>
      </c>
      <c r="D1042" s="42">
        <v>46079</v>
      </c>
      <c r="E1042" s="43" t="s">
        <v>1763</v>
      </c>
      <c r="F1042" s="41">
        <v>490</v>
      </c>
      <c r="G1042" s="41">
        <v>0</v>
      </c>
      <c r="H1042" s="41">
        <v>490</v>
      </c>
      <c r="I1042" s="43">
        <v>90</v>
      </c>
      <c r="J1042" s="43">
        <v>9</v>
      </c>
      <c r="K1042" s="44">
        <v>4000000</v>
      </c>
      <c r="L1042" s="43" t="s">
        <v>992</v>
      </c>
      <c r="M1042" s="45">
        <v>46169</v>
      </c>
      <c r="N1042" s="41">
        <v>0</v>
      </c>
      <c r="O1042" s="42"/>
      <c r="P1042" s="46">
        <v>33</v>
      </c>
      <c r="Q1042" s="41">
        <v>0</v>
      </c>
    </row>
    <row r="1043" spans="1:17" ht="12" customHeight="1" x14ac:dyDescent="0.3">
      <c r="A1043" s="39"/>
      <c r="B1043" s="40" t="s">
        <v>2034</v>
      </c>
      <c r="C1043" s="41">
        <v>300</v>
      </c>
      <c r="D1043" s="42">
        <v>46079</v>
      </c>
      <c r="E1043" s="43" t="s">
        <v>1763</v>
      </c>
      <c r="F1043" s="41">
        <v>300</v>
      </c>
      <c r="G1043" s="41">
        <v>0</v>
      </c>
      <c r="H1043" s="41">
        <v>300</v>
      </c>
      <c r="I1043" s="43">
        <v>90</v>
      </c>
      <c r="J1043" s="43">
        <v>9</v>
      </c>
      <c r="K1043" s="44">
        <v>4000000</v>
      </c>
      <c r="L1043" s="43" t="s">
        <v>992</v>
      </c>
      <c r="M1043" s="45">
        <v>46169</v>
      </c>
      <c r="N1043" s="41">
        <v>0</v>
      </c>
      <c r="O1043" s="42"/>
      <c r="P1043" s="46">
        <v>33</v>
      </c>
      <c r="Q1043" s="41">
        <v>0</v>
      </c>
    </row>
    <row r="1044" spans="1:17" ht="12" customHeight="1" x14ac:dyDescent="0.3">
      <c r="A1044" s="39"/>
      <c r="B1044" s="40" t="s">
        <v>2035</v>
      </c>
      <c r="C1044" s="41">
        <v>3000</v>
      </c>
      <c r="D1044" s="42">
        <v>46079</v>
      </c>
      <c r="E1044" s="43" t="s">
        <v>1763</v>
      </c>
      <c r="F1044" s="41">
        <v>3000</v>
      </c>
      <c r="G1044" s="41">
        <v>0</v>
      </c>
      <c r="H1044" s="41">
        <v>3000</v>
      </c>
      <c r="I1044" s="43">
        <v>90</v>
      </c>
      <c r="J1044" s="43">
        <v>9</v>
      </c>
      <c r="K1044" s="44">
        <v>4000000</v>
      </c>
      <c r="L1044" s="43" t="s">
        <v>992</v>
      </c>
      <c r="M1044" s="45">
        <v>46169</v>
      </c>
      <c r="N1044" s="41">
        <v>0</v>
      </c>
      <c r="O1044" s="42"/>
      <c r="P1044" s="46">
        <v>33</v>
      </c>
      <c r="Q1044" s="41">
        <v>0</v>
      </c>
    </row>
    <row r="1045" spans="1:17" ht="12" customHeight="1" x14ac:dyDescent="0.3">
      <c r="A1045" s="39"/>
      <c r="B1045" s="40" t="s">
        <v>2036</v>
      </c>
      <c r="C1045" s="41">
        <v>1699.72</v>
      </c>
      <c r="D1045" s="42">
        <v>46079</v>
      </c>
      <c r="E1045" s="43" t="s">
        <v>1763</v>
      </c>
      <c r="F1045" s="41">
        <v>1699.72</v>
      </c>
      <c r="G1045" s="41">
        <v>0</v>
      </c>
      <c r="H1045" s="41">
        <v>1699.72</v>
      </c>
      <c r="I1045" s="43">
        <v>90</v>
      </c>
      <c r="J1045" s="43">
        <v>9</v>
      </c>
      <c r="K1045" s="44">
        <v>4000000</v>
      </c>
      <c r="L1045" s="43" t="s">
        <v>992</v>
      </c>
      <c r="M1045" s="45">
        <v>46169</v>
      </c>
      <c r="N1045" s="41">
        <v>0</v>
      </c>
      <c r="O1045" s="42"/>
      <c r="P1045" s="46">
        <v>33</v>
      </c>
      <c r="Q1045" s="41">
        <v>0</v>
      </c>
    </row>
    <row r="1046" spans="1:17" ht="12" customHeight="1" x14ac:dyDescent="0.3">
      <c r="A1046" s="39"/>
      <c r="B1046" s="40" t="s">
        <v>2037</v>
      </c>
      <c r="C1046" s="41">
        <v>200</v>
      </c>
      <c r="D1046" s="42">
        <v>46079</v>
      </c>
      <c r="E1046" s="43" t="s">
        <v>1763</v>
      </c>
      <c r="F1046" s="41">
        <v>200</v>
      </c>
      <c r="G1046" s="41">
        <v>0</v>
      </c>
      <c r="H1046" s="41">
        <v>200</v>
      </c>
      <c r="I1046" s="43">
        <v>90</v>
      </c>
      <c r="J1046" s="43">
        <v>9</v>
      </c>
      <c r="K1046" s="44">
        <v>4000000</v>
      </c>
      <c r="L1046" s="43" t="s">
        <v>992</v>
      </c>
      <c r="M1046" s="45">
        <v>46169</v>
      </c>
      <c r="N1046" s="41">
        <v>0</v>
      </c>
      <c r="O1046" s="42"/>
      <c r="P1046" s="46">
        <v>33</v>
      </c>
      <c r="Q1046" s="41">
        <v>0</v>
      </c>
    </row>
    <row r="1047" spans="1:17" ht="12" customHeight="1" x14ac:dyDescent="0.3">
      <c r="A1047" s="39"/>
      <c r="B1047" s="40" t="s">
        <v>2038</v>
      </c>
      <c r="C1047" s="41">
        <v>793.5</v>
      </c>
      <c r="D1047" s="42">
        <v>46079</v>
      </c>
      <c r="E1047" s="43" t="s">
        <v>1763</v>
      </c>
      <c r="F1047" s="41">
        <v>793.5</v>
      </c>
      <c r="G1047" s="41">
        <v>0</v>
      </c>
      <c r="H1047" s="41">
        <v>793.5</v>
      </c>
      <c r="I1047" s="43">
        <v>90</v>
      </c>
      <c r="J1047" s="43">
        <v>9</v>
      </c>
      <c r="K1047" s="44">
        <v>4000000</v>
      </c>
      <c r="L1047" s="43" t="s">
        <v>992</v>
      </c>
      <c r="M1047" s="45">
        <v>46169</v>
      </c>
      <c r="N1047" s="41">
        <v>0</v>
      </c>
      <c r="O1047" s="42"/>
      <c r="P1047" s="46">
        <v>33</v>
      </c>
      <c r="Q1047" s="41">
        <v>0</v>
      </c>
    </row>
    <row r="1048" spans="1:17" ht="12" customHeight="1" x14ac:dyDescent="0.3">
      <c r="A1048" s="39"/>
      <c r="B1048" s="40" t="s">
        <v>2039</v>
      </c>
      <c r="C1048" s="41">
        <v>168.02</v>
      </c>
      <c r="D1048" s="42">
        <v>46079</v>
      </c>
      <c r="E1048" s="43" t="s">
        <v>1763</v>
      </c>
      <c r="F1048" s="41">
        <v>168.02</v>
      </c>
      <c r="G1048" s="41">
        <v>0</v>
      </c>
      <c r="H1048" s="41">
        <v>168.02</v>
      </c>
      <c r="I1048" s="43">
        <v>90</v>
      </c>
      <c r="J1048" s="43">
        <v>9</v>
      </c>
      <c r="K1048" s="44">
        <v>4000000</v>
      </c>
      <c r="L1048" s="43" t="s">
        <v>992</v>
      </c>
      <c r="M1048" s="45">
        <v>46169</v>
      </c>
      <c r="N1048" s="41">
        <v>0</v>
      </c>
      <c r="O1048" s="42"/>
      <c r="P1048" s="46">
        <v>33</v>
      </c>
      <c r="Q1048" s="41">
        <v>0</v>
      </c>
    </row>
    <row r="1049" spans="1:17" ht="12" customHeight="1" x14ac:dyDescent="0.3">
      <c r="A1049" s="39"/>
      <c r="B1049" s="40" t="s">
        <v>2040</v>
      </c>
      <c r="C1049" s="41">
        <v>155199.95000000001</v>
      </c>
      <c r="D1049" s="42">
        <v>46079</v>
      </c>
      <c r="E1049" s="43" t="s">
        <v>1763</v>
      </c>
      <c r="F1049" s="41">
        <v>155199.95000000001</v>
      </c>
      <c r="G1049" s="41">
        <v>0</v>
      </c>
      <c r="H1049" s="41">
        <v>155199.95000000001</v>
      </c>
      <c r="I1049" s="43">
        <v>90</v>
      </c>
      <c r="J1049" s="43">
        <v>9</v>
      </c>
      <c r="K1049" s="44">
        <v>4000000</v>
      </c>
      <c r="L1049" s="43" t="s">
        <v>992</v>
      </c>
      <c r="M1049" s="45">
        <v>46169</v>
      </c>
      <c r="N1049" s="41">
        <v>0</v>
      </c>
      <c r="O1049" s="42"/>
      <c r="P1049" s="46">
        <v>33</v>
      </c>
      <c r="Q1049" s="41">
        <v>0</v>
      </c>
    </row>
    <row r="1050" spans="1:17" ht="12" customHeight="1" x14ac:dyDescent="0.3">
      <c r="A1050" s="39"/>
      <c r="B1050" s="40" t="s">
        <v>2041</v>
      </c>
      <c r="C1050" s="41">
        <v>450000.04</v>
      </c>
      <c r="D1050" s="42">
        <v>46079</v>
      </c>
      <c r="E1050" s="43" t="s">
        <v>1763</v>
      </c>
      <c r="F1050" s="41">
        <v>450000.04</v>
      </c>
      <c r="G1050" s="41">
        <v>0</v>
      </c>
      <c r="H1050" s="41">
        <v>450000.04</v>
      </c>
      <c r="I1050" s="43">
        <v>90</v>
      </c>
      <c r="J1050" s="43">
        <v>9</v>
      </c>
      <c r="K1050" s="44">
        <v>4000000</v>
      </c>
      <c r="L1050" s="43" t="s">
        <v>992</v>
      </c>
      <c r="M1050" s="45">
        <v>46169</v>
      </c>
      <c r="N1050" s="41">
        <v>0</v>
      </c>
      <c r="O1050" s="42"/>
      <c r="P1050" s="46">
        <v>33</v>
      </c>
      <c r="Q1050" s="41">
        <v>0</v>
      </c>
    </row>
    <row r="1051" spans="1:17" ht="12" customHeight="1" x14ac:dyDescent="0.3">
      <c r="A1051" s="39"/>
      <c r="B1051" s="40" t="s">
        <v>2042</v>
      </c>
      <c r="C1051" s="41">
        <v>400000</v>
      </c>
      <c r="D1051" s="42">
        <v>46079</v>
      </c>
      <c r="E1051" s="43" t="s">
        <v>2</v>
      </c>
      <c r="F1051" s="41">
        <v>0</v>
      </c>
      <c r="G1051" s="41">
        <v>0</v>
      </c>
      <c r="H1051" s="41">
        <v>400000</v>
      </c>
      <c r="I1051" s="43">
        <v>90</v>
      </c>
      <c r="J1051" s="43">
        <v>71</v>
      </c>
      <c r="K1051" s="44">
        <v>4000000</v>
      </c>
      <c r="L1051" s="43" t="s">
        <v>992</v>
      </c>
      <c r="M1051" s="45">
        <v>46169</v>
      </c>
      <c r="N1051" s="41">
        <v>400000</v>
      </c>
      <c r="O1051" s="42">
        <v>46092</v>
      </c>
      <c r="P1051" s="46"/>
      <c r="Q1051" s="41">
        <v>400000</v>
      </c>
    </row>
    <row r="1052" spans="1:17" ht="12" customHeight="1" x14ac:dyDescent="0.3">
      <c r="A1052" s="39"/>
      <c r="B1052" s="40" t="s">
        <v>2043</v>
      </c>
      <c r="C1052" s="41">
        <v>500000</v>
      </c>
      <c r="D1052" s="42">
        <v>46079</v>
      </c>
      <c r="E1052" s="43" t="s">
        <v>2</v>
      </c>
      <c r="F1052" s="41">
        <v>0</v>
      </c>
      <c r="G1052" s="41">
        <v>0</v>
      </c>
      <c r="H1052" s="41">
        <v>500000</v>
      </c>
      <c r="I1052" s="43">
        <v>90</v>
      </c>
      <c r="J1052" s="43">
        <v>116</v>
      </c>
      <c r="K1052" s="44">
        <v>3300000</v>
      </c>
      <c r="L1052" s="43" t="s">
        <v>992</v>
      </c>
      <c r="M1052" s="45">
        <v>46169</v>
      </c>
      <c r="N1052" s="41">
        <v>500000</v>
      </c>
      <c r="O1052" s="42">
        <v>46112</v>
      </c>
      <c r="P1052" s="46"/>
      <c r="Q1052" s="41">
        <v>500000</v>
      </c>
    </row>
    <row r="1053" spans="1:17" ht="12" customHeight="1" x14ac:dyDescent="0.3">
      <c r="A1053" s="39"/>
      <c r="B1053" s="40" t="s">
        <v>2044</v>
      </c>
      <c r="C1053" s="41">
        <v>879750.05</v>
      </c>
      <c r="D1053" s="42">
        <v>46077</v>
      </c>
      <c r="E1053" s="43" t="s">
        <v>2</v>
      </c>
      <c r="F1053" s="41">
        <v>0</v>
      </c>
      <c r="G1053" s="41">
        <v>0</v>
      </c>
      <c r="H1053" s="41">
        <v>879750.05</v>
      </c>
      <c r="I1053" s="43">
        <v>90</v>
      </c>
      <c r="J1053" s="43">
        <v>197</v>
      </c>
      <c r="K1053" s="44">
        <v>7000000</v>
      </c>
      <c r="L1053" s="43" t="s">
        <v>992</v>
      </c>
      <c r="M1053" s="45">
        <v>46167</v>
      </c>
      <c r="N1053" s="41">
        <v>879750.05</v>
      </c>
      <c r="O1053" s="42">
        <v>46077</v>
      </c>
      <c r="P1053" s="46"/>
      <c r="Q1053" s="41">
        <v>879750.05</v>
      </c>
    </row>
    <row r="1054" spans="1:17" ht="12" customHeight="1" x14ac:dyDescent="0.3">
      <c r="A1054" s="39"/>
      <c r="B1054" s="40" t="s">
        <v>2045</v>
      </c>
      <c r="C1054" s="41">
        <v>900036</v>
      </c>
      <c r="D1054" s="42">
        <v>46077</v>
      </c>
      <c r="E1054" s="43" t="s">
        <v>2</v>
      </c>
      <c r="F1054" s="41">
        <v>0</v>
      </c>
      <c r="G1054" s="41">
        <v>0</v>
      </c>
      <c r="H1054" s="41">
        <v>900036</v>
      </c>
      <c r="I1054" s="43">
        <v>90</v>
      </c>
      <c r="J1054" s="43">
        <v>197</v>
      </c>
      <c r="K1054" s="44">
        <v>7000000</v>
      </c>
      <c r="L1054" s="43" t="s">
        <v>992</v>
      </c>
      <c r="M1054" s="45">
        <v>46167</v>
      </c>
      <c r="N1054" s="41">
        <v>900036</v>
      </c>
      <c r="O1054" s="42">
        <v>46077</v>
      </c>
      <c r="P1054" s="46"/>
      <c r="Q1054" s="41">
        <v>900036</v>
      </c>
    </row>
    <row r="1055" spans="1:17" ht="12" customHeight="1" x14ac:dyDescent="0.3">
      <c r="A1055" s="39"/>
      <c r="B1055" s="40" t="s">
        <v>2046</v>
      </c>
      <c r="C1055" s="41">
        <v>839960</v>
      </c>
      <c r="D1055" s="42">
        <v>46077</v>
      </c>
      <c r="E1055" s="43" t="s">
        <v>2</v>
      </c>
      <c r="F1055" s="41">
        <v>0</v>
      </c>
      <c r="G1055" s="41">
        <v>0</v>
      </c>
      <c r="H1055" s="41">
        <v>839960</v>
      </c>
      <c r="I1055" s="43">
        <v>90</v>
      </c>
      <c r="J1055" s="43">
        <v>197</v>
      </c>
      <c r="K1055" s="44">
        <v>7000000</v>
      </c>
      <c r="L1055" s="43" t="s">
        <v>992</v>
      </c>
      <c r="M1055" s="45">
        <v>46167</v>
      </c>
      <c r="N1055" s="41">
        <v>839960</v>
      </c>
      <c r="O1055" s="42">
        <v>46077</v>
      </c>
      <c r="P1055" s="46"/>
      <c r="Q1055" s="41">
        <v>839960</v>
      </c>
    </row>
    <row r="1056" spans="1:17" ht="12" customHeight="1" x14ac:dyDescent="0.3">
      <c r="A1056" s="39"/>
      <c r="B1056" s="40" t="s">
        <v>2047</v>
      </c>
      <c r="C1056" s="41">
        <v>949900</v>
      </c>
      <c r="D1056" s="42">
        <v>46077</v>
      </c>
      <c r="E1056" s="43" t="s">
        <v>2</v>
      </c>
      <c r="F1056" s="41">
        <v>0</v>
      </c>
      <c r="G1056" s="41">
        <v>0</v>
      </c>
      <c r="H1056" s="41">
        <v>949900</v>
      </c>
      <c r="I1056" s="43">
        <v>90</v>
      </c>
      <c r="J1056" s="43">
        <v>197</v>
      </c>
      <c r="K1056" s="44">
        <v>7000000</v>
      </c>
      <c r="L1056" s="43" t="s">
        <v>992</v>
      </c>
      <c r="M1056" s="45">
        <v>46167</v>
      </c>
      <c r="N1056" s="41">
        <v>949900</v>
      </c>
      <c r="O1056" s="42">
        <v>46078</v>
      </c>
      <c r="P1056" s="46"/>
      <c r="Q1056" s="41">
        <v>949900</v>
      </c>
    </row>
    <row r="1057" spans="1:17" ht="12" customHeight="1" x14ac:dyDescent="0.3">
      <c r="A1057" s="39"/>
      <c r="B1057" s="40" t="s">
        <v>2048</v>
      </c>
      <c r="C1057" s="41">
        <v>800377</v>
      </c>
      <c r="D1057" s="42">
        <v>46077</v>
      </c>
      <c r="E1057" s="43" t="s">
        <v>2</v>
      </c>
      <c r="F1057" s="41">
        <v>0</v>
      </c>
      <c r="G1057" s="41">
        <v>0</v>
      </c>
      <c r="H1057" s="41">
        <v>800377</v>
      </c>
      <c r="I1057" s="43">
        <v>90</v>
      </c>
      <c r="J1057" s="43">
        <v>197</v>
      </c>
      <c r="K1057" s="44">
        <v>7000000</v>
      </c>
      <c r="L1057" s="43" t="s">
        <v>992</v>
      </c>
      <c r="M1057" s="45">
        <v>46167</v>
      </c>
      <c r="N1057" s="41">
        <v>800377</v>
      </c>
      <c r="O1057" s="42">
        <v>46078</v>
      </c>
      <c r="P1057" s="46"/>
      <c r="Q1057" s="41">
        <v>800377</v>
      </c>
    </row>
    <row r="1058" spans="1:17" ht="12" customHeight="1" x14ac:dyDescent="0.3">
      <c r="A1058" s="39"/>
      <c r="B1058" s="40" t="s">
        <v>2049</v>
      </c>
      <c r="C1058" s="41">
        <v>971865</v>
      </c>
      <c r="D1058" s="42">
        <v>46077</v>
      </c>
      <c r="E1058" s="43" t="s">
        <v>2</v>
      </c>
      <c r="F1058" s="41">
        <v>0</v>
      </c>
      <c r="G1058" s="41">
        <v>0</v>
      </c>
      <c r="H1058" s="41">
        <v>971865</v>
      </c>
      <c r="I1058" s="43">
        <v>90</v>
      </c>
      <c r="J1058" s="43">
        <v>197</v>
      </c>
      <c r="K1058" s="44">
        <v>7000000</v>
      </c>
      <c r="L1058" s="43" t="s">
        <v>992</v>
      </c>
      <c r="M1058" s="45">
        <v>46167</v>
      </c>
      <c r="N1058" s="41">
        <v>971865</v>
      </c>
      <c r="O1058" s="42">
        <v>46078</v>
      </c>
      <c r="P1058" s="46"/>
      <c r="Q1058" s="41">
        <v>971865</v>
      </c>
    </row>
    <row r="1059" spans="1:17" ht="12" customHeight="1" x14ac:dyDescent="0.3">
      <c r="A1059" s="39"/>
      <c r="B1059" s="40" t="s">
        <v>2050</v>
      </c>
      <c r="C1059" s="41">
        <v>650026</v>
      </c>
      <c r="D1059" s="42">
        <v>46077</v>
      </c>
      <c r="E1059" s="43" t="s">
        <v>2</v>
      </c>
      <c r="F1059" s="41">
        <v>0</v>
      </c>
      <c r="G1059" s="41">
        <v>0</v>
      </c>
      <c r="H1059" s="41">
        <v>650026</v>
      </c>
      <c r="I1059" s="43">
        <v>90</v>
      </c>
      <c r="J1059" s="43">
        <v>197</v>
      </c>
      <c r="K1059" s="44">
        <v>7000000</v>
      </c>
      <c r="L1059" s="43" t="s">
        <v>992</v>
      </c>
      <c r="M1059" s="45">
        <v>46167</v>
      </c>
      <c r="N1059" s="41">
        <v>650026</v>
      </c>
      <c r="O1059" s="42">
        <v>46078</v>
      </c>
      <c r="P1059" s="46"/>
      <c r="Q1059" s="41">
        <v>650026</v>
      </c>
    </row>
    <row r="1060" spans="1:17" ht="12" customHeight="1" x14ac:dyDescent="0.3">
      <c r="A1060" s="39"/>
      <c r="B1060" s="40" t="s">
        <v>2051</v>
      </c>
      <c r="C1060" s="41">
        <v>874000</v>
      </c>
      <c r="D1060" s="42">
        <v>46079</v>
      </c>
      <c r="E1060" s="43" t="s">
        <v>2</v>
      </c>
      <c r="F1060" s="41">
        <v>0</v>
      </c>
      <c r="G1060" s="41">
        <v>0</v>
      </c>
      <c r="H1060" s="41">
        <v>874000</v>
      </c>
      <c r="I1060" s="43">
        <v>90</v>
      </c>
      <c r="J1060" s="43">
        <v>197</v>
      </c>
      <c r="K1060" s="44">
        <v>7000000</v>
      </c>
      <c r="L1060" s="43" t="s">
        <v>992</v>
      </c>
      <c r="M1060" s="45">
        <v>46169</v>
      </c>
      <c r="N1060" s="41">
        <v>874000</v>
      </c>
      <c r="O1060" s="42">
        <v>46092</v>
      </c>
      <c r="P1060" s="46"/>
      <c r="Q1060" s="41">
        <v>874000</v>
      </c>
    </row>
    <row r="1061" spans="1:17" ht="12" customHeight="1" x14ac:dyDescent="0.3">
      <c r="A1061" s="39"/>
      <c r="B1061" s="40" t="s">
        <v>2052</v>
      </c>
      <c r="C1061" s="41">
        <v>834900</v>
      </c>
      <c r="D1061" s="42">
        <v>46079</v>
      </c>
      <c r="E1061" s="43" t="s">
        <v>2</v>
      </c>
      <c r="F1061" s="41">
        <v>0</v>
      </c>
      <c r="G1061" s="41">
        <v>0</v>
      </c>
      <c r="H1061" s="41">
        <v>834900</v>
      </c>
      <c r="I1061" s="43">
        <v>90</v>
      </c>
      <c r="J1061" s="43">
        <v>197</v>
      </c>
      <c r="K1061" s="44">
        <v>7000000</v>
      </c>
      <c r="L1061" s="43" t="s">
        <v>992</v>
      </c>
      <c r="M1061" s="45">
        <v>46169</v>
      </c>
      <c r="N1061" s="41">
        <v>834900</v>
      </c>
      <c r="O1061" s="42">
        <v>46092</v>
      </c>
      <c r="P1061" s="46"/>
      <c r="Q1061" s="41">
        <v>834900</v>
      </c>
    </row>
    <row r="1062" spans="1:17" ht="12" customHeight="1" x14ac:dyDescent="0.3">
      <c r="A1062" s="39"/>
      <c r="B1062" s="40" t="s">
        <v>2053</v>
      </c>
      <c r="C1062" s="41">
        <v>927360</v>
      </c>
      <c r="D1062" s="42">
        <v>46079</v>
      </c>
      <c r="E1062" s="43" t="s">
        <v>2</v>
      </c>
      <c r="F1062" s="41">
        <v>0</v>
      </c>
      <c r="G1062" s="41">
        <v>0</v>
      </c>
      <c r="H1062" s="41">
        <v>927360</v>
      </c>
      <c r="I1062" s="43">
        <v>90</v>
      </c>
      <c r="J1062" s="43">
        <v>197</v>
      </c>
      <c r="K1062" s="44">
        <v>7000000</v>
      </c>
      <c r="L1062" s="43" t="s">
        <v>992</v>
      </c>
      <c r="M1062" s="45">
        <v>46169</v>
      </c>
      <c r="N1062" s="41">
        <v>927360</v>
      </c>
      <c r="O1062" s="42">
        <v>46092</v>
      </c>
      <c r="P1062" s="46"/>
      <c r="Q1062" s="41">
        <v>927360</v>
      </c>
    </row>
    <row r="1063" spans="1:17" ht="12" customHeight="1" x14ac:dyDescent="0.3">
      <c r="A1063" s="39"/>
      <c r="B1063" s="40" t="s">
        <v>2054</v>
      </c>
      <c r="C1063" s="41">
        <v>572700</v>
      </c>
      <c r="D1063" s="42">
        <v>46079</v>
      </c>
      <c r="E1063" s="43" t="s">
        <v>2</v>
      </c>
      <c r="F1063" s="41">
        <v>0</v>
      </c>
      <c r="G1063" s="41">
        <v>0</v>
      </c>
      <c r="H1063" s="41">
        <v>572700</v>
      </c>
      <c r="I1063" s="43">
        <v>90</v>
      </c>
      <c r="J1063" s="43">
        <v>197</v>
      </c>
      <c r="K1063" s="44">
        <v>7000000</v>
      </c>
      <c r="L1063" s="43" t="s">
        <v>992</v>
      </c>
      <c r="M1063" s="45">
        <v>46169</v>
      </c>
      <c r="N1063" s="41">
        <v>572700</v>
      </c>
      <c r="O1063" s="42">
        <v>46092</v>
      </c>
      <c r="P1063" s="46"/>
      <c r="Q1063" s="41">
        <v>572700</v>
      </c>
    </row>
    <row r="1064" spans="1:17" ht="12" customHeight="1" x14ac:dyDescent="0.3">
      <c r="A1064" s="39"/>
      <c r="B1064" s="40" t="s">
        <v>2055</v>
      </c>
      <c r="C1064" s="41">
        <v>599126.43000000005</v>
      </c>
      <c r="D1064" s="42">
        <v>46079</v>
      </c>
      <c r="E1064" s="43" t="s">
        <v>2</v>
      </c>
      <c r="F1064" s="41">
        <v>0</v>
      </c>
      <c r="G1064" s="41">
        <v>0</v>
      </c>
      <c r="H1064" s="41">
        <v>599126.43000000005</v>
      </c>
      <c r="I1064" s="43">
        <v>90</v>
      </c>
      <c r="J1064" s="43">
        <v>197</v>
      </c>
      <c r="K1064" s="44">
        <v>7000000</v>
      </c>
      <c r="L1064" s="43" t="s">
        <v>992</v>
      </c>
      <c r="M1064" s="45">
        <v>46169</v>
      </c>
      <c r="N1064" s="41">
        <v>599126.43000000005</v>
      </c>
      <c r="O1064" s="42">
        <v>46092</v>
      </c>
      <c r="P1064" s="46"/>
      <c r="Q1064" s="41">
        <v>599126.43000000005</v>
      </c>
    </row>
    <row r="1065" spans="1:17" ht="12" customHeight="1" x14ac:dyDescent="0.3">
      <c r="A1065" s="39"/>
      <c r="B1065" s="40" t="s">
        <v>2056</v>
      </c>
      <c r="C1065" s="41">
        <v>100044.06</v>
      </c>
      <c r="D1065" s="42">
        <v>46079</v>
      </c>
      <c r="E1065" s="43" t="s">
        <v>1763</v>
      </c>
      <c r="F1065" s="41">
        <v>100044.06</v>
      </c>
      <c r="G1065" s="41">
        <v>0</v>
      </c>
      <c r="H1065" s="41">
        <v>100044.06</v>
      </c>
      <c r="I1065" s="43">
        <v>90</v>
      </c>
      <c r="J1065" s="43">
        <v>20</v>
      </c>
      <c r="K1065" s="44">
        <v>3000000</v>
      </c>
      <c r="L1065" s="43" t="s">
        <v>992</v>
      </c>
      <c r="M1065" s="45">
        <v>46169</v>
      </c>
      <c r="N1065" s="41">
        <v>0</v>
      </c>
      <c r="O1065" s="42"/>
      <c r="P1065" s="46">
        <v>33</v>
      </c>
      <c r="Q1065" s="41">
        <v>0</v>
      </c>
    </row>
    <row r="1066" spans="1:17" ht="12" customHeight="1" x14ac:dyDescent="0.3">
      <c r="A1066" s="39"/>
      <c r="B1066" s="40" t="s">
        <v>2057</v>
      </c>
      <c r="C1066" s="41">
        <v>150000.20000000001</v>
      </c>
      <c r="D1066" s="42">
        <v>46079</v>
      </c>
      <c r="E1066" s="43" t="s">
        <v>2</v>
      </c>
      <c r="F1066" s="41">
        <v>0</v>
      </c>
      <c r="G1066" s="41">
        <v>0</v>
      </c>
      <c r="H1066" s="41">
        <v>150000.20000000001</v>
      </c>
      <c r="I1066" s="43">
        <v>90</v>
      </c>
      <c r="J1066" s="43">
        <v>8</v>
      </c>
      <c r="K1066" s="44">
        <v>3000000</v>
      </c>
      <c r="L1066" s="43" t="s">
        <v>992</v>
      </c>
      <c r="M1066" s="45">
        <v>46169</v>
      </c>
      <c r="N1066" s="41">
        <v>150000.20000000001</v>
      </c>
      <c r="O1066" s="42">
        <v>46081</v>
      </c>
      <c r="P1066" s="46"/>
      <c r="Q1066" s="41">
        <v>150000.20000000001</v>
      </c>
    </row>
    <row r="1067" spans="1:17" ht="12" customHeight="1" x14ac:dyDescent="0.3">
      <c r="A1067" s="39"/>
      <c r="B1067" s="40" t="s">
        <v>2058</v>
      </c>
      <c r="C1067" s="41">
        <v>792509.5</v>
      </c>
      <c r="D1067" s="42">
        <v>46080</v>
      </c>
      <c r="E1067" s="43" t="s">
        <v>2</v>
      </c>
      <c r="F1067" s="41">
        <v>0</v>
      </c>
      <c r="G1067" s="41">
        <v>0</v>
      </c>
      <c r="H1067" s="41">
        <v>792509.5</v>
      </c>
      <c r="I1067" s="43">
        <v>90</v>
      </c>
      <c r="J1067" s="43">
        <v>197</v>
      </c>
      <c r="K1067" s="44">
        <v>7000000</v>
      </c>
      <c r="L1067" s="43" t="s">
        <v>992</v>
      </c>
      <c r="M1067" s="45">
        <v>46170</v>
      </c>
      <c r="N1067" s="41">
        <v>792509.5</v>
      </c>
      <c r="O1067" s="42">
        <v>46111</v>
      </c>
      <c r="P1067" s="46"/>
      <c r="Q1067" s="41">
        <v>792509.5</v>
      </c>
    </row>
    <row r="1068" spans="1:17" ht="12" customHeight="1" x14ac:dyDescent="0.3">
      <c r="A1068" s="39"/>
      <c r="B1068" s="40" t="s">
        <v>2059</v>
      </c>
      <c r="C1068" s="41">
        <v>908500</v>
      </c>
      <c r="D1068" s="42">
        <v>46080</v>
      </c>
      <c r="E1068" s="43" t="s">
        <v>2</v>
      </c>
      <c r="F1068" s="41">
        <v>0</v>
      </c>
      <c r="G1068" s="41">
        <v>0</v>
      </c>
      <c r="H1068" s="41">
        <v>908500</v>
      </c>
      <c r="I1068" s="43">
        <v>90</v>
      </c>
      <c r="J1068" s="43">
        <v>197</v>
      </c>
      <c r="K1068" s="44">
        <v>7000000</v>
      </c>
      <c r="L1068" s="43" t="s">
        <v>992</v>
      </c>
      <c r="M1068" s="45">
        <v>46170</v>
      </c>
      <c r="N1068" s="41">
        <v>908500</v>
      </c>
      <c r="O1068" s="42">
        <v>46111</v>
      </c>
      <c r="P1068" s="46"/>
      <c r="Q1068" s="41">
        <v>908500</v>
      </c>
    </row>
    <row r="1069" spans="1:17" ht="12" customHeight="1" x14ac:dyDescent="0.3">
      <c r="A1069" s="39"/>
      <c r="B1069" s="40" t="s">
        <v>2060</v>
      </c>
      <c r="C1069" s="41">
        <v>923956</v>
      </c>
      <c r="D1069" s="42">
        <v>46080</v>
      </c>
      <c r="E1069" s="43" t="s">
        <v>2</v>
      </c>
      <c r="F1069" s="41">
        <v>0</v>
      </c>
      <c r="G1069" s="41">
        <v>0</v>
      </c>
      <c r="H1069" s="41">
        <v>923956</v>
      </c>
      <c r="I1069" s="43">
        <v>90</v>
      </c>
      <c r="J1069" s="43">
        <v>197</v>
      </c>
      <c r="K1069" s="44">
        <v>7000000</v>
      </c>
      <c r="L1069" s="43" t="s">
        <v>992</v>
      </c>
      <c r="M1069" s="45">
        <v>46170</v>
      </c>
      <c r="N1069" s="41">
        <v>923956</v>
      </c>
      <c r="O1069" s="42">
        <v>46111</v>
      </c>
      <c r="P1069" s="46"/>
      <c r="Q1069" s="41">
        <v>923956</v>
      </c>
    </row>
    <row r="1070" spans="1:17" ht="12" customHeight="1" x14ac:dyDescent="0.3">
      <c r="A1070" s="39"/>
      <c r="B1070" s="40" t="s">
        <v>2061</v>
      </c>
      <c r="C1070" s="41">
        <v>875035</v>
      </c>
      <c r="D1070" s="42">
        <v>46080</v>
      </c>
      <c r="E1070" s="43" t="s">
        <v>2</v>
      </c>
      <c r="F1070" s="41">
        <v>0</v>
      </c>
      <c r="G1070" s="41">
        <v>0</v>
      </c>
      <c r="H1070" s="41">
        <v>875035</v>
      </c>
      <c r="I1070" s="43">
        <v>90</v>
      </c>
      <c r="J1070" s="43">
        <v>197</v>
      </c>
      <c r="K1070" s="44">
        <v>7000000</v>
      </c>
      <c r="L1070" s="43" t="s">
        <v>992</v>
      </c>
      <c r="M1070" s="45">
        <v>46170</v>
      </c>
      <c r="N1070" s="41">
        <v>875035</v>
      </c>
      <c r="O1070" s="42">
        <v>46111</v>
      </c>
      <c r="P1070" s="46"/>
      <c r="Q1070" s="41">
        <v>875035</v>
      </c>
    </row>
    <row r="1071" spans="1:17" ht="12" customHeight="1" x14ac:dyDescent="0.3">
      <c r="A1071" s="39"/>
      <c r="B1071" s="40" t="s">
        <v>2062</v>
      </c>
      <c r="C1071" s="41">
        <v>800000</v>
      </c>
      <c r="D1071" s="42">
        <v>46080</v>
      </c>
      <c r="E1071" s="43" t="s">
        <v>1763</v>
      </c>
      <c r="F1071" s="41">
        <v>299999.84000000003</v>
      </c>
      <c r="G1071" s="41">
        <v>0</v>
      </c>
      <c r="H1071" s="41">
        <v>800000</v>
      </c>
      <c r="I1071" s="43">
        <v>90</v>
      </c>
      <c r="J1071" s="43">
        <v>116</v>
      </c>
      <c r="K1071" s="44">
        <v>3300000</v>
      </c>
      <c r="L1071" s="43" t="s">
        <v>992</v>
      </c>
      <c r="M1071" s="45">
        <v>46170</v>
      </c>
      <c r="N1071" s="41">
        <v>500000.16</v>
      </c>
      <c r="O1071" s="42">
        <v>46112</v>
      </c>
      <c r="P1071" s="46">
        <v>32</v>
      </c>
      <c r="Q1071" s="41">
        <v>500000.16</v>
      </c>
    </row>
    <row r="1072" spans="1:17" ht="12" customHeight="1" x14ac:dyDescent="0.3">
      <c r="A1072" s="39"/>
      <c r="B1072" s="40" t="s">
        <v>2063</v>
      </c>
      <c r="C1072" s="41">
        <v>100108.9</v>
      </c>
      <c r="D1072" s="42">
        <v>46080</v>
      </c>
      <c r="E1072" s="43" t="s">
        <v>1763</v>
      </c>
      <c r="F1072" s="41">
        <v>100108.9</v>
      </c>
      <c r="G1072" s="41">
        <v>0</v>
      </c>
      <c r="H1072" s="41">
        <v>100108.9</v>
      </c>
      <c r="I1072" s="43">
        <v>90</v>
      </c>
      <c r="J1072" s="43">
        <v>20</v>
      </c>
      <c r="K1072" s="44">
        <v>3000000</v>
      </c>
      <c r="L1072" s="43" t="s">
        <v>992</v>
      </c>
      <c r="M1072" s="45">
        <v>46170</v>
      </c>
      <c r="N1072" s="41">
        <v>0</v>
      </c>
      <c r="O1072" s="42"/>
      <c r="P1072" s="46">
        <v>32</v>
      </c>
      <c r="Q1072" s="41">
        <v>0</v>
      </c>
    </row>
    <row r="1073" spans="1:17" ht="12" customHeight="1" x14ac:dyDescent="0.3">
      <c r="A1073" s="39"/>
      <c r="B1073" s="40" t="s">
        <v>2064</v>
      </c>
      <c r="C1073" s="41">
        <v>85000</v>
      </c>
      <c r="D1073" s="42">
        <v>46080</v>
      </c>
      <c r="E1073" s="43" t="s">
        <v>2</v>
      </c>
      <c r="F1073" s="41">
        <v>0</v>
      </c>
      <c r="G1073" s="41">
        <v>0</v>
      </c>
      <c r="H1073" s="41">
        <v>85000</v>
      </c>
      <c r="I1073" s="43">
        <v>90</v>
      </c>
      <c r="J1073" s="43">
        <v>71</v>
      </c>
      <c r="K1073" s="44">
        <v>4000000</v>
      </c>
      <c r="L1073" s="43" t="s">
        <v>992</v>
      </c>
      <c r="M1073" s="45">
        <v>46170</v>
      </c>
      <c r="N1073" s="41">
        <v>85000</v>
      </c>
      <c r="O1073" s="42">
        <v>46092</v>
      </c>
      <c r="P1073" s="46"/>
      <c r="Q1073" s="41">
        <v>85000</v>
      </c>
    </row>
    <row r="1074" spans="1:17" ht="12" customHeight="1" x14ac:dyDescent="0.3">
      <c r="A1074" s="39"/>
      <c r="B1074" s="40" t="s">
        <v>2065</v>
      </c>
      <c r="C1074" s="41">
        <v>500000</v>
      </c>
      <c r="D1074" s="42">
        <v>46080</v>
      </c>
      <c r="E1074" s="43" t="s">
        <v>2</v>
      </c>
      <c r="F1074" s="41">
        <v>0</v>
      </c>
      <c r="G1074" s="41">
        <v>0</v>
      </c>
      <c r="H1074" s="41">
        <v>500000</v>
      </c>
      <c r="I1074" s="43">
        <v>90</v>
      </c>
      <c r="J1074" s="43">
        <v>71</v>
      </c>
      <c r="K1074" s="44">
        <v>4000000</v>
      </c>
      <c r="L1074" s="43" t="s">
        <v>992</v>
      </c>
      <c r="M1074" s="45">
        <v>46170</v>
      </c>
      <c r="N1074" s="41">
        <v>500000</v>
      </c>
      <c r="O1074" s="42">
        <v>46105</v>
      </c>
      <c r="P1074" s="46"/>
      <c r="Q1074" s="41">
        <v>500000</v>
      </c>
    </row>
    <row r="1075" spans="1:17" ht="12" customHeight="1" x14ac:dyDescent="0.3">
      <c r="A1075" s="39"/>
      <c r="B1075" s="40" t="s">
        <v>2066</v>
      </c>
      <c r="C1075" s="41">
        <v>500000</v>
      </c>
      <c r="D1075" s="42">
        <v>46080</v>
      </c>
      <c r="E1075" s="43" t="s">
        <v>2</v>
      </c>
      <c r="F1075" s="41">
        <v>0</v>
      </c>
      <c r="G1075" s="41">
        <v>0</v>
      </c>
      <c r="H1075" s="41">
        <v>500000</v>
      </c>
      <c r="I1075" s="43">
        <v>90</v>
      </c>
      <c r="J1075" s="43">
        <v>71</v>
      </c>
      <c r="K1075" s="44">
        <v>4000000</v>
      </c>
      <c r="L1075" s="43" t="s">
        <v>992</v>
      </c>
      <c r="M1075" s="45">
        <v>46170</v>
      </c>
      <c r="N1075" s="41">
        <v>500000</v>
      </c>
      <c r="O1075" s="42">
        <v>46106</v>
      </c>
      <c r="P1075" s="46"/>
      <c r="Q1075" s="41">
        <v>500000</v>
      </c>
    </row>
    <row r="1076" spans="1:17" ht="12" customHeight="1" x14ac:dyDescent="0.3">
      <c r="A1076" s="39"/>
      <c r="B1076" s="40" t="s">
        <v>2067</v>
      </c>
      <c r="C1076" s="41">
        <v>500000</v>
      </c>
      <c r="D1076" s="42">
        <v>46080</v>
      </c>
      <c r="E1076" s="43" t="s">
        <v>2</v>
      </c>
      <c r="F1076" s="41">
        <v>0</v>
      </c>
      <c r="G1076" s="41">
        <v>0</v>
      </c>
      <c r="H1076" s="41">
        <v>500000</v>
      </c>
      <c r="I1076" s="43">
        <v>90</v>
      </c>
      <c r="J1076" s="43">
        <v>71</v>
      </c>
      <c r="K1076" s="44">
        <v>4000000</v>
      </c>
      <c r="L1076" s="43" t="s">
        <v>992</v>
      </c>
      <c r="M1076" s="45">
        <v>46170</v>
      </c>
      <c r="N1076" s="41">
        <v>500000</v>
      </c>
      <c r="O1076" s="42">
        <v>46106</v>
      </c>
      <c r="P1076" s="46"/>
      <c r="Q1076" s="41">
        <v>500000</v>
      </c>
    </row>
    <row r="1077" spans="1:17" ht="12" customHeight="1" x14ac:dyDescent="0.3">
      <c r="A1077" s="39"/>
      <c r="B1077" s="40" t="s">
        <v>2068</v>
      </c>
      <c r="C1077" s="41">
        <v>500000</v>
      </c>
      <c r="D1077" s="42">
        <v>46080</v>
      </c>
      <c r="E1077" s="43" t="s">
        <v>2</v>
      </c>
      <c r="F1077" s="41">
        <v>0</v>
      </c>
      <c r="G1077" s="41">
        <v>0</v>
      </c>
      <c r="H1077" s="41">
        <v>500000</v>
      </c>
      <c r="I1077" s="43">
        <v>90</v>
      </c>
      <c r="J1077" s="43">
        <v>71</v>
      </c>
      <c r="K1077" s="44">
        <v>4000000</v>
      </c>
      <c r="L1077" s="43" t="s">
        <v>992</v>
      </c>
      <c r="M1077" s="45">
        <v>46170</v>
      </c>
      <c r="N1077" s="41">
        <v>500000</v>
      </c>
      <c r="O1077" s="42">
        <v>46111</v>
      </c>
      <c r="P1077" s="46"/>
      <c r="Q1077" s="41">
        <v>500000</v>
      </c>
    </row>
    <row r="1078" spans="1:17" ht="12" customHeight="1" x14ac:dyDescent="0.3">
      <c r="A1078" s="39"/>
      <c r="B1078" s="40" t="s">
        <v>2069</v>
      </c>
      <c r="C1078" s="41">
        <v>500000</v>
      </c>
      <c r="D1078" s="42">
        <v>46080</v>
      </c>
      <c r="E1078" s="43" t="s">
        <v>2</v>
      </c>
      <c r="F1078" s="41">
        <v>0</v>
      </c>
      <c r="G1078" s="41">
        <v>0</v>
      </c>
      <c r="H1078" s="41">
        <v>500000</v>
      </c>
      <c r="I1078" s="43">
        <v>90</v>
      </c>
      <c r="J1078" s="43">
        <v>71</v>
      </c>
      <c r="K1078" s="44">
        <v>4000000</v>
      </c>
      <c r="L1078" s="43" t="s">
        <v>992</v>
      </c>
      <c r="M1078" s="45">
        <v>46170</v>
      </c>
      <c r="N1078" s="41">
        <v>500000</v>
      </c>
      <c r="O1078" s="42">
        <v>46112</v>
      </c>
      <c r="P1078" s="46"/>
      <c r="Q1078" s="41">
        <v>500000</v>
      </c>
    </row>
    <row r="1079" spans="1:17" ht="12" customHeight="1" x14ac:dyDescent="0.3">
      <c r="A1079" s="39"/>
      <c r="B1079" s="40" t="s">
        <v>2070</v>
      </c>
      <c r="C1079" s="41">
        <v>500000</v>
      </c>
      <c r="D1079" s="42">
        <v>46080</v>
      </c>
      <c r="E1079" s="43" t="s">
        <v>2</v>
      </c>
      <c r="F1079" s="41">
        <v>0</v>
      </c>
      <c r="G1079" s="41">
        <v>0</v>
      </c>
      <c r="H1079" s="41">
        <v>500000</v>
      </c>
      <c r="I1079" s="43">
        <v>90</v>
      </c>
      <c r="J1079" s="43">
        <v>71</v>
      </c>
      <c r="K1079" s="44">
        <v>4000000</v>
      </c>
      <c r="L1079" s="43" t="s">
        <v>992</v>
      </c>
      <c r="M1079" s="45">
        <v>46170</v>
      </c>
      <c r="N1079" s="41">
        <v>500000</v>
      </c>
      <c r="O1079" s="42">
        <v>46112</v>
      </c>
      <c r="P1079" s="46"/>
      <c r="Q1079" s="41">
        <v>500000</v>
      </c>
    </row>
    <row r="1080" spans="1:17" ht="12" customHeight="1" x14ac:dyDescent="0.3">
      <c r="A1080" s="39"/>
      <c r="B1080" s="40" t="s">
        <v>2071</v>
      </c>
      <c r="C1080" s="41">
        <v>80000</v>
      </c>
      <c r="D1080" s="42">
        <v>46081</v>
      </c>
      <c r="E1080" s="43" t="s">
        <v>1763</v>
      </c>
      <c r="F1080" s="41">
        <v>80000</v>
      </c>
      <c r="G1080" s="41">
        <v>0</v>
      </c>
      <c r="H1080" s="41">
        <v>80000</v>
      </c>
      <c r="I1080" s="43">
        <v>90</v>
      </c>
      <c r="J1080" s="43">
        <v>13</v>
      </c>
      <c r="K1080" s="44">
        <v>5000000</v>
      </c>
      <c r="L1080" s="43" t="s">
        <v>992</v>
      </c>
      <c r="M1080" s="45">
        <v>46173</v>
      </c>
      <c r="N1080" s="41">
        <v>0</v>
      </c>
      <c r="O1080" s="42"/>
      <c r="P1080" s="46">
        <v>31</v>
      </c>
      <c r="Q1080" s="41">
        <v>0</v>
      </c>
    </row>
    <row r="1081" spans="1:17" ht="12" customHeight="1" x14ac:dyDescent="0.3">
      <c r="A1081" s="39"/>
      <c r="B1081" s="40" t="s">
        <v>2072</v>
      </c>
      <c r="C1081" s="41">
        <v>249892.1</v>
      </c>
      <c r="D1081" s="42">
        <v>46081</v>
      </c>
      <c r="E1081" s="43" t="s">
        <v>1763</v>
      </c>
      <c r="F1081" s="41">
        <v>249892.1</v>
      </c>
      <c r="G1081" s="41">
        <v>0</v>
      </c>
      <c r="H1081" s="41">
        <v>249892.1</v>
      </c>
      <c r="I1081" s="43">
        <v>90</v>
      </c>
      <c r="J1081" s="43">
        <v>13</v>
      </c>
      <c r="K1081" s="44">
        <v>5000000</v>
      </c>
      <c r="L1081" s="43" t="s">
        <v>992</v>
      </c>
      <c r="M1081" s="45">
        <v>46173</v>
      </c>
      <c r="N1081" s="41">
        <v>0</v>
      </c>
      <c r="O1081" s="42"/>
      <c r="P1081" s="46">
        <v>31</v>
      </c>
      <c r="Q1081" s="41">
        <v>0</v>
      </c>
    </row>
    <row r="1082" spans="1:17" ht="12" customHeight="1" x14ac:dyDescent="0.3">
      <c r="A1082" s="39"/>
      <c r="B1082" s="40" t="s">
        <v>2073</v>
      </c>
      <c r="C1082" s="41">
        <v>300000</v>
      </c>
      <c r="D1082" s="42">
        <v>46081</v>
      </c>
      <c r="E1082" s="43" t="s">
        <v>1763</v>
      </c>
      <c r="F1082" s="41">
        <v>300000</v>
      </c>
      <c r="G1082" s="41">
        <v>0</v>
      </c>
      <c r="H1082" s="41">
        <v>300000</v>
      </c>
      <c r="I1082" s="43">
        <v>90</v>
      </c>
      <c r="J1082" s="43">
        <v>13</v>
      </c>
      <c r="K1082" s="44">
        <v>5000000</v>
      </c>
      <c r="L1082" s="43" t="s">
        <v>992</v>
      </c>
      <c r="M1082" s="45">
        <v>46173</v>
      </c>
      <c r="N1082" s="41">
        <v>0</v>
      </c>
      <c r="O1082" s="42"/>
      <c r="P1082" s="46">
        <v>31</v>
      </c>
      <c r="Q1082" s="41">
        <v>0</v>
      </c>
    </row>
    <row r="1083" spans="1:17" ht="12" customHeight="1" x14ac:dyDescent="0.3">
      <c r="A1083" s="39"/>
      <c r="B1083" s="40" t="s">
        <v>2074</v>
      </c>
      <c r="C1083" s="41">
        <v>396723</v>
      </c>
      <c r="D1083" s="42">
        <v>46081</v>
      </c>
      <c r="E1083" s="43" t="s">
        <v>1763</v>
      </c>
      <c r="F1083" s="41">
        <v>396723</v>
      </c>
      <c r="G1083" s="41">
        <v>0</v>
      </c>
      <c r="H1083" s="41">
        <v>396723</v>
      </c>
      <c r="I1083" s="43">
        <v>90</v>
      </c>
      <c r="J1083" s="43">
        <v>13</v>
      </c>
      <c r="K1083" s="44">
        <v>5000000</v>
      </c>
      <c r="L1083" s="43" t="s">
        <v>992</v>
      </c>
      <c r="M1083" s="45">
        <v>46173</v>
      </c>
      <c r="N1083" s="41">
        <v>0</v>
      </c>
      <c r="O1083" s="42"/>
      <c r="P1083" s="46">
        <v>31</v>
      </c>
      <c r="Q1083" s="41">
        <v>0</v>
      </c>
    </row>
    <row r="1084" spans="1:17" ht="12" customHeight="1" x14ac:dyDescent="0.3">
      <c r="A1084" s="39"/>
      <c r="B1084" s="40" t="s">
        <v>2075</v>
      </c>
      <c r="C1084" s="41">
        <v>467500.01</v>
      </c>
      <c r="D1084" s="42">
        <v>46081</v>
      </c>
      <c r="E1084" s="43" t="s">
        <v>1763</v>
      </c>
      <c r="F1084" s="41">
        <v>467500.01</v>
      </c>
      <c r="G1084" s="41">
        <v>0</v>
      </c>
      <c r="H1084" s="41">
        <v>467500.01</v>
      </c>
      <c r="I1084" s="43">
        <v>90</v>
      </c>
      <c r="J1084" s="43">
        <v>9</v>
      </c>
      <c r="K1084" s="44">
        <v>4000000</v>
      </c>
      <c r="L1084" s="43" t="s">
        <v>992</v>
      </c>
      <c r="M1084" s="45">
        <v>46173</v>
      </c>
      <c r="N1084" s="41">
        <v>0</v>
      </c>
      <c r="O1084" s="42"/>
      <c r="P1084" s="46">
        <v>31</v>
      </c>
      <c r="Q1084" s="41">
        <v>0</v>
      </c>
    </row>
    <row r="1085" spans="1:17" ht="12" customHeight="1" x14ac:dyDescent="0.3">
      <c r="A1085" s="39"/>
      <c r="B1085" s="40" t="s">
        <v>2076</v>
      </c>
      <c r="C1085" s="41">
        <v>201250</v>
      </c>
      <c r="D1085" s="42">
        <v>46081</v>
      </c>
      <c r="E1085" s="43" t="s">
        <v>1763</v>
      </c>
      <c r="F1085" s="41">
        <v>201250</v>
      </c>
      <c r="G1085" s="41">
        <v>0</v>
      </c>
      <c r="H1085" s="41">
        <v>201250</v>
      </c>
      <c r="I1085" s="43">
        <v>90</v>
      </c>
      <c r="J1085" s="43">
        <v>9</v>
      </c>
      <c r="K1085" s="44">
        <v>4000000</v>
      </c>
      <c r="L1085" s="43" t="s">
        <v>992</v>
      </c>
      <c r="M1085" s="45">
        <v>46173</v>
      </c>
      <c r="N1085" s="41">
        <v>0</v>
      </c>
      <c r="O1085" s="42"/>
      <c r="P1085" s="46">
        <v>31</v>
      </c>
      <c r="Q1085" s="41">
        <v>0</v>
      </c>
    </row>
    <row r="1086" spans="1:17" ht="12" customHeight="1" x14ac:dyDescent="0.3">
      <c r="A1086" s="39"/>
      <c r="B1086" s="40" t="s">
        <v>2077</v>
      </c>
      <c r="C1086" s="41">
        <v>687872.5</v>
      </c>
      <c r="D1086" s="42">
        <v>46081</v>
      </c>
      <c r="E1086" s="43" t="s">
        <v>1763</v>
      </c>
      <c r="F1086" s="41">
        <v>687872.5</v>
      </c>
      <c r="G1086" s="41">
        <v>0</v>
      </c>
      <c r="H1086" s="41">
        <v>687872.5</v>
      </c>
      <c r="I1086" s="43">
        <v>90</v>
      </c>
      <c r="J1086" s="43">
        <v>9</v>
      </c>
      <c r="K1086" s="44">
        <v>4000000</v>
      </c>
      <c r="L1086" s="43" t="s">
        <v>992</v>
      </c>
      <c r="M1086" s="45">
        <v>46173</v>
      </c>
      <c r="N1086" s="41">
        <v>0</v>
      </c>
      <c r="O1086" s="42"/>
      <c r="P1086" s="46">
        <v>31</v>
      </c>
      <c r="Q1086" s="41">
        <v>0</v>
      </c>
    </row>
    <row r="1087" spans="1:17" ht="12" customHeight="1" x14ac:dyDescent="0.3">
      <c r="A1087" s="39"/>
      <c r="B1087" s="40" t="s">
        <v>2078</v>
      </c>
      <c r="C1087" s="41">
        <v>411193.44</v>
      </c>
      <c r="D1087" s="42">
        <v>46081</v>
      </c>
      <c r="E1087" s="43" t="s">
        <v>2</v>
      </c>
      <c r="F1087" s="41">
        <v>0</v>
      </c>
      <c r="G1087" s="41">
        <v>0</v>
      </c>
      <c r="H1087" s="41">
        <v>411193.44</v>
      </c>
      <c r="I1087" s="43">
        <v>90</v>
      </c>
      <c r="J1087" s="43">
        <v>8</v>
      </c>
      <c r="K1087" s="44">
        <v>3000000</v>
      </c>
      <c r="L1087" s="43" t="s">
        <v>992</v>
      </c>
      <c r="M1087" s="45">
        <v>46173</v>
      </c>
      <c r="N1087" s="41">
        <v>411193.44</v>
      </c>
      <c r="O1087" s="42">
        <v>46081</v>
      </c>
      <c r="P1087" s="46"/>
      <c r="Q1087" s="41">
        <v>411193.44</v>
      </c>
    </row>
    <row r="1088" spans="1:17" ht="12" customHeight="1" x14ac:dyDescent="0.3">
      <c r="A1088" s="39"/>
      <c r="B1088" s="40" t="s">
        <v>2079</v>
      </c>
      <c r="C1088" s="41">
        <v>807777.36</v>
      </c>
      <c r="D1088" s="42">
        <v>46081</v>
      </c>
      <c r="E1088" s="43" t="s">
        <v>2</v>
      </c>
      <c r="F1088" s="41">
        <v>0</v>
      </c>
      <c r="G1088" s="41">
        <v>0</v>
      </c>
      <c r="H1088" s="41">
        <v>807777.36</v>
      </c>
      <c r="I1088" s="43">
        <v>90</v>
      </c>
      <c r="J1088" s="43">
        <v>8</v>
      </c>
      <c r="K1088" s="44">
        <v>3000000</v>
      </c>
      <c r="L1088" s="43" t="s">
        <v>992</v>
      </c>
      <c r="M1088" s="45">
        <v>46173</v>
      </c>
      <c r="N1088" s="41">
        <v>807777.36</v>
      </c>
      <c r="O1088" s="42">
        <v>46081</v>
      </c>
      <c r="P1088" s="46"/>
      <c r="Q1088" s="41">
        <v>807777.36</v>
      </c>
    </row>
    <row r="1089" spans="1:17" ht="12" customHeight="1" x14ac:dyDescent="0.3">
      <c r="A1089" s="39"/>
      <c r="B1089" s="40" t="s">
        <v>2080</v>
      </c>
      <c r="C1089" s="41">
        <v>899159.99</v>
      </c>
      <c r="D1089" s="42">
        <v>46081</v>
      </c>
      <c r="E1089" s="43" t="s">
        <v>2</v>
      </c>
      <c r="F1089" s="41">
        <v>0</v>
      </c>
      <c r="G1089" s="41">
        <v>0</v>
      </c>
      <c r="H1089" s="41">
        <v>899159.99</v>
      </c>
      <c r="I1089" s="43">
        <v>90</v>
      </c>
      <c r="J1089" s="43">
        <v>8</v>
      </c>
      <c r="K1089" s="44">
        <v>3000000</v>
      </c>
      <c r="L1089" s="43" t="s">
        <v>992</v>
      </c>
      <c r="M1089" s="45">
        <v>46173</v>
      </c>
      <c r="N1089" s="41">
        <v>899159.99</v>
      </c>
      <c r="O1089" s="42">
        <v>46081</v>
      </c>
      <c r="P1089" s="46"/>
      <c r="Q1089" s="41">
        <v>899159.99</v>
      </c>
    </row>
    <row r="1090" spans="1:17" ht="12" customHeight="1" x14ac:dyDescent="0.3">
      <c r="A1090" s="39"/>
      <c r="B1090" s="40" t="s">
        <v>2081</v>
      </c>
      <c r="C1090" s="41">
        <v>699930</v>
      </c>
      <c r="D1090" s="42">
        <v>46081</v>
      </c>
      <c r="E1090" s="43" t="s">
        <v>2</v>
      </c>
      <c r="F1090" s="41">
        <v>0</v>
      </c>
      <c r="G1090" s="41">
        <v>0</v>
      </c>
      <c r="H1090" s="41">
        <v>699930</v>
      </c>
      <c r="I1090" s="43">
        <v>90</v>
      </c>
      <c r="J1090" s="43">
        <v>8</v>
      </c>
      <c r="K1090" s="44">
        <v>3000000</v>
      </c>
      <c r="L1090" s="43" t="s">
        <v>992</v>
      </c>
      <c r="M1090" s="45">
        <v>46173</v>
      </c>
      <c r="N1090" s="41">
        <v>699930</v>
      </c>
      <c r="O1090" s="42">
        <v>46089</v>
      </c>
      <c r="P1090" s="46"/>
      <c r="Q1090" s="41">
        <v>699930</v>
      </c>
    </row>
    <row r="1091" spans="1:17" ht="12" customHeight="1" x14ac:dyDescent="0.3">
      <c r="A1091" s="39"/>
      <c r="B1091" s="40" t="s">
        <v>2082</v>
      </c>
      <c r="C1091" s="41">
        <v>877500</v>
      </c>
      <c r="D1091" s="42">
        <v>46081</v>
      </c>
      <c r="E1091" s="43" t="s">
        <v>2</v>
      </c>
      <c r="F1091" s="41">
        <v>0</v>
      </c>
      <c r="G1091" s="41">
        <v>0</v>
      </c>
      <c r="H1091" s="41">
        <v>877500</v>
      </c>
      <c r="I1091" s="43">
        <v>90</v>
      </c>
      <c r="J1091" s="43">
        <v>8</v>
      </c>
      <c r="K1091" s="44">
        <v>3000000</v>
      </c>
      <c r="L1091" s="43" t="s">
        <v>992</v>
      </c>
      <c r="M1091" s="45">
        <v>46173</v>
      </c>
      <c r="N1091" s="41">
        <v>877500</v>
      </c>
      <c r="O1091" s="42">
        <v>46099</v>
      </c>
      <c r="P1091" s="46"/>
      <c r="Q1091" s="41">
        <v>877500</v>
      </c>
    </row>
    <row r="1092" spans="1:17" ht="12" customHeight="1" x14ac:dyDescent="0.3">
      <c r="A1092" s="39"/>
      <c r="B1092" s="40" t="s">
        <v>2083</v>
      </c>
      <c r="C1092" s="41">
        <v>703799.47</v>
      </c>
      <c r="D1092" s="42">
        <v>46081</v>
      </c>
      <c r="E1092" s="43" t="s">
        <v>2</v>
      </c>
      <c r="F1092" s="41">
        <v>0</v>
      </c>
      <c r="G1092" s="41">
        <v>0</v>
      </c>
      <c r="H1092" s="41">
        <v>703799.47</v>
      </c>
      <c r="I1092" s="43">
        <v>90</v>
      </c>
      <c r="J1092" s="43">
        <v>8</v>
      </c>
      <c r="K1092" s="44">
        <v>3000000</v>
      </c>
      <c r="L1092" s="43" t="s">
        <v>992</v>
      </c>
      <c r="M1092" s="45">
        <v>46173</v>
      </c>
      <c r="N1092" s="41">
        <v>703799.47</v>
      </c>
      <c r="O1092" s="42">
        <v>46099</v>
      </c>
      <c r="P1092" s="46"/>
      <c r="Q1092" s="41">
        <v>703799.47</v>
      </c>
    </row>
    <row r="1093" spans="1:17" ht="12" customHeight="1" x14ac:dyDescent="0.3">
      <c r="A1093" s="39"/>
      <c r="B1093" s="40" t="s">
        <v>2084</v>
      </c>
      <c r="C1093" s="41">
        <v>835865.59999999998</v>
      </c>
      <c r="D1093" s="42">
        <v>46081</v>
      </c>
      <c r="E1093" s="43" t="s">
        <v>2</v>
      </c>
      <c r="F1093" s="41">
        <v>0</v>
      </c>
      <c r="G1093" s="41">
        <v>0</v>
      </c>
      <c r="H1093" s="41">
        <v>835865.59999999998</v>
      </c>
      <c r="I1093" s="43">
        <v>90</v>
      </c>
      <c r="J1093" s="43">
        <v>8</v>
      </c>
      <c r="K1093" s="44">
        <v>3000000</v>
      </c>
      <c r="L1093" s="43" t="s">
        <v>992</v>
      </c>
      <c r="M1093" s="45">
        <v>46173</v>
      </c>
      <c r="N1093" s="41">
        <v>835865.59999999998</v>
      </c>
      <c r="O1093" s="42">
        <v>46099</v>
      </c>
      <c r="P1093" s="46"/>
      <c r="Q1093" s="41">
        <v>835865.59999999998</v>
      </c>
    </row>
    <row r="1094" spans="1:17" ht="12" customHeight="1" x14ac:dyDescent="0.3">
      <c r="A1094" s="39"/>
      <c r="B1094" s="40" t="s">
        <v>2085</v>
      </c>
      <c r="C1094" s="41">
        <v>370656</v>
      </c>
      <c r="D1094" s="42">
        <v>46081</v>
      </c>
      <c r="E1094" s="43" t="s">
        <v>1763</v>
      </c>
      <c r="F1094" s="41">
        <v>370656</v>
      </c>
      <c r="G1094" s="41">
        <v>0</v>
      </c>
      <c r="H1094" s="41">
        <v>370656</v>
      </c>
      <c r="I1094" s="43">
        <v>90</v>
      </c>
      <c r="J1094" s="43">
        <v>13</v>
      </c>
      <c r="K1094" s="44">
        <v>5000000</v>
      </c>
      <c r="L1094" s="43" t="s">
        <v>992</v>
      </c>
      <c r="M1094" s="45">
        <v>46173</v>
      </c>
      <c r="N1094" s="41">
        <v>0</v>
      </c>
      <c r="O1094" s="42"/>
      <c r="P1094" s="46">
        <v>31</v>
      </c>
      <c r="Q1094" s="41">
        <v>0</v>
      </c>
    </row>
    <row r="1095" spans="1:17" ht="12" customHeight="1" x14ac:dyDescent="0.3">
      <c r="A1095" s="39"/>
      <c r="B1095" s="40" t="s">
        <v>2086</v>
      </c>
      <c r="C1095" s="41">
        <v>353600</v>
      </c>
      <c r="D1095" s="42">
        <v>46081</v>
      </c>
      <c r="E1095" s="43" t="s">
        <v>1763</v>
      </c>
      <c r="F1095" s="41">
        <v>353600</v>
      </c>
      <c r="G1095" s="41">
        <v>0</v>
      </c>
      <c r="H1095" s="41">
        <v>353600</v>
      </c>
      <c r="I1095" s="43">
        <v>90</v>
      </c>
      <c r="J1095" s="43">
        <v>13</v>
      </c>
      <c r="K1095" s="44">
        <v>5000000</v>
      </c>
      <c r="L1095" s="43" t="s">
        <v>992</v>
      </c>
      <c r="M1095" s="45">
        <v>46173</v>
      </c>
      <c r="N1095" s="41">
        <v>0</v>
      </c>
      <c r="O1095" s="42"/>
      <c r="P1095" s="46">
        <v>31</v>
      </c>
      <c r="Q1095" s="41">
        <v>0</v>
      </c>
    </row>
    <row r="1096" spans="1:17" ht="12" customHeight="1" x14ac:dyDescent="0.3">
      <c r="A1096" s="39"/>
      <c r="B1096" s="40" t="s">
        <v>2087</v>
      </c>
      <c r="C1096" s="41">
        <v>353500</v>
      </c>
      <c r="D1096" s="42">
        <v>46081</v>
      </c>
      <c r="E1096" s="43" t="s">
        <v>1763</v>
      </c>
      <c r="F1096" s="41">
        <v>353500</v>
      </c>
      <c r="G1096" s="41">
        <v>0</v>
      </c>
      <c r="H1096" s="41">
        <v>353500</v>
      </c>
      <c r="I1096" s="43">
        <v>90</v>
      </c>
      <c r="J1096" s="43">
        <v>13</v>
      </c>
      <c r="K1096" s="44">
        <v>5000000</v>
      </c>
      <c r="L1096" s="43" t="s">
        <v>992</v>
      </c>
      <c r="M1096" s="45">
        <v>46173</v>
      </c>
      <c r="N1096" s="41">
        <v>0</v>
      </c>
      <c r="O1096" s="42"/>
      <c r="P1096" s="46">
        <v>31</v>
      </c>
      <c r="Q1096" s="41">
        <v>0</v>
      </c>
    </row>
    <row r="1097" spans="1:17" ht="12" customHeight="1" x14ac:dyDescent="0.3">
      <c r="A1097" s="39"/>
      <c r="B1097" s="40" t="s">
        <v>2088</v>
      </c>
      <c r="C1097" s="41">
        <v>64790.15</v>
      </c>
      <c r="D1097" s="42">
        <v>46081</v>
      </c>
      <c r="E1097" s="43" t="s">
        <v>1763</v>
      </c>
      <c r="F1097" s="41">
        <v>64790.15</v>
      </c>
      <c r="G1097" s="41">
        <v>0</v>
      </c>
      <c r="H1097" s="41">
        <v>64790.15</v>
      </c>
      <c r="I1097" s="43">
        <v>90</v>
      </c>
      <c r="J1097" s="43">
        <v>9</v>
      </c>
      <c r="K1097" s="44">
        <v>4000000</v>
      </c>
      <c r="L1097" s="43" t="s">
        <v>992</v>
      </c>
      <c r="M1097" s="45">
        <v>46173</v>
      </c>
      <c r="N1097" s="41">
        <v>0</v>
      </c>
      <c r="O1097" s="42"/>
      <c r="P1097" s="46">
        <v>31</v>
      </c>
      <c r="Q1097" s="41">
        <v>0</v>
      </c>
    </row>
    <row r="1098" spans="1:17" ht="12" customHeight="1" x14ac:dyDescent="0.3">
      <c r="A1098" s="39"/>
      <c r="B1098" s="40" t="s">
        <v>2089</v>
      </c>
      <c r="C1098" s="41">
        <v>520000</v>
      </c>
      <c r="D1098" s="42">
        <v>46081</v>
      </c>
      <c r="E1098" s="43" t="s">
        <v>1763</v>
      </c>
      <c r="F1098" s="41">
        <v>520000</v>
      </c>
      <c r="G1098" s="41">
        <v>0</v>
      </c>
      <c r="H1098" s="41">
        <v>520000</v>
      </c>
      <c r="I1098" s="43">
        <v>90</v>
      </c>
      <c r="J1098" s="43">
        <v>9</v>
      </c>
      <c r="K1098" s="44">
        <v>4000000</v>
      </c>
      <c r="L1098" s="43" t="s">
        <v>992</v>
      </c>
      <c r="M1098" s="45">
        <v>46173</v>
      </c>
      <c r="N1098" s="41">
        <v>0</v>
      </c>
      <c r="O1098" s="42"/>
      <c r="P1098" s="46">
        <v>31</v>
      </c>
      <c r="Q1098" s="41">
        <v>0</v>
      </c>
    </row>
    <row r="1099" spans="1:17" ht="12" customHeight="1" x14ac:dyDescent="0.3">
      <c r="A1099" s="39"/>
      <c r="B1099" s="40" t="s">
        <v>2090</v>
      </c>
      <c r="C1099" s="41">
        <v>208034.94</v>
      </c>
      <c r="D1099" s="42">
        <v>46081</v>
      </c>
      <c r="E1099" s="43" t="s">
        <v>1763</v>
      </c>
      <c r="F1099" s="41">
        <v>208034.94</v>
      </c>
      <c r="G1099" s="41">
        <v>0</v>
      </c>
      <c r="H1099" s="41">
        <v>208034.94</v>
      </c>
      <c r="I1099" s="43">
        <v>90</v>
      </c>
      <c r="J1099" s="43">
        <v>9</v>
      </c>
      <c r="K1099" s="44">
        <v>4000000</v>
      </c>
      <c r="L1099" s="43" t="s">
        <v>992</v>
      </c>
      <c r="M1099" s="45">
        <v>46173</v>
      </c>
      <c r="N1099" s="41">
        <v>0</v>
      </c>
      <c r="O1099" s="42"/>
      <c r="P1099" s="46">
        <v>31</v>
      </c>
      <c r="Q1099" s="41">
        <v>0</v>
      </c>
    </row>
    <row r="1100" spans="1:17" ht="12" customHeight="1" x14ac:dyDescent="0.3">
      <c r="A1100" s="39"/>
      <c r="B1100" s="40" t="s">
        <v>2091</v>
      </c>
      <c r="C1100" s="41">
        <v>602175</v>
      </c>
      <c r="D1100" s="42">
        <v>46081</v>
      </c>
      <c r="E1100" s="43" t="s">
        <v>1763</v>
      </c>
      <c r="F1100" s="41">
        <v>602175</v>
      </c>
      <c r="G1100" s="41">
        <v>0</v>
      </c>
      <c r="H1100" s="41">
        <v>602175</v>
      </c>
      <c r="I1100" s="43">
        <v>90</v>
      </c>
      <c r="J1100" s="43">
        <v>9</v>
      </c>
      <c r="K1100" s="44">
        <v>4000000</v>
      </c>
      <c r="L1100" s="43" t="s">
        <v>992</v>
      </c>
      <c r="M1100" s="45">
        <v>46173</v>
      </c>
      <c r="N1100" s="41">
        <v>0</v>
      </c>
      <c r="O1100" s="42"/>
      <c r="P1100" s="46">
        <v>31</v>
      </c>
      <c r="Q1100" s="41">
        <v>0</v>
      </c>
    </row>
    <row r="1101" spans="1:17" ht="12" customHeight="1" x14ac:dyDescent="0.3">
      <c r="A1101" s="39"/>
      <c r="B1101" s="40" t="s">
        <v>2092</v>
      </c>
      <c r="C1101" s="41">
        <v>350</v>
      </c>
      <c r="D1101" s="42">
        <v>46082</v>
      </c>
      <c r="E1101" s="43" t="s">
        <v>1763</v>
      </c>
      <c r="F1101" s="41">
        <v>350</v>
      </c>
      <c r="G1101" s="41">
        <v>0</v>
      </c>
      <c r="H1101" s="41">
        <v>350</v>
      </c>
      <c r="I1101" s="43">
        <v>90</v>
      </c>
      <c r="J1101" s="43">
        <v>9</v>
      </c>
      <c r="K1101" s="44">
        <v>4000000</v>
      </c>
      <c r="L1101" s="43" t="s">
        <v>992</v>
      </c>
      <c r="M1101" s="45">
        <v>46173</v>
      </c>
      <c r="N1101" s="41">
        <v>0</v>
      </c>
      <c r="O1101" s="42"/>
      <c r="P1101" s="46">
        <v>30</v>
      </c>
      <c r="Q1101" s="41">
        <v>0</v>
      </c>
    </row>
    <row r="1102" spans="1:17" ht="12" customHeight="1" x14ac:dyDescent="0.3">
      <c r="A1102" s="39"/>
      <c r="B1102" s="40" t="s">
        <v>2093</v>
      </c>
      <c r="C1102" s="41">
        <v>134.55000000000001</v>
      </c>
      <c r="D1102" s="42">
        <v>46082</v>
      </c>
      <c r="E1102" s="43" t="s">
        <v>1763</v>
      </c>
      <c r="F1102" s="41">
        <v>134.55000000000001</v>
      </c>
      <c r="G1102" s="41">
        <v>0</v>
      </c>
      <c r="H1102" s="41">
        <v>134.55000000000001</v>
      </c>
      <c r="I1102" s="43">
        <v>90</v>
      </c>
      <c r="J1102" s="43">
        <v>9</v>
      </c>
      <c r="K1102" s="44">
        <v>4000000</v>
      </c>
      <c r="L1102" s="43" t="s">
        <v>992</v>
      </c>
      <c r="M1102" s="45">
        <v>46173</v>
      </c>
      <c r="N1102" s="41">
        <v>0</v>
      </c>
      <c r="O1102" s="42"/>
      <c r="P1102" s="46">
        <v>30</v>
      </c>
      <c r="Q1102" s="41">
        <v>0</v>
      </c>
    </row>
    <row r="1103" spans="1:17" ht="12" customHeight="1" x14ac:dyDescent="0.3">
      <c r="A1103" s="39"/>
      <c r="B1103" s="40" t="s">
        <v>2094</v>
      </c>
      <c r="C1103" s="41">
        <v>152</v>
      </c>
      <c r="D1103" s="42">
        <v>46082</v>
      </c>
      <c r="E1103" s="43" t="s">
        <v>1763</v>
      </c>
      <c r="F1103" s="41">
        <v>152</v>
      </c>
      <c r="G1103" s="41">
        <v>0</v>
      </c>
      <c r="H1103" s="41">
        <v>152</v>
      </c>
      <c r="I1103" s="43">
        <v>90</v>
      </c>
      <c r="J1103" s="43">
        <v>9</v>
      </c>
      <c r="K1103" s="44">
        <v>4000000</v>
      </c>
      <c r="L1103" s="43" t="s">
        <v>992</v>
      </c>
      <c r="M1103" s="45">
        <v>46173</v>
      </c>
      <c r="N1103" s="41">
        <v>0</v>
      </c>
      <c r="O1103" s="42"/>
      <c r="P1103" s="46">
        <v>30</v>
      </c>
      <c r="Q1103" s="41">
        <v>0</v>
      </c>
    </row>
    <row r="1104" spans="1:17" ht="12" customHeight="1" x14ac:dyDescent="0.3">
      <c r="A1104" s="39"/>
      <c r="B1104" s="40" t="s">
        <v>2095</v>
      </c>
      <c r="C1104" s="41">
        <v>12499.25</v>
      </c>
      <c r="D1104" s="42">
        <v>46082</v>
      </c>
      <c r="E1104" s="43" t="s">
        <v>1763</v>
      </c>
      <c r="F1104" s="41">
        <v>12499.25</v>
      </c>
      <c r="G1104" s="41">
        <v>0</v>
      </c>
      <c r="H1104" s="41">
        <v>12499.25</v>
      </c>
      <c r="I1104" s="43">
        <v>90</v>
      </c>
      <c r="J1104" s="43">
        <v>9</v>
      </c>
      <c r="K1104" s="44">
        <v>4000000</v>
      </c>
      <c r="L1104" s="43" t="s">
        <v>992</v>
      </c>
      <c r="M1104" s="45">
        <v>46173</v>
      </c>
      <c r="N1104" s="41">
        <v>0</v>
      </c>
      <c r="O1104" s="42"/>
      <c r="P1104" s="46">
        <v>30</v>
      </c>
      <c r="Q1104" s="41">
        <v>0</v>
      </c>
    </row>
    <row r="1105" spans="1:17" ht="12" customHeight="1" x14ac:dyDescent="0.3">
      <c r="A1105" s="39"/>
      <c r="B1105" s="40" t="s">
        <v>2096</v>
      </c>
      <c r="C1105" s="41">
        <v>300</v>
      </c>
      <c r="D1105" s="42">
        <v>46082</v>
      </c>
      <c r="E1105" s="43" t="s">
        <v>1763</v>
      </c>
      <c r="F1105" s="41">
        <v>300</v>
      </c>
      <c r="G1105" s="41">
        <v>0</v>
      </c>
      <c r="H1105" s="41">
        <v>300</v>
      </c>
      <c r="I1105" s="43">
        <v>90</v>
      </c>
      <c r="J1105" s="43">
        <v>9</v>
      </c>
      <c r="K1105" s="44">
        <v>4000000</v>
      </c>
      <c r="L1105" s="43" t="s">
        <v>992</v>
      </c>
      <c r="M1105" s="45">
        <v>46173</v>
      </c>
      <c r="N1105" s="41">
        <v>0</v>
      </c>
      <c r="O1105" s="42"/>
      <c r="P1105" s="46">
        <v>30</v>
      </c>
      <c r="Q1105" s="41">
        <v>0</v>
      </c>
    </row>
    <row r="1106" spans="1:17" ht="12" customHeight="1" x14ac:dyDescent="0.3">
      <c r="A1106" s="39"/>
      <c r="B1106" s="40" t="s">
        <v>2097</v>
      </c>
      <c r="C1106" s="41">
        <v>1699.7</v>
      </c>
      <c r="D1106" s="42">
        <v>46082</v>
      </c>
      <c r="E1106" s="43" t="s">
        <v>1763</v>
      </c>
      <c r="F1106" s="41">
        <v>1699.7</v>
      </c>
      <c r="G1106" s="41">
        <v>0</v>
      </c>
      <c r="H1106" s="41">
        <v>1699.7</v>
      </c>
      <c r="I1106" s="43">
        <v>90</v>
      </c>
      <c r="J1106" s="43">
        <v>9</v>
      </c>
      <c r="K1106" s="44">
        <v>4000000</v>
      </c>
      <c r="L1106" s="43" t="s">
        <v>992</v>
      </c>
      <c r="M1106" s="45">
        <v>46173</v>
      </c>
      <c r="N1106" s="41">
        <v>0</v>
      </c>
      <c r="O1106" s="42"/>
      <c r="P1106" s="46">
        <v>30</v>
      </c>
      <c r="Q1106" s="41">
        <v>0</v>
      </c>
    </row>
    <row r="1107" spans="1:17" ht="12" customHeight="1" x14ac:dyDescent="0.3">
      <c r="A1107" s="39"/>
      <c r="B1107" s="40" t="s">
        <v>2098</v>
      </c>
      <c r="C1107" s="41">
        <v>134.55000000000001</v>
      </c>
      <c r="D1107" s="42">
        <v>46082</v>
      </c>
      <c r="E1107" s="43" t="s">
        <v>1763</v>
      </c>
      <c r="F1107" s="41">
        <v>134.55000000000001</v>
      </c>
      <c r="G1107" s="41">
        <v>0</v>
      </c>
      <c r="H1107" s="41">
        <v>134.55000000000001</v>
      </c>
      <c r="I1107" s="43">
        <v>90</v>
      </c>
      <c r="J1107" s="43">
        <v>9</v>
      </c>
      <c r="K1107" s="44">
        <v>4000000</v>
      </c>
      <c r="L1107" s="43" t="s">
        <v>992</v>
      </c>
      <c r="M1107" s="45">
        <v>46173</v>
      </c>
      <c r="N1107" s="41">
        <v>0</v>
      </c>
      <c r="O1107" s="42"/>
      <c r="P1107" s="46">
        <v>30</v>
      </c>
      <c r="Q1107" s="41">
        <v>0</v>
      </c>
    </row>
    <row r="1108" spans="1:17" ht="12" customHeight="1" x14ac:dyDescent="0.3">
      <c r="A1108" s="39"/>
      <c r="B1108" s="40" t="s">
        <v>2099</v>
      </c>
      <c r="C1108" s="41">
        <v>500000</v>
      </c>
      <c r="D1108" s="42">
        <v>46083</v>
      </c>
      <c r="E1108" s="43" t="s">
        <v>1763</v>
      </c>
      <c r="F1108" s="41">
        <v>500000</v>
      </c>
      <c r="G1108" s="41">
        <v>0</v>
      </c>
      <c r="H1108" s="41">
        <v>500000</v>
      </c>
      <c r="I1108" s="43">
        <v>90</v>
      </c>
      <c r="J1108" s="43">
        <v>116</v>
      </c>
      <c r="K1108" s="44">
        <v>3300000</v>
      </c>
      <c r="L1108" s="43" t="s">
        <v>992</v>
      </c>
      <c r="M1108" s="45">
        <v>46173</v>
      </c>
      <c r="N1108" s="41">
        <v>0</v>
      </c>
      <c r="O1108" s="42"/>
      <c r="P1108" s="46">
        <v>29</v>
      </c>
      <c r="Q1108" s="41">
        <v>0</v>
      </c>
    </row>
    <row r="1109" spans="1:17" ht="12" customHeight="1" x14ac:dyDescent="0.3">
      <c r="A1109" s="39"/>
      <c r="B1109" s="40" t="s">
        <v>2100</v>
      </c>
      <c r="C1109" s="41">
        <v>150000.20000000001</v>
      </c>
      <c r="D1109" s="42">
        <v>46083</v>
      </c>
      <c r="E1109" s="43" t="s">
        <v>2</v>
      </c>
      <c r="F1109" s="41">
        <v>0</v>
      </c>
      <c r="G1109" s="41">
        <v>0</v>
      </c>
      <c r="H1109" s="41">
        <v>150000.20000000001</v>
      </c>
      <c r="I1109" s="43">
        <v>90</v>
      </c>
      <c r="J1109" s="43">
        <v>8</v>
      </c>
      <c r="K1109" s="44">
        <v>3000000</v>
      </c>
      <c r="L1109" s="43" t="s">
        <v>992</v>
      </c>
      <c r="M1109" s="45">
        <v>46173</v>
      </c>
      <c r="N1109" s="41">
        <v>150000.20000000001</v>
      </c>
      <c r="O1109" s="42">
        <v>46099</v>
      </c>
      <c r="P1109" s="46"/>
      <c r="Q1109" s="41">
        <v>150000.20000000001</v>
      </c>
    </row>
    <row r="1110" spans="1:17" ht="12" customHeight="1" x14ac:dyDescent="0.3">
      <c r="A1110" s="39"/>
      <c r="B1110" s="40" t="s">
        <v>2101</v>
      </c>
      <c r="C1110" s="41">
        <v>2400001.09</v>
      </c>
      <c r="D1110" s="42">
        <v>46083</v>
      </c>
      <c r="E1110" s="43" t="s">
        <v>1763</v>
      </c>
      <c r="F1110" s="41">
        <v>1198261.0900000001</v>
      </c>
      <c r="G1110" s="41">
        <v>0</v>
      </c>
      <c r="H1110" s="41">
        <v>2400001.09</v>
      </c>
      <c r="I1110" s="43">
        <v>90</v>
      </c>
      <c r="J1110" s="43">
        <v>237</v>
      </c>
      <c r="K1110" s="44">
        <v>2400000</v>
      </c>
      <c r="L1110" s="43" t="s">
        <v>992</v>
      </c>
      <c r="M1110" s="45">
        <v>46173</v>
      </c>
      <c r="N1110" s="41">
        <v>1201740</v>
      </c>
      <c r="O1110" s="42">
        <v>46112</v>
      </c>
      <c r="P1110" s="46">
        <v>29</v>
      </c>
      <c r="Q1110" s="41">
        <v>1201740</v>
      </c>
    </row>
    <row r="1111" spans="1:17" ht="12" customHeight="1" x14ac:dyDescent="0.3">
      <c r="A1111" s="39"/>
      <c r="B1111" s="40" t="s">
        <v>2102</v>
      </c>
      <c r="C1111" s="41">
        <v>150000.01999999999</v>
      </c>
      <c r="D1111" s="42">
        <v>46084</v>
      </c>
      <c r="E1111" s="43" t="s">
        <v>2</v>
      </c>
      <c r="F1111" s="41">
        <v>0</v>
      </c>
      <c r="G1111" s="41">
        <v>0</v>
      </c>
      <c r="H1111" s="41">
        <v>150000.01999999999</v>
      </c>
      <c r="I1111" s="43">
        <v>90</v>
      </c>
      <c r="J1111" s="43">
        <v>8</v>
      </c>
      <c r="K1111" s="44">
        <v>3000000</v>
      </c>
      <c r="L1111" s="43" t="s">
        <v>992</v>
      </c>
      <c r="M1111" s="45">
        <v>46174</v>
      </c>
      <c r="N1111" s="41">
        <v>150000.01999999999</v>
      </c>
      <c r="O1111" s="42">
        <v>46099</v>
      </c>
      <c r="P1111" s="46"/>
      <c r="Q1111" s="41">
        <v>150000.01999999999</v>
      </c>
    </row>
    <row r="1112" spans="1:17" ht="12" customHeight="1" x14ac:dyDescent="0.3">
      <c r="A1112" s="39"/>
      <c r="B1112" s="40" t="s">
        <v>2103</v>
      </c>
      <c r="C1112" s="41">
        <v>150000</v>
      </c>
      <c r="D1112" s="42">
        <v>46084</v>
      </c>
      <c r="E1112" s="43" t="s">
        <v>2</v>
      </c>
      <c r="F1112" s="41">
        <v>0</v>
      </c>
      <c r="G1112" s="41">
        <v>0</v>
      </c>
      <c r="H1112" s="41">
        <v>150000</v>
      </c>
      <c r="I1112" s="43">
        <v>90</v>
      </c>
      <c r="J1112" s="43">
        <v>71</v>
      </c>
      <c r="K1112" s="44">
        <v>4000000</v>
      </c>
      <c r="L1112" s="43" t="s">
        <v>992</v>
      </c>
      <c r="M1112" s="45">
        <v>46174</v>
      </c>
      <c r="N1112" s="41">
        <v>150000</v>
      </c>
      <c r="O1112" s="42">
        <v>46112</v>
      </c>
      <c r="P1112" s="46"/>
      <c r="Q1112" s="41">
        <v>150000</v>
      </c>
    </row>
    <row r="1113" spans="1:17" ht="12" customHeight="1" x14ac:dyDescent="0.3">
      <c r="A1113" s="39"/>
      <c r="B1113" s="40" t="s">
        <v>2104</v>
      </c>
      <c r="C1113" s="41">
        <v>155000</v>
      </c>
      <c r="D1113" s="42">
        <v>46085</v>
      </c>
      <c r="E1113" s="43" t="s">
        <v>2</v>
      </c>
      <c r="F1113" s="41">
        <v>0</v>
      </c>
      <c r="G1113" s="41">
        <v>0</v>
      </c>
      <c r="H1113" s="41">
        <v>155000</v>
      </c>
      <c r="I1113" s="43">
        <v>90</v>
      </c>
      <c r="J1113" s="43">
        <v>71</v>
      </c>
      <c r="K1113" s="44">
        <v>4000000</v>
      </c>
      <c r="L1113" s="43" t="s">
        <v>992</v>
      </c>
      <c r="M1113" s="45">
        <v>46175</v>
      </c>
      <c r="N1113" s="41">
        <v>155000</v>
      </c>
      <c r="O1113" s="42">
        <v>46112</v>
      </c>
      <c r="P1113" s="46"/>
      <c r="Q1113" s="41">
        <v>155000</v>
      </c>
    </row>
    <row r="1114" spans="1:17" ht="12" customHeight="1" x14ac:dyDescent="0.3">
      <c r="A1114" s="39"/>
      <c r="B1114" s="40" t="s">
        <v>2105</v>
      </c>
      <c r="C1114" s="41">
        <v>300000.01</v>
      </c>
      <c r="D1114" s="42">
        <v>46086</v>
      </c>
      <c r="E1114" s="43" t="s">
        <v>1763</v>
      </c>
      <c r="F1114" s="41">
        <v>300000.01</v>
      </c>
      <c r="G1114" s="41">
        <v>0</v>
      </c>
      <c r="H1114" s="41">
        <v>300000.01</v>
      </c>
      <c r="I1114" s="43">
        <v>90</v>
      </c>
      <c r="J1114" s="43">
        <v>116</v>
      </c>
      <c r="K1114" s="44">
        <v>3300000</v>
      </c>
      <c r="L1114" s="43" t="s">
        <v>992</v>
      </c>
      <c r="M1114" s="45">
        <v>46176</v>
      </c>
      <c r="N1114" s="41">
        <v>0</v>
      </c>
      <c r="O1114" s="42"/>
      <c r="P1114" s="46">
        <v>26</v>
      </c>
      <c r="Q1114" s="41">
        <v>0</v>
      </c>
    </row>
    <row r="1115" spans="1:17" ht="12" customHeight="1" x14ac:dyDescent="0.3">
      <c r="A1115" s="39"/>
      <c r="B1115" s="40" t="s">
        <v>2106</v>
      </c>
      <c r="C1115" s="41">
        <v>88414.3</v>
      </c>
      <c r="D1115" s="42">
        <v>46086</v>
      </c>
      <c r="E1115" s="43" t="s">
        <v>2</v>
      </c>
      <c r="F1115" s="41">
        <v>0</v>
      </c>
      <c r="G1115" s="41">
        <v>0</v>
      </c>
      <c r="H1115" s="41">
        <v>88414.3</v>
      </c>
      <c r="I1115" s="43">
        <v>90</v>
      </c>
      <c r="J1115" s="43">
        <v>288</v>
      </c>
      <c r="K1115" s="44">
        <v>1000000</v>
      </c>
      <c r="L1115" s="43" t="s">
        <v>992</v>
      </c>
      <c r="M1115" s="45">
        <v>46176</v>
      </c>
      <c r="N1115" s="41">
        <v>88414.3</v>
      </c>
      <c r="O1115" s="42">
        <v>46106</v>
      </c>
      <c r="P1115" s="46"/>
      <c r="Q1115" s="41">
        <v>88414.3</v>
      </c>
    </row>
    <row r="1116" spans="1:17" ht="12" customHeight="1" x14ac:dyDescent="0.3">
      <c r="A1116" s="39"/>
      <c r="B1116" s="40" t="s">
        <v>2107</v>
      </c>
      <c r="C1116" s="41">
        <v>13964.22</v>
      </c>
      <c r="D1116" s="42">
        <v>46088</v>
      </c>
      <c r="E1116" s="43" t="s">
        <v>2</v>
      </c>
      <c r="F1116" s="41">
        <v>0</v>
      </c>
      <c r="G1116" s="41">
        <v>0</v>
      </c>
      <c r="H1116" s="41">
        <v>13964.22</v>
      </c>
      <c r="I1116" s="43">
        <v>90</v>
      </c>
      <c r="J1116" s="43">
        <v>288</v>
      </c>
      <c r="K1116" s="44">
        <v>1000000</v>
      </c>
      <c r="L1116" s="43" t="s">
        <v>992</v>
      </c>
      <c r="M1116" s="45">
        <v>46180</v>
      </c>
      <c r="N1116" s="41">
        <v>13964.22</v>
      </c>
      <c r="O1116" s="42">
        <v>46106</v>
      </c>
      <c r="P1116" s="46"/>
      <c r="Q1116" s="41">
        <v>13964.22</v>
      </c>
    </row>
    <row r="1117" spans="1:17" ht="12" customHeight="1" x14ac:dyDescent="0.3">
      <c r="A1117" s="39"/>
      <c r="B1117" s="40" t="s">
        <v>2108</v>
      </c>
      <c r="C1117" s="41">
        <v>205000</v>
      </c>
      <c r="D1117" s="42">
        <v>46089</v>
      </c>
      <c r="E1117" s="43" t="s">
        <v>2</v>
      </c>
      <c r="F1117" s="41">
        <v>0</v>
      </c>
      <c r="G1117" s="41">
        <v>0</v>
      </c>
      <c r="H1117" s="41">
        <v>205000</v>
      </c>
      <c r="I1117" s="43">
        <v>90</v>
      </c>
      <c r="J1117" s="43">
        <v>71</v>
      </c>
      <c r="K1117" s="44">
        <v>4000000</v>
      </c>
      <c r="L1117" s="43" t="s">
        <v>992</v>
      </c>
      <c r="M1117" s="45">
        <v>46180</v>
      </c>
      <c r="N1117" s="41">
        <v>205000</v>
      </c>
      <c r="O1117" s="42">
        <v>46112</v>
      </c>
      <c r="P1117" s="46"/>
      <c r="Q1117" s="41">
        <v>205000</v>
      </c>
    </row>
    <row r="1118" spans="1:17" ht="12" customHeight="1" x14ac:dyDescent="0.3">
      <c r="A1118" s="39"/>
      <c r="B1118" s="40" t="s">
        <v>2109</v>
      </c>
      <c r="C1118" s="41">
        <v>169300.01</v>
      </c>
      <c r="D1118" s="42">
        <v>46089</v>
      </c>
      <c r="E1118" s="43" t="s">
        <v>1763</v>
      </c>
      <c r="F1118" s="41">
        <v>109823.01</v>
      </c>
      <c r="G1118" s="41">
        <v>0</v>
      </c>
      <c r="H1118" s="41">
        <v>169300.01</v>
      </c>
      <c r="I1118" s="43">
        <v>90</v>
      </c>
      <c r="J1118" s="43">
        <v>71</v>
      </c>
      <c r="K1118" s="44">
        <v>4000000</v>
      </c>
      <c r="L1118" s="43" t="s">
        <v>992</v>
      </c>
      <c r="M1118" s="45">
        <v>46180</v>
      </c>
      <c r="N1118" s="41">
        <v>59477</v>
      </c>
      <c r="O1118" s="42">
        <v>46112</v>
      </c>
      <c r="P1118" s="46">
        <v>23</v>
      </c>
      <c r="Q1118" s="41">
        <v>59477</v>
      </c>
    </row>
    <row r="1119" spans="1:17" ht="12" customHeight="1" x14ac:dyDescent="0.3">
      <c r="A1119" s="39"/>
      <c r="B1119" s="40" t="s">
        <v>2110</v>
      </c>
      <c r="C1119" s="41">
        <v>326003.61</v>
      </c>
      <c r="D1119" s="42">
        <v>46089</v>
      </c>
      <c r="E1119" s="43" t="s">
        <v>2</v>
      </c>
      <c r="F1119" s="41">
        <v>0</v>
      </c>
      <c r="G1119" s="41">
        <v>0</v>
      </c>
      <c r="H1119" s="41">
        <v>326003.61</v>
      </c>
      <c r="I1119" s="43">
        <v>90</v>
      </c>
      <c r="J1119" s="43">
        <v>8</v>
      </c>
      <c r="K1119" s="44">
        <v>3000000</v>
      </c>
      <c r="L1119" s="43" t="s">
        <v>992</v>
      </c>
      <c r="M1119" s="45">
        <v>46180</v>
      </c>
      <c r="N1119" s="41">
        <v>326003.61</v>
      </c>
      <c r="O1119" s="42">
        <v>46099</v>
      </c>
      <c r="P1119" s="46"/>
      <c r="Q1119" s="41">
        <v>326003.61</v>
      </c>
    </row>
    <row r="1120" spans="1:17" ht="12" customHeight="1" x14ac:dyDescent="0.3">
      <c r="A1120" s="39"/>
      <c r="B1120" s="40" t="s">
        <v>2111</v>
      </c>
      <c r="C1120" s="41">
        <v>150000.01999999999</v>
      </c>
      <c r="D1120" s="42">
        <v>46089</v>
      </c>
      <c r="E1120" s="43" t="s">
        <v>2</v>
      </c>
      <c r="F1120" s="41">
        <v>0</v>
      </c>
      <c r="G1120" s="41">
        <v>0</v>
      </c>
      <c r="H1120" s="41">
        <v>150000.01999999999</v>
      </c>
      <c r="I1120" s="43">
        <v>90</v>
      </c>
      <c r="J1120" s="43">
        <v>8</v>
      </c>
      <c r="K1120" s="44">
        <v>3000000</v>
      </c>
      <c r="L1120" s="43" t="s">
        <v>992</v>
      </c>
      <c r="M1120" s="45">
        <v>46180</v>
      </c>
      <c r="N1120" s="41">
        <v>150000.01999999999</v>
      </c>
      <c r="O1120" s="42">
        <v>46099</v>
      </c>
      <c r="P1120" s="46"/>
      <c r="Q1120" s="41">
        <v>150000.01999999999</v>
      </c>
    </row>
    <row r="1121" spans="1:17" ht="12" customHeight="1" x14ac:dyDescent="0.3">
      <c r="A1121" s="39"/>
      <c r="B1121" s="40" t="s">
        <v>2112</v>
      </c>
      <c r="C1121" s="41">
        <v>165750.10999999999</v>
      </c>
      <c r="D1121" s="42">
        <v>46089</v>
      </c>
      <c r="E1121" s="43" t="s">
        <v>2</v>
      </c>
      <c r="F1121" s="41">
        <v>0</v>
      </c>
      <c r="G1121" s="41">
        <v>0</v>
      </c>
      <c r="H1121" s="41">
        <v>165750.10999999999</v>
      </c>
      <c r="I1121" s="43">
        <v>90</v>
      </c>
      <c r="J1121" s="43">
        <v>197</v>
      </c>
      <c r="K1121" s="44">
        <v>7000000</v>
      </c>
      <c r="L1121" s="43" t="s">
        <v>992</v>
      </c>
      <c r="M1121" s="45">
        <v>46180</v>
      </c>
      <c r="N1121" s="41">
        <v>165750.10999999999</v>
      </c>
      <c r="O1121" s="42">
        <v>46111</v>
      </c>
      <c r="P1121" s="46"/>
      <c r="Q1121" s="41">
        <v>165750.10999999999</v>
      </c>
    </row>
    <row r="1122" spans="1:17" ht="12" customHeight="1" x14ac:dyDescent="0.3">
      <c r="A1122" s="39"/>
      <c r="B1122" s="40" t="s">
        <v>2113</v>
      </c>
      <c r="C1122" s="41">
        <v>37928.980000000003</v>
      </c>
      <c r="D1122" s="42">
        <v>46089</v>
      </c>
      <c r="E1122" s="43" t="s">
        <v>2</v>
      </c>
      <c r="F1122" s="41">
        <v>0</v>
      </c>
      <c r="G1122" s="41">
        <v>0</v>
      </c>
      <c r="H1122" s="41">
        <v>37928.980000000003</v>
      </c>
      <c r="I1122" s="43">
        <v>90</v>
      </c>
      <c r="J1122" s="43">
        <v>288</v>
      </c>
      <c r="K1122" s="44">
        <v>1000000</v>
      </c>
      <c r="L1122" s="43" t="s">
        <v>992</v>
      </c>
      <c r="M1122" s="45">
        <v>46180</v>
      </c>
      <c r="N1122" s="41">
        <v>37928.980000000003</v>
      </c>
      <c r="O1122" s="42">
        <v>46107</v>
      </c>
      <c r="P1122" s="46"/>
      <c r="Q1122" s="41">
        <v>37928.980000000003</v>
      </c>
    </row>
    <row r="1123" spans="1:17" ht="12" customHeight="1" x14ac:dyDescent="0.3">
      <c r="A1123" s="39"/>
      <c r="B1123" s="40" t="s">
        <v>2114</v>
      </c>
      <c r="C1123" s="41">
        <v>64586.3</v>
      </c>
      <c r="D1123" s="42">
        <v>46089</v>
      </c>
      <c r="E1123" s="43" t="s">
        <v>2</v>
      </c>
      <c r="F1123" s="41">
        <v>0</v>
      </c>
      <c r="G1123" s="41">
        <v>0</v>
      </c>
      <c r="H1123" s="41">
        <v>64586.3</v>
      </c>
      <c r="I1123" s="43">
        <v>90</v>
      </c>
      <c r="J1123" s="43">
        <v>288</v>
      </c>
      <c r="K1123" s="44">
        <v>1000000</v>
      </c>
      <c r="L1123" s="43" t="s">
        <v>992</v>
      </c>
      <c r="M1123" s="45">
        <v>46180</v>
      </c>
      <c r="N1123" s="41">
        <v>64586.3</v>
      </c>
      <c r="O1123" s="42">
        <v>46107</v>
      </c>
      <c r="P1123" s="46"/>
      <c r="Q1123" s="41">
        <v>64586.3</v>
      </c>
    </row>
    <row r="1124" spans="1:17" ht="12" customHeight="1" x14ac:dyDescent="0.3">
      <c r="A1124" s="39"/>
      <c r="B1124" s="40" t="s">
        <v>2115</v>
      </c>
      <c r="C1124" s="41">
        <v>28750</v>
      </c>
      <c r="D1124" s="42">
        <v>46089</v>
      </c>
      <c r="E1124" s="43" t="s">
        <v>2</v>
      </c>
      <c r="F1124" s="41">
        <v>0</v>
      </c>
      <c r="G1124" s="41">
        <v>0</v>
      </c>
      <c r="H1124" s="41">
        <v>28750</v>
      </c>
      <c r="I1124" s="43">
        <v>90</v>
      </c>
      <c r="J1124" s="43">
        <v>288</v>
      </c>
      <c r="K1124" s="44">
        <v>1000000</v>
      </c>
      <c r="L1124" s="43" t="s">
        <v>992</v>
      </c>
      <c r="M1124" s="45">
        <v>46180</v>
      </c>
      <c r="N1124" s="41">
        <v>28750</v>
      </c>
      <c r="O1124" s="42">
        <v>46107</v>
      </c>
      <c r="P1124" s="46"/>
      <c r="Q1124" s="41">
        <v>28750</v>
      </c>
    </row>
    <row r="1125" spans="1:17" ht="12" customHeight="1" x14ac:dyDescent="0.3">
      <c r="A1125" s="39"/>
      <c r="B1125" s="40" t="s">
        <v>2116</v>
      </c>
      <c r="C1125" s="41">
        <v>21275</v>
      </c>
      <c r="D1125" s="42">
        <v>46089</v>
      </c>
      <c r="E1125" s="43" t="s">
        <v>2</v>
      </c>
      <c r="F1125" s="41">
        <v>0</v>
      </c>
      <c r="G1125" s="41">
        <v>0</v>
      </c>
      <c r="H1125" s="41">
        <v>21275</v>
      </c>
      <c r="I1125" s="43">
        <v>90</v>
      </c>
      <c r="J1125" s="43">
        <v>288</v>
      </c>
      <c r="K1125" s="44">
        <v>1000000</v>
      </c>
      <c r="L1125" s="43" t="s">
        <v>992</v>
      </c>
      <c r="M1125" s="45">
        <v>46180</v>
      </c>
      <c r="N1125" s="41">
        <v>21275</v>
      </c>
      <c r="O1125" s="42">
        <v>46107</v>
      </c>
      <c r="P1125" s="46"/>
      <c r="Q1125" s="41">
        <v>21275</v>
      </c>
    </row>
    <row r="1126" spans="1:17" ht="12" customHeight="1" x14ac:dyDescent="0.3">
      <c r="A1126" s="39"/>
      <c r="B1126" s="40" t="s">
        <v>2117</v>
      </c>
      <c r="C1126" s="41">
        <v>50000.25</v>
      </c>
      <c r="D1126" s="42">
        <v>46090</v>
      </c>
      <c r="E1126" s="43" t="s">
        <v>1763</v>
      </c>
      <c r="F1126" s="41">
        <v>50000.25</v>
      </c>
      <c r="G1126" s="41">
        <v>0</v>
      </c>
      <c r="H1126" s="41">
        <v>50000.25</v>
      </c>
      <c r="I1126" s="43">
        <v>90</v>
      </c>
      <c r="J1126" s="43">
        <v>237</v>
      </c>
      <c r="K1126" s="44">
        <v>2400000</v>
      </c>
      <c r="L1126" s="43" t="s">
        <v>992</v>
      </c>
      <c r="M1126" s="45">
        <v>46180</v>
      </c>
      <c r="N1126" s="41">
        <v>0</v>
      </c>
      <c r="O1126" s="42"/>
      <c r="P1126" s="46">
        <v>22</v>
      </c>
      <c r="Q1126" s="41">
        <v>0</v>
      </c>
    </row>
    <row r="1127" spans="1:17" ht="12" customHeight="1" x14ac:dyDescent="0.3">
      <c r="A1127" s="39"/>
      <c r="B1127" s="40" t="s">
        <v>2118</v>
      </c>
      <c r="C1127" s="41">
        <v>20000.8</v>
      </c>
      <c r="D1127" s="42">
        <v>46090</v>
      </c>
      <c r="E1127" s="43" t="s">
        <v>2</v>
      </c>
      <c r="F1127" s="41">
        <v>0</v>
      </c>
      <c r="G1127" s="41">
        <v>0</v>
      </c>
      <c r="H1127" s="41">
        <v>20000.8</v>
      </c>
      <c r="I1127" s="43">
        <v>90</v>
      </c>
      <c r="J1127" s="43">
        <v>288</v>
      </c>
      <c r="K1127" s="44">
        <v>1000000</v>
      </c>
      <c r="L1127" s="43" t="s">
        <v>992</v>
      </c>
      <c r="M1127" s="45">
        <v>46180</v>
      </c>
      <c r="N1127" s="41">
        <v>20000.8</v>
      </c>
      <c r="O1127" s="42">
        <v>46107</v>
      </c>
      <c r="P1127" s="46"/>
      <c r="Q1127" s="41">
        <v>20000.8</v>
      </c>
    </row>
    <row r="1128" spans="1:17" ht="12" customHeight="1" x14ac:dyDescent="0.3">
      <c r="A1128" s="39"/>
      <c r="B1128" s="40" t="s">
        <v>2119</v>
      </c>
      <c r="C1128" s="41">
        <v>118398</v>
      </c>
      <c r="D1128" s="42">
        <v>46090</v>
      </c>
      <c r="E1128" s="43" t="s">
        <v>2</v>
      </c>
      <c r="F1128" s="41">
        <v>0</v>
      </c>
      <c r="G1128" s="41">
        <v>0</v>
      </c>
      <c r="H1128" s="41">
        <v>118398</v>
      </c>
      <c r="I1128" s="43">
        <v>90</v>
      </c>
      <c r="J1128" s="43">
        <v>197</v>
      </c>
      <c r="K1128" s="44">
        <v>7000000</v>
      </c>
      <c r="L1128" s="43" t="s">
        <v>992</v>
      </c>
      <c r="M1128" s="45">
        <v>46180</v>
      </c>
      <c r="N1128" s="41">
        <v>118398</v>
      </c>
      <c r="O1128" s="42">
        <v>46111</v>
      </c>
      <c r="P1128" s="46"/>
      <c r="Q1128" s="41">
        <v>118398</v>
      </c>
    </row>
    <row r="1129" spans="1:17" ht="12" customHeight="1" x14ac:dyDescent="0.3">
      <c r="A1129" s="39"/>
      <c r="B1129" s="40" t="s">
        <v>2120</v>
      </c>
      <c r="C1129" s="41">
        <v>111000</v>
      </c>
      <c r="D1129" s="42">
        <v>46090</v>
      </c>
      <c r="E1129" s="43" t="s">
        <v>1763</v>
      </c>
      <c r="F1129" s="41">
        <v>111000</v>
      </c>
      <c r="G1129" s="41">
        <v>0</v>
      </c>
      <c r="H1129" s="41">
        <v>111000</v>
      </c>
      <c r="I1129" s="43">
        <v>90</v>
      </c>
      <c r="J1129" s="43">
        <v>71</v>
      </c>
      <c r="K1129" s="44">
        <v>4000000</v>
      </c>
      <c r="L1129" s="43" t="s">
        <v>992</v>
      </c>
      <c r="M1129" s="45">
        <v>46180</v>
      </c>
      <c r="N1129" s="41">
        <v>0</v>
      </c>
      <c r="O1129" s="42"/>
      <c r="P1129" s="46">
        <v>22</v>
      </c>
      <c r="Q1129" s="41">
        <v>0</v>
      </c>
    </row>
    <row r="1130" spans="1:17" ht="12" customHeight="1" x14ac:dyDescent="0.3">
      <c r="A1130" s="39"/>
      <c r="B1130" s="40" t="s">
        <v>2121</v>
      </c>
      <c r="C1130" s="41">
        <v>300000</v>
      </c>
      <c r="D1130" s="42">
        <v>46091</v>
      </c>
      <c r="E1130" s="43" t="s">
        <v>1763</v>
      </c>
      <c r="F1130" s="41">
        <v>300000</v>
      </c>
      <c r="G1130" s="41">
        <v>0</v>
      </c>
      <c r="H1130" s="41">
        <v>300000</v>
      </c>
      <c r="I1130" s="43">
        <v>90</v>
      </c>
      <c r="J1130" s="43">
        <v>116</v>
      </c>
      <c r="K1130" s="44">
        <v>3300000</v>
      </c>
      <c r="L1130" s="43" t="s">
        <v>992</v>
      </c>
      <c r="M1130" s="45">
        <v>46181</v>
      </c>
      <c r="N1130" s="41">
        <v>0</v>
      </c>
      <c r="O1130" s="42"/>
      <c r="P1130" s="46">
        <v>21</v>
      </c>
      <c r="Q1130" s="41">
        <v>0</v>
      </c>
    </row>
    <row r="1131" spans="1:17" ht="12" customHeight="1" x14ac:dyDescent="0.3">
      <c r="A1131" s="39"/>
      <c r="B1131" s="40" t="s">
        <v>2122</v>
      </c>
      <c r="C1131" s="41">
        <v>100000</v>
      </c>
      <c r="D1131" s="42">
        <v>46091</v>
      </c>
      <c r="E1131" s="43" t="s">
        <v>1763</v>
      </c>
      <c r="F1131" s="41">
        <v>100000</v>
      </c>
      <c r="G1131" s="41">
        <v>0</v>
      </c>
      <c r="H1131" s="41">
        <v>100000</v>
      </c>
      <c r="I1131" s="43">
        <v>90</v>
      </c>
      <c r="J1131" s="43">
        <v>71</v>
      </c>
      <c r="K1131" s="44">
        <v>4000000</v>
      </c>
      <c r="L1131" s="43" t="s">
        <v>992</v>
      </c>
      <c r="M1131" s="45">
        <v>46181</v>
      </c>
      <c r="N1131" s="41">
        <v>0</v>
      </c>
      <c r="O1131" s="42"/>
      <c r="P1131" s="46">
        <v>21</v>
      </c>
      <c r="Q1131" s="41">
        <v>0</v>
      </c>
    </row>
    <row r="1132" spans="1:17" ht="12" customHeight="1" x14ac:dyDescent="0.3">
      <c r="A1132" s="39"/>
      <c r="B1132" s="40" t="s">
        <v>2123</v>
      </c>
      <c r="C1132" s="41">
        <v>300000</v>
      </c>
      <c r="D1132" s="42">
        <v>46092</v>
      </c>
      <c r="E1132" s="43" t="s">
        <v>1763</v>
      </c>
      <c r="F1132" s="41">
        <v>300000</v>
      </c>
      <c r="G1132" s="41">
        <v>0</v>
      </c>
      <c r="H1132" s="41">
        <v>300000</v>
      </c>
      <c r="I1132" s="43">
        <v>90</v>
      </c>
      <c r="J1132" s="43">
        <v>71</v>
      </c>
      <c r="K1132" s="44">
        <v>4000000</v>
      </c>
      <c r="L1132" s="43" t="s">
        <v>992</v>
      </c>
      <c r="M1132" s="45">
        <v>46182</v>
      </c>
      <c r="N1132" s="41">
        <v>0</v>
      </c>
      <c r="O1132" s="42"/>
      <c r="P1132" s="46">
        <v>20</v>
      </c>
      <c r="Q1132" s="41">
        <v>0</v>
      </c>
    </row>
    <row r="1133" spans="1:17" ht="12" customHeight="1" x14ac:dyDescent="0.3">
      <c r="A1133" s="39"/>
      <c r="B1133" s="40" t="s">
        <v>2124</v>
      </c>
      <c r="C1133" s="41">
        <v>400000.32</v>
      </c>
      <c r="D1133" s="42">
        <v>46092</v>
      </c>
      <c r="E1133" s="43" t="s">
        <v>1763</v>
      </c>
      <c r="F1133" s="41">
        <v>400000.32</v>
      </c>
      <c r="G1133" s="41">
        <v>0</v>
      </c>
      <c r="H1133" s="41">
        <v>400000.32</v>
      </c>
      <c r="I1133" s="43">
        <v>90</v>
      </c>
      <c r="J1133" s="43">
        <v>237</v>
      </c>
      <c r="K1133" s="44">
        <v>3000000</v>
      </c>
      <c r="L1133" s="43" t="s">
        <v>992</v>
      </c>
      <c r="M1133" s="45">
        <v>46182</v>
      </c>
      <c r="N1133" s="41">
        <v>0</v>
      </c>
      <c r="O1133" s="42"/>
      <c r="P1133" s="46">
        <v>20</v>
      </c>
      <c r="Q1133" s="41">
        <v>0</v>
      </c>
    </row>
    <row r="1134" spans="1:17" ht="12" customHeight="1" x14ac:dyDescent="0.3">
      <c r="A1134" s="39"/>
      <c r="B1134" s="40" t="s">
        <v>2125</v>
      </c>
      <c r="C1134" s="41">
        <v>150000</v>
      </c>
      <c r="D1134" s="42">
        <v>46093</v>
      </c>
      <c r="E1134" s="43" t="s">
        <v>1763</v>
      </c>
      <c r="F1134" s="41">
        <v>150000</v>
      </c>
      <c r="G1134" s="41">
        <v>0</v>
      </c>
      <c r="H1134" s="41">
        <v>150000</v>
      </c>
      <c r="I1134" s="43">
        <v>90</v>
      </c>
      <c r="J1134" s="43">
        <v>13</v>
      </c>
      <c r="K1134" s="44">
        <v>5000000</v>
      </c>
      <c r="L1134" s="43" t="s">
        <v>992</v>
      </c>
      <c r="M1134" s="45">
        <v>46183</v>
      </c>
      <c r="N1134" s="41">
        <v>0</v>
      </c>
      <c r="O1134" s="42"/>
      <c r="P1134" s="46">
        <v>19</v>
      </c>
      <c r="Q1134" s="41">
        <v>0</v>
      </c>
    </row>
    <row r="1135" spans="1:17" ht="12" customHeight="1" x14ac:dyDescent="0.3">
      <c r="A1135" s="39"/>
      <c r="B1135" s="40" t="s">
        <v>2126</v>
      </c>
      <c r="C1135" s="41">
        <v>171699.9</v>
      </c>
      <c r="D1135" s="42">
        <v>46093</v>
      </c>
      <c r="E1135" s="43" t="s">
        <v>2</v>
      </c>
      <c r="F1135" s="41">
        <v>0</v>
      </c>
      <c r="G1135" s="41">
        <v>0</v>
      </c>
      <c r="H1135" s="41">
        <v>171699.9</v>
      </c>
      <c r="I1135" s="43">
        <v>90</v>
      </c>
      <c r="J1135" s="43">
        <v>197</v>
      </c>
      <c r="K1135" s="44">
        <v>7000000</v>
      </c>
      <c r="L1135" s="43" t="s">
        <v>992</v>
      </c>
      <c r="M1135" s="45">
        <v>46183</v>
      </c>
      <c r="N1135" s="41">
        <v>171699.9</v>
      </c>
      <c r="O1135" s="42">
        <v>46111</v>
      </c>
      <c r="P1135" s="46"/>
      <c r="Q1135" s="41">
        <v>171699.9</v>
      </c>
    </row>
    <row r="1136" spans="1:17" ht="12" customHeight="1" x14ac:dyDescent="0.3">
      <c r="A1136" s="39"/>
      <c r="B1136" s="40" t="s">
        <v>2127</v>
      </c>
      <c r="C1136" s="41">
        <v>169300.14</v>
      </c>
      <c r="D1136" s="42">
        <v>46093</v>
      </c>
      <c r="E1136" s="43" t="s">
        <v>1763</v>
      </c>
      <c r="F1136" s="41">
        <v>169300.14</v>
      </c>
      <c r="G1136" s="41">
        <v>0</v>
      </c>
      <c r="H1136" s="41">
        <v>169300.14</v>
      </c>
      <c r="I1136" s="43">
        <v>90</v>
      </c>
      <c r="J1136" s="43">
        <v>71</v>
      </c>
      <c r="K1136" s="44">
        <v>4000000</v>
      </c>
      <c r="L1136" s="43" t="s">
        <v>992</v>
      </c>
      <c r="M1136" s="45">
        <v>46183</v>
      </c>
      <c r="N1136" s="41">
        <v>0</v>
      </c>
      <c r="O1136" s="42"/>
      <c r="P1136" s="46">
        <v>19</v>
      </c>
      <c r="Q1136" s="41">
        <v>0</v>
      </c>
    </row>
    <row r="1137" spans="1:17" ht="12" customHeight="1" x14ac:dyDescent="0.3">
      <c r="A1137" s="39"/>
      <c r="B1137" s="40" t="s">
        <v>2128</v>
      </c>
      <c r="C1137" s="41">
        <v>145000.46</v>
      </c>
      <c r="D1137" s="42">
        <v>46093</v>
      </c>
      <c r="E1137" s="43" t="s">
        <v>1763</v>
      </c>
      <c r="F1137" s="41">
        <v>145000.46</v>
      </c>
      <c r="G1137" s="41">
        <v>0</v>
      </c>
      <c r="H1137" s="41">
        <v>145000.46</v>
      </c>
      <c r="I1137" s="43">
        <v>90</v>
      </c>
      <c r="J1137" s="43">
        <v>13</v>
      </c>
      <c r="K1137" s="44">
        <v>5000000</v>
      </c>
      <c r="L1137" s="43" t="s">
        <v>992</v>
      </c>
      <c r="M1137" s="45">
        <v>46183</v>
      </c>
      <c r="N1137" s="41">
        <v>0</v>
      </c>
      <c r="O1137" s="42"/>
      <c r="P1137" s="46">
        <v>19</v>
      </c>
      <c r="Q1137" s="41">
        <v>0</v>
      </c>
    </row>
    <row r="1138" spans="1:17" ht="12" customHeight="1" x14ac:dyDescent="0.3">
      <c r="A1138" s="39"/>
      <c r="B1138" s="40" t="s">
        <v>2129</v>
      </c>
      <c r="C1138" s="41">
        <v>200000.16</v>
      </c>
      <c r="D1138" s="42">
        <v>46093</v>
      </c>
      <c r="E1138" s="43" t="s">
        <v>1763</v>
      </c>
      <c r="F1138" s="41">
        <v>200000.16</v>
      </c>
      <c r="G1138" s="41">
        <v>0</v>
      </c>
      <c r="H1138" s="41">
        <v>200000.16</v>
      </c>
      <c r="I1138" s="43">
        <v>90</v>
      </c>
      <c r="J1138" s="43">
        <v>237</v>
      </c>
      <c r="K1138" s="44">
        <v>3000000</v>
      </c>
      <c r="L1138" s="43" t="s">
        <v>992</v>
      </c>
      <c r="M1138" s="45">
        <v>46183</v>
      </c>
      <c r="N1138" s="41">
        <v>0</v>
      </c>
      <c r="O1138" s="42"/>
      <c r="P1138" s="46">
        <v>19</v>
      </c>
      <c r="Q1138" s="41">
        <v>0</v>
      </c>
    </row>
    <row r="1139" spans="1:17" ht="12" customHeight="1" x14ac:dyDescent="0.3">
      <c r="A1139" s="39"/>
      <c r="B1139" s="40" t="s">
        <v>2130</v>
      </c>
      <c r="C1139" s="41">
        <v>61739.96</v>
      </c>
      <c r="D1139" s="42">
        <v>46094</v>
      </c>
      <c r="E1139" s="43" t="s">
        <v>1763</v>
      </c>
      <c r="F1139" s="41">
        <v>61739.96</v>
      </c>
      <c r="G1139" s="41">
        <v>0</v>
      </c>
      <c r="H1139" s="41">
        <v>61739.96</v>
      </c>
      <c r="I1139" s="43">
        <v>90</v>
      </c>
      <c r="J1139" s="43">
        <v>237</v>
      </c>
      <c r="K1139" s="44">
        <v>3000000</v>
      </c>
      <c r="L1139" s="43" t="s">
        <v>992</v>
      </c>
      <c r="M1139" s="45">
        <v>46184</v>
      </c>
      <c r="N1139" s="41">
        <v>0</v>
      </c>
      <c r="O1139" s="42"/>
      <c r="P1139" s="46">
        <v>18</v>
      </c>
      <c r="Q1139" s="41">
        <v>0</v>
      </c>
    </row>
    <row r="1140" spans="1:17" ht="12" customHeight="1" x14ac:dyDescent="0.3">
      <c r="A1140" s="39"/>
      <c r="B1140" s="40" t="s">
        <v>2131</v>
      </c>
      <c r="C1140" s="41">
        <v>450846</v>
      </c>
      <c r="D1140" s="42">
        <v>46096</v>
      </c>
      <c r="E1140" s="43" t="s">
        <v>2</v>
      </c>
      <c r="F1140" s="41">
        <v>0</v>
      </c>
      <c r="G1140" s="41">
        <v>0</v>
      </c>
      <c r="H1140" s="41">
        <v>450846</v>
      </c>
      <c r="I1140" s="43">
        <v>90</v>
      </c>
      <c r="J1140" s="43">
        <v>197</v>
      </c>
      <c r="K1140" s="44">
        <v>7000000</v>
      </c>
      <c r="L1140" s="43" t="s">
        <v>992</v>
      </c>
      <c r="M1140" s="45">
        <v>46187</v>
      </c>
      <c r="N1140" s="41">
        <v>450846</v>
      </c>
      <c r="O1140" s="42">
        <v>46112</v>
      </c>
      <c r="P1140" s="46"/>
      <c r="Q1140" s="41">
        <v>450846</v>
      </c>
    </row>
    <row r="1141" spans="1:17" ht="12" customHeight="1" x14ac:dyDescent="0.3">
      <c r="A1141" s="39"/>
      <c r="B1141" s="40" t="s">
        <v>2132</v>
      </c>
      <c r="C1141" s="41">
        <v>813050</v>
      </c>
      <c r="D1141" s="42">
        <v>46096</v>
      </c>
      <c r="E1141" s="43" t="s">
        <v>2</v>
      </c>
      <c r="F1141" s="41">
        <v>0</v>
      </c>
      <c r="G1141" s="41">
        <v>0</v>
      </c>
      <c r="H1141" s="41">
        <v>813050</v>
      </c>
      <c r="I1141" s="43">
        <v>90</v>
      </c>
      <c r="J1141" s="43">
        <v>197</v>
      </c>
      <c r="K1141" s="44">
        <v>7000000</v>
      </c>
      <c r="L1141" s="43" t="s">
        <v>992</v>
      </c>
      <c r="M1141" s="45">
        <v>46187</v>
      </c>
      <c r="N1141" s="41">
        <v>813050</v>
      </c>
      <c r="O1141" s="42">
        <v>46112</v>
      </c>
      <c r="P1141" s="46"/>
      <c r="Q1141" s="41">
        <v>813050</v>
      </c>
    </row>
    <row r="1142" spans="1:17" ht="12" customHeight="1" x14ac:dyDescent="0.3">
      <c r="A1142" s="39"/>
      <c r="B1142" s="40" t="s">
        <v>2133</v>
      </c>
      <c r="C1142" s="41">
        <v>690000</v>
      </c>
      <c r="D1142" s="42">
        <v>46096</v>
      </c>
      <c r="E1142" s="43" t="s">
        <v>2</v>
      </c>
      <c r="F1142" s="41">
        <v>0</v>
      </c>
      <c r="G1142" s="41">
        <v>0</v>
      </c>
      <c r="H1142" s="41">
        <v>690000</v>
      </c>
      <c r="I1142" s="43">
        <v>90</v>
      </c>
      <c r="J1142" s="43">
        <v>197</v>
      </c>
      <c r="K1142" s="44">
        <v>7000000</v>
      </c>
      <c r="L1142" s="43" t="s">
        <v>992</v>
      </c>
      <c r="M1142" s="45">
        <v>46187</v>
      </c>
      <c r="N1142" s="41">
        <v>690000</v>
      </c>
      <c r="O1142" s="42">
        <v>46112</v>
      </c>
      <c r="P1142" s="46"/>
      <c r="Q1142" s="41">
        <v>690000</v>
      </c>
    </row>
    <row r="1143" spans="1:17" ht="12" customHeight="1" x14ac:dyDescent="0.3">
      <c r="A1143" s="39"/>
      <c r="B1143" s="40" t="s">
        <v>2134</v>
      </c>
      <c r="C1143" s="41">
        <v>477383.4</v>
      </c>
      <c r="D1143" s="42">
        <v>46096</v>
      </c>
      <c r="E1143" s="43" t="s">
        <v>2</v>
      </c>
      <c r="F1143" s="41">
        <v>0</v>
      </c>
      <c r="G1143" s="41">
        <v>0</v>
      </c>
      <c r="H1143" s="41">
        <v>477383.4</v>
      </c>
      <c r="I1143" s="43">
        <v>90</v>
      </c>
      <c r="J1143" s="43">
        <v>197</v>
      </c>
      <c r="K1143" s="44">
        <v>7000000</v>
      </c>
      <c r="L1143" s="43" t="s">
        <v>992</v>
      </c>
      <c r="M1143" s="45">
        <v>46187</v>
      </c>
      <c r="N1143" s="41">
        <v>477383.4</v>
      </c>
      <c r="O1143" s="42">
        <v>46112</v>
      </c>
      <c r="P1143" s="46"/>
      <c r="Q1143" s="41">
        <v>477383.4</v>
      </c>
    </row>
    <row r="1144" spans="1:17" ht="12" customHeight="1" x14ac:dyDescent="0.3">
      <c r="A1144" s="39"/>
      <c r="B1144" s="40" t="s">
        <v>2135</v>
      </c>
      <c r="C1144" s="41">
        <v>897000</v>
      </c>
      <c r="D1144" s="42">
        <v>46096</v>
      </c>
      <c r="E1144" s="43" t="s">
        <v>2</v>
      </c>
      <c r="F1144" s="41">
        <v>0</v>
      </c>
      <c r="G1144" s="41">
        <v>0</v>
      </c>
      <c r="H1144" s="41">
        <v>897000</v>
      </c>
      <c r="I1144" s="43">
        <v>90</v>
      </c>
      <c r="J1144" s="43">
        <v>197</v>
      </c>
      <c r="K1144" s="44">
        <v>7000000</v>
      </c>
      <c r="L1144" s="43" t="s">
        <v>992</v>
      </c>
      <c r="M1144" s="45">
        <v>46187</v>
      </c>
      <c r="N1144" s="41">
        <v>897000</v>
      </c>
      <c r="O1144" s="42">
        <v>46112</v>
      </c>
      <c r="P1144" s="46"/>
      <c r="Q1144" s="41">
        <v>897000</v>
      </c>
    </row>
    <row r="1145" spans="1:17" ht="12" customHeight="1" x14ac:dyDescent="0.3">
      <c r="A1145" s="39"/>
      <c r="B1145" s="40" t="s">
        <v>2136</v>
      </c>
      <c r="C1145" s="41">
        <v>28175</v>
      </c>
      <c r="D1145" s="42">
        <v>46096</v>
      </c>
      <c r="E1145" s="43" t="s">
        <v>2</v>
      </c>
      <c r="F1145" s="41">
        <v>0</v>
      </c>
      <c r="G1145" s="41">
        <v>0</v>
      </c>
      <c r="H1145" s="41">
        <v>28175</v>
      </c>
      <c r="I1145" s="43">
        <v>90</v>
      </c>
      <c r="J1145" s="43">
        <v>288</v>
      </c>
      <c r="K1145" s="44">
        <v>1000000</v>
      </c>
      <c r="L1145" s="43" t="s">
        <v>992</v>
      </c>
      <c r="M1145" s="45">
        <v>46187</v>
      </c>
      <c r="N1145" s="41">
        <v>28175</v>
      </c>
      <c r="O1145" s="42">
        <v>46107</v>
      </c>
      <c r="P1145" s="46"/>
      <c r="Q1145" s="41">
        <v>28175</v>
      </c>
    </row>
    <row r="1146" spans="1:17" ht="12" customHeight="1" x14ac:dyDescent="0.3">
      <c r="A1146" s="39"/>
      <c r="B1146" s="40" t="s">
        <v>2137</v>
      </c>
      <c r="C1146" s="41">
        <v>80000</v>
      </c>
      <c r="D1146" s="42">
        <v>46097</v>
      </c>
      <c r="E1146" s="43" t="s">
        <v>1763</v>
      </c>
      <c r="F1146" s="41">
        <v>80000</v>
      </c>
      <c r="G1146" s="41">
        <v>0</v>
      </c>
      <c r="H1146" s="41">
        <v>80000</v>
      </c>
      <c r="I1146" s="43">
        <v>90</v>
      </c>
      <c r="J1146" s="43">
        <v>71</v>
      </c>
      <c r="K1146" s="44">
        <v>4000000</v>
      </c>
      <c r="L1146" s="43" t="s">
        <v>992</v>
      </c>
      <c r="M1146" s="45">
        <v>46187</v>
      </c>
      <c r="N1146" s="41">
        <v>0</v>
      </c>
      <c r="O1146" s="42"/>
      <c r="P1146" s="46">
        <v>15</v>
      </c>
      <c r="Q1146" s="41">
        <v>0</v>
      </c>
    </row>
    <row r="1147" spans="1:17" ht="12" customHeight="1" x14ac:dyDescent="0.3">
      <c r="A1147" s="39"/>
      <c r="B1147" s="40" t="s">
        <v>2138</v>
      </c>
      <c r="C1147" s="41">
        <v>300000</v>
      </c>
      <c r="D1147" s="42">
        <v>46097</v>
      </c>
      <c r="E1147" s="43" t="s">
        <v>1763</v>
      </c>
      <c r="F1147" s="41">
        <v>300000</v>
      </c>
      <c r="G1147" s="41">
        <v>0</v>
      </c>
      <c r="H1147" s="41">
        <v>300000</v>
      </c>
      <c r="I1147" s="43">
        <v>90</v>
      </c>
      <c r="J1147" s="43">
        <v>116</v>
      </c>
      <c r="K1147" s="44">
        <v>3300000</v>
      </c>
      <c r="L1147" s="43" t="s">
        <v>992</v>
      </c>
      <c r="M1147" s="45">
        <v>46187</v>
      </c>
      <c r="N1147" s="41">
        <v>0</v>
      </c>
      <c r="O1147" s="42"/>
      <c r="P1147" s="46">
        <v>15</v>
      </c>
      <c r="Q1147" s="41">
        <v>0</v>
      </c>
    </row>
    <row r="1148" spans="1:17" ht="12" customHeight="1" x14ac:dyDescent="0.3">
      <c r="A1148" s="39"/>
      <c r="B1148" s="40" t="s">
        <v>2139</v>
      </c>
      <c r="C1148" s="41">
        <v>100000</v>
      </c>
      <c r="D1148" s="42">
        <v>46097</v>
      </c>
      <c r="E1148" s="43" t="s">
        <v>2</v>
      </c>
      <c r="F1148" s="41">
        <v>0</v>
      </c>
      <c r="G1148" s="41">
        <v>0</v>
      </c>
      <c r="H1148" s="41">
        <v>100000</v>
      </c>
      <c r="I1148" s="43">
        <v>90</v>
      </c>
      <c r="J1148" s="43">
        <v>288</v>
      </c>
      <c r="K1148" s="44">
        <v>1000000</v>
      </c>
      <c r="L1148" s="43" t="s">
        <v>992</v>
      </c>
      <c r="M1148" s="45">
        <v>46187</v>
      </c>
      <c r="N1148" s="41">
        <v>100000</v>
      </c>
      <c r="O1148" s="42">
        <v>46111</v>
      </c>
      <c r="P1148" s="46"/>
      <c r="Q1148" s="41">
        <v>100000</v>
      </c>
    </row>
    <row r="1149" spans="1:17" ht="12" customHeight="1" x14ac:dyDescent="0.3">
      <c r="A1149" s="39"/>
      <c r="B1149" s="40" t="s">
        <v>2140</v>
      </c>
      <c r="C1149" s="41">
        <v>156001.01</v>
      </c>
      <c r="D1149" s="42">
        <v>46097</v>
      </c>
      <c r="E1149" s="43" t="s">
        <v>1763</v>
      </c>
      <c r="F1149" s="41">
        <v>39095.61</v>
      </c>
      <c r="G1149" s="41">
        <v>0</v>
      </c>
      <c r="H1149" s="41">
        <v>156001.01</v>
      </c>
      <c r="I1149" s="43">
        <v>90</v>
      </c>
      <c r="J1149" s="43">
        <v>288</v>
      </c>
      <c r="K1149" s="44">
        <v>1000000</v>
      </c>
      <c r="L1149" s="43" t="s">
        <v>992</v>
      </c>
      <c r="M1149" s="45">
        <v>46187</v>
      </c>
      <c r="N1149" s="41">
        <v>116905.4</v>
      </c>
      <c r="O1149" s="42">
        <v>46111</v>
      </c>
      <c r="P1149" s="46">
        <v>15</v>
      </c>
      <c r="Q1149" s="41">
        <v>116905.4</v>
      </c>
    </row>
    <row r="1150" spans="1:17" ht="12" customHeight="1" x14ac:dyDescent="0.3">
      <c r="A1150" s="39"/>
      <c r="B1150" s="40" t="s">
        <v>2141</v>
      </c>
      <c r="C1150" s="41">
        <v>749999.29</v>
      </c>
      <c r="D1150" s="42">
        <v>46098</v>
      </c>
      <c r="E1150" s="43" t="s">
        <v>1763</v>
      </c>
      <c r="F1150" s="41">
        <v>599999.29</v>
      </c>
      <c r="G1150" s="41">
        <v>0</v>
      </c>
      <c r="H1150" s="41">
        <v>749999.29</v>
      </c>
      <c r="I1150" s="43">
        <v>90</v>
      </c>
      <c r="J1150" s="43">
        <v>2</v>
      </c>
      <c r="K1150" s="44">
        <v>4000000</v>
      </c>
      <c r="L1150" s="43" t="s">
        <v>992</v>
      </c>
      <c r="M1150" s="45">
        <v>46188</v>
      </c>
      <c r="N1150" s="41">
        <v>150000</v>
      </c>
      <c r="O1150" s="42">
        <v>46111</v>
      </c>
      <c r="P1150" s="46">
        <v>14</v>
      </c>
      <c r="Q1150" s="41">
        <v>150000</v>
      </c>
    </row>
    <row r="1151" spans="1:17" ht="12" customHeight="1" x14ac:dyDescent="0.3">
      <c r="A1151" s="39"/>
      <c r="B1151" s="40" t="s">
        <v>2142</v>
      </c>
      <c r="C1151" s="41">
        <v>750000.01</v>
      </c>
      <c r="D1151" s="42">
        <v>46098</v>
      </c>
      <c r="E1151" s="43" t="s">
        <v>1763</v>
      </c>
      <c r="F1151" s="41">
        <v>750000.01</v>
      </c>
      <c r="G1151" s="41">
        <v>0</v>
      </c>
      <c r="H1151" s="41">
        <v>750000.01</v>
      </c>
      <c r="I1151" s="43">
        <v>90</v>
      </c>
      <c r="J1151" s="43">
        <v>2</v>
      </c>
      <c r="K1151" s="44">
        <v>4000000</v>
      </c>
      <c r="L1151" s="43" t="s">
        <v>992</v>
      </c>
      <c r="M1151" s="45">
        <v>46188</v>
      </c>
      <c r="N1151" s="41">
        <v>0</v>
      </c>
      <c r="O1151" s="42"/>
      <c r="P1151" s="46">
        <v>14</v>
      </c>
      <c r="Q1151" s="41">
        <v>0</v>
      </c>
    </row>
    <row r="1152" spans="1:17" ht="12" customHeight="1" x14ac:dyDescent="0.3">
      <c r="A1152" s="39"/>
      <c r="B1152" s="40" t="s">
        <v>2143</v>
      </c>
      <c r="C1152" s="41">
        <v>749999.99</v>
      </c>
      <c r="D1152" s="42">
        <v>46098</v>
      </c>
      <c r="E1152" s="43" t="s">
        <v>1763</v>
      </c>
      <c r="F1152" s="41">
        <v>749999.99</v>
      </c>
      <c r="G1152" s="41">
        <v>0</v>
      </c>
      <c r="H1152" s="41">
        <v>749999.99</v>
      </c>
      <c r="I1152" s="43">
        <v>90</v>
      </c>
      <c r="J1152" s="43">
        <v>2</v>
      </c>
      <c r="K1152" s="44">
        <v>4000000</v>
      </c>
      <c r="L1152" s="43" t="s">
        <v>992</v>
      </c>
      <c r="M1152" s="45">
        <v>46188</v>
      </c>
      <c r="N1152" s="41">
        <v>0</v>
      </c>
      <c r="O1152" s="42"/>
      <c r="P1152" s="46">
        <v>14</v>
      </c>
      <c r="Q1152" s="41">
        <v>0</v>
      </c>
    </row>
    <row r="1153" spans="1:17" ht="12" customHeight="1" x14ac:dyDescent="0.3">
      <c r="A1153" s="39"/>
      <c r="B1153" s="40" t="s">
        <v>2144</v>
      </c>
      <c r="C1153" s="41">
        <v>750000.28</v>
      </c>
      <c r="D1153" s="42">
        <v>46098</v>
      </c>
      <c r="E1153" s="43" t="s">
        <v>1763</v>
      </c>
      <c r="F1153" s="41">
        <v>750000.28</v>
      </c>
      <c r="G1153" s="41">
        <v>0</v>
      </c>
      <c r="H1153" s="41">
        <v>750000.28</v>
      </c>
      <c r="I1153" s="43">
        <v>90</v>
      </c>
      <c r="J1153" s="43">
        <v>2</v>
      </c>
      <c r="K1153" s="44">
        <v>4000000</v>
      </c>
      <c r="L1153" s="43" t="s">
        <v>992</v>
      </c>
      <c r="M1153" s="45">
        <v>46188</v>
      </c>
      <c r="N1153" s="41">
        <v>0</v>
      </c>
      <c r="O1153" s="42"/>
      <c r="P1153" s="46">
        <v>14</v>
      </c>
      <c r="Q1153" s="41">
        <v>0</v>
      </c>
    </row>
    <row r="1154" spans="1:17" ht="12" customHeight="1" x14ac:dyDescent="0.3">
      <c r="A1154" s="39"/>
      <c r="B1154" s="40" t="s">
        <v>2145</v>
      </c>
      <c r="C1154" s="41">
        <v>199999.72</v>
      </c>
      <c r="D1154" s="42">
        <v>46098</v>
      </c>
      <c r="E1154" s="43" t="s">
        <v>1763</v>
      </c>
      <c r="F1154" s="41">
        <v>199999.72</v>
      </c>
      <c r="G1154" s="41">
        <v>0</v>
      </c>
      <c r="H1154" s="41">
        <v>199999.72</v>
      </c>
      <c r="I1154" s="43">
        <v>90</v>
      </c>
      <c r="J1154" s="43">
        <v>237</v>
      </c>
      <c r="K1154" s="44">
        <v>3000000</v>
      </c>
      <c r="L1154" s="43" t="s">
        <v>992</v>
      </c>
      <c r="M1154" s="45">
        <v>46188</v>
      </c>
      <c r="N1154" s="41">
        <v>0</v>
      </c>
      <c r="O1154" s="42"/>
      <c r="P1154" s="46">
        <v>14</v>
      </c>
      <c r="Q1154" s="41">
        <v>0</v>
      </c>
    </row>
    <row r="1155" spans="1:17" ht="12" customHeight="1" x14ac:dyDescent="0.3">
      <c r="A1155" s="39"/>
      <c r="B1155" s="40" t="s">
        <v>2146</v>
      </c>
      <c r="C1155" s="41">
        <v>125359.2</v>
      </c>
      <c r="D1155" s="42">
        <v>46098</v>
      </c>
      <c r="E1155" s="43" t="s">
        <v>1763</v>
      </c>
      <c r="F1155" s="41">
        <v>125359.2</v>
      </c>
      <c r="G1155" s="41">
        <v>0</v>
      </c>
      <c r="H1155" s="41">
        <v>125359.2</v>
      </c>
      <c r="I1155" s="43">
        <v>90</v>
      </c>
      <c r="J1155" s="43">
        <v>288</v>
      </c>
      <c r="K1155" s="44">
        <v>1000000</v>
      </c>
      <c r="L1155" s="43" t="s">
        <v>992</v>
      </c>
      <c r="M1155" s="45">
        <v>46188</v>
      </c>
      <c r="N1155" s="41">
        <v>0</v>
      </c>
      <c r="O1155" s="42"/>
      <c r="P1155" s="46">
        <v>14</v>
      </c>
      <c r="Q1155" s="41">
        <v>0</v>
      </c>
    </row>
    <row r="1156" spans="1:17" ht="12" customHeight="1" x14ac:dyDescent="0.3">
      <c r="A1156" s="39"/>
      <c r="B1156" s="40" t="s">
        <v>2147</v>
      </c>
      <c r="C1156" s="41">
        <v>680000</v>
      </c>
      <c r="D1156" s="42">
        <v>46106</v>
      </c>
      <c r="E1156" s="43" t="s">
        <v>1763</v>
      </c>
      <c r="F1156" s="41">
        <v>680000</v>
      </c>
      <c r="G1156" s="41">
        <v>0</v>
      </c>
      <c r="H1156" s="41">
        <v>680000</v>
      </c>
      <c r="I1156" s="43">
        <v>90</v>
      </c>
      <c r="J1156" s="43">
        <v>71</v>
      </c>
      <c r="K1156" s="44">
        <v>4000000</v>
      </c>
      <c r="L1156" s="43" t="s">
        <v>992</v>
      </c>
      <c r="M1156" s="45">
        <v>46196</v>
      </c>
      <c r="N1156" s="41">
        <v>0</v>
      </c>
      <c r="O1156" s="42"/>
      <c r="P1156" s="46">
        <v>6</v>
      </c>
      <c r="Q1156" s="41">
        <v>0</v>
      </c>
    </row>
    <row r="1157" spans="1:17" ht="12" customHeight="1" x14ac:dyDescent="0.3">
      <c r="A1157" s="39"/>
      <c r="B1157" s="40" t="s">
        <v>2148</v>
      </c>
      <c r="C1157" s="41">
        <v>97997.25</v>
      </c>
      <c r="D1157" s="42">
        <v>46106</v>
      </c>
      <c r="E1157" s="43" t="s">
        <v>1763</v>
      </c>
      <c r="F1157" s="41">
        <v>97997.25</v>
      </c>
      <c r="G1157" s="41">
        <v>0</v>
      </c>
      <c r="H1157" s="41">
        <v>97997.25</v>
      </c>
      <c r="I1157" s="43">
        <v>90</v>
      </c>
      <c r="J1157" s="43">
        <v>288</v>
      </c>
      <c r="K1157" s="44">
        <v>1000000</v>
      </c>
      <c r="L1157" s="43" t="s">
        <v>992</v>
      </c>
      <c r="M1157" s="45">
        <v>46196</v>
      </c>
      <c r="N1157" s="41">
        <v>0</v>
      </c>
      <c r="O1157" s="42"/>
      <c r="P1157" s="46">
        <v>6</v>
      </c>
      <c r="Q1157" s="41">
        <v>0</v>
      </c>
    </row>
    <row r="1158" spans="1:17" ht="12" customHeight="1" x14ac:dyDescent="0.3">
      <c r="A1158" s="39"/>
      <c r="B1158" s="40" t="s">
        <v>2149</v>
      </c>
      <c r="C1158" s="41">
        <v>259200</v>
      </c>
      <c r="D1158" s="42">
        <v>46106</v>
      </c>
      <c r="E1158" s="43" t="s">
        <v>1763</v>
      </c>
      <c r="F1158" s="41">
        <v>259200</v>
      </c>
      <c r="G1158" s="41">
        <v>0</v>
      </c>
      <c r="H1158" s="41">
        <v>259200</v>
      </c>
      <c r="I1158" s="43">
        <v>90</v>
      </c>
      <c r="J1158" s="43">
        <v>2</v>
      </c>
      <c r="K1158" s="44">
        <v>4000000</v>
      </c>
      <c r="L1158" s="43" t="s">
        <v>992</v>
      </c>
      <c r="M1158" s="45">
        <v>46196</v>
      </c>
      <c r="N1158" s="41">
        <v>0</v>
      </c>
      <c r="O1158" s="42"/>
      <c r="P1158" s="46">
        <v>6</v>
      </c>
      <c r="Q1158" s="41">
        <v>0</v>
      </c>
    </row>
    <row r="1159" spans="1:17" ht="12" customHeight="1" x14ac:dyDescent="0.3">
      <c r="A1159" s="39"/>
      <c r="B1159" s="40" t="s">
        <v>2150</v>
      </c>
      <c r="C1159" s="41">
        <v>200000</v>
      </c>
      <c r="D1159" s="42">
        <v>46106</v>
      </c>
      <c r="E1159" s="43" t="s">
        <v>1763</v>
      </c>
      <c r="F1159" s="41">
        <v>200000</v>
      </c>
      <c r="G1159" s="41">
        <v>0</v>
      </c>
      <c r="H1159" s="41">
        <v>200000</v>
      </c>
      <c r="I1159" s="43">
        <v>90</v>
      </c>
      <c r="J1159" s="43">
        <v>13</v>
      </c>
      <c r="K1159" s="44">
        <v>5000000</v>
      </c>
      <c r="L1159" s="43" t="s">
        <v>992</v>
      </c>
      <c r="M1159" s="45">
        <v>46196</v>
      </c>
      <c r="N1159" s="41">
        <v>0</v>
      </c>
      <c r="O1159" s="42"/>
      <c r="P1159" s="46">
        <v>6</v>
      </c>
      <c r="Q1159" s="41">
        <v>0</v>
      </c>
    </row>
    <row r="1160" spans="1:17" ht="12" customHeight="1" x14ac:dyDescent="0.3">
      <c r="A1160" s="39"/>
      <c r="B1160" s="40" t="s">
        <v>2151</v>
      </c>
      <c r="C1160" s="41">
        <v>400000</v>
      </c>
      <c r="D1160" s="42">
        <v>46106</v>
      </c>
      <c r="E1160" s="43" t="s">
        <v>1763</v>
      </c>
      <c r="F1160" s="41">
        <v>400000</v>
      </c>
      <c r="G1160" s="41">
        <v>0</v>
      </c>
      <c r="H1160" s="41">
        <v>400000</v>
      </c>
      <c r="I1160" s="43">
        <v>90</v>
      </c>
      <c r="J1160" s="43">
        <v>71</v>
      </c>
      <c r="K1160" s="44">
        <v>4000000</v>
      </c>
      <c r="L1160" s="43" t="s">
        <v>992</v>
      </c>
      <c r="M1160" s="45">
        <v>46196</v>
      </c>
      <c r="N1160" s="41">
        <v>0</v>
      </c>
      <c r="O1160" s="42"/>
      <c r="P1160" s="46">
        <v>6</v>
      </c>
      <c r="Q1160" s="41">
        <v>0</v>
      </c>
    </row>
    <row r="1161" spans="1:17" ht="12" customHeight="1" x14ac:dyDescent="0.3">
      <c r="A1161" s="39"/>
      <c r="B1161" s="40" t="s">
        <v>2152</v>
      </c>
      <c r="C1161" s="41">
        <v>400000</v>
      </c>
      <c r="D1161" s="42">
        <v>46106</v>
      </c>
      <c r="E1161" s="43" t="s">
        <v>1763</v>
      </c>
      <c r="F1161" s="41">
        <v>400000</v>
      </c>
      <c r="G1161" s="41">
        <v>0</v>
      </c>
      <c r="H1161" s="41">
        <v>400000</v>
      </c>
      <c r="I1161" s="43">
        <v>90</v>
      </c>
      <c r="J1161" s="43">
        <v>2</v>
      </c>
      <c r="K1161" s="44">
        <v>4000000</v>
      </c>
      <c r="L1161" s="43" t="s">
        <v>992</v>
      </c>
      <c r="M1161" s="45">
        <v>46196</v>
      </c>
      <c r="N1161" s="41">
        <v>0</v>
      </c>
      <c r="O1161" s="42"/>
      <c r="P1161" s="46">
        <v>6</v>
      </c>
      <c r="Q1161" s="41">
        <v>0</v>
      </c>
    </row>
    <row r="1162" spans="1:17" ht="12" customHeight="1" x14ac:dyDescent="0.3">
      <c r="A1162" s="39"/>
      <c r="B1162" s="40" t="s">
        <v>2153</v>
      </c>
      <c r="C1162" s="41">
        <v>300000</v>
      </c>
      <c r="D1162" s="42">
        <v>46107</v>
      </c>
      <c r="E1162" s="43" t="s">
        <v>1763</v>
      </c>
      <c r="F1162" s="41">
        <v>300000</v>
      </c>
      <c r="G1162" s="41">
        <v>0</v>
      </c>
      <c r="H1162" s="41">
        <v>300000</v>
      </c>
      <c r="I1162" s="43">
        <v>90</v>
      </c>
      <c r="J1162" s="43">
        <v>71</v>
      </c>
      <c r="K1162" s="44">
        <v>4000000</v>
      </c>
      <c r="L1162" s="43" t="s">
        <v>992</v>
      </c>
      <c r="M1162" s="45">
        <v>46197</v>
      </c>
      <c r="N1162" s="41">
        <v>0</v>
      </c>
      <c r="O1162" s="42"/>
      <c r="P1162" s="46">
        <v>5</v>
      </c>
      <c r="Q1162" s="41">
        <v>0</v>
      </c>
    </row>
    <row r="1163" spans="1:17" ht="12" customHeight="1" x14ac:dyDescent="0.3">
      <c r="A1163" s="39"/>
      <c r="B1163" s="40" t="s">
        <v>2154</v>
      </c>
      <c r="C1163" s="41">
        <v>85000</v>
      </c>
      <c r="D1163" s="42">
        <v>46107</v>
      </c>
      <c r="E1163" s="43" t="s">
        <v>1763</v>
      </c>
      <c r="F1163" s="41">
        <v>85000</v>
      </c>
      <c r="G1163" s="41">
        <v>0</v>
      </c>
      <c r="H1163" s="41">
        <v>85000</v>
      </c>
      <c r="I1163" s="43">
        <v>90</v>
      </c>
      <c r="J1163" s="43">
        <v>288</v>
      </c>
      <c r="K1163" s="44">
        <v>1000000</v>
      </c>
      <c r="L1163" s="43" t="s">
        <v>992</v>
      </c>
      <c r="M1163" s="45">
        <v>46197</v>
      </c>
      <c r="N1163" s="41">
        <v>0</v>
      </c>
      <c r="O1163" s="42"/>
      <c r="P1163" s="46">
        <v>5</v>
      </c>
      <c r="Q1163" s="41">
        <v>0</v>
      </c>
    </row>
    <row r="1164" spans="1:17" ht="12" customHeight="1" x14ac:dyDescent="0.3">
      <c r="A1164" s="39"/>
      <c r="B1164" s="40" t="s">
        <v>2155</v>
      </c>
      <c r="C1164" s="41">
        <v>300000</v>
      </c>
      <c r="D1164" s="42">
        <v>46107</v>
      </c>
      <c r="E1164" s="43" t="s">
        <v>1763</v>
      </c>
      <c r="F1164" s="41">
        <v>300000</v>
      </c>
      <c r="G1164" s="41">
        <v>0</v>
      </c>
      <c r="H1164" s="41">
        <v>300000</v>
      </c>
      <c r="I1164" s="43">
        <v>90</v>
      </c>
      <c r="J1164" s="43">
        <v>116</v>
      </c>
      <c r="K1164" s="44">
        <v>3300000</v>
      </c>
      <c r="L1164" s="43" t="s">
        <v>992</v>
      </c>
      <c r="M1164" s="45">
        <v>46197</v>
      </c>
      <c r="N1164" s="41">
        <v>0</v>
      </c>
      <c r="O1164" s="42"/>
      <c r="P1164" s="46">
        <v>5</v>
      </c>
      <c r="Q1164" s="41">
        <v>0</v>
      </c>
    </row>
    <row r="1165" spans="1:17" ht="12" customHeight="1" x14ac:dyDescent="0.3">
      <c r="A1165" s="39"/>
      <c r="B1165" s="40" t="s">
        <v>2156</v>
      </c>
      <c r="C1165" s="41">
        <v>10666.25</v>
      </c>
      <c r="D1165" s="42">
        <v>46107</v>
      </c>
      <c r="E1165" s="43" t="s">
        <v>1763</v>
      </c>
      <c r="F1165" s="41">
        <v>10666.25</v>
      </c>
      <c r="G1165" s="41">
        <v>0</v>
      </c>
      <c r="H1165" s="41">
        <v>10666.25</v>
      </c>
      <c r="I1165" s="43">
        <v>90</v>
      </c>
      <c r="J1165" s="43">
        <v>288</v>
      </c>
      <c r="K1165" s="44">
        <v>1000000</v>
      </c>
      <c r="L1165" s="43" t="s">
        <v>992</v>
      </c>
      <c r="M1165" s="45">
        <v>46197</v>
      </c>
      <c r="N1165" s="41">
        <v>0</v>
      </c>
      <c r="O1165" s="42"/>
      <c r="P1165" s="46">
        <v>5</v>
      </c>
      <c r="Q1165" s="41">
        <v>0</v>
      </c>
    </row>
    <row r="1166" spans="1:17" ht="12" customHeight="1" x14ac:dyDescent="0.3">
      <c r="A1166" s="39"/>
      <c r="B1166" s="40" t="s">
        <v>2157</v>
      </c>
      <c r="C1166" s="41">
        <v>200000.6</v>
      </c>
      <c r="D1166" s="42">
        <v>46107</v>
      </c>
      <c r="E1166" s="43" t="s">
        <v>1763</v>
      </c>
      <c r="F1166" s="41">
        <v>200000.6</v>
      </c>
      <c r="G1166" s="41">
        <v>0</v>
      </c>
      <c r="H1166" s="41">
        <v>200000.6</v>
      </c>
      <c r="I1166" s="43">
        <v>90</v>
      </c>
      <c r="J1166" s="43">
        <v>13</v>
      </c>
      <c r="K1166" s="44">
        <v>5000000</v>
      </c>
      <c r="L1166" s="43" t="s">
        <v>992</v>
      </c>
      <c r="M1166" s="45">
        <v>46197</v>
      </c>
      <c r="N1166" s="41">
        <v>0</v>
      </c>
      <c r="O1166" s="42"/>
      <c r="P1166" s="46">
        <v>5</v>
      </c>
      <c r="Q1166" s="41">
        <v>0</v>
      </c>
    </row>
    <row r="1167" spans="1:17" ht="12" customHeight="1" x14ac:dyDescent="0.3">
      <c r="A1167" s="39"/>
      <c r="B1167" s="40" t="s">
        <v>2158</v>
      </c>
      <c r="C1167" s="41">
        <v>340800.1</v>
      </c>
      <c r="D1167" s="42">
        <v>46107</v>
      </c>
      <c r="E1167" s="43" t="s">
        <v>1763</v>
      </c>
      <c r="F1167" s="41">
        <v>340800.1</v>
      </c>
      <c r="G1167" s="41">
        <v>0</v>
      </c>
      <c r="H1167" s="41">
        <v>340800.1</v>
      </c>
      <c r="I1167" s="43">
        <v>90</v>
      </c>
      <c r="J1167" s="43">
        <v>2</v>
      </c>
      <c r="K1167" s="44">
        <v>4000000</v>
      </c>
      <c r="L1167" s="43" t="s">
        <v>992</v>
      </c>
      <c r="M1167" s="45">
        <v>46197</v>
      </c>
      <c r="N1167" s="41">
        <v>0</v>
      </c>
      <c r="O1167" s="42"/>
      <c r="P1167" s="46">
        <v>5</v>
      </c>
      <c r="Q1167" s="41">
        <v>0</v>
      </c>
    </row>
    <row r="1168" spans="1:17" ht="12" customHeight="1" x14ac:dyDescent="0.3">
      <c r="A1168" s="39"/>
      <c r="B1168" s="40" t="s">
        <v>2159</v>
      </c>
      <c r="C1168" s="41">
        <v>4139.42</v>
      </c>
      <c r="D1168" s="42">
        <v>46108</v>
      </c>
      <c r="E1168" s="43" t="s">
        <v>1763</v>
      </c>
      <c r="F1168" s="41">
        <v>4139.42</v>
      </c>
      <c r="G1168" s="41">
        <v>0</v>
      </c>
      <c r="H1168" s="41">
        <v>4139.42</v>
      </c>
      <c r="I1168" s="43">
        <v>90</v>
      </c>
      <c r="J1168" s="43">
        <v>288</v>
      </c>
      <c r="K1168" s="44">
        <v>1000000</v>
      </c>
      <c r="L1168" s="43" t="s">
        <v>992</v>
      </c>
      <c r="M1168" s="45">
        <v>46198</v>
      </c>
      <c r="N1168" s="41">
        <v>0</v>
      </c>
      <c r="O1168" s="42"/>
      <c r="P1168" s="46">
        <v>4</v>
      </c>
      <c r="Q1168" s="41">
        <v>0</v>
      </c>
    </row>
    <row r="1169" spans="1:17" ht="12" customHeight="1" x14ac:dyDescent="0.3">
      <c r="A1169" s="39"/>
      <c r="B1169" s="40" t="s">
        <v>2160</v>
      </c>
      <c r="C1169" s="41">
        <v>300000</v>
      </c>
      <c r="D1169" s="42">
        <v>46110</v>
      </c>
      <c r="E1169" s="43" t="s">
        <v>1763</v>
      </c>
      <c r="F1169" s="41">
        <v>300000</v>
      </c>
      <c r="G1169" s="41">
        <v>0</v>
      </c>
      <c r="H1169" s="41">
        <v>300000</v>
      </c>
      <c r="I1169" s="43">
        <v>90</v>
      </c>
      <c r="J1169" s="43">
        <v>116</v>
      </c>
      <c r="K1169" s="44">
        <v>3300000</v>
      </c>
      <c r="L1169" s="43" t="s">
        <v>992</v>
      </c>
      <c r="M1169" s="45">
        <v>46201</v>
      </c>
      <c r="N1169" s="41">
        <v>0</v>
      </c>
      <c r="O1169" s="42"/>
      <c r="P1169" s="46">
        <v>2</v>
      </c>
      <c r="Q1169" s="41">
        <v>0</v>
      </c>
    </row>
    <row r="1170" spans="1:17" ht="12" customHeight="1" x14ac:dyDescent="0.3">
      <c r="A1170" s="39"/>
      <c r="B1170" s="40" t="s">
        <v>2161</v>
      </c>
      <c r="C1170" s="41">
        <v>150002</v>
      </c>
      <c r="D1170" s="42">
        <v>46097</v>
      </c>
      <c r="E1170" s="43" t="s">
        <v>2</v>
      </c>
      <c r="F1170" s="41">
        <v>0</v>
      </c>
      <c r="G1170" s="41">
        <v>0</v>
      </c>
      <c r="H1170" s="41">
        <v>150002</v>
      </c>
      <c r="I1170" s="43">
        <v>90</v>
      </c>
      <c r="J1170" s="43">
        <v>8</v>
      </c>
      <c r="K1170" s="44">
        <v>3000000</v>
      </c>
      <c r="L1170" s="43" t="s">
        <v>992</v>
      </c>
      <c r="M1170" s="45">
        <v>46187</v>
      </c>
      <c r="N1170" s="41">
        <v>150002</v>
      </c>
      <c r="O1170" s="42">
        <v>46099</v>
      </c>
      <c r="P1170" s="46"/>
      <c r="Q1170" s="41">
        <v>150002</v>
      </c>
    </row>
    <row r="1171" spans="1:17" ht="12" customHeight="1" x14ac:dyDescent="0.3">
      <c r="A1171" s="39"/>
      <c r="B1171" s="40" t="s">
        <v>2162</v>
      </c>
      <c r="C1171" s="41">
        <v>100011</v>
      </c>
      <c r="D1171" s="42">
        <v>46110</v>
      </c>
      <c r="E1171" s="43" t="s">
        <v>1763</v>
      </c>
      <c r="F1171" s="41">
        <v>100011</v>
      </c>
      <c r="G1171" s="41">
        <v>0</v>
      </c>
      <c r="H1171" s="41">
        <v>100011</v>
      </c>
      <c r="I1171" s="43">
        <v>90</v>
      </c>
      <c r="J1171" s="43">
        <v>16</v>
      </c>
      <c r="K1171" s="44">
        <v>800000</v>
      </c>
      <c r="L1171" s="43" t="s">
        <v>992</v>
      </c>
      <c r="M1171" s="45">
        <v>46201</v>
      </c>
      <c r="N1171" s="41">
        <v>0</v>
      </c>
      <c r="O1171" s="42"/>
      <c r="P1171" s="46">
        <v>2</v>
      </c>
      <c r="Q1171" s="41">
        <v>0</v>
      </c>
    </row>
    <row r="1172" spans="1:17" ht="12" customHeight="1" x14ac:dyDescent="0.3">
      <c r="A1172" s="39"/>
      <c r="B1172" s="40" t="s">
        <v>2163</v>
      </c>
      <c r="C1172" s="41">
        <v>450253.8</v>
      </c>
      <c r="D1172" s="42">
        <v>46111</v>
      </c>
      <c r="E1172" s="43" t="s">
        <v>2</v>
      </c>
      <c r="F1172" s="41">
        <v>0</v>
      </c>
      <c r="G1172" s="41">
        <v>0</v>
      </c>
      <c r="H1172" s="41">
        <v>450253.8</v>
      </c>
      <c r="I1172" s="43">
        <v>90</v>
      </c>
      <c r="J1172" s="43">
        <v>197</v>
      </c>
      <c r="K1172" s="44">
        <v>7000000</v>
      </c>
      <c r="L1172" s="43" t="s">
        <v>992</v>
      </c>
      <c r="M1172" s="45">
        <v>46201</v>
      </c>
      <c r="N1172" s="41">
        <v>450253.8</v>
      </c>
      <c r="O1172" s="42">
        <v>46112</v>
      </c>
      <c r="P1172" s="46"/>
      <c r="Q1172" s="41">
        <v>450253.8</v>
      </c>
    </row>
    <row r="1173" spans="1:17" ht="12" customHeight="1" x14ac:dyDescent="0.3">
      <c r="A1173" s="39"/>
      <c r="B1173" s="40" t="s">
        <v>2164</v>
      </c>
      <c r="C1173" s="41">
        <v>699867</v>
      </c>
      <c r="D1173" s="42">
        <v>46111</v>
      </c>
      <c r="E1173" s="43" t="s">
        <v>2</v>
      </c>
      <c r="F1173" s="41">
        <v>0</v>
      </c>
      <c r="G1173" s="41">
        <v>0</v>
      </c>
      <c r="H1173" s="41">
        <v>699867</v>
      </c>
      <c r="I1173" s="43">
        <v>90</v>
      </c>
      <c r="J1173" s="43">
        <v>197</v>
      </c>
      <c r="K1173" s="44">
        <v>7000000</v>
      </c>
      <c r="L1173" s="43" t="s">
        <v>992</v>
      </c>
      <c r="M1173" s="45">
        <v>46201</v>
      </c>
      <c r="N1173" s="41">
        <v>699867</v>
      </c>
      <c r="O1173" s="42">
        <v>46112</v>
      </c>
      <c r="P1173" s="46"/>
      <c r="Q1173" s="41">
        <v>699867</v>
      </c>
    </row>
    <row r="1174" spans="1:17" ht="12" customHeight="1" x14ac:dyDescent="0.3">
      <c r="A1174" s="39"/>
      <c r="B1174" s="40" t="s">
        <v>2165</v>
      </c>
      <c r="C1174" s="41">
        <v>649876.5</v>
      </c>
      <c r="D1174" s="42">
        <v>46111</v>
      </c>
      <c r="E1174" s="43" t="s">
        <v>2</v>
      </c>
      <c r="F1174" s="41">
        <v>0</v>
      </c>
      <c r="G1174" s="41">
        <v>0</v>
      </c>
      <c r="H1174" s="41">
        <v>649876.5</v>
      </c>
      <c r="I1174" s="43">
        <v>90</v>
      </c>
      <c r="J1174" s="43">
        <v>197</v>
      </c>
      <c r="K1174" s="44">
        <v>7000000</v>
      </c>
      <c r="L1174" s="43" t="s">
        <v>992</v>
      </c>
      <c r="M1174" s="45">
        <v>46201</v>
      </c>
      <c r="N1174" s="41">
        <v>649876.5</v>
      </c>
      <c r="O1174" s="42">
        <v>46112</v>
      </c>
      <c r="P1174" s="46"/>
      <c r="Q1174" s="41">
        <v>649876.5</v>
      </c>
    </row>
    <row r="1175" spans="1:17" ht="12" customHeight="1" x14ac:dyDescent="0.3">
      <c r="A1175" s="39"/>
      <c r="B1175" s="40" t="s">
        <v>2166</v>
      </c>
      <c r="C1175" s="41">
        <v>100000</v>
      </c>
      <c r="D1175" s="42">
        <v>46111</v>
      </c>
      <c r="E1175" s="43" t="s">
        <v>1763</v>
      </c>
      <c r="F1175" s="41">
        <v>100000</v>
      </c>
      <c r="G1175" s="41">
        <v>0</v>
      </c>
      <c r="H1175" s="41">
        <v>100000</v>
      </c>
      <c r="I1175" s="43">
        <v>90</v>
      </c>
      <c r="J1175" s="43">
        <v>288</v>
      </c>
      <c r="K1175" s="44">
        <v>1000000</v>
      </c>
      <c r="L1175" s="43" t="s">
        <v>992</v>
      </c>
      <c r="M1175" s="45">
        <v>46201</v>
      </c>
      <c r="N1175" s="41">
        <v>0</v>
      </c>
      <c r="O1175" s="42"/>
      <c r="P1175" s="46">
        <v>1</v>
      </c>
      <c r="Q1175" s="41">
        <v>0</v>
      </c>
    </row>
    <row r="1176" spans="1:17" ht="12" customHeight="1" x14ac:dyDescent="0.3">
      <c r="A1176" s="39"/>
      <c r="B1176" s="40" t="s">
        <v>2167</v>
      </c>
      <c r="C1176" s="41">
        <v>400000</v>
      </c>
      <c r="D1176" s="42">
        <v>46111</v>
      </c>
      <c r="E1176" s="43" t="s">
        <v>1763</v>
      </c>
      <c r="F1176" s="41">
        <v>400000</v>
      </c>
      <c r="G1176" s="41">
        <v>0</v>
      </c>
      <c r="H1176" s="41">
        <v>400000</v>
      </c>
      <c r="I1176" s="43">
        <v>90</v>
      </c>
      <c r="J1176" s="43">
        <v>116</v>
      </c>
      <c r="K1176" s="44">
        <v>3300000</v>
      </c>
      <c r="L1176" s="43" t="s">
        <v>992</v>
      </c>
      <c r="M1176" s="45">
        <v>46201</v>
      </c>
      <c r="N1176" s="41">
        <v>0</v>
      </c>
      <c r="O1176" s="42"/>
      <c r="P1176" s="46">
        <v>1</v>
      </c>
      <c r="Q1176" s="41">
        <v>0</v>
      </c>
    </row>
    <row r="1177" spans="1:17" ht="12" customHeight="1" x14ac:dyDescent="0.3">
      <c r="A1177" s="39"/>
      <c r="B1177" s="40" t="s">
        <v>2168</v>
      </c>
      <c r="C1177" s="41">
        <v>100000</v>
      </c>
      <c r="D1177" s="42">
        <v>46111</v>
      </c>
      <c r="E1177" s="43" t="s">
        <v>1763</v>
      </c>
      <c r="F1177" s="41">
        <v>100000</v>
      </c>
      <c r="G1177" s="41">
        <v>0</v>
      </c>
      <c r="H1177" s="41">
        <v>100000</v>
      </c>
      <c r="I1177" s="43">
        <v>90</v>
      </c>
      <c r="J1177" s="43">
        <v>288</v>
      </c>
      <c r="K1177" s="44">
        <v>1000000</v>
      </c>
      <c r="L1177" s="43" t="s">
        <v>992</v>
      </c>
      <c r="M1177" s="45">
        <v>46201</v>
      </c>
      <c r="N1177" s="41">
        <v>0</v>
      </c>
      <c r="O1177" s="42"/>
      <c r="P1177" s="46">
        <v>1</v>
      </c>
      <c r="Q1177" s="41">
        <v>0</v>
      </c>
    </row>
    <row r="1178" spans="1:17" ht="12" customHeight="1" x14ac:dyDescent="0.3">
      <c r="A1178" s="39"/>
      <c r="B1178" s="40" t="s">
        <v>2169</v>
      </c>
      <c r="C1178" s="41">
        <v>250000</v>
      </c>
      <c r="D1178" s="42">
        <v>46111</v>
      </c>
      <c r="E1178" s="43" t="s">
        <v>1763</v>
      </c>
      <c r="F1178" s="41">
        <v>250000</v>
      </c>
      <c r="G1178" s="41">
        <v>0</v>
      </c>
      <c r="H1178" s="41">
        <v>250000</v>
      </c>
      <c r="I1178" s="43">
        <v>90</v>
      </c>
      <c r="J1178" s="43">
        <v>71</v>
      </c>
      <c r="K1178" s="44">
        <v>4000000</v>
      </c>
      <c r="L1178" s="43" t="s">
        <v>992</v>
      </c>
      <c r="M1178" s="45">
        <v>46201</v>
      </c>
      <c r="N1178" s="41">
        <v>0</v>
      </c>
      <c r="O1178" s="42"/>
      <c r="P1178" s="46">
        <v>1</v>
      </c>
      <c r="Q1178" s="41">
        <v>0</v>
      </c>
    </row>
    <row r="1179" spans="1:17" ht="12" customHeight="1" x14ac:dyDescent="0.3">
      <c r="A1179" s="39"/>
      <c r="B1179" s="40" t="s">
        <v>2170</v>
      </c>
      <c r="C1179" s="41">
        <v>200000</v>
      </c>
      <c r="D1179" s="42">
        <v>46111</v>
      </c>
      <c r="E1179" s="43" t="s">
        <v>1763</v>
      </c>
      <c r="F1179" s="41">
        <v>200000</v>
      </c>
      <c r="G1179" s="41">
        <v>0</v>
      </c>
      <c r="H1179" s="41">
        <v>200000</v>
      </c>
      <c r="I1179" s="43">
        <v>90</v>
      </c>
      <c r="J1179" s="43">
        <v>237</v>
      </c>
      <c r="K1179" s="44">
        <v>3000000</v>
      </c>
      <c r="L1179" s="43" t="s">
        <v>992</v>
      </c>
      <c r="M1179" s="45">
        <v>46201</v>
      </c>
      <c r="N1179" s="41">
        <v>0</v>
      </c>
      <c r="O1179" s="42"/>
      <c r="P1179" s="46">
        <v>1</v>
      </c>
      <c r="Q1179" s="41">
        <v>0</v>
      </c>
    </row>
    <row r="1180" spans="1:17" ht="12" customHeight="1" x14ac:dyDescent="0.3">
      <c r="A1180" s="39"/>
      <c r="B1180" s="40" t="s">
        <v>2171</v>
      </c>
      <c r="C1180" s="41">
        <v>200000</v>
      </c>
      <c r="D1180" s="42">
        <v>46111</v>
      </c>
      <c r="E1180" s="43" t="s">
        <v>1763</v>
      </c>
      <c r="F1180" s="41">
        <v>200000</v>
      </c>
      <c r="G1180" s="41">
        <v>0</v>
      </c>
      <c r="H1180" s="41">
        <v>200000</v>
      </c>
      <c r="I1180" s="43">
        <v>90</v>
      </c>
      <c r="J1180" s="43">
        <v>237</v>
      </c>
      <c r="K1180" s="44">
        <v>3000000</v>
      </c>
      <c r="L1180" s="43" t="s">
        <v>992</v>
      </c>
      <c r="M1180" s="45">
        <v>46201</v>
      </c>
      <c r="N1180" s="41">
        <v>0</v>
      </c>
      <c r="O1180" s="42"/>
      <c r="P1180" s="46">
        <v>1</v>
      </c>
      <c r="Q1180" s="41">
        <v>0</v>
      </c>
    </row>
    <row r="1181" spans="1:17" ht="12" customHeight="1" x14ac:dyDescent="0.3">
      <c r="A1181" s="39"/>
      <c r="B1181" s="40" t="s">
        <v>2172</v>
      </c>
      <c r="C1181" s="41">
        <v>100000</v>
      </c>
      <c r="D1181" s="42">
        <v>46111</v>
      </c>
      <c r="E1181" s="43" t="s">
        <v>1763</v>
      </c>
      <c r="F1181" s="41">
        <v>100000</v>
      </c>
      <c r="G1181" s="41">
        <v>0</v>
      </c>
      <c r="H1181" s="41">
        <v>100000</v>
      </c>
      <c r="I1181" s="43">
        <v>90</v>
      </c>
      <c r="J1181" s="43">
        <v>288</v>
      </c>
      <c r="K1181" s="44">
        <v>1000000</v>
      </c>
      <c r="L1181" s="43" t="s">
        <v>992</v>
      </c>
      <c r="M1181" s="45">
        <v>46201</v>
      </c>
      <c r="N1181" s="41">
        <v>0</v>
      </c>
      <c r="O1181" s="42"/>
      <c r="P1181" s="46">
        <v>1</v>
      </c>
      <c r="Q1181" s="41">
        <v>0</v>
      </c>
    </row>
    <row r="1182" spans="1:17" ht="12" customHeight="1" x14ac:dyDescent="0.3">
      <c r="A1182" s="39"/>
      <c r="B1182" s="40" t="s">
        <v>2173</v>
      </c>
      <c r="C1182" s="41">
        <v>100000</v>
      </c>
      <c r="D1182" s="42">
        <v>46111</v>
      </c>
      <c r="E1182" s="43" t="s">
        <v>1763</v>
      </c>
      <c r="F1182" s="41">
        <v>100000</v>
      </c>
      <c r="G1182" s="41">
        <v>0</v>
      </c>
      <c r="H1182" s="41">
        <v>100000</v>
      </c>
      <c r="I1182" s="43">
        <v>90</v>
      </c>
      <c r="J1182" s="43">
        <v>288</v>
      </c>
      <c r="K1182" s="44">
        <v>1000000</v>
      </c>
      <c r="L1182" s="43" t="s">
        <v>992</v>
      </c>
      <c r="M1182" s="45">
        <v>46201</v>
      </c>
      <c r="N1182" s="41">
        <v>0</v>
      </c>
      <c r="O1182" s="42"/>
      <c r="P1182" s="46">
        <v>1</v>
      </c>
      <c r="Q1182" s="41">
        <v>0</v>
      </c>
    </row>
    <row r="1183" spans="1:17" ht="12" customHeight="1" x14ac:dyDescent="0.3">
      <c r="A1183" s="39"/>
      <c r="B1183" s="40" t="s">
        <v>2174</v>
      </c>
      <c r="C1183" s="41">
        <v>450000.2</v>
      </c>
      <c r="D1183" s="42">
        <v>46112</v>
      </c>
      <c r="E1183" s="43" t="s">
        <v>1763</v>
      </c>
      <c r="F1183" s="41">
        <v>450000.2</v>
      </c>
      <c r="G1183" s="41">
        <v>0</v>
      </c>
      <c r="H1183" s="41">
        <v>450000.2</v>
      </c>
      <c r="I1183" s="43">
        <v>90</v>
      </c>
      <c r="J1183" s="43">
        <v>237</v>
      </c>
      <c r="K1183" s="44">
        <v>3000000</v>
      </c>
      <c r="L1183" s="43" t="s">
        <v>992</v>
      </c>
      <c r="M1183" s="45">
        <v>46202</v>
      </c>
      <c r="N1183" s="41">
        <v>0</v>
      </c>
      <c r="O1183" s="42"/>
      <c r="P1183" s="46">
        <v>0</v>
      </c>
      <c r="Q1183" s="41">
        <v>0</v>
      </c>
    </row>
    <row r="1184" spans="1:17" ht="12" customHeight="1" x14ac:dyDescent="0.3">
      <c r="A1184" s="39"/>
      <c r="B1184" s="40" t="s">
        <v>2175</v>
      </c>
      <c r="C1184" s="41">
        <v>359090.9</v>
      </c>
      <c r="D1184" s="42">
        <v>46112</v>
      </c>
      <c r="E1184" s="43" t="s">
        <v>2</v>
      </c>
      <c r="F1184" s="41">
        <v>0</v>
      </c>
      <c r="G1184" s="41">
        <v>0</v>
      </c>
      <c r="H1184" s="41">
        <v>359090.9</v>
      </c>
      <c r="I1184" s="43">
        <v>90</v>
      </c>
      <c r="J1184" s="43">
        <v>197</v>
      </c>
      <c r="K1184" s="44">
        <v>7000000</v>
      </c>
      <c r="L1184" s="43" t="s">
        <v>992</v>
      </c>
      <c r="M1184" s="45">
        <v>46202</v>
      </c>
      <c r="N1184" s="41">
        <v>359090.9</v>
      </c>
      <c r="O1184" s="42">
        <v>46112</v>
      </c>
      <c r="P1184" s="46"/>
      <c r="Q1184" s="41">
        <v>359090.9</v>
      </c>
    </row>
    <row r="1185" spans="1:17" ht="12" customHeight="1" x14ac:dyDescent="0.3">
      <c r="A1185" s="39"/>
      <c r="B1185" s="40" t="s">
        <v>2176</v>
      </c>
      <c r="C1185" s="41">
        <v>1000006</v>
      </c>
      <c r="D1185" s="42">
        <v>46112</v>
      </c>
      <c r="E1185" s="43" t="s">
        <v>2</v>
      </c>
      <c r="F1185" s="41">
        <v>0</v>
      </c>
      <c r="G1185" s="41">
        <v>0</v>
      </c>
      <c r="H1185" s="41">
        <v>1000006</v>
      </c>
      <c r="I1185" s="43">
        <v>90</v>
      </c>
      <c r="J1185" s="43">
        <v>197</v>
      </c>
      <c r="K1185" s="44">
        <v>7000000</v>
      </c>
      <c r="L1185" s="43" t="s">
        <v>992</v>
      </c>
      <c r="M1185" s="45">
        <v>46202</v>
      </c>
      <c r="N1185" s="41">
        <v>1000006</v>
      </c>
      <c r="O1185" s="42">
        <v>46112</v>
      </c>
      <c r="P1185" s="46"/>
      <c r="Q1185" s="41">
        <v>1000006</v>
      </c>
    </row>
    <row r="1186" spans="1:17" ht="12" customHeight="1" x14ac:dyDescent="0.3">
      <c r="A1186" s="39"/>
      <c r="B1186" s="40" t="s">
        <v>2177</v>
      </c>
      <c r="C1186" s="41">
        <v>890905</v>
      </c>
      <c r="D1186" s="42">
        <v>46112</v>
      </c>
      <c r="E1186" s="43" t="s">
        <v>1763</v>
      </c>
      <c r="F1186" s="41">
        <v>865569.19</v>
      </c>
      <c r="G1186" s="41">
        <v>0</v>
      </c>
      <c r="H1186" s="41">
        <v>890905</v>
      </c>
      <c r="I1186" s="43">
        <v>90</v>
      </c>
      <c r="J1186" s="43">
        <v>197</v>
      </c>
      <c r="K1186" s="44">
        <v>7000000</v>
      </c>
      <c r="L1186" s="43" t="s">
        <v>992</v>
      </c>
      <c r="M1186" s="45">
        <v>46202</v>
      </c>
      <c r="N1186" s="41">
        <v>25335.81</v>
      </c>
      <c r="O1186" s="42">
        <v>46112</v>
      </c>
      <c r="P1186" s="46">
        <v>0</v>
      </c>
      <c r="Q1186" s="41">
        <v>25335.81</v>
      </c>
    </row>
    <row r="1187" spans="1:17" ht="12" customHeight="1" x14ac:dyDescent="0.3">
      <c r="A1187" s="39"/>
      <c r="B1187" s="40" t="s">
        <v>2178</v>
      </c>
      <c r="C1187" s="41">
        <v>500000</v>
      </c>
      <c r="D1187" s="42">
        <v>46112</v>
      </c>
      <c r="E1187" s="43" t="s">
        <v>1763</v>
      </c>
      <c r="F1187" s="41">
        <v>500000</v>
      </c>
      <c r="G1187" s="41">
        <v>0</v>
      </c>
      <c r="H1187" s="41">
        <v>500000</v>
      </c>
      <c r="I1187" s="43">
        <v>90</v>
      </c>
      <c r="J1187" s="43">
        <v>71</v>
      </c>
      <c r="K1187" s="44">
        <v>4000000</v>
      </c>
      <c r="L1187" s="43" t="s">
        <v>992</v>
      </c>
      <c r="M1187" s="45">
        <v>46202</v>
      </c>
      <c r="N1187" s="41">
        <v>0</v>
      </c>
      <c r="O1187" s="42"/>
      <c r="P1187" s="46">
        <v>0</v>
      </c>
      <c r="Q1187" s="41">
        <v>0</v>
      </c>
    </row>
    <row r="1188" spans="1:17" ht="12" customHeight="1" x14ac:dyDescent="0.3">
      <c r="A1188" s="39"/>
      <c r="B1188" s="40" t="s">
        <v>2179</v>
      </c>
      <c r="C1188" s="41">
        <v>505000</v>
      </c>
      <c r="D1188" s="42">
        <v>46112</v>
      </c>
      <c r="E1188" s="43" t="s">
        <v>1763</v>
      </c>
      <c r="F1188" s="41">
        <v>505000</v>
      </c>
      <c r="G1188" s="41">
        <v>0</v>
      </c>
      <c r="H1188" s="41">
        <v>505000</v>
      </c>
      <c r="I1188" s="43">
        <v>90</v>
      </c>
      <c r="J1188" s="43">
        <v>71</v>
      </c>
      <c r="K1188" s="44">
        <v>4000000</v>
      </c>
      <c r="L1188" s="43" t="s">
        <v>992</v>
      </c>
      <c r="M1188" s="45">
        <v>46202</v>
      </c>
      <c r="N1188" s="41">
        <v>0</v>
      </c>
      <c r="O1188" s="42"/>
      <c r="P1188" s="46">
        <v>0</v>
      </c>
      <c r="Q1188" s="41">
        <v>0</v>
      </c>
    </row>
    <row r="1189" spans="1:17" ht="12" customHeight="1" x14ac:dyDescent="0.3">
      <c r="A1189" s="39"/>
      <c r="B1189" s="40" t="s">
        <v>2180</v>
      </c>
      <c r="C1189" s="41">
        <v>495000</v>
      </c>
      <c r="D1189" s="42">
        <v>46112</v>
      </c>
      <c r="E1189" s="43" t="s">
        <v>1763</v>
      </c>
      <c r="F1189" s="41">
        <v>495000</v>
      </c>
      <c r="G1189" s="41">
        <v>0</v>
      </c>
      <c r="H1189" s="41">
        <v>495000</v>
      </c>
      <c r="I1189" s="43">
        <v>90</v>
      </c>
      <c r="J1189" s="43">
        <v>71</v>
      </c>
      <c r="K1189" s="44">
        <v>4000000</v>
      </c>
      <c r="L1189" s="43" t="s">
        <v>992</v>
      </c>
      <c r="M1189" s="45">
        <v>46202</v>
      </c>
      <c r="N1189" s="41">
        <v>0</v>
      </c>
      <c r="O1189" s="42"/>
      <c r="P1189" s="46">
        <v>0</v>
      </c>
      <c r="Q1189" s="41">
        <v>0</v>
      </c>
    </row>
    <row r="1190" spans="1:17" ht="12" customHeight="1" x14ac:dyDescent="0.3">
      <c r="A1190" s="39"/>
      <c r="B1190" s="40" t="s">
        <v>2181</v>
      </c>
      <c r="C1190" s="41">
        <v>600000</v>
      </c>
      <c r="D1190" s="42">
        <v>46112</v>
      </c>
      <c r="E1190" s="43" t="s">
        <v>1763</v>
      </c>
      <c r="F1190" s="41">
        <v>600000</v>
      </c>
      <c r="G1190" s="41">
        <v>0</v>
      </c>
      <c r="H1190" s="41">
        <v>600000</v>
      </c>
      <c r="I1190" s="43">
        <v>90</v>
      </c>
      <c r="J1190" s="43">
        <v>116</v>
      </c>
      <c r="K1190" s="44">
        <v>3300000</v>
      </c>
      <c r="L1190" s="43" t="s">
        <v>992</v>
      </c>
      <c r="M1190" s="45">
        <v>46202</v>
      </c>
      <c r="N1190" s="41">
        <v>0</v>
      </c>
      <c r="O1190" s="42"/>
      <c r="P1190" s="46">
        <v>0</v>
      </c>
      <c r="Q1190" s="41">
        <v>0</v>
      </c>
    </row>
    <row r="1191" spans="1:17" ht="12" customHeight="1" x14ac:dyDescent="0.3">
      <c r="A1191" s="39"/>
      <c r="B1191" s="40" t="s">
        <v>2182</v>
      </c>
      <c r="C1191" s="41">
        <v>100000</v>
      </c>
      <c r="D1191" s="42">
        <v>46112</v>
      </c>
      <c r="E1191" s="43" t="s">
        <v>1763</v>
      </c>
      <c r="F1191" s="41">
        <v>100000</v>
      </c>
      <c r="G1191" s="41">
        <v>0</v>
      </c>
      <c r="H1191" s="41">
        <v>100000</v>
      </c>
      <c r="I1191" s="43">
        <v>90</v>
      </c>
      <c r="J1191" s="43">
        <v>288</v>
      </c>
      <c r="K1191" s="44">
        <v>1000000</v>
      </c>
      <c r="L1191" s="43" t="s">
        <v>992</v>
      </c>
      <c r="M1191" s="45">
        <v>46202</v>
      </c>
      <c r="N1191" s="41">
        <v>0</v>
      </c>
      <c r="O1191" s="42"/>
      <c r="P1191" s="46">
        <v>0</v>
      </c>
      <c r="Q1191" s="41">
        <v>0</v>
      </c>
    </row>
    <row r="1192" spans="1:17" ht="12" customHeight="1" x14ac:dyDescent="0.3">
      <c r="A1192" s="39"/>
      <c r="B1192" s="40" t="s">
        <v>2183</v>
      </c>
      <c r="C1192" s="41">
        <v>893769.5</v>
      </c>
      <c r="D1192" s="42">
        <v>46112</v>
      </c>
      <c r="E1192" s="43" t="s">
        <v>1763</v>
      </c>
      <c r="F1192" s="41">
        <v>893769.5</v>
      </c>
      <c r="G1192" s="41">
        <v>0</v>
      </c>
      <c r="H1192" s="41">
        <v>893769.5</v>
      </c>
      <c r="I1192" s="43">
        <v>90</v>
      </c>
      <c r="J1192" s="43">
        <v>197</v>
      </c>
      <c r="K1192" s="44">
        <v>7000000</v>
      </c>
      <c r="L1192" s="43" t="s">
        <v>992</v>
      </c>
      <c r="M1192" s="45">
        <v>46202</v>
      </c>
      <c r="N1192" s="41">
        <v>0</v>
      </c>
      <c r="O1192" s="42"/>
      <c r="P1192" s="46">
        <v>0</v>
      </c>
      <c r="Q1192" s="41">
        <v>0</v>
      </c>
    </row>
    <row r="1193" spans="1:17" ht="12" customHeight="1" x14ac:dyDescent="0.3">
      <c r="A1193" s="39"/>
      <c r="B1193" s="40" t="s">
        <v>2184</v>
      </c>
      <c r="C1193" s="41">
        <v>902520</v>
      </c>
      <c r="D1193" s="42">
        <v>46112</v>
      </c>
      <c r="E1193" s="43" t="s">
        <v>1763</v>
      </c>
      <c r="F1193" s="41">
        <v>902520</v>
      </c>
      <c r="G1193" s="41">
        <v>0</v>
      </c>
      <c r="H1193" s="41">
        <v>902520</v>
      </c>
      <c r="I1193" s="43">
        <v>90</v>
      </c>
      <c r="J1193" s="43">
        <v>197</v>
      </c>
      <c r="K1193" s="44">
        <v>7000000</v>
      </c>
      <c r="L1193" s="43" t="s">
        <v>992</v>
      </c>
      <c r="M1193" s="45">
        <v>46202</v>
      </c>
      <c r="N1193" s="41">
        <v>0</v>
      </c>
      <c r="O1193" s="42"/>
      <c r="P1193" s="46">
        <v>0</v>
      </c>
      <c r="Q1193" s="41">
        <v>0</v>
      </c>
    </row>
    <row r="1194" spans="1:17" ht="12" customHeight="1" x14ac:dyDescent="0.3">
      <c r="A1194" s="39"/>
      <c r="B1194" s="40" t="s">
        <v>2185</v>
      </c>
      <c r="C1194" s="41">
        <v>776250</v>
      </c>
      <c r="D1194" s="42">
        <v>46112</v>
      </c>
      <c r="E1194" s="43" t="s">
        <v>1763</v>
      </c>
      <c r="F1194" s="41">
        <v>776250</v>
      </c>
      <c r="G1194" s="41">
        <v>0</v>
      </c>
      <c r="H1194" s="41">
        <v>776250</v>
      </c>
      <c r="I1194" s="43">
        <v>90</v>
      </c>
      <c r="J1194" s="43">
        <v>197</v>
      </c>
      <c r="K1194" s="44">
        <v>7000000</v>
      </c>
      <c r="L1194" s="43" t="s">
        <v>992</v>
      </c>
      <c r="M1194" s="45">
        <v>46202</v>
      </c>
      <c r="N1194" s="41">
        <v>0</v>
      </c>
      <c r="O1194" s="42"/>
      <c r="P1194" s="46">
        <v>0</v>
      </c>
      <c r="Q1194" s="41">
        <v>0</v>
      </c>
    </row>
    <row r="1195" spans="1:17" ht="12" customHeight="1" x14ac:dyDescent="0.3">
      <c r="A1195" s="39"/>
      <c r="B1195" s="40" t="s">
        <v>2186</v>
      </c>
      <c r="C1195" s="41">
        <v>800400</v>
      </c>
      <c r="D1195" s="42">
        <v>46112</v>
      </c>
      <c r="E1195" s="43" t="s">
        <v>1763</v>
      </c>
      <c r="F1195" s="41">
        <v>800400</v>
      </c>
      <c r="G1195" s="41">
        <v>0</v>
      </c>
      <c r="H1195" s="41">
        <v>800400</v>
      </c>
      <c r="I1195" s="43">
        <v>90</v>
      </c>
      <c r="J1195" s="43">
        <v>197</v>
      </c>
      <c r="K1195" s="44">
        <v>7000000</v>
      </c>
      <c r="L1195" s="43" t="s">
        <v>992</v>
      </c>
      <c r="M1195" s="45">
        <v>46202</v>
      </c>
      <c r="N1195" s="41">
        <v>0</v>
      </c>
      <c r="O1195" s="42"/>
      <c r="P1195" s="46">
        <v>0</v>
      </c>
      <c r="Q1195" s="41">
        <v>0</v>
      </c>
    </row>
    <row r="1196" spans="1:17" ht="12" customHeight="1" x14ac:dyDescent="0.3">
      <c r="A1196" s="39"/>
      <c r="B1196" s="40" t="s">
        <v>2187</v>
      </c>
      <c r="C1196" s="41">
        <v>850425</v>
      </c>
      <c r="D1196" s="42">
        <v>46112</v>
      </c>
      <c r="E1196" s="43" t="s">
        <v>1763</v>
      </c>
      <c r="F1196" s="41">
        <v>850425</v>
      </c>
      <c r="G1196" s="41">
        <v>0</v>
      </c>
      <c r="H1196" s="41">
        <v>850425</v>
      </c>
      <c r="I1196" s="43">
        <v>90</v>
      </c>
      <c r="J1196" s="43">
        <v>197</v>
      </c>
      <c r="K1196" s="44">
        <v>7000000</v>
      </c>
      <c r="L1196" s="43" t="s">
        <v>992</v>
      </c>
      <c r="M1196" s="45">
        <v>46202</v>
      </c>
      <c r="N1196" s="41">
        <v>0</v>
      </c>
      <c r="O1196" s="42"/>
      <c r="P1196" s="46">
        <v>0</v>
      </c>
      <c r="Q1196" s="41">
        <v>0</v>
      </c>
    </row>
    <row r="1197" spans="1:17" ht="12" customHeight="1" x14ac:dyDescent="0.3">
      <c r="A1197" s="39"/>
      <c r="B1197" s="40" t="s">
        <v>2188</v>
      </c>
      <c r="C1197" s="41">
        <v>949900</v>
      </c>
      <c r="D1197" s="42">
        <v>46112</v>
      </c>
      <c r="E1197" s="43" t="s">
        <v>1763</v>
      </c>
      <c r="F1197" s="41">
        <v>949900</v>
      </c>
      <c r="G1197" s="41">
        <v>0</v>
      </c>
      <c r="H1197" s="41">
        <v>949900</v>
      </c>
      <c r="I1197" s="43">
        <v>90</v>
      </c>
      <c r="J1197" s="43">
        <v>197</v>
      </c>
      <c r="K1197" s="44">
        <v>7000000</v>
      </c>
      <c r="L1197" s="43" t="s">
        <v>992</v>
      </c>
      <c r="M1197" s="45">
        <v>46202</v>
      </c>
      <c r="N1197" s="41">
        <v>0</v>
      </c>
      <c r="O1197" s="42"/>
      <c r="P1197" s="46">
        <v>0</v>
      </c>
      <c r="Q1197" s="41">
        <v>0</v>
      </c>
    </row>
    <row r="1198" spans="1:17" ht="12" customHeight="1" x14ac:dyDescent="0.3">
      <c r="A1198" s="39"/>
      <c r="B1198" s="40" t="s">
        <v>2189</v>
      </c>
      <c r="C1198" s="41">
        <v>968760</v>
      </c>
      <c r="D1198" s="42">
        <v>46112</v>
      </c>
      <c r="E1198" s="43" t="s">
        <v>1763</v>
      </c>
      <c r="F1198" s="41">
        <v>968760</v>
      </c>
      <c r="G1198" s="41">
        <v>0</v>
      </c>
      <c r="H1198" s="41">
        <v>968760</v>
      </c>
      <c r="I1198" s="43">
        <v>90</v>
      </c>
      <c r="J1198" s="43">
        <v>197</v>
      </c>
      <c r="K1198" s="44">
        <v>7000000</v>
      </c>
      <c r="L1198" s="43" t="s">
        <v>992</v>
      </c>
      <c r="M1198" s="45">
        <v>46202</v>
      </c>
      <c r="N1198" s="41">
        <v>0</v>
      </c>
      <c r="O1198" s="42"/>
      <c r="P1198" s="46">
        <v>0</v>
      </c>
      <c r="Q1198" s="41">
        <v>0</v>
      </c>
    </row>
    <row r="1199" spans="1:17" ht="12" customHeight="1" x14ac:dyDescent="0.3">
      <c r="A1199" s="39"/>
      <c r="B1199" s="40" t="s">
        <v>2190</v>
      </c>
      <c r="C1199" s="41">
        <v>100013</v>
      </c>
      <c r="D1199" s="42">
        <v>46112</v>
      </c>
      <c r="E1199" s="43" t="s">
        <v>1763</v>
      </c>
      <c r="F1199" s="41">
        <v>100013</v>
      </c>
      <c r="G1199" s="41">
        <v>0</v>
      </c>
      <c r="H1199" s="41">
        <v>100013</v>
      </c>
      <c r="I1199" s="43">
        <v>90</v>
      </c>
      <c r="J1199" s="43">
        <v>16</v>
      </c>
      <c r="K1199" s="44">
        <v>800000</v>
      </c>
      <c r="L1199" s="43" t="s">
        <v>992</v>
      </c>
      <c r="M1199" s="45">
        <v>46202</v>
      </c>
      <c r="N1199" s="41">
        <v>0</v>
      </c>
      <c r="O1199" s="42"/>
      <c r="P1199" s="46">
        <v>0</v>
      </c>
      <c r="Q1199" s="41">
        <v>0</v>
      </c>
    </row>
    <row r="1200" spans="1:17" ht="12" customHeight="1" x14ac:dyDescent="0.3">
      <c r="A1200" s="39"/>
      <c r="B1200" s="40" t="s">
        <v>2191</v>
      </c>
      <c r="C1200" s="41">
        <v>40000</v>
      </c>
      <c r="D1200" s="42">
        <v>46112</v>
      </c>
      <c r="E1200" s="43" t="s">
        <v>1763</v>
      </c>
      <c r="F1200" s="41">
        <v>40000</v>
      </c>
      <c r="G1200" s="41">
        <v>0</v>
      </c>
      <c r="H1200" s="41">
        <v>40000</v>
      </c>
      <c r="I1200" s="43">
        <v>90</v>
      </c>
      <c r="J1200" s="43">
        <v>237</v>
      </c>
      <c r="K1200" s="44">
        <v>3000000</v>
      </c>
      <c r="L1200" s="43" t="s">
        <v>992</v>
      </c>
      <c r="M1200" s="45">
        <v>46202</v>
      </c>
      <c r="N1200" s="41">
        <v>0</v>
      </c>
      <c r="O1200" s="42"/>
      <c r="P1200" s="46">
        <v>0</v>
      </c>
      <c r="Q1200" s="41">
        <v>0</v>
      </c>
    </row>
    <row r="1201" spans="1:17" ht="12" customHeight="1" x14ac:dyDescent="0.3">
      <c r="A1201" s="39"/>
      <c r="B1201" s="40" t="s">
        <v>2192</v>
      </c>
      <c r="C1201" s="41">
        <v>100000</v>
      </c>
      <c r="D1201" s="42">
        <v>46112</v>
      </c>
      <c r="E1201" s="43" t="s">
        <v>1763</v>
      </c>
      <c r="F1201" s="41">
        <v>100000</v>
      </c>
      <c r="G1201" s="41">
        <v>0</v>
      </c>
      <c r="H1201" s="41">
        <v>100000</v>
      </c>
      <c r="I1201" s="43">
        <v>90</v>
      </c>
      <c r="J1201" s="43">
        <v>288</v>
      </c>
      <c r="K1201" s="44">
        <v>1000000</v>
      </c>
      <c r="L1201" s="43" t="s">
        <v>992</v>
      </c>
      <c r="M1201" s="45">
        <v>46202</v>
      </c>
      <c r="N1201" s="41">
        <v>0</v>
      </c>
      <c r="O1201" s="42"/>
      <c r="P1201" s="46">
        <v>0</v>
      </c>
      <c r="Q1201" s="41">
        <v>0</v>
      </c>
    </row>
    <row r="1202" spans="1:17" ht="12" customHeight="1" x14ac:dyDescent="0.3">
      <c r="A1202" s="39"/>
      <c r="B1202" s="40" t="s">
        <v>2193</v>
      </c>
      <c r="C1202" s="41">
        <v>701100</v>
      </c>
      <c r="D1202" s="42">
        <v>46099</v>
      </c>
      <c r="E1202" s="43" t="s">
        <v>2</v>
      </c>
      <c r="F1202" s="41">
        <v>0</v>
      </c>
      <c r="G1202" s="41">
        <v>0</v>
      </c>
      <c r="H1202" s="41">
        <v>701100</v>
      </c>
      <c r="I1202" s="43">
        <v>90</v>
      </c>
      <c r="J1202" s="43">
        <v>8</v>
      </c>
      <c r="K1202" s="44">
        <v>3000000</v>
      </c>
      <c r="L1202" s="43" t="s">
        <v>992</v>
      </c>
      <c r="M1202" s="45">
        <v>46189</v>
      </c>
      <c r="N1202" s="41">
        <v>701100</v>
      </c>
      <c r="O1202" s="42">
        <v>46099</v>
      </c>
      <c r="P1202" s="46"/>
      <c r="Q1202" s="41">
        <v>701100</v>
      </c>
    </row>
    <row r="1203" spans="1:17" ht="12" customHeight="1" x14ac:dyDescent="0.3">
      <c r="A1203" s="39"/>
      <c r="B1203" s="40" t="s">
        <v>2194</v>
      </c>
      <c r="C1203" s="41">
        <v>699230</v>
      </c>
      <c r="D1203" s="42">
        <v>46099</v>
      </c>
      <c r="E1203" s="43" t="s">
        <v>2</v>
      </c>
      <c r="F1203" s="41">
        <v>0</v>
      </c>
      <c r="G1203" s="41">
        <v>0</v>
      </c>
      <c r="H1203" s="41">
        <v>699230</v>
      </c>
      <c r="I1203" s="43">
        <v>90</v>
      </c>
      <c r="J1203" s="43">
        <v>8</v>
      </c>
      <c r="K1203" s="44">
        <v>3000000</v>
      </c>
      <c r="L1203" s="43" t="s">
        <v>992</v>
      </c>
      <c r="M1203" s="45">
        <v>46189</v>
      </c>
      <c r="N1203" s="41">
        <v>699230</v>
      </c>
      <c r="O1203" s="42">
        <v>46099</v>
      </c>
      <c r="P1203" s="46"/>
      <c r="Q1203" s="41">
        <v>699230</v>
      </c>
    </row>
    <row r="1204" spans="1:17" ht="12" customHeight="1" x14ac:dyDescent="0.3">
      <c r="A1204" s="39"/>
      <c r="B1204" s="40" t="s">
        <v>2195</v>
      </c>
      <c r="C1204" s="41">
        <v>705486</v>
      </c>
      <c r="D1204" s="42">
        <v>46099</v>
      </c>
      <c r="E1204" s="43" t="s">
        <v>2</v>
      </c>
      <c r="F1204" s="41">
        <v>0</v>
      </c>
      <c r="G1204" s="41">
        <v>0</v>
      </c>
      <c r="H1204" s="41">
        <v>705486</v>
      </c>
      <c r="I1204" s="43">
        <v>90</v>
      </c>
      <c r="J1204" s="43">
        <v>8</v>
      </c>
      <c r="K1204" s="44">
        <v>3000000</v>
      </c>
      <c r="L1204" s="43" t="s">
        <v>992</v>
      </c>
      <c r="M1204" s="45">
        <v>46189</v>
      </c>
      <c r="N1204" s="41">
        <v>705486</v>
      </c>
      <c r="O1204" s="42">
        <v>46099</v>
      </c>
      <c r="P1204" s="46"/>
      <c r="Q1204" s="41">
        <v>705486</v>
      </c>
    </row>
    <row r="1205" spans="1:17" ht="12" customHeight="1" x14ac:dyDescent="0.3">
      <c r="A1205" s="39"/>
      <c r="B1205" s="40" t="s">
        <v>2196</v>
      </c>
      <c r="C1205" s="41">
        <v>692160</v>
      </c>
      <c r="D1205" s="42">
        <v>46099</v>
      </c>
      <c r="E1205" s="43" t="s">
        <v>2</v>
      </c>
      <c r="F1205" s="41">
        <v>0</v>
      </c>
      <c r="G1205" s="41">
        <v>0</v>
      </c>
      <c r="H1205" s="41">
        <v>692160</v>
      </c>
      <c r="I1205" s="43">
        <v>90</v>
      </c>
      <c r="J1205" s="43">
        <v>8</v>
      </c>
      <c r="K1205" s="44">
        <v>3000000</v>
      </c>
      <c r="L1205" s="43" t="s">
        <v>992</v>
      </c>
      <c r="M1205" s="45">
        <v>46189</v>
      </c>
      <c r="N1205" s="41">
        <v>692160</v>
      </c>
      <c r="O1205" s="42">
        <v>46099</v>
      </c>
      <c r="P1205" s="46"/>
      <c r="Q1205" s="41">
        <v>692160</v>
      </c>
    </row>
    <row r="1206" spans="1:17" ht="12" customHeight="1" x14ac:dyDescent="0.3">
      <c r="A1206" s="39"/>
      <c r="B1206" s="40" t="s">
        <v>2197</v>
      </c>
      <c r="C1206" s="41">
        <v>706081.2</v>
      </c>
      <c r="D1206" s="42">
        <v>46099</v>
      </c>
      <c r="E1206" s="43" t="s">
        <v>2</v>
      </c>
      <c r="F1206" s="41">
        <v>0</v>
      </c>
      <c r="G1206" s="41">
        <v>0</v>
      </c>
      <c r="H1206" s="41">
        <v>706081.2</v>
      </c>
      <c r="I1206" s="43">
        <v>90</v>
      </c>
      <c r="J1206" s="43">
        <v>8</v>
      </c>
      <c r="K1206" s="44">
        <v>3000000</v>
      </c>
      <c r="L1206" s="43" t="s">
        <v>992</v>
      </c>
      <c r="M1206" s="45">
        <v>46189</v>
      </c>
      <c r="N1206" s="41">
        <v>706081.2</v>
      </c>
      <c r="O1206" s="42">
        <v>46099</v>
      </c>
      <c r="P1206" s="46"/>
      <c r="Q1206" s="41">
        <v>706081.2</v>
      </c>
    </row>
    <row r="1207" spans="1:17" ht="12" customHeight="1" x14ac:dyDescent="0.3">
      <c r="A1207" s="39"/>
      <c r="B1207" s="40" t="s">
        <v>2198</v>
      </c>
      <c r="C1207" s="41">
        <v>694180</v>
      </c>
      <c r="D1207" s="42">
        <v>46109</v>
      </c>
      <c r="E1207" s="43" t="s">
        <v>1763</v>
      </c>
      <c r="F1207" s="41">
        <v>186426.05</v>
      </c>
      <c r="G1207" s="41">
        <v>0</v>
      </c>
      <c r="H1207" s="41">
        <v>694180</v>
      </c>
      <c r="I1207" s="43">
        <v>90</v>
      </c>
      <c r="J1207" s="43">
        <v>8</v>
      </c>
      <c r="K1207" s="44">
        <v>3000000</v>
      </c>
      <c r="L1207" s="43" t="s">
        <v>992</v>
      </c>
      <c r="M1207" s="45">
        <v>46201</v>
      </c>
      <c r="N1207" s="41">
        <v>507753.95</v>
      </c>
      <c r="O1207" s="42">
        <v>46110</v>
      </c>
      <c r="P1207" s="46">
        <v>3</v>
      </c>
      <c r="Q1207" s="41">
        <v>507753.95</v>
      </c>
    </row>
    <row r="1208" spans="1:17" ht="12" customHeight="1" x14ac:dyDescent="0.3">
      <c r="A1208" s="39"/>
      <c r="B1208" s="40" t="s">
        <v>2199</v>
      </c>
      <c r="C1208" s="41">
        <v>701460</v>
      </c>
      <c r="D1208" s="42">
        <v>46112</v>
      </c>
      <c r="E1208" s="43" t="s">
        <v>1763</v>
      </c>
      <c r="F1208" s="41">
        <v>701460</v>
      </c>
      <c r="G1208" s="41">
        <v>0</v>
      </c>
      <c r="H1208" s="41">
        <v>701460</v>
      </c>
      <c r="I1208" s="43">
        <v>90</v>
      </c>
      <c r="J1208" s="43">
        <v>8</v>
      </c>
      <c r="K1208" s="44">
        <v>3000000</v>
      </c>
      <c r="L1208" s="43" t="s">
        <v>992</v>
      </c>
      <c r="M1208" s="45">
        <v>46202</v>
      </c>
      <c r="N1208" s="41">
        <v>0</v>
      </c>
      <c r="O1208" s="42"/>
      <c r="P1208" s="46">
        <v>0</v>
      </c>
      <c r="Q1208" s="41">
        <v>0</v>
      </c>
    </row>
    <row r="1209" spans="1:17" ht="12" customHeight="1" x14ac:dyDescent="0.3">
      <c r="A1209" s="39"/>
      <c r="B1209" s="40" t="s">
        <v>2200</v>
      </c>
      <c r="C1209" s="41">
        <v>701760</v>
      </c>
      <c r="D1209" s="42">
        <v>46112</v>
      </c>
      <c r="E1209" s="43" t="s">
        <v>1763</v>
      </c>
      <c r="F1209" s="41">
        <v>701760</v>
      </c>
      <c r="G1209" s="41">
        <v>0</v>
      </c>
      <c r="H1209" s="41">
        <v>701760</v>
      </c>
      <c r="I1209" s="43">
        <v>90</v>
      </c>
      <c r="J1209" s="43">
        <v>8</v>
      </c>
      <c r="K1209" s="44">
        <v>3000000</v>
      </c>
      <c r="L1209" s="43" t="s">
        <v>992</v>
      </c>
      <c r="M1209" s="45">
        <v>46202</v>
      </c>
      <c r="N1209" s="41">
        <v>0</v>
      </c>
      <c r="O1209" s="42"/>
      <c r="P1209" s="46">
        <v>0</v>
      </c>
      <c r="Q1209" s="41">
        <v>0</v>
      </c>
    </row>
    <row r="1210" spans="1:17" ht="12" customHeight="1" x14ac:dyDescent="0.3">
      <c r="A1210" s="39"/>
      <c r="B1210" s="40" t="s">
        <v>2201</v>
      </c>
      <c r="C1210" s="41">
        <v>690641.1</v>
      </c>
      <c r="D1210" s="42">
        <v>46112</v>
      </c>
      <c r="E1210" s="43" t="s">
        <v>1763</v>
      </c>
      <c r="F1210" s="41">
        <v>690641.1</v>
      </c>
      <c r="G1210" s="41">
        <v>0</v>
      </c>
      <c r="H1210" s="41">
        <v>690641.1</v>
      </c>
      <c r="I1210" s="43">
        <v>90</v>
      </c>
      <c r="J1210" s="43">
        <v>8</v>
      </c>
      <c r="K1210" s="44">
        <v>3000000</v>
      </c>
      <c r="L1210" s="43" t="s">
        <v>992</v>
      </c>
      <c r="M1210" s="45">
        <v>46202</v>
      </c>
      <c r="N1210" s="41">
        <v>0</v>
      </c>
      <c r="O1210" s="42"/>
      <c r="P1210" s="46">
        <v>0</v>
      </c>
      <c r="Q1210" s="41">
        <v>0</v>
      </c>
    </row>
    <row r="1211" spans="1:17" ht="12" customHeight="1" x14ac:dyDescent="0.3">
      <c r="A1211" s="39"/>
      <c r="B1211" s="40" t="s">
        <v>2202</v>
      </c>
      <c r="C1211" s="41">
        <v>719736</v>
      </c>
      <c r="D1211" s="42">
        <v>46112</v>
      </c>
      <c r="E1211" s="43" t="s">
        <v>1763</v>
      </c>
      <c r="F1211" s="41">
        <v>719736</v>
      </c>
      <c r="G1211" s="41">
        <v>0</v>
      </c>
      <c r="H1211" s="41">
        <v>719736</v>
      </c>
      <c r="I1211" s="43">
        <v>90</v>
      </c>
      <c r="J1211" s="43">
        <v>8</v>
      </c>
      <c r="K1211" s="44">
        <v>3000000</v>
      </c>
      <c r="L1211" s="43" t="s">
        <v>992</v>
      </c>
      <c r="M1211" s="45">
        <v>46202</v>
      </c>
      <c r="N1211" s="41">
        <v>0</v>
      </c>
      <c r="O1211" s="42"/>
      <c r="P1211" s="46">
        <v>0</v>
      </c>
      <c r="Q1211" s="41">
        <v>0</v>
      </c>
    </row>
    <row r="1212" spans="1:17" ht="12" customHeight="1" x14ac:dyDescent="0.3">
      <c r="A1212" s="39"/>
      <c r="B1212" s="40" t="s">
        <v>2203</v>
      </c>
      <c r="C1212" s="41">
        <v>100113</v>
      </c>
      <c r="D1212" s="42">
        <v>46112</v>
      </c>
      <c r="E1212" s="43" t="s">
        <v>1763</v>
      </c>
      <c r="F1212" s="41">
        <v>100113</v>
      </c>
      <c r="G1212" s="41">
        <v>0</v>
      </c>
      <c r="H1212" s="41">
        <v>100113</v>
      </c>
      <c r="I1212" s="43">
        <v>90</v>
      </c>
      <c r="J1212" s="43">
        <v>16</v>
      </c>
      <c r="K1212" s="44">
        <v>800000</v>
      </c>
      <c r="L1212" s="43" t="s">
        <v>992</v>
      </c>
      <c r="M1212" s="45">
        <v>46202</v>
      </c>
      <c r="N1212" s="41">
        <v>0</v>
      </c>
      <c r="O1212" s="42"/>
      <c r="P1212" s="46">
        <v>0</v>
      </c>
      <c r="Q1212" s="41">
        <v>0</v>
      </c>
    </row>
    <row r="1213" spans="1:17" ht="12" customHeight="1" x14ac:dyDescent="0.3">
      <c r="A1213" s="39"/>
      <c r="B1213" s="40" t="s">
        <v>2204</v>
      </c>
      <c r="C1213" s="41">
        <v>150000</v>
      </c>
      <c r="D1213" s="42">
        <v>46112</v>
      </c>
      <c r="E1213" s="43" t="s">
        <v>1763</v>
      </c>
      <c r="F1213" s="41">
        <v>150000</v>
      </c>
      <c r="G1213" s="41">
        <v>0</v>
      </c>
      <c r="H1213" s="41">
        <v>150000</v>
      </c>
      <c r="I1213" s="43">
        <v>90</v>
      </c>
      <c r="J1213" s="43">
        <v>2</v>
      </c>
      <c r="K1213" s="44">
        <v>4000000</v>
      </c>
      <c r="L1213" s="43" t="s">
        <v>992</v>
      </c>
      <c r="M1213" s="45">
        <v>46202</v>
      </c>
      <c r="N1213" s="41">
        <v>0</v>
      </c>
      <c r="O1213" s="42"/>
      <c r="P1213" s="46">
        <v>0</v>
      </c>
      <c r="Q1213" s="41">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A7B64-C802-42A1-8613-F7F50122EF32}">
  <dimension ref="A1:J11"/>
  <sheetViews>
    <sheetView showGridLines="0" zoomScale="90" zoomScaleNormal="90" workbookViewId="0">
      <selection activeCell="A2" sqref="A2"/>
    </sheetView>
  </sheetViews>
  <sheetFormatPr defaultColWidth="8.81640625" defaultRowHeight="14.5" x14ac:dyDescent="0.35"/>
  <cols>
    <col min="1" max="1" width="127.453125" customWidth="1"/>
    <col min="2" max="2" width="16.453125" bestFit="1" customWidth="1"/>
    <col min="3" max="3" width="11.81640625" bestFit="1" customWidth="1"/>
    <col min="4" max="4" width="4.36328125" bestFit="1" customWidth="1"/>
    <col min="5" max="5" width="11.81640625" bestFit="1" customWidth="1"/>
  </cols>
  <sheetData>
    <row r="1" spans="1:10" x14ac:dyDescent="0.35">
      <c r="A1" s="21" t="s">
        <v>989</v>
      </c>
    </row>
    <row r="2" spans="1:10" ht="203.5" thickBot="1" x14ac:dyDescent="0.4">
      <c r="A2" s="22" t="s">
        <v>988</v>
      </c>
      <c r="C2" s="23"/>
    </row>
    <row r="3" spans="1:10" x14ac:dyDescent="0.35">
      <c r="C3" s="24"/>
    </row>
    <row r="4" spans="1:10" x14ac:dyDescent="0.35">
      <c r="C4" s="24"/>
    </row>
    <row r="6" spans="1:10" x14ac:dyDescent="0.35">
      <c r="A6" s="25"/>
      <c r="B6" s="26"/>
      <c r="C6" s="26"/>
      <c r="D6" s="26"/>
      <c r="E6" s="27"/>
    </row>
    <row r="7" spans="1:10" x14ac:dyDescent="0.35">
      <c r="A7" s="26"/>
      <c r="B7" s="28"/>
      <c r="C7" s="26"/>
      <c r="D7" s="26"/>
      <c r="E7" s="27"/>
    </row>
    <row r="8" spans="1:10" x14ac:dyDescent="0.35">
      <c r="B8" s="31"/>
      <c r="C8" s="31"/>
      <c r="D8" s="31"/>
      <c r="E8" s="31"/>
      <c r="F8" s="31"/>
      <c r="G8" s="31"/>
      <c r="H8" s="31"/>
      <c r="I8" s="31"/>
      <c r="J8" s="31"/>
    </row>
    <row r="9" spans="1:10" x14ac:dyDescent="0.35">
      <c r="B9" s="31"/>
      <c r="C9" s="31"/>
      <c r="D9" s="31"/>
      <c r="E9" s="31"/>
      <c r="F9" s="31"/>
      <c r="G9" s="31"/>
      <c r="H9" s="31"/>
      <c r="I9" s="31"/>
      <c r="J9" s="31"/>
    </row>
    <row r="10" spans="1:10" x14ac:dyDescent="0.35">
      <c r="B10" s="31"/>
      <c r="C10" s="31"/>
      <c r="D10" s="31"/>
      <c r="E10" s="31"/>
      <c r="F10" s="31"/>
      <c r="G10" s="31"/>
      <c r="H10" s="31"/>
      <c r="I10" s="31"/>
      <c r="J10" s="31"/>
    </row>
    <row r="11" spans="1:10" x14ac:dyDescent="0.35">
      <c r="B11" s="31"/>
      <c r="C11" s="31"/>
      <c r="D11" s="31"/>
      <c r="E11" s="31"/>
      <c r="F11" s="31"/>
      <c r="G11" s="31"/>
      <c r="H11" s="31"/>
      <c r="I11" s="31"/>
      <c r="J11" s="31"/>
    </row>
  </sheetData>
  <mergeCells count="1">
    <mergeCell ref="B8: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2B42-A1FF-4B23-9D61-E57CDBD89F86}">
  <sheetPr>
    <tabColor rgb="FF0070C0"/>
  </sheetPr>
  <dimension ref="A1:S1305"/>
  <sheetViews>
    <sheetView showGridLines="0" tabSelected="1" zoomScale="80" zoomScaleNormal="80" workbookViewId="0">
      <pane xSplit="1" ySplit="2" topLeftCell="B3" activePane="bottomRight" state="frozen"/>
      <selection activeCell="C24" sqref="C24"/>
      <selection pane="topRight" activeCell="C24" sqref="C24"/>
      <selection pane="bottomLeft" activeCell="C24" sqref="C24"/>
      <selection pane="bottomRight" activeCell="G20" sqref="G20"/>
    </sheetView>
  </sheetViews>
  <sheetFormatPr defaultColWidth="9.36328125" defaultRowHeight="12" customHeight="1" x14ac:dyDescent="0.25"/>
  <cols>
    <col min="1" max="1" width="0.90625" style="10" customWidth="1"/>
    <col min="2" max="2" width="9.6328125" style="10" bestFit="1" customWidth="1"/>
    <col min="3" max="3" width="12" style="10" bestFit="1" customWidth="1"/>
    <col min="4" max="4" width="9.6328125" style="10" bestFit="1" customWidth="1"/>
    <col min="5" max="5" width="9" style="10" bestFit="1" customWidth="1"/>
    <col min="6" max="6" width="10.6328125" style="10" bestFit="1" customWidth="1"/>
    <col min="7" max="7" width="10" style="10" bestFit="1" customWidth="1"/>
    <col min="8" max="8" width="11.81640625" style="10" bestFit="1" customWidth="1"/>
    <col min="9" max="9" width="5.453125" style="10" bestFit="1" customWidth="1"/>
    <col min="10" max="10" width="6.26953125" style="10" bestFit="1" customWidth="1"/>
    <col min="11" max="12" width="9.7265625" style="10" bestFit="1" customWidth="1"/>
    <col min="13" max="13" width="10" style="10" bestFit="1" customWidth="1"/>
    <col min="14" max="14" width="14.26953125" style="10" bestFit="1" customWidth="1"/>
    <col min="15" max="15" width="7.36328125" style="11" bestFit="1" customWidth="1"/>
    <col min="16" max="16" width="12" style="12" bestFit="1" customWidth="1"/>
    <col min="17" max="17" width="12.81640625" style="12" bestFit="1" customWidth="1"/>
    <col min="18" max="18" width="6.453125" style="13" bestFit="1" customWidth="1"/>
    <col min="19" max="19" width="39.453125" style="10" bestFit="1" customWidth="1"/>
    <col min="20" max="16384" width="9.36328125" style="10"/>
  </cols>
  <sheetData>
    <row r="1" spans="1:19" s="1" customFormat="1" ht="12" customHeight="1" x14ac:dyDescent="0.25">
      <c r="C1" s="2">
        <f>SUBTOTAL(9,C3:C1048576)</f>
        <v>189170881.57000008</v>
      </c>
      <c r="F1" s="2">
        <f>SUBTOTAL(9,F3:F1048576)</f>
        <v>44699874.030000031</v>
      </c>
      <c r="G1" s="2">
        <f>SUBTOTAL(9,G3:G1048576)</f>
        <v>9558476.0399999991</v>
      </c>
      <c r="H1" s="2">
        <f>SUBTOTAL(9,H3:H1048576)</f>
        <v>199026495.86999995</v>
      </c>
      <c r="J1" s="3"/>
      <c r="L1" s="3">
        <f>H1-M1</f>
        <v>44695540.779999942</v>
      </c>
      <c r="M1" s="2">
        <f>SUBTOTAL(9,M3:M1048576)</f>
        <v>154330955.09</v>
      </c>
      <c r="N1" s="3"/>
      <c r="O1" s="4"/>
      <c r="P1" s="2">
        <f>SUBTOTAL(9,P3:P1048576)</f>
        <v>6806551.0100000026</v>
      </c>
      <c r="Q1" s="2">
        <f>SUBTOTAL(9,Q3:Q1048576)</f>
        <v>147524404.08000007</v>
      </c>
      <c r="R1" s="5"/>
      <c r="S1" s="2"/>
    </row>
    <row r="2" spans="1:19" s="1" customFormat="1" ht="21" x14ac:dyDescent="0.25">
      <c r="A2" s="6"/>
      <c r="B2" s="7" t="s">
        <v>0</v>
      </c>
      <c r="C2" s="7" t="s">
        <v>5</v>
      </c>
      <c r="D2" s="7" t="s">
        <v>6</v>
      </c>
      <c r="E2" s="7" t="s">
        <v>7</v>
      </c>
      <c r="F2" s="7" t="s">
        <v>8</v>
      </c>
      <c r="G2" s="7" t="s">
        <v>1</v>
      </c>
      <c r="H2" s="7" t="s">
        <v>9</v>
      </c>
      <c r="I2" s="7" t="s">
        <v>10</v>
      </c>
      <c r="J2" s="7" t="s">
        <v>11</v>
      </c>
      <c r="K2" s="7" t="s">
        <v>470</v>
      </c>
      <c r="L2" s="7" t="s">
        <v>12</v>
      </c>
      <c r="M2" s="7" t="s">
        <v>13</v>
      </c>
      <c r="N2" s="7" t="s">
        <v>14</v>
      </c>
      <c r="O2" s="7" t="s">
        <v>15</v>
      </c>
      <c r="P2" s="8" t="s">
        <v>16</v>
      </c>
      <c r="Q2" s="8" t="s">
        <v>17</v>
      </c>
      <c r="R2" s="8" t="s">
        <v>179</v>
      </c>
      <c r="S2" s="8" t="s">
        <v>18</v>
      </c>
    </row>
    <row r="3" spans="1:19" ht="12" customHeight="1" x14ac:dyDescent="0.25">
      <c r="A3" s="14"/>
      <c r="B3" s="15">
        <v>19480</v>
      </c>
      <c r="C3" s="29">
        <v>119250</v>
      </c>
      <c r="D3" s="16">
        <v>45771</v>
      </c>
      <c r="E3" s="15" t="s">
        <v>2</v>
      </c>
      <c r="F3" s="29">
        <v>0</v>
      </c>
      <c r="G3" s="29">
        <v>0</v>
      </c>
      <c r="H3" s="29">
        <v>120631.67999999999</v>
      </c>
      <c r="I3" s="15">
        <v>4</v>
      </c>
      <c r="J3" s="15">
        <v>3</v>
      </c>
      <c r="K3" s="30">
        <v>1000000</v>
      </c>
      <c r="L3" s="17">
        <v>45778</v>
      </c>
      <c r="M3" s="18">
        <v>120632</v>
      </c>
      <c r="N3" s="16">
        <v>45777</v>
      </c>
      <c r="O3" s="19"/>
      <c r="P3" s="20">
        <v>1381.68</v>
      </c>
      <c r="Q3" s="29">
        <v>119250.32</v>
      </c>
      <c r="R3" s="9" t="s">
        <v>180</v>
      </c>
    </row>
    <row r="4" spans="1:19" ht="12" customHeight="1" x14ac:dyDescent="0.25">
      <c r="A4" s="14"/>
      <c r="B4" s="15">
        <v>19481</v>
      </c>
      <c r="C4" s="29">
        <v>137696.4</v>
      </c>
      <c r="D4" s="16">
        <v>45771</v>
      </c>
      <c r="E4" s="15" t="s">
        <v>2</v>
      </c>
      <c r="F4" s="29">
        <v>0</v>
      </c>
      <c r="G4" s="29">
        <v>0</v>
      </c>
      <c r="H4" s="29">
        <v>140097.60000000001</v>
      </c>
      <c r="I4" s="15">
        <v>10</v>
      </c>
      <c r="J4" s="15">
        <v>3</v>
      </c>
      <c r="K4" s="30">
        <v>1000000</v>
      </c>
      <c r="L4" s="17">
        <v>45782</v>
      </c>
      <c r="M4" s="18">
        <v>140098</v>
      </c>
      <c r="N4" s="16">
        <v>45781</v>
      </c>
      <c r="O4" s="19"/>
      <c r="P4" s="20">
        <v>2401.21</v>
      </c>
      <c r="Q4" s="29">
        <v>137696.79</v>
      </c>
      <c r="R4" s="9" t="s">
        <v>180</v>
      </c>
    </row>
    <row r="5" spans="1:19" ht="12" customHeight="1" x14ac:dyDescent="0.25">
      <c r="A5" s="14"/>
      <c r="B5" s="15">
        <v>19485</v>
      </c>
      <c r="C5" s="29">
        <v>308000</v>
      </c>
      <c r="D5" s="16">
        <v>45775</v>
      </c>
      <c r="E5" s="15" t="s">
        <v>2</v>
      </c>
      <c r="F5" s="29">
        <v>0</v>
      </c>
      <c r="G5" s="29">
        <v>0</v>
      </c>
      <c r="H5" s="29">
        <v>318582.58</v>
      </c>
      <c r="I5" s="15">
        <v>30</v>
      </c>
      <c r="J5" s="15">
        <v>2</v>
      </c>
      <c r="K5" s="30">
        <v>845000</v>
      </c>
      <c r="L5" s="17">
        <v>45805</v>
      </c>
      <c r="M5" s="18">
        <v>318565</v>
      </c>
      <c r="N5" s="16">
        <v>45805</v>
      </c>
      <c r="O5" s="19"/>
      <c r="P5" s="20">
        <v>10582</v>
      </c>
      <c r="Q5" s="29">
        <v>307983</v>
      </c>
      <c r="R5" s="9" t="s">
        <v>180</v>
      </c>
    </row>
    <row r="6" spans="1:19" ht="12" customHeight="1" x14ac:dyDescent="0.25">
      <c r="A6" s="14"/>
      <c r="B6" s="15">
        <v>19484</v>
      </c>
      <c r="C6" s="29">
        <v>132740</v>
      </c>
      <c r="D6" s="16">
        <v>45775</v>
      </c>
      <c r="E6" s="15" t="s">
        <v>2</v>
      </c>
      <c r="F6" s="29">
        <v>0</v>
      </c>
      <c r="G6" s="29">
        <v>0</v>
      </c>
      <c r="H6" s="29">
        <v>135040.65</v>
      </c>
      <c r="I6" s="15">
        <v>10</v>
      </c>
      <c r="J6" s="15">
        <v>2</v>
      </c>
      <c r="K6" s="30">
        <v>845000</v>
      </c>
      <c r="L6" s="17">
        <v>45785</v>
      </c>
      <c r="M6" s="18">
        <v>135040</v>
      </c>
      <c r="N6" s="16">
        <v>45787</v>
      </c>
      <c r="O6" s="19"/>
      <c r="P6" s="20">
        <v>2300.64</v>
      </c>
      <c r="Q6" s="29">
        <v>132739.35999999999</v>
      </c>
      <c r="R6" s="9" t="s">
        <v>180</v>
      </c>
    </row>
    <row r="7" spans="1:19" ht="12" customHeight="1" x14ac:dyDescent="0.25">
      <c r="A7" s="14"/>
      <c r="B7" s="15">
        <v>19488</v>
      </c>
      <c r="C7" s="29">
        <v>29937</v>
      </c>
      <c r="D7" s="16">
        <v>45775</v>
      </c>
      <c r="E7" s="15" t="s">
        <v>2</v>
      </c>
      <c r="F7" s="29">
        <v>0</v>
      </c>
      <c r="G7" s="29">
        <v>0</v>
      </c>
      <c r="H7" s="29">
        <v>30280.97</v>
      </c>
      <c r="I7" s="15">
        <v>4</v>
      </c>
      <c r="J7" s="15">
        <v>2</v>
      </c>
      <c r="K7" s="30">
        <v>845000</v>
      </c>
      <c r="L7" s="17">
        <v>45781</v>
      </c>
      <c r="M7" s="18">
        <v>30281</v>
      </c>
      <c r="N7" s="16">
        <v>45781</v>
      </c>
      <c r="O7" s="19"/>
      <c r="P7" s="20">
        <v>343.97</v>
      </c>
      <c r="Q7" s="29">
        <v>29937.03</v>
      </c>
      <c r="R7" s="9" t="s">
        <v>180</v>
      </c>
    </row>
    <row r="8" spans="1:19" ht="12" customHeight="1" x14ac:dyDescent="0.25">
      <c r="A8" s="14"/>
      <c r="B8" s="15">
        <v>19503</v>
      </c>
      <c r="C8" s="29">
        <v>116580</v>
      </c>
      <c r="D8" s="16">
        <v>45781</v>
      </c>
      <c r="E8" s="15" t="s">
        <v>2</v>
      </c>
      <c r="F8" s="29">
        <v>0</v>
      </c>
      <c r="G8" s="29">
        <v>0</v>
      </c>
      <c r="H8" s="29">
        <v>117890.4</v>
      </c>
      <c r="I8" s="15">
        <v>4</v>
      </c>
      <c r="J8" s="15">
        <v>3</v>
      </c>
      <c r="K8" s="30">
        <v>1000000</v>
      </c>
      <c r="L8" s="17">
        <v>45785</v>
      </c>
      <c r="M8" s="18">
        <v>117890</v>
      </c>
      <c r="N8" s="16">
        <v>45787</v>
      </c>
      <c r="O8" s="19"/>
      <c r="P8" s="20">
        <v>1310.4000000000001</v>
      </c>
      <c r="Q8" s="29">
        <v>116579.6</v>
      </c>
      <c r="R8" s="9" t="s">
        <v>180</v>
      </c>
    </row>
    <row r="9" spans="1:19" ht="12" customHeight="1" x14ac:dyDescent="0.25">
      <c r="A9" s="14"/>
      <c r="B9" s="15">
        <v>19505</v>
      </c>
      <c r="C9" s="29">
        <v>117465</v>
      </c>
      <c r="D9" s="16">
        <v>45781</v>
      </c>
      <c r="E9" s="15" t="s">
        <v>2</v>
      </c>
      <c r="F9" s="29">
        <v>0</v>
      </c>
      <c r="G9" s="29">
        <v>0</v>
      </c>
      <c r="H9" s="29">
        <v>119486.69</v>
      </c>
      <c r="I9" s="15">
        <v>10</v>
      </c>
      <c r="J9" s="15">
        <v>5</v>
      </c>
      <c r="K9" s="30">
        <v>1600000</v>
      </c>
      <c r="L9" s="17">
        <v>45791</v>
      </c>
      <c r="M9" s="18">
        <v>119485</v>
      </c>
      <c r="N9" s="16">
        <v>45791</v>
      </c>
      <c r="O9" s="19"/>
      <c r="P9" s="20">
        <v>2021.66</v>
      </c>
      <c r="Q9" s="29">
        <v>117463.34</v>
      </c>
      <c r="R9" s="9" t="s">
        <v>180</v>
      </c>
    </row>
    <row r="10" spans="1:19" ht="12" customHeight="1" x14ac:dyDescent="0.25">
      <c r="A10" s="14"/>
      <c r="B10" s="15">
        <v>19504</v>
      </c>
      <c r="C10" s="29">
        <v>162675</v>
      </c>
      <c r="D10" s="16">
        <v>45781</v>
      </c>
      <c r="E10" s="15" t="s">
        <v>2</v>
      </c>
      <c r="F10" s="29">
        <v>0</v>
      </c>
      <c r="G10" s="29">
        <v>0</v>
      </c>
      <c r="H10" s="29">
        <v>165494.49</v>
      </c>
      <c r="I10" s="15">
        <v>10</v>
      </c>
      <c r="J10" s="15">
        <v>5</v>
      </c>
      <c r="K10" s="30">
        <v>1600000</v>
      </c>
      <c r="L10" s="17">
        <v>45791</v>
      </c>
      <c r="M10" s="18">
        <v>165498</v>
      </c>
      <c r="N10" s="16">
        <v>45792</v>
      </c>
      <c r="O10" s="19"/>
      <c r="P10" s="20">
        <v>2819.55</v>
      </c>
      <c r="Q10" s="29">
        <v>162678.45000000001</v>
      </c>
      <c r="R10" s="9" t="s">
        <v>180</v>
      </c>
    </row>
    <row r="11" spans="1:19" ht="12" customHeight="1" x14ac:dyDescent="0.25">
      <c r="A11" s="14"/>
      <c r="B11" s="15">
        <v>19507</v>
      </c>
      <c r="C11" s="29">
        <v>168017</v>
      </c>
      <c r="D11" s="16">
        <v>45782</v>
      </c>
      <c r="E11" s="15" t="s">
        <v>2</v>
      </c>
      <c r="F11" s="29">
        <v>0</v>
      </c>
      <c r="G11" s="29">
        <v>0</v>
      </c>
      <c r="H11" s="29">
        <v>170919.21</v>
      </c>
      <c r="I11" s="15">
        <v>10</v>
      </c>
      <c r="J11" s="15">
        <v>5</v>
      </c>
      <c r="K11" s="30">
        <v>1600000</v>
      </c>
      <c r="L11" s="17">
        <v>45792</v>
      </c>
      <c r="M11" s="18">
        <v>170918</v>
      </c>
      <c r="N11" s="16">
        <v>45795</v>
      </c>
      <c r="O11" s="19"/>
      <c r="P11" s="20">
        <v>2902.19</v>
      </c>
      <c r="Q11" s="29">
        <v>168015.81</v>
      </c>
      <c r="R11" s="9" t="s">
        <v>180</v>
      </c>
    </row>
    <row r="12" spans="1:19" ht="12" customHeight="1" x14ac:dyDescent="0.25">
      <c r="A12" s="14"/>
      <c r="B12" s="15">
        <v>19515</v>
      </c>
      <c r="C12" s="29">
        <v>115409</v>
      </c>
      <c r="D12" s="16">
        <v>45783</v>
      </c>
      <c r="E12" s="15" t="s">
        <v>2</v>
      </c>
      <c r="F12" s="29">
        <v>0</v>
      </c>
      <c r="G12" s="29">
        <v>0</v>
      </c>
      <c r="H12" s="29">
        <v>117405.8</v>
      </c>
      <c r="I12" s="15">
        <v>10</v>
      </c>
      <c r="J12" s="15">
        <v>5</v>
      </c>
      <c r="K12" s="30">
        <v>1600000</v>
      </c>
      <c r="L12" s="17">
        <v>45795</v>
      </c>
      <c r="M12" s="18">
        <v>117406</v>
      </c>
      <c r="N12" s="16">
        <v>45796</v>
      </c>
      <c r="O12" s="19"/>
      <c r="P12" s="20">
        <v>1996.81</v>
      </c>
      <c r="Q12" s="29">
        <v>115409.19</v>
      </c>
      <c r="R12" s="9" t="s">
        <v>180</v>
      </c>
    </row>
    <row r="13" spans="1:19" ht="12" customHeight="1" x14ac:dyDescent="0.25">
      <c r="A13" s="14"/>
      <c r="B13" s="15">
        <v>19518</v>
      </c>
      <c r="C13" s="29">
        <v>500000</v>
      </c>
      <c r="D13" s="16">
        <v>45784</v>
      </c>
      <c r="E13" s="15" t="s">
        <v>2</v>
      </c>
      <c r="F13" s="29">
        <v>0</v>
      </c>
      <c r="G13" s="29">
        <v>0</v>
      </c>
      <c r="H13" s="29">
        <v>508625</v>
      </c>
      <c r="I13" s="15">
        <v>10</v>
      </c>
      <c r="J13" s="15">
        <v>8</v>
      </c>
      <c r="K13" s="30">
        <v>3000000</v>
      </c>
      <c r="L13" s="17">
        <v>45795</v>
      </c>
      <c r="M13" s="18">
        <v>508625</v>
      </c>
      <c r="N13" s="16">
        <v>45795</v>
      </c>
      <c r="O13" s="19"/>
      <c r="P13" s="20">
        <v>8625</v>
      </c>
      <c r="Q13" s="29">
        <v>500000</v>
      </c>
      <c r="R13" s="9" t="s">
        <v>180</v>
      </c>
    </row>
    <row r="14" spans="1:19" ht="12" customHeight="1" x14ac:dyDescent="0.25">
      <c r="A14" s="14"/>
      <c r="B14" s="15">
        <v>19522</v>
      </c>
      <c r="C14" s="29">
        <v>216612</v>
      </c>
      <c r="D14" s="16">
        <v>45785</v>
      </c>
      <c r="E14" s="15" t="s">
        <v>2</v>
      </c>
      <c r="F14" s="29">
        <v>0</v>
      </c>
      <c r="G14" s="29">
        <v>0</v>
      </c>
      <c r="H14" s="29">
        <v>220297.60000000001</v>
      </c>
      <c r="I14" s="15">
        <v>10</v>
      </c>
      <c r="J14" s="15">
        <v>5</v>
      </c>
      <c r="K14" s="30">
        <v>1600000</v>
      </c>
      <c r="L14" s="17">
        <v>45795</v>
      </c>
      <c r="M14" s="18">
        <v>220298</v>
      </c>
      <c r="N14" s="16">
        <v>45795</v>
      </c>
      <c r="O14" s="19"/>
      <c r="P14" s="20">
        <v>3685.61</v>
      </c>
      <c r="Q14" s="29">
        <v>216612.39</v>
      </c>
      <c r="R14" s="9" t="s">
        <v>180</v>
      </c>
    </row>
    <row r="15" spans="1:19" ht="12" customHeight="1" x14ac:dyDescent="0.25">
      <c r="A15" s="14"/>
      <c r="B15" s="15">
        <v>19517</v>
      </c>
      <c r="C15" s="29">
        <v>369600</v>
      </c>
      <c r="D15" s="16">
        <v>45785</v>
      </c>
      <c r="E15" s="15" t="s">
        <v>2</v>
      </c>
      <c r="F15" s="29">
        <v>0</v>
      </c>
      <c r="G15" s="29">
        <v>0</v>
      </c>
      <c r="H15" s="29">
        <v>382334.4</v>
      </c>
      <c r="I15" s="15">
        <v>30</v>
      </c>
      <c r="J15" s="15">
        <v>6</v>
      </c>
      <c r="K15" s="30">
        <v>810000</v>
      </c>
      <c r="L15" s="17">
        <v>45819</v>
      </c>
      <c r="M15" s="18">
        <v>382335</v>
      </c>
      <c r="N15" s="16">
        <v>45824</v>
      </c>
      <c r="O15" s="19"/>
      <c r="P15" s="20">
        <v>12734.42</v>
      </c>
      <c r="Q15" s="29">
        <v>369600.58</v>
      </c>
      <c r="R15" s="9" t="s">
        <v>180</v>
      </c>
    </row>
    <row r="16" spans="1:19" ht="12" customHeight="1" x14ac:dyDescent="0.25">
      <c r="A16" s="14"/>
      <c r="B16" s="15">
        <v>19537</v>
      </c>
      <c r="C16" s="29">
        <v>500000</v>
      </c>
      <c r="D16" s="16">
        <v>45788</v>
      </c>
      <c r="E16" s="15" t="s">
        <v>2</v>
      </c>
      <c r="F16" s="29">
        <v>0</v>
      </c>
      <c r="G16" s="29">
        <v>0</v>
      </c>
      <c r="H16" s="29">
        <v>508625</v>
      </c>
      <c r="I16" s="15">
        <v>10</v>
      </c>
      <c r="J16" s="15">
        <v>8</v>
      </c>
      <c r="K16" s="30">
        <v>3000000</v>
      </c>
      <c r="L16" s="17">
        <v>45798</v>
      </c>
      <c r="M16" s="18">
        <v>508625</v>
      </c>
      <c r="N16" s="16">
        <v>45799</v>
      </c>
      <c r="O16" s="19"/>
      <c r="P16" s="20">
        <v>8625</v>
      </c>
      <c r="Q16" s="29">
        <v>500000</v>
      </c>
      <c r="R16" s="9" t="s">
        <v>180</v>
      </c>
    </row>
    <row r="17" spans="1:18" ht="12" customHeight="1" x14ac:dyDescent="0.25">
      <c r="A17" s="14"/>
      <c r="B17" s="15">
        <v>19532</v>
      </c>
      <c r="C17" s="29">
        <v>70461</v>
      </c>
      <c r="D17" s="16">
        <v>45788</v>
      </c>
      <c r="E17" s="15" t="s">
        <v>2</v>
      </c>
      <c r="F17" s="29">
        <v>0</v>
      </c>
      <c r="G17" s="29">
        <v>0</v>
      </c>
      <c r="H17" s="29">
        <v>71677.789999999994</v>
      </c>
      <c r="I17" s="15">
        <v>10</v>
      </c>
      <c r="J17" s="15">
        <v>10</v>
      </c>
      <c r="K17" s="30">
        <v>403000</v>
      </c>
      <c r="L17" s="17">
        <v>45798</v>
      </c>
      <c r="M17" s="18">
        <v>71678</v>
      </c>
      <c r="N17" s="16">
        <v>45799</v>
      </c>
      <c r="O17" s="19"/>
      <c r="P17" s="20">
        <v>1216.79</v>
      </c>
      <c r="Q17" s="29">
        <v>70461.210000000006</v>
      </c>
      <c r="R17" s="9" t="s">
        <v>180</v>
      </c>
    </row>
    <row r="18" spans="1:18" ht="12" customHeight="1" x14ac:dyDescent="0.25">
      <c r="A18" s="14"/>
      <c r="B18" s="15">
        <v>19533</v>
      </c>
      <c r="C18" s="29">
        <v>642720</v>
      </c>
      <c r="D18" s="16">
        <v>45788</v>
      </c>
      <c r="E18" s="15" t="s">
        <v>2</v>
      </c>
      <c r="F18" s="29">
        <v>0</v>
      </c>
      <c r="G18" s="29">
        <v>0</v>
      </c>
      <c r="H18" s="29">
        <v>653827.19999999995</v>
      </c>
      <c r="I18" s="15">
        <v>10</v>
      </c>
      <c r="J18" s="15">
        <v>9</v>
      </c>
      <c r="K18" s="30">
        <v>2000000</v>
      </c>
      <c r="L18" s="17">
        <v>45798</v>
      </c>
      <c r="M18" s="18">
        <v>653827</v>
      </c>
      <c r="N18" s="16">
        <v>45802</v>
      </c>
      <c r="O18" s="19"/>
      <c r="P18" s="20">
        <v>11107.2</v>
      </c>
      <c r="Q18" s="29">
        <v>642719.80000000005</v>
      </c>
      <c r="R18" s="9" t="s">
        <v>180</v>
      </c>
    </row>
    <row r="19" spans="1:18" ht="12" customHeight="1" x14ac:dyDescent="0.25">
      <c r="A19" s="14"/>
      <c r="B19" s="15">
        <v>19549</v>
      </c>
      <c r="C19" s="29">
        <v>490000</v>
      </c>
      <c r="D19" s="16">
        <v>45789</v>
      </c>
      <c r="E19" s="15" t="s">
        <v>2</v>
      </c>
      <c r="F19" s="29">
        <v>0</v>
      </c>
      <c r="G19" s="29">
        <v>0</v>
      </c>
      <c r="H19" s="29">
        <v>515287</v>
      </c>
      <c r="I19" s="15">
        <v>40</v>
      </c>
      <c r="J19" s="15">
        <v>4</v>
      </c>
      <c r="K19" s="30">
        <v>500000</v>
      </c>
      <c r="L19" s="17">
        <v>45830</v>
      </c>
      <c r="M19" s="18">
        <v>515287</v>
      </c>
      <c r="N19" s="16">
        <v>45884</v>
      </c>
      <c r="O19" s="19"/>
      <c r="P19" s="20">
        <v>25287</v>
      </c>
      <c r="Q19" s="29">
        <v>490000</v>
      </c>
      <c r="R19" s="9" t="s">
        <v>180</v>
      </c>
    </row>
    <row r="20" spans="1:18" ht="12" customHeight="1" x14ac:dyDescent="0.25">
      <c r="A20" s="14"/>
      <c r="B20" s="15">
        <v>19546</v>
      </c>
      <c r="C20" s="29">
        <v>121984</v>
      </c>
      <c r="D20" s="16">
        <v>45790</v>
      </c>
      <c r="E20" s="15" t="s">
        <v>2</v>
      </c>
      <c r="F20" s="29">
        <v>0</v>
      </c>
      <c r="G20" s="29">
        <v>0</v>
      </c>
      <c r="H20" s="29">
        <v>124098.64</v>
      </c>
      <c r="I20" s="15">
        <v>10</v>
      </c>
      <c r="J20" s="15">
        <v>13</v>
      </c>
      <c r="K20" s="30">
        <v>1260000</v>
      </c>
      <c r="L20" s="17">
        <v>45802</v>
      </c>
      <c r="M20" s="18">
        <v>124098</v>
      </c>
      <c r="N20" s="16">
        <v>45799</v>
      </c>
      <c r="O20" s="19"/>
      <c r="P20" s="20">
        <v>2114.63</v>
      </c>
      <c r="Q20" s="29">
        <v>121983.37</v>
      </c>
      <c r="R20" s="9" t="s">
        <v>180</v>
      </c>
    </row>
    <row r="21" spans="1:18" ht="12" customHeight="1" x14ac:dyDescent="0.25">
      <c r="A21" s="14"/>
      <c r="B21" s="15">
        <v>19561</v>
      </c>
      <c r="C21" s="29">
        <v>500000</v>
      </c>
      <c r="D21" s="16">
        <v>45791</v>
      </c>
      <c r="E21" s="15" t="s">
        <v>2</v>
      </c>
      <c r="F21" s="29">
        <v>0</v>
      </c>
      <c r="G21" s="29">
        <v>0</v>
      </c>
      <c r="H21" s="29">
        <v>508600</v>
      </c>
      <c r="I21" s="15">
        <v>10</v>
      </c>
      <c r="J21" s="15">
        <v>8</v>
      </c>
      <c r="K21" s="30">
        <v>3000000</v>
      </c>
      <c r="L21" s="17">
        <v>45802</v>
      </c>
      <c r="M21" s="18">
        <v>508600</v>
      </c>
      <c r="N21" s="16">
        <v>45805</v>
      </c>
      <c r="O21" s="19"/>
      <c r="P21" s="20">
        <v>8600</v>
      </c>
      <c r="Q21" s="29">
        <v>500000</v>
      </c>
      <c r="R21" s="9" t="s">
        <v>180</v>
      </c>
    </row>
    <row r="22" spans="1:18" ht="12" customHeight="1" x14ac:dyDescent="0.25">
      <c r="A22" s="14"/>
      <c r="B22" s="15">
        <v>19560</v>
      </c>
      <c r="C22" s="29">
        <v>122130</v>
      </c>
      <c r="D22" s="16">
        <v>45791</v>
      </c>
      <c r="E22" s="15" t="s">
        <v>2</v>
      </c>
      <c r="F22" s="29">
        <v>0</v>
      </c>
      <c r="G22" s="29">
        <v>0</v>
      </c>
      <c r="H22" s="29">
        <v>126342</v>
      </c>
      <c r="I22" s="15">
        <v>30</v>
      </c>
      <c r="J22" s="15">
        <v>6</v>
      </c>
      <c r="K22" s="30">
        <v>810000</v>
      </c>
      <c r="L22" s="17">
        <v>45823</v>
      </c>
      <c r="M22" s="18">
        <v>126342</v>
      </c>
      <c r="N22" s="16">
        <v>45830</v>
      </c>
      <c r="O22" s="19"/>
      <c r="P22" s="20">
        <v>4212</v>
      </c>
      <c r="Q22" s="29">
        <v>122130</v>
      </c>
      <c r="R22" s="9" t="s">
        <v>180</v>
      </c>
    </row>
    <row r="23" spans="1:18" ht="12" customHeight="1" x14ac:dyDescent="0.25">
      <c r="A23" s="14"/>
      <c r="B23" s="15">
        <v>19562</v>
      </c>
      <c r="C23" s="29">
        <v>121984</v>
      </c>
      <c r="D23" s="16">
        <v>45791</v>
      </c>
      <c r="E23" s="15" t="s">
        <v>2</v>
      </c>
      <c r="F23" s="29">
        <v>0</v>
      </c>
      <c r="G23" s="29">
        <v>0</v>
      </c>
      <c r="H23" s="29">
        <v>124098.64</v>
      </c>
      <c r="I23" s="15">
        <v>10</v>
      </c>
      <c r="J23" s="15">
        <v>13</v>
      </c>
      <c r="K23" s="30">
        <v>1260000</v>
      </c>
      <c r="L23" s="17">
        <v>45802</v>
      </c>
      <c r="M23" s="18">
        <v>124098</v>
      </c>
      <c r="N23" s="16">
        <v>45803</v>
      </c>
      <c r="O23" s="19"/>
      <c r="P23" s="20">
        <v>2114.63</v>
      </c>
      <c r="Q23" s="29">
        <v>121983.37</v>
      </c>
      <c r="R23" s="9" t="s">
        <v>180</v>
      </c>
    </row>
    <row r="24" spans="1:18" ht="12" customHeight="1" x14ac:dyDescent="0.25">
      <c r="A24" s="14"/>
      <c r="B24" s="15">
        <v>19553</v>
      </c>
      <c r="C24" s="29">
        <v>598334</v>
      </c>
      <c r="D24" s="16">
        <v>45791</v>
      </c>
      <c r="E24" s="15" t="s">
        <v>2</v>
      </c>
      <c r="F24" s="29">
        <v>0</v>
      </c>
      <c r="G24" s="29">
        <v>0</v>
      </c>
      <c r="H24" s="29">
        <v>619272.52</v>
      </c>
      <c r="I24" s="15">
        <v>30</v>
      </c>
      <c r="J24" s="15">
        <v>14</v>
      </c>
      <c r="K24" s="30">
        <v>620000</v>
      </c>
      <c r="L24" s="17">
        <v>45823</v>
      </c>
      <c r="M24" s="18">
        <v>619272</v>
      </c>
      <c r="N24" s="16">
        <v>45826</v>
      </c>
      <c r="O24" s="19"/>
      <c r="P24" s="20">
        <v>20938.5</v>
      </c>
      <c r="Q24" s="29">
        <v>598333.5</v>
      </c>
      <c r="R24" s="9" t="s">
        <v>180</v>
      </c>
    </row>
    <row r="25" spans="1:18" ht="12" customHeight="1" x14ac:dyDescent="0.25">
      <c r="A25" s="14"/>
      <c r="B25" s="15">
        <v>19563</v>
      </c>
      <c r="C25" s="29">
        <v>102060</v>
      </c>
      <c r="D25" s="16">
        <v>45792</v>
      </c>
      <c r="E25" s="15" t="s">
        <v>2</v>
      </c>
      <c r="F25" s="29">
        <v>0</v>
      </c>
      <c r="G25" s="29">
        <v>0</v>
      </c>
      <c r="H25" s="29">
        <v>104097</v>
      </c>
      <c r="I25" s="15">
        <v>15</v>
      </c>
      <c r="J25" s="15">
        <v>15</v>
      </c>
      <c r="K25" s="30">
        <v>2300000</v>
      </c>
      <c r="L25" s="17">
        <v>45809</v>
      </c>
      <c r="M25" s="18">
        <v>104097</v>
      </c>
      <c r="N25" s="16">
        <v>45809</v>
      </c>
      <c r="O25" s="19"/>
      <c r="P25" s="20">
        <v>2037</v>
      </c>
      <c r="Q25" s="29">
        <v>102060</v>
      </c>
      <c r="R25" s="9" t="s">
        <v>180</v>
      </c>
    </row>
    <row r="26" spans="1:18" ht="12" customHeight="1" x14ac:dyDescent="0.25">
      <c r="A26" s="14"/>
      <c r="B26" s="15">
        <v>19574</v>
      </c>
      <c r="C26" s="29">
        <v>164710</v>
      </c>
      <c r="D26" s="16">
        <v>45795</v>
      </c>
      <c r="E26" s="15" t="s">
        <v>2</v>
      </c>
      <c r="F26" s="29">
        <v>0</v>
      </c>
      <c r="G26" s="29">
        <v>0</v>
      </c>
      <c r="H26" s="29">
        <v>170391</v>
      </c>
      <c r="I26" s="15">
        <v>30</v>
      </c>
      <c r="J26" s="15">
        <v>5</v>
      </c>
      <c r="K26" s="30">
        <v>1600000</v>
      </c>
      <c r="L26" s="17">
        <v>45827</v>
      </c>
      <c r="M26" s="18">
        <v>170392</v>
      </c>
      <c r="N26" s="16">
        <v>45830</v>
      </c>
      <c r="O26" s="19"/>
      <c r="P26" s="20">
        <v>5681.03</v>
      </c>
      <c r="Q26" s="29">
        <v>164710.97</v>
      </c>
      <c r="R26" s="9" t="s">
        <v>180</v>
      </c>
    </row>
    <row r="27" spans="1:18" ht="12" customHeight="1" x14ac:dyDescent="0.25">
      <c r="A27" s="14"/>
      <c r="B27" s="15">
        <v>19575</v>
      </c>
      <c r="C27" s="29">
        <v>162708</v>
      </c>
      <c r="D27" s="16">
        <v>45795</v>
      </c>
      <c r="E27" s="15" t="s">
        <v>2</v>
      </c>
      <c r="F27" s="29">
        <v>0</v>
      </c>
      <c r="G27" s="29">
        <v>0</v>
      </c>
      <c r="H27" s="29">
        <v>165971.03</v>
      </c>
      <c r="I27" s="15">
        <v>15</v>
      </c>
      <c r="J27" s="15">
        <v>5</v>
      </c>
      <c r="K27" s="30">
        <v>1600000</v>
      </c>
      <c r="L27" s="17">
        <v>45811</v>
      </c>
      <c r="M27" s="18">
        <v>165972</v>
      </c>
      <c r="N27" s="16">
        <v>45812</v>
      </c>
      <c r="O27" s="19"/>
      <c r="P27" s="20">
        <v>3263.05</v>
      </c>
      <c r="Q27" s="29">
        <v>162708.95000000001</v>
      </c>
      <c r="R27" s="9" t="s">
        <v>180</v>
      </c>
    </row>
    <row r="28" spans="1:18" ht="12" customHeight="1" x14ac:dyDescent="0.25">
      <c r="A28" s="14"/>
      <c r="B28" s="15">
        <v>19573</v>
      </c>
      <c r="C28" s="29">
        <v>500000</v>
      </c>
      <c r="D28" s="16">
        <v>45795</v>
      </c>
      <c r="E28" s="15" t="s">
        <v>2</v>
      </c>
      <c r="F28" s="29">
        <v>0</v>
      </c>
      <c r="G28" s="29">
        <v>0</v>
      </c>
      <c r="H28" s="29">
        <v>535459.92000000004</v>
      </c>
      <c r="I28" s="15">
        <v>40</v>
      </c>
      <c r="J28" s="15">
        <v>8</v>
      </c>
      <c r="K28" s="30">
        <v>3000000</v>
      </c>
      <c r="L28" s="17">
        <v>45837</v>
      </c>
      <c r="M28" s="18">
        <v>535459.92000000004</v>
      </c>
      <c r="N28" s="16">
        <v>45858</v>
      </c>
      <c r="O28" s="19"/>
      <c r="P28" s="20">
        <v>35459.919999999998</v>
      </c>
      <c r="Q28" s="29">
        <v>500000</v>
      </c>
      <c r="R28" s="9" t="s">
        <v>180</v>
      </c>
    </row>
    <row r="29" spans="1:18" ht="12" customHeight="1" x14ac:dyDescent="0.25">
      <c r="A29" s="14"/>
      <c r="B29" s="15">
        <v>19571</v>
      </c>
      <c r="C29" s="29">
        <v>733559</v>
      </c>
      <c r="D29" s="16">
        <v>45795</v>
      </c>
      <c r="E29" s="15" t="s">
        <v>2</v>
      </c>
      <c r="F29" s="29">
        <v>0</v>
      </c>
      <c r="G29" s="29">
        <v>0</v>
      </c>
      <c r="H29" s="29">
        <v>780221.56</v>
      </c>
      <c r="I29" s="15">
        <v>40</v>
      </c>
      <c r="J29" s="15">
        <v>9</v>
      </c>
      <c r="K29" s="30">
        <v>2000000</v>
      </c>
      <c r="L29" s="17">
        <v>45840</v>
      </c>
      <c r="M29" s="18">
        <v>780222.04</v>
      </c>
      <c r="N29" s="16">
        <v>45841</v>
      </c>
      <c r="O29" s="19"/>
      <c r="P29" s="20">
        <v>46662.59</v>
      </c>
      <c r="Q29" s="29">
        <v>733559.45</v>
      </c>
      <c r="R29" s="9" t="s">
        <v>180</v>
      </c>
    </row>
    <row r="30" spans="1:18" ht="12" customHeight="1" x14ac:dyDescent="0.25">
      <c r="A30" s="14"/>
      <c r="B30" s="15">
        <v>19591</v>
      </c>
      <c r="C30" s="29">
        <v>290385</v>
      </c>
      <c r="D30" s="16">
        <v>45796</v>
      </c>
      <c r="E30" s="15" t="s">
        <v>2</v>
      </c>
      <c r="F30" s="29">
        <v>0</v>
      </c>
      <c r="G30" s="29">
        <v>0</v>
      </c>
      <c r="H30" s="29">
        <v>300373.14</v>
      </c>
      <c r="I30" s="15">
        <v>30</v>
      </c>
      <c r="J30" s="15">
        <v>6</v>
      </c>
      <c r="K30" s="30">
        <v>810000</v>
      </c>
      <c r="L30" s="17">
        <v>45826</v>
      </c>
      <c r="M30" s="18">
        <v>300373</v>
      </c>
      <c r="N30" s="16">
        <v>45845</v>
      </c>
      <c r="O30" s="19"/>
      <c r="P30" s="20">
        <v>9988.1299999999992</v>
      </c>
      <c r="Q30" s="29">
        <v>290384.87</v>
      </c>
      <c r="R30" s="9" t="s">
        <v>180</v>
      </c>
    </row>
    <row r="31" spans="1:18" ht="12" customHeight="1" x14ac:dyDescent="0.25">
      <c r="A31" s="14"/>
      <c r="B31" s="15">
        <v>19580</v>
      </c>
      <c r="C31" s="29">
        <v>162677</v>
      </c>
      <c r="D31" s="16">
        <v>45796</v>
      </c>
      <c r="E31" s="15" t="s">
        <v>2</v>
      </c>
      <c r="F31" s="29">
        <v>0</v>
      </c>
      <c r="G31" s="29">
        <v>0</v>
      </c>
      <c r="H31" s="29">
        <v>165464.84</v>
      </c>
      <c r="I31" s="15">
        <v>10</v>
      </c>
      <c r="J31" s="15">
        <v>13</v>
      </c>
      <c r="K31" s="30">
        <v>1260000</v>
      </c>
      <c r="L31" s="17">
        <v>45809</v>
      </c>
      <c r="M31" s="18">
        <v>165455</v>
      </c>
      <c r="N31" s="16">
        <v>45810</v>
      </c>
      <c r="O31" s="19"/>
      <c r="P31" s="20">
        <v>2787.68</v>
      </c>
      <c r="Q31" s="29">
        <v>162667.32</v>
      </c>
      <c r="R31" s="9" t="s">
        <v>180</v>
      </c>
    </row>
    <row r="32" spans="1:18" ht="12" customHeight="1" x14ac:dyDescent="0.25">
      <c r="A32" s="14"/>
      <c r="B32" s="15">
        <v>19578</v>
      </c>
      <c r="C32" s="29">
        <v>181764</v>
      </c>
      <c r="D32" s="16">
        <v>45797</v>
      </c>
      <c r="E32" s="15" t="s">
        <v>2</v>
      </c>
      <c r="F32" s="29">
        <v>0</v>
      </c>
      <c r="G32" s="29">
        <v>0</v>
      </c>
      <c r="H32" s="29">
        <v>185400</v>
      </c>
      <c r="I32" s="15">
        <v>15</v>
      </c>
      <c r="J32" s="15">
        <v>5</v>
      </c>
      <c r="K32" s="30">
        <v>1600000</v>
      </c>
      <c r="L32" s="17">
        <v>45812</v>
      </c>
      <c r="M32" s="18">
        <v>185400</v>
      </c>
      <c r="N32" s="16">
        <v>45812</v>
      </c>
      <c r="O32" s="19"/>
      <c r="P32" s="20">
        <v>3636</v>
      </c>
      <c r="Q32" s="29">
        <v>181764</v>
      </c>
      <c r="R32" s="9" t="s">
        <v>180</v>
      </c>
    </row>
    <row r="33" spans="1:18" ht="12" customHeight="1" x14ac:dyDescent="0.25">
      <c r="A33" s="14"/>
      <c r="B33" s="15">
        <v>19582</v>
      </c>
      <c r="C33" s="29">
        <v>500000</v>
      </c>
      <c r="D33" s="16">
        <v>45797</v>
      </c>
      <c r="E33" s="15" t="s">
        <v>2</v>
      </c>
      <c r="F33" s="29">
        <v>0</v>
      </c>
      <c r="G33" s="29">
        <v>0</v>
      </c>
      <c r="H33" s="29">
        <v>535718</v>
      </c>
      <c r="I33" s="15">
        <v>40</v>
      </c>
      <c r="J33" s="15">
        <v>8</v>
      </c>
      <c r="K33" s="30">
        <v>3000000</v>
      </c>
      <c r="L33" s="17">
        <v>45840</v>
      </c>
      <c r="M33" s="18">
        <v>535718</v>
      </c>
      <c r="N33" s="16">
        <v>45858</v>
      </c>
      <c r="O33" s="19"/>
      <c r="P33" s="20">
        <v>35718</v>
      </c>
      <c r="Q33" s="29">
        <v>500000</v>
      </c>
      <c r="R33" s="9" t="s">
        <v>180</v>
      </c>
    </row>
    <row r="34" spans="1:18" ht="12" customHeight="1" x14ac:dyDescent="0.25">
      <c r="A34" s="14"/>
      <c r="B34" s="15">
        <v>19586</v>
      </c>
      <c r="C34" s="29">
        <v>169248</v>
      </c>
      <c r="D34" s="16">
        <v>45798</v>
      </c>
      <c r="E34" s="15" t="s">
        <v>2</v>
      </c>
      <c r="F34" s="29">
        <v>0</v>
      </c>
      <c r="G34" s="29">
        <v>0</v>
      </c>
      <c r="H34" s="29">
        <v>171200</v>
      </c>
      <c r="I34" s="15">
        <v>4</v>
      </c>
      <c r="J34" s="15">
        <v>3</v>
      </c>
      <c r="K34" s="30">
        <v>1000000</v>
      </c>
      <c r="L34" s="17">
        <v>45802</v>
      </c>
      <c r="M34" s="18">
        <v>171200</v>
      </c>
      <c r="N34" s="16">
        <v>45804</v>
      </c>
      <c r="O34" s="19"/>
      <c r="P34" s="20">
        <v>1952</v>
      </c>
      <c r="Q34" s="29">
        <v>169248</v>
      </c>
      <c r="R34" s="9" t="s">
        <v>180</v>
      </c>
    </row>
    <row r="35" spans="1:18" ht="12" customHeight="1" x14ac:dyDescent="0.25">
      <c r="A35" s="14"/>
      <c r="B35" s="15">
        <v>19599</v>
      </c>
      <c r="C35" s="29">
        <v>162677</v>
      </c>
      <c r="D35" s="16">
        <v>45802</v>
      </c>
      <c r="E35" s="15" t="s">
        <v>2</v>
      </c>
      <c r="F35" s="29">
        <v>0</v>
      </c>
      <c r="G35" s="29">
        <v>0</v>
      </c>
      <c r="H35" s="29">
        <v>165940.04</v>
      </c>
      <c r="I35" s="15">
        <v>15</v>
      </c>
      <c r="J35" s="15">
        <v>5</v>
      </c>
      <c r="K35" s="30">
        <v>1600000</v>
      </c>
      <c r="L35" s="17">
        <v>45818</v>
      </c>
      <c r="M35" s="18">
        <v>165940</v>
      </c>
      <c r="N35" s="16">
        <v>45820</v>
      </c>
      <c r="O35" s="19"/>
      <c r="P35" s="20">
        <v>3263.04</v>
      </c>
      <c r="Q35" s="29">
        <v>162676.96</v>
      </c>
      <c r="R35" s="9" t="s">
        <v>180</v>
      </c>
    </row>
    <row r="36" spans="1:18" ht="12" customHeight="1" x14ac:dyDescent="0.25">
      <c r="A36" s="14"/>
      <c r="B36" s="15">
        <v>19592</v>
      </c>
      <c r="C36" s="29">
        <v>500000</v>
      </c>
      <c r="D36" s="16">
        <v>45802</v>
      </c>
      <c r="E36" s="15" t="s">
        <v>2</v>
      </c>
      <c r="F36" s="29">
        <v>0</v>
      </c>
      <c r="G36" s="29">
        <v>0</v>
      </c>
      <c r="H36" s="29">
        <v>527665</v>
      </c>
      <c r="I36" s="15">
        <v>34</v>
      </c>
      <c r="J36" s="15">
        <v>8</v>
      </c>
      <c r="K36" s="30">
        <v>3000000</v>
      </c>
      <c r="L36" s="17">
        <v>45837</v>
      </c>
      <c r="M36" s="18">
        <v>527665</v>
      </c>
      <c r="N36" s="16">
        <v>45847</v>
      </c>
      <c r="O36" s="19"/>
      <c r="P36" s="20">
        <v>27665</v>
      </c>
      <c r="Q36" s="29">
        <v>500000</v>
      </c>
      <c r="R36" s="9" t="s">
        <v>180</v>
      </c>
    </row>
    <row r="37" spans="1:18" ht="12" customHeight="1" x14ac:dyDescent="0.25">
      <c r="A37" s="14"/>
      <c r="B37" s="15">
        <v>19594</v>
      </c>
      <c r="C37" s="29">
        <v>693504</v>
      </c>
      <c r="D37" s="16">
        <v>45802</v>
      </c>
      <c r="E37" s="15" t="s">
        <v>2</v>
      </c>
      <c r="F37" s="29">
        <v>0</v>
      </c>
      <c r="G37" s="29">
        <v>0</v>
      </c>
      <c r="H37" s="29">
        <v>742605.6</v>
      </c>
      <c r="I37" s="15">
        <v>40</v>
      </c>
      <c r="J37" s="15">
        <v>9</v>
      </c>
      <c r="K37" s="30">
        <v>2000000</v>
      </c>
      <c r="L37" s="17">
        <v>45844</v>
      </c>
      <c r="M37" s="18">
        <v>742606</v>
      </c>
      <c r="N37" s="16">
        <v>45845</v>
      </c>
      <c r="O37" s="19"/>
      <c r="P37" s="20">
        <v>49101.63</v>
      </c>
      <c r="Q37" s="29">
        <v>693504.37</v>
      </c>
      <c r="R37" s="9" t="s">
        <v>180</v>
      </c>
    </row>
    <row r="38" spans="1:18" ht="12" customHeight="1" x14ac:dyDescent="0.25">
      <c r="A38" s="14"/>
      <c r="B38" s="15">
        <v>19596</v>
      </c>
      <c r="C38" s="29">
        <v>182760</v>
      </c>
      <c r="D38" s="16">
        <v>45802</v>
      </c>
      <c r="E38" s="15" t="s">
        <v>2</v>
      </c>
      <c r="F38" s="29">
        <v>0</v>
      </c>
      <c r="G38" s="29">
        <v>0</v>
      </c>
      <c r="H38" s="29">
        <v>189050</v>
      </c>
      <c r="I38" s="15">
        <v>30</v>
      </c>
      <c r="J38" s="15">
        <v>16</v>
      </c>
      <c r="K38" s="30">
        <v>364000</v>
      </c>
      <c r="L38" s="17">
        <v>45832</v>
      </c>
      <c r="M38" s="18">
        <v>189050</v>
      </c>
      <c r="N38" s="16">
        <v>45838</v>
      </c>
      <c r="O38" s="19"/>
      <c r="P38" s="20">
        <v>6290</v>
      </c>
      <c r="Q38" s="29">
        <v>182760</v>
      </c>
      <c r="R38" s="9" t="s">
        <v>180</v>
      </c>
    </row>
    <row r="39" spans="1:18" ht="12" customHeight="1" x14ac:dyDescent="0.25">
      <c r="A39" s="14"/>
      <c r="B39" s="15">
        <v>19602</v>
      </c>
      <c r="C39" s="29">
        <v>222094</v>
      </c>
      <c r="D39" s="16">
        <v>45803</v>
      </c>
      <c r="E39" s="15" t="s">
        <v>2</v>
      </c>
      <c r="F39" s="29">
        <v>0</v>
      </c>
      <c r="G39" s="29">
        <v>0</v>
      </c>
      <c r="H39" s="29">
        <v>229731.76</v>
      </c>
      <c r="I39" s="15">
        <v>30</v>
      </c>
      <c r="J39" s="15">
        <v>13</v>
      </c>
      <c r="K39" s="30">
        <v>1260000</v>
      </c>
      <c r="L39" s="17">
        <v>45834</v>
      </c>
      <c r="M39" s="18">
        <v>229732</v>
      </c>
      <c r="N39" s="16">
        <v>45837</v>
      </c>
      <c r="O39" s="19"/>
      <c r="P39" s="20">
        <v>7637.77</v>
      </c>
      <c r="Q39" s="29">
        <v>222094.23</v>
      </c>
      <c r="R39" s="9" t="s">
        <v>180</v>
      </c>
    </row>
    <row r="40" spans="1:18" ht="12" customHeight="1" x14ac:dyDescent="0.25">
      <c r="A40" s="14"/>
      <c r="B40" s="15">
        <v>19597</v>
      </c>
      <c r="C40" s="29">
        <v>55440</v>
      </c>
      <c r="D40" s="16">
        <v>45803</v>
      </c>
      <c r="E40" s="15" t="s">
        <v>2</v>
      </c>
      <c r="F40" s="29">
        <v>0</v>
      </c>
      <c r="G40" s="29">
        <v>0</v>
      </c>
      <c r="H40" s="29">
        <v>57344</v>
      </c>
      <c r="I40" s="15">
        <v>30</v>
      </c>
      <c r="J40" s="15">
        <v>16</v>
      </c>
      <c r="K40" s="30">
        <v>364000</v>
      </c>
      <c r="L40" s="17">
        <v>45833</v>
      </c>
      <c r="M40" s="18">
        <v>57343</v>
      </c>
      <c r="N40" s="16">
        <v>45840</v>
      </c>
      <c r="O40" s="19"/>
      <c r="P40" s="20">
        <v>1903.97</v>
      </c>
      <c r="Q40" s="29">
        <v>55439.03</v>
      </c>
      <c r="R40" s="9" t="s">
        <v>180</v>
      </c>
    </row>
    <row r="41" spans="1:18" ht="12" customHeight="1" x14ac:dyDescent="0.25">
      <c r="A41" s="14"/>
      <c r="B41" s="15">
        <v>19606</v>
      </c>
      <c r="C41" s="29">
        <v>500000</v>
      </c>
      <c r="D41" s="16">
        <v>45804</v>
      </c>
      <c r="E41" s="15" t="s">
        <v>2</v>
      </c>
      <c r="F41" s="29">
        <v>0</v>
      </c>
      <c r="G41" s="29">
        <v>0</v>
      </c>
      <c r="H41" s="29">
        <v>526556</v>
      </c>
      <c r="I41" s="15">
        <v>30</v>
      </c>
      <c r="J41" s="15">
        <v>8</v>
      </c>
      <c r="K41" s="30">
        <v>3000000</v>
      </c>
      <c r="L41" s="17">
        <v>45837</v>
      </c>
      <c r="M41" s="18">
        <v>526556</v>
      </c>
      <c r="N41" s="16">
        <v>45846</v>
      </c>
      <c r="O41" s="19"/>
      <c r="P41" s="20">
        <v>26556</v>
      </c>
      <c r="Q41" s="29">
        <v>500000</v>
      </c>
      <c r="R41" s="9" t="s">
        <v>180</v>
      </c>
    </row>
    <row r="42" spans="1:18" ht="12" customHeight="1" x14ac:dyDescent="0.25">
      <c r="A42" s="14"/>
      <c r="B42" s="15">
        <v>19605</v>
      </c>
      <c r="C42" s="29">
        <v>115380</v>
      </c>
      <c r="D42" s="16">
        <v>45804</v>
      </c>
      <c r="E42" s="15" t="s">
        <v>2</v>
      </c>
      <c r="F42" s="29">
        <v>0</v>
      </c>
      <c r="G42" s="29">
        <v>0</v>
      </c>
      <c r="H42" s="29">
        <v>119345.04</v>
      </c>
      <c r="I42" s="15">
        <v>30</v>
      </c>
      <c r="J42" s="15">
        <v>10</v>
      </c>
      <c r="K42" s="30">
        <v>403000</v>
      </c>
      <c r="L42" s="17">
        <v>45834</v>
      </c>
      <c r="M42" s="18">
        <v>119345</v>
      </c>
      <c r="N42" s="16">
        <v>45835</v>
      </c>
      <c r="O42" s="19"/>
      <c r="P42" s="20">
        <v>3965.04</v>
      </c>
      <c r="Q42" s="29">
        <v>115379.96</v>
      </c>
      <c r="R42" s="9" t="s">
        <v>180</v>
      </c>
    </row>
    <row r="43" spans="1:18" ht="12" customHeight="1" x14ac:dyDescent="0.25">
      <c r="A43" s="14"/>
      <c r="B43" s="15">
        <v>19608</v>
      </c>
      <c r="C43" s="29">
        <v>169000</v>
      </c>
      <c r="D43" s="16">
        <v>45804</v>
      </c>
      <c r="E43" s="15" t="s">
        <v>2</v>
      </c>
      <c r="F43" s="29">
        <v>0</v>
      </c>
      <c r="G43" s="29">
        <v>0</v>
      </c>
      <c r="H43" s="29">
        <v>174915</v>
      </c>
      <c r="I43" s="15">
        <v>30</v>
      </c>
      <c r="J43" s="15">
        <v>17</v>
      </c>
      <c r="K43" s="30">
        <v>2400000</v>
      </c>
      <c r="L43" s="17">
        <v>45837</v>
      </c>
      <c r="M43" s="18">
        <v>174915</v>
      </c>
      <c r="N43" s="16">
        <v>45834</v>
      </c>
      <c r="O43" s="19"/>
      <c r="P43" s="20">
        <v>5915</v>
      </c>
      <c r="Q43" s="29">
        <v>169000</v>
      </c>
      <c r="R43" s="9" t="s">
        <v>180</v>
      </c>
    </row>
    <row r="44" spans="1:18" ht="12" customHeight="1" x14ac:dyDescent="0.25">
      <c r="A44" s="14"/>
      <c r="B44" s="15">
        <v>19611</v>
      </c>
      <c r="C44" s="29">
        <v>181800</v>
      </c>
      <c r="D44" s="16">
        <v>45805</v>
      </c>
      <c r="E44" s="15" t="s">
        <v>2</v>
      </c>
      <c r="F44" s="29">
        <v>0</v>
      </c>
      <c r="G44" s="29">
        <v>0</v>
      </c>
      <c r="H44" s="29">
        <v>185436</v>
      </c>
      <c r="I44" s="15">
        <v>15</v>
      </c>
      <c r="J44" s="15">
        <v>5</v>
      </c>
      <c r="K44" s="30">
        <v>1600000</v>
      </c>
      <c r="L44" s="17">
        <v>45823</v>
      </c>
      <c r="M44" s="18">
        <v>185436</v>
      </c>
      <c r="N44" s="16">
        <v>45823</v>
      </c>
      <c r="O44" s="19"/>
      <c r="P44" s="20">
        <v>3636</v>
      </c>
      <c r="Q44" s="29">
        <v>181800</v>
      </c>
      <c r="R44" s="9" t="s">
        <v>180</v>
      </c>
    </row>
    <row r="45" spans="1:18" ht="12" customHeight="1" x14ac:dyDescent="0.25">
      <c r="A45" s="14"/>
      <c r="B45" s="15">
        <v>19621</v>
      </c>
      <c r="C45" s="29">
        <v>72384</v>
      </c>
      <c r="D45" s="16">
        <v>45806</v>
      </c>
      <c r="E45" s="15" t="s">
        <v>2</v>
      </c>
      <c r="F45" s="29">
        <v>0</v>
      </c>
      <c r="G45" s="29">
        <v>0</v>
      </c>
      <c r="H45" s="29">
        <v>74913.279999999999</v>
      </c>
      <c r="I45" s="15">
        <v>30</v>
      </c>
      <c r="J45" s="15">
        <v>17</v>
      </c>
      <c r="K45" s="30">
        <v>2400000</v>
      </c>
      <c r="L45" s="17">
        <v>45840</v>
      </c>
      <c r="M45" s="18">
        <v>74913</v>
      </c>
      <c r="N45" s="16">
        <v>45838</v>
      </c>
      <c r="O45" s="19"/>
      <c r="P45" s="20">
        <v>2529.27</v>
      </c>
      <c r="Q45" s="29">
        <v>72383.73</v>
      </c>
      <c r="R45" s="9" t="s">
        <v>180</v>
      </c>
    </row>
    <row r="46" spans="1:18" ht="12" customHeight="1" x14ac:dyDescent="0.25">
      <c r="A46" s="14"/>
      <c r="B46" s="15">
        <v>19612</v>
      </c>
      <c r="C46" s="29">
        <v>499832</v>
      </c>
      <c r="D46" s="16">
        <v>45806</v>
      </c>
      <c r="E46" s="15" t="s">
        <v>2</v>
      </c>
      <c r="F46" s="29">
        <v>0</v>
      </c>
      <c r="G46" s="29">
        <v>0</v>
      </c>
      <c r="H46" s="29">
        <v>517651.39</v>
      </c>
      <c r="I46" s="15">
        <v>30</v>
      </c>
      <c r="J46" s="15">
        <v>12</v>
      </c>
      <c r="K46" s="30">
        <v>1196000</v>
      </c>
      <c r="L46" s="17">
        <v>45837</v>
      </c>
      <c r="M46" s="18">
        <v>517651</v>
      </c>
      <c r="N46" s="16">
        <v>45837</v>
      </c>
      <c r="O46" s="19"/>
      <c r="P46" s="20">
        <v>17819.37</v>
      </c>
      <c r="Q46" s="29">
        <v>499831.63</v>
      </c>
      <c r="R46" s="9" t="s">
        <v>180</v>
      </c>
    </row>
    <row r="47" spans="1:18" ht="12" customHeight="1" x14ac:dyDescent="0.25">
      <c r="A47" s="14"/>
      <c r="B47" s="15">
        <v>19632</v>
      </c>
      <c r="C47" s="29">
        <v>120879</v>
      </c>
      <c r="D47" s="16">
        <v>45810</v>
      </c>
      <c r="E47" s="15" t="s">
        <v>2</v>
      </c>
      <c r="F47" s="29">
        <v>0</v>
      </c>
      <c r="G47" s="29">
        <v>0</v>
      </c>
      <c r="H47" s="29">
        <v>122269.08</v>
      </c>
      <c r="I47" s="15">
        <v>4</v>
      </c>
      <c r="J47" s="15">
        <v>3</v>
      </c>
      <c r="K47" s="30">
        <v>1000000</v>
      </c>
      <c r="L47" s="17">
        <v>45816</v>
      </c>
      <c r="M47" s="18">
        <v>122270</v>
      </c>
      <c r="N47" s="16">
        <v>45817</v>
      </c>
      <c r="O47" s="19"/>
      <c r="P47" s="20">
        <v>1390.09</v>
      </c>
      <c r="Q47" s="29">
        <v>120879.91</v>
      </c>
      <c r="R47" s="9" t="s">
        <v>180</v>
      </c>
    </row>
    <row r="48" spans="1:18" ht="12" customHeight="1" x14ac:dyDescent="0.25">
      <c r="A48" s="14"/>
      <c r="B48" s="15">
        <v>19637</v>
      </c>
      <c r="C48" s="29">
        <v>83437</v>
      </c>
      <c r="D48" s="16">
        <v>45810</v>
      </c>
      <c r="E48" s="15" t="s">
        <v>2</v>
      </c>
      <c r="F48" s="29">
        <v>0</v>
      </c>
      <c r="G48" s="29">
        <v>0</v>
      </c>
      <c r="H48" s="29">
        <v>85100.2</v>
      </c>
      <c r="I48" s="15">
        <v>15</v>
      </c>
      <c r="J48" s="15">
        <v>18</v>
      </c>
      <c r="K48" s="30">
        <v>600000</v>
      </c>
      <c r="L48" s="17">
        <v>45825</v>
      </c>
      <c r="M48" s="18">
        <v>85100</v>
      </c>
      <c r="N48" s="16">
        <v>45826</v>
      </c>
      <c r="O48" s="19"/>
      <c r="P48" s="20">
        <v>1663.19</v>
      </c>
      <c r="Q48" s="29">
        <v>83436.81</v>
      </c>
      <c r="R48" s="9" t="s">
        <v>180</v>
      </c>
    </row>
    <row r="49" spans="1:18" ht="12" customHeight="1" x14ac:dyDescent="0.25">
      <c r="A49" s="14"/>
      <c r="B49" s="15">
        <v>19654</v>
      </c>
      <c r="C49" s="29">
        <v>108130</v>
      </c>
      <c r="D49" s="16">
        <v>45812</v>
      </c>
      <c r="E49" s="15" t="s">
        <v>2</v>
      </c>
      <c r="F49" s="29">
        <v>0</v>
      </c>
      <c r="G49" s="29">
        <v>0</v>
      </c>
      <c r="H49" s="29">
        <v>111908.33</v>
      </c>
      <c r="I49" s="15">
        <v>30</v>
      </c>
      <c r="J49" s="15">
        <v>17</v>
      </c>
      <c r="K49" s="30">
        <v>2400000</v>
      </c>
      <c r="L49" s="17">
        <v>45844</v>
      </c>
      <c r="M49" s="18">
        <v>111908</v>
      </c>
      <c r="N49" s="16">
        <v>45844</v>
      </c>
      <c r="O49" s="19"/>
      <c r="P49" s="20">
        <v>3778.31</v>
      </c>
      <c r="Q49" s="29">
        <v>108129.69</v>
      </c>
      <c r="R49" s="9" t="s">
        <v>180</v>
      </c>
    </row>
    <row r="50" spans="1:18" ht="12" customHeight="1" x14ac:dyDescent="0.25">
      <c r="A50" s="14"/>
      <c r="B50" s="15">
        <v>19641</v>
      </c>
      <c r="C50" s="29">
        <v>48325</v>
      </c>
      <c r="D50" s="16">
        <v>45812</v>
      </c>
      <c r="E50" s="15" t="s">
        <v>2</v>
      </c>
      <c r="F50" s="29">
        <v>0</v>
      </c>
      <c r="G50" s="29">
        <v>0</v>
      </c>
      <c r="H50" s="29">
        <v>49986.7</v>
      </c>
      <c r="I50" s="15">
        <v>30</v>
      </c>
      <c r="J50" s="15">
        <v>22</v>
      </c>
      <c r="K50" s="30">
        <v>200000</v>
      </c>
      <c r="L50" s="17">
        <v>45844</v>
      </c>
      <c r="M50" s="18">
        <v>49986</v>
      </c>
      <c r="N50" s="16">
        <v>45839</v>
      </c>
      <c r="O50" s="19"/>
      <c r="P50" s="20">
        <v>1661.68</v>
      </c>
      <c r="Q50" s="29">
        <v>48324.32</v>
      </c>
      <c r="R50" s="9" t="s">
        <v>180</v>
      </c>
    </row>
    <row r="51" spans="1:18" ht="12" customHeight="1" x14ac:dyDescent="0.25">
      <c r="A51" s="14"/>
      <c r="B51" s="15">
        <v>19653</v>
      </c>
      <c r="C51" s="29">
        <v>234738</v>
      </c>
      <c r="D51" s="16">
        <v>45812</v>
      </c>
      <c r="E51" s="15" t="s">
        <v>2</v>
      </c>
      <c r="F51" s="29">
        <v>0</v>
      </c>
      <c r="G51" s="29">
        <v>0</v>
      </c>
      <c r="H51" s="29">
        <v>242827.2</v>
      </c>
      <c r="I51" s="15">
        <v>30</v>
      </c>
      <c r="J51" s="15">
        <v>20</v>
      </c>
      <c r="K51" s="30">
        <v>686000</v>
      </c>
      <c r="L51" s="17">
        <v>45844</v>
      </c>
      <c r="M51" s="18">
        <v>242827</v>
      </c>
      <c r="N51" s="16">
        <v>45851</v>
      </c>
      <c r="O51" s="19"/>
      <c r="P51" s="20">
        <v>8089.19</v>
      </c>
      <c r="Q51" s="29">
        <v>234737.81</v>
      </c>
      <c r="R51" s="9" t="s">
        <v>180</v>
      </c>
    </row>
    <row r="52" spans="1:18" ht="12" customHeight="1" x14ac:dyDescent="0.25">
      <c r="A52" s="14"/>
      <c r="B52" s="15">
        <v>19657</v>
      </c>
      <c r="C52" s="29">
        <v>131934</v>
      </c>
      <c r="D52" s="16">
        <v>45820</v>
      </c>
      <c r="E52" s="15" t="s">
        <v>2</v>
      </c>
      <c r="F52" s="29">
        <v>0</v>
      </c>
      <c r="G52" s="29">
        <v>0</v>
      </c>
      <c r="H52" s="29">
        <v>136484.85999999999</v>
      </c>
      <c r="I52" s="15">
        <v>30</v>
      </c>
      <c r="J52" s="15">
        <v>21</v>
      </c>
      <c r="K52" s="30">
        <v>140000</v>
      </c>
      <c r="L52" s="17">
        <v>45851</v>
      </c>
      <c r="M52" s="18">
        <v>136484.6</v>
      </c>
      <c r="N52" s="16">
        <v>45852</v>
      </c>
      <c r="O52" s="19"/>
      <c r="P52" s="20">
        <v>4550.8500000000004</v>
      </c>
      <c r="Q52" s="29">
        <v>131933.75</v>
      </c>
      <c r="R52" s="9" t="s">
        <v>180</v>
      </c>
    </row>
    <row r="53" spans="1:18" ht="12" customHeight="1" x14ac:dyDescent="0.25">
      <c r="A53" s="14"/>
      <c r="B53" s="15">
        <v>19679</v>
      </c>
      <c r="C53" s="29">
        <v>435456</v>
      </c>
      <c r="D53" s="16">
        <v>45824</v>
      </c>
      <c r="E53" s="15" t="s">
        <v>2</v>
      </c>
      <c r="F53" s="29">
        <v>0</v>
      </c>
      <c r="G53" s="29">
        <v>0</v>
      </c>
      <c r="H53" s="29">
        <v>444149.28</v>
      </c>
      <c r="I53" s="15">
        <v>15</v>
      </c>
      <c r="J53" s="15">
        <v>5</v>
      </c>
      <c r="K53" s="30">
        <v>1600000</v>
      </c>
      <c r="L53" s="17">
        <v>45839</v>
      </c>
      <c r="M53" s="18">
        <v>444149</v>
      </c>
      <c r="N53" s="16">
        <v>45839</v>
      </c>
      <c r="O53" s="19"/>
      <c r="P53" s="20">
        <v>8693.27</v>
      </c>
      <c r="Q53" s="29">
        <v>435455.73</v>
      </c>
      <c r="R53" s="9" t="s">
        <v>180</v>
      </c>
    </row>
    <row r="54" spans="1:18" ht="12" customHeight="1" x14ac:dyDescent="0.25">
      <c r="A54" s="14"/>
      <c r="B54" s="15">
        <v>19667</v>
      </c>
      <c r="C54" s="29">
        <v>598560</v>
      </c>
      <c r="D54" s="16">
        <v>45825</v>
      </c>
      <c r="E54" s="15" t="s">
        <v>2</v>
      </c>
      <c r="F54" s="29">
        <v>0</v>
      </c>
      <c r="G54" s="29">
        <v>0</v>
      </c>
      <c r="H54" s="29">
        <v>608884</v>
      </c>
      <c r="I54" s="15">
        <v>10</v>
      </c>
      <c r="J54" s="15">
        <v>9</v>
      </c>
      <c r="K54" s="30">
        <v>2000000</v>
      </c>
      <c r="L54" s="17">
        <v>45837</v>
      </c>
      <c r="M54" s="18">
        <v>608884</v>
      </c>
      <c r="N54" s="16">
        <v>45839</v>
      </c>
      <c r="O54" s="19"/>
      <c r="P54" s="20">
        <v>10324</v>
      </c>
      <c r="Q54" s="29">
        <v>598560</v>
      </c>
      <c r="R54" s="9" t="s">
        <v>180</v>
      </c>
    </row>
    <row r="55" spans="1:18" ht="12" customHeight="1" x14ac:dyDescent="0.25">
      <c r="A55" s="14"/>
      <c r="B55" s="15">
        <v>19689</v>
      </c>
      <c r="C55" s="29">
        <v>300000</v>
      </c>
      <c r="D55" s="16">
        <v>45826</v>
      </c>
      <c r="E55" s="15" t="s">
        <v>2</v>
      </c>
      <c r="F55" s="29">
        <v>0</v>
      </c>
      <c r="G55" s="29">
        <v>0</v>
      </c>
      <c r="H55" s="29">
        <v>310320</v>
      </c>
      <c r="I55" s="15">
        <v>30</v>
      </c>
      <c r="J55" s="15">
        <v>15</v>
      </c>
      <c r="K55" s="30">
        <v>2300000</v>
      </c>
      <c r="L55" s="17">
        <v>45858</v>
      </c>
      <c r="M55" s="18">
        <v>310321</v>
      </c>
      <c r="N55" s="16">
        <v>45858</v>
      </c>
      <c r="O55" s="19"/>
      <c r="P55" s="20">
        <v>10320.030000000001</v>
      </c>
      <c r="Q55" s="29">
        <v>300000.96999999997</v>
      </c>
      <c r="R55" s="9" t="s">
        <v>180</v>
      </c>
    </row>
    <row r="56" spans="1:18" ht="12" customHeight="1" x14ac:dyDescent="0.25">
      <c r="A56" s="14"/>
      <c r="B56" s="15">
        <v>19695</v>
      </c>
      <c r="C56" s="29">
        <v>118968</v>
      </c>
      <c r="D56" s="16">
        <v>45827</v>
      </c>
      <c r="E56" s="15" t="s">
        <v>2</v>
      </c>
      <c r="F56" s="29">
        <v>0</v>
      </c>
      <c r="G56" s="29">
        <v>0</v>
      </c>
      <c r="H56" s="29">
        <v>120328.11</v>
      </c>
      <c r="I56" s="15">
        <v>4</v>
      </c>
      <c r="J56" s="15">
        <v>3</v>
      </c>
      <c r="K56" s="30">
        <v>1000000</v>
      </c>
      <c r="L56" s="17">
        <v>45831</v>
      </c>
      <c r="M56" s="18">
        <v>120328</v>
      </c>
      <c r="N56" s="16">
        <v>45832</v>
      </c>
      <c r="O56" s="19"/>
      <c r="P56" s="20">
        <v>1360.11</v>
      </c>
      <c r="Q56" s="29">
        <v>118967.89</v>
      </c>
      <c r="R56" s="9" t="s">
        <v>180</v>
      </c>
    </row>
    <row r="57" spans="1:18" ht="12" customHeight="1" x14ac:dyDescent="0.25">
      <c r="A57" s="14"/>
      <c r="B57" s="15">
        <v>19697</v>
      </c>
      <c r="C57" s="29">
        <v>118976</v>
      </c>
      <c r="D57" s="16">
        <v>45827</v>
      </c>
      <c r="E57" s="15" t="s">
        <v>2</v>
      </c>
      <c r="F57" s="29">
        <v>0</v>
      </c>
      <c r="G57" s="29">
        <v>0</v>
      </c>
      <c r="H57" s="29">
        <v>121355.52</v>
      </c>
      <c r="I57" s="15">
        <v>15</v>
      </c>
      <c r="J57" s="15">
        <v>18</v>
      </c>
      <c r="K57" s="30">
        <v>600000</v>
      </c>
      <c r="L57" s="17">
        <v>45844</v>
      </c>
      <c r="M57" s="18">
        <v>121386</v>
      </c>
      <c r="N57" s="16">
        <v>45845</v>
      </c>
      <c r="O57" s="19"/>
      <c r="P57" s="20">
        <v>2380.12</v>
      </c>
      <c r="Q57" s="29">
        <v>119005.88</v>
      </c>
      <c r="R57" s="9" t="s">
        <v>180</v>
      </c>
    </row>
    <row r="58" spans="1:18" ht="12" customHeight="1" x14ac:dyDescent="0.25">
      <c r="A58" s="14"/>
      <c r="B58" s="15">
        <v>19958</v>
      </c>
      <c r="C58" s="29">
        <v>0</v>
      </c>
      <c r="D58" s="16">
        <v>45830</v>
      </c>
      <c r="E58" s="15" t="s">
        <v>2</v>
      </c>
      <c r="F58" s="29">
        <v>0</v>
      </c>
      <c r="G58" s="29">
        <v>0</v>
      </c>
      <c r="H58" s="29">
        <v>3454</v>
      </c>
      <c r="I58" s="15">
        <v>0</v>
      </c>
      <c r="J58" s="15">
        <v>6</v>
      </c>
      <c r="K58" s="30">
        <v>810000</v>
      </c>
      <c r="L58" s="17">
        <v>45830</v>
      </c>
      <c r="M58" s="18">
        <v>3454</v>
      </c>
      <c r="N58" s="16">
        <v>45845</v>
      </c>
      <c r="O58" s="19"/>
      <c r="P58" s="20">
        <v>3454</v>
      </c>
      <c r="Q58" s="29">
        <v>0</v>
      </c>
      <c r="R58" s="9" t="s">
        <v>180</v>
      </c>
    </row>
    <row r="59" spans="1:18" ht="12" customHeight="1" x14ac:dyDescent="0.25">
      <c r="A59" s="14"/>
      <c r="B59" s="15">
        <v>19698</v>
      </c>
      <c r="C59" s="29">
        <v>163627</v>
      </c>
      <c r="D59" s="16">
        <v>45830</v>
      </c>
      <c r="E59" s="15" t="s">
        <v>2</v>
      </c>
      <c r="F59" s="29">
        <v>0</v>
      </c>
      <c r="G59" s="29">
        <v>0</v>
      </c>
      <c r="H59" s="29">
        <v>169266.03</v>
      </c>
      <c r="I59" s="15">
        <v>30</v>
      </c>
      <c r="J59" s="15">
        <v>13</v>
      </c>
      <c r="K59" s="30">
        <v>1260000</v>
      </c>
      <c r="L59" s="17">
        <v>45860</v>
      </c>
      <c r="M59" s="18">
        <v>169266</v>
      </c>
      <c r="N59" s="16">
        <v>45859</v>
      </c>
      <c r="O59" s="19"/>
      <c r="P59" s="20">
        <v>5639.03</v>
      </c>
      <c r="Q59" s="29">
        <v>163626.97</v>
      </c>
      <c r="R59" s="9" t="s">
        <v>180</v>
      </c>
    </row>
    <row r="60" spans="1:18" ht="12" customHeight="1" x14ac:dyDescent="0.25">
      <c r="A60" s="14"/>
      <c r="B60" s="15">
        <v>19668</v>
      </c>
      <c r="C60" s="29">
        <v>138240</v>
      </c>
      <c r="D60" s="16">
        <v>45830</v>
      </c>
      <c r="E60" s="15" t="s">
        <v>2</v>
      </c>
      <c r="F60" s="29">
        <v>0</v>
      </c>
      <c r="G60" s="29">
        <v>0</v>
      </c>
      <c r="H60" s="29">
        <v>141004.79999999999</v>
      </c>
      <c r="I60" s="15">
        <v>15</v>
      </c>
      <c r="J60" s="15">
        <v>18</v>
      </c>
      <c r="K60" s="30">
        <v>600000</v>
      </c>
      <c r="L60" s="17">
        <v>45846</v>
      </c>
      <c r="M60" s="18">
        <v>141004</v>
      </c>
      <c r="N60" s="16">
        <v>45844</v>
      </c>
      <c r="O60" s="19"/>
      <c r="P60" s="20">
        <v>2764.78</v>
      </c>
      <c r="Q60" s="29">
        <v>138239.22</v>
      </c>
      <c r="R60" s="9" t="s">
        <v>180</v>
      </c>
    </row>
    <row r="61" spans="1:18" ht="12" customHeight="1" x14ac:dyDescent="0.25">
      <c r="A61" s="14"/>
      <c r="B61" s="15">
        <v>19700</v>
      </c>
      <c r="C61" s="29">
        <v>81008</v>
      </c>
      <c r="D61" s="16">
        <v>45830</v>
      </c>
      <c r="E61" s="15" t="s">
        <v>2</v>
      </c>
      <c r="F61" s="29">
        <v>0</v>
      </c>
      <c r="G61" s="29">
        <v>0</v>
      </c>
      <c r="H61" s="29">
        <v>82627.8</v>
      </c>
      <c r="I61" s="15">
        <v>15</v>
      </c>
      <c r="J61" s="15">
        <v>18</v>
      </c>
      <c r="K61" s="30">
        <v>600000</v>
      </c>
      <c r="L61" s="17">
        <v>45845</v>
      </c>
      <c r="M61" s="18">
        <v>82628</v>
      </c>
      <c r="N61" s="16">
        <v>45847</v>
      </c>
      <c r="O61" s="19"/>
      <c r="P61" s="20">
        <v>1619.8</v>
      </c>
      <c r="Q61" s="29">
        <v>81008.2</v>
      </c>
      <c r="R61" s="9" t="s">
        <v>180</v>
      </c>
    </row>
    <row r="62" spans="1:18" ht="12" customHeight="1" x14ac:dyDescent="0.25">
      <c r="A62" s="14"/>
      <c r="B62" s="15">
        <v>19677</v>
      </c>
      <c r="C62" s="29">
        <v>118476</v>
      </c>
      <c r="D62" s="16">
        <v>45831</v>
      </c>
      <c r="E62" s="15" t="s">
        <v>2</v>
      </c>
      <c r="F62" s="29">
        <v>0</v>
      </c>
      <c r="G62" s="29">
        <v>0</v>
      </c>
      <c r="H62" s="29">
        <v>120053.52</v>
      </c>
      <c r="I62" s="15">
        <v>4</v>
      </c>
      <c r="J62" s="15">
        <v>3</v>
      </c>
      <c r="K62" s="30">
        <v>1000000</v>
      </c>
      <c r="L62" s="17">
        <v>45837</v>
      </c>
      <c r="M62" s="18">
        <v>120053</v>
      </c>
      <c r="N62" s="16">
        <v>45838</v>
      </c>
      <c r="O62" s="19"/>
      <c r="P62" s="20">
        <v>1577.51</v>
      </c>
      <c r="Q62" s="29">
        <v>118475.49</v>
      </c>
      <c r="R62" s="9" t="s">
        <v>180</v>
      </c>
    </row>
    <row r="63" spans="1:18" ht="12" customHeight="1" x14ac:dyDescent="0.25">
      <c r="A63" s="14"/>
      <c r="B63" s="15">
        <v>19710</v>
      </c>
      <c r="C63" s="29">
        <v>0</v>
      </c>
      <c r="D63" s="16">
        <v>45831</v>
      </c>
      <c r="E63" s="15" t="s">
        <v>2</v>
      </c>
      <c r="F63" s="29">
        <v>0</v>
      </c>
      <c r="G63" s="29">
        <v>0</v>
      </c>
      <c r="H63" s="29">
        <v>5650</v>
      </c>
      <c r="I63" s="15">
        <v>0</v>
      </c>
      <c r="J63" s="15">
        <v>4</v>
      </c>
      <c r="K63" s="30">
        <v>500000</v>
      </c>
      <c r="L63" s="17">
        <v>45831</v>
      </c>
      <c r="M63" s="18">
        <v>5650</v>
      </c>
      <c r="N63" s="16">
        <v>45884</v>
      </c>
      <c r="O63" s="19"/>
      <c r="P63" s="20">
        <v>5650</v>
      </c>
      <c r="Q63" s="29">
        <v>0</v>
      </c>
      <c r="R63" s="9" t="s">
        <v>180</v>
      </c>
    </row>
    <row r="64" spans="1:18" ht="12" customHeight="1" x14ac:dyDescent="0.25">
      <c r="A64" s="14"/>
      <c r="B64" s="15">
        <v>19708</v>
      </c>
      <c r="C64" s="29">
        <v>342500</v>
      </c>
      <c r="D64" s="16">
        <v>45833</v>
      </c>
      <c r="E64" s="15" t="s">
        <v>2</v>
      </c>
      <c r="F64" s="29">
        <v>0</v>
      </c>
      <c r="G64" s="29">
        <v>0</v>
      </c>
      <c r="H64" s="29">
        <v>354282</v>
      </c>
      <c r="I64" s="15">
        <v>30</v>
      </c>
      <c r="J64" s="15">
        <v>5</v>
      </c>
      <c r="K64" s="30">
        <v>1600000</v>
      </c>
      <c r="L64" s="17">
        <v>45865</v>
      </c>
      <c r="M64" s="18">
        <v>354282</v>
      </c>
      <c r="N64" s="16">
        <v>45866</v>
      </c>
      <c r="O64" s="19"/>
      <c r="P64" s="20">
        <v>11782</v>
      </c>
      <c r="Q64" s="29">
        <v>342500</v>
      </c>
      <c r="R64" s="9" t="s">
        <v>180</v>
      </c>
    </row>
    <row r="65" spans="1:18" ht="12" customHeight="1" x14ac:dyDescent="0.25">
      <c r="A65" s="14"/>
      <c r="B65" s="15">
        <v>19715</v>
      </c>
      <c r="C65" s="29">
        <v>0</v>
      </c>
      <c r="D65" s="16">
        <v>45834</v>
      </c>
      <c r="E65" s="15" t="s">
        <v>2</v>
      </c>
      <c r="F65" s="29">
        <v>0</v>
      </c>
      <c r="G65" s="29">
        <v>0</v>
      </c>
      <c r="H65" s="29">
        <v>5715.83</v>
      </c>
      <c r="I65" s="15">
        <v>0</v>
      </c>
      <c r="J65" s="15">
        <v>4</v>
      </c>
      <c r="K65" s="30">
        <v>500000</v>
      </c>
      <c r="L65" s="17">
        <v>45834</v>
      </c>
      <c r="M65" s="18">
        <v>5715.83</v>
      </c>
      <c r="N65" s="16">
        <v>45884</v>
      </c>
      <c r="O65" s="19"/>
      <c r="P65" s="20">
        <v>5715.83</v>
      </c>
      <c r="Q65" s="29">
        <v>0</v>
      </c>
      <c r="R65" s="9" t="s">
        <v>180</v>
      </c>
    </row>
    <row r="66" spans="1:18" ht="12" customHeight="1" x14ac:dyDescent="0.25">
      <c r="A66" s="14"/>
      <c r="B66" s="15">
        <v>19712</v>
      </c>
      <c r="C66" s="29">
        <v>150478</v>
      </c>
      <c r="D66" s="16">
        <v>45834</v>
      </c>
      <c r="E66" s="15" t="s">
        <v>2</v>
      </c>
      <c r="F66" s="29">
        <v>0</v>
      </c>
      <c r="G66" s="29">
        <v>0</v>
      </c>
      <c r="H66" s="29">
        <v>158749.73000000001</v>
      </c>
      <c r="I66" s="15">
        <v>45</v>
      </c>
      <c r="J66" s="15">
        <v>23</v>
      </c>
      <c r="K66" s="30">
        <v>310000</v>
      </c>
      <c r="L66" s="17">
        <v>45880</v>
      </c>
      <c r="M66" s="18">
        <v>158748.9</v>
      </c>
      <c r="N66" s="16">
        <v>45879</v>
      </c>
      <c r="O66" s="19"/>
      <c r="P66" s="20">
        <v>8271.68</v>
      </c>
      <c r="Q66" s="29">
        <v>150477.22</v>
      </c>
      <c r="R66" s="9" t="s">
        <v>180</v>
      </c>
    </row>
    <row r="67" spans="1:18" ht="12" customHeight="1" x14ac:dyDescent="0.25">
      <c r="A67" s="14"/>
      <c r="B67" s="15">
        <v>19716</v>
      </c>
      <c r="C67" s="29">
        <v>174312</v>
      </c>
      <c r="D67" s="16">
        <v>45837</v>
      </c>
      <c r="E67" s="15" t="s">
        <v>2</v>
      </c>
      <c r="F67" s="29">
        <v>0</v>
      </c>
      <c r="G67" s="29">
        <v>0</v>
      </c>
      <c r="H67" s="29">
        <v>180336.48</v>
      </c>
      <c r="I67" s="15">
        <v>30</v>
      </c>
      <c r="J67" s="15">
        <v>17</v>
      </c>
      <c r="K67" s="30">
        <v>2400000</v>
      </c>
      <c r="L67" s="17">
        <v>45867</v>
      </c>
      <c r="M67" s="18">
        <v>180336</v>
      </c>
      <c r="N67" s="16">
        <v>45867</v>
      </c>
      <c r="O67" s="19"/>
      <c r="P67" s="20">
        <v>6024.46</v>
      </c>
      <c r="Q67" s="29">
        <v>174311.54</v>
      </c>
      <c r="R67" s="9" t="s">
        <v>180</v>
      </c>
    </row>
    <row r="68" spans="1:18" ht="12" customHeight="1" x14ac:dyDescent="0.25">
      <c r="A68" s="14"/>
      <c r="B68" s="15">
        <v>19709</v>
      </c>
      <c r="C68" s="29">
        <v>216338</v>
      </c>
      <c r="D68" s="16">
        <v>45837</v>
      </c>
      <c r="E68" s="15" t="s">
        <v>2</v>
      </c>
      <c r="F68" s="29">
        <v>0</v>
      </c>
      <c r="G68" s="29">
        <v>0</v>
      </c>
      <c r="H68" s="29">
        <v>222823.8</v>
      </c>
      <c r="I68" s="15">
        <v>30</v>
      </c>
      <c r="J68" s="15">
        <v>20</v>
      </c>
      <c r="K68" s="30">
        <v>686000</v>
      </c>
      <c r="L68" s="17">
        <v>45867</v>
      </c>
      <c r="M68" s="18">
        <v>222824</v>
      </c>
      <c r="N68" s="16">
        <v>45873</v>
      </c>
      <c r="O68" s="19"/>
      <c r="P68" s="20">
        <v>6485.81</v>
      </c>
      <c r="Q68" s="29">
        <v>216338.19</v>
      </c>
      <c r="R68" s="9" t="s">
        <v>180</v>
      </c>
    </row>
    <row r="69" spans="1:18" ht="12" customHeight="1" x14ac:dyDescent="0.25">
      <c r="A69" s="14"/>
      <c r="B69" s="15">
        <v>19696</v>
      </c>
      <c r="C69" s="29">
        <v>598334</v>
      </c>
      <c r="D69" s="16">
        <v>45838</v>
      </c>
      <c r="E69" s="15" t="s">
        <v>2</v>
      </c>
      <c r="F69" s="29">
        <v>0</v>
      </c>
      <c r="G69" s="29">
        <v>0</v>
      </c>
      <c r="H69" s="29">
        <v>619272.52</v>
      </c>
      <c r="I69" s="15">
        <v>30</v>
      </c>
      <c r="J69" s="15">
        <v>14</v>
      </c>
      <c r="K69" s="30">
        <v>620000</v>
      </c>
      <c r="L69" s="17">
        <v>45869</v>
      </c>
      <c r="M69" s="18">
        <v>619272</v>
      </c>
      <c r="N69" s="16">
        <v>45880</v>
      </c>
      <c r="O69" s="19"/>
      <c r="P69" s="20">
        <v>20938.5</v>
      </c>
      <c r="Q69" s="29">
        <v>598333.5</v>
      </c>
      <c r="R69" s="9" t="s">
        <v>180</v>
      </c>
    </row>
    <row r="70" spans="1:18" ht="12" customHeight="1" x14ac:dyDescent="0.25">
      <c r="A70" s="14"/>
      <c r="B70" s="15">
        <v>19718</v>
      </c>
      <c r="C70" s="29">
        <v>200000</v>
      </c>
      <c r="D70" s="16">
        <v>45838</v>
      </c>
      <c r="E70" s="15" t="s">
        <v>2</v>
      </c>
      <c r="F70" s="29">
        <v>0</v>
      </c>
      <c r="G70" s="29">
        <v>0</v>
      </c>
      <c r="H70" s="29">
        <v>206880</v>
      </c>
      <c r="I70" s="15">
        <v>30</v>
      </c>
      <c r="J70" s="15">
        <v>15</v>
      </c>
      <c r="K70" s="30">
        <v>2300000</v>
      </c>
      <c r="L70" s="17">
        <v>45868</v>
      </c>
      <c r="M70" s="18">
        <v>206880</v>
      </c>
      <c r="N70" s="16">
        <v>45868</v>
      </c>
      <c r="O70" s="19"/>
      <c r="P70" s="20">
        <v>6880</v>
      </c>
      <c r="Q70" s="29">
        <v>200000</v>
      </c>
      <c r="R70" s="9" t="s">
        <v>180</v>
      </c>
    </row>
    <row r="71" spans="1:18" ht="12" customHeight="1" x14ac:dyDescent="0.25">
      <c r="A71" s="14"/>
      <c r="B71" s="15">
        <v>19713</v>
      </c>
      <c r="C71" s="29">
        <v>92750</v>
      </c>
      <c r="D71" s="16">
        <v>45838</v>
      </c>
      <c r="E71" s="15" t="s">
        <v>2</v>
      </c>
      <c r="F71" s="29">
        <v>0</v>
      </c>
      <c r="G71" s="29">
        <v>0</v>
      </c>
      <c r="H71" s="29">
        <v>95951.2</v>
      </c>
      <c r="I71" s="15">
        <v>30</v>
      </c>
      <c r="J71" s="15">
        <v>25</v>
      </c>
      <c r="K71" s="30">
        <v>110000</v>
      </c>
      <c r="L71" s="17">
        <v>45869</v>
      </c>
      <c r="M71" s="18">
        <v>95950.85</v>
      </c>
      <c r="N71" s="16">
        <v>45966</v>
      </c>
      <c r="O71" s="19"/>
      <c r="P71" s="20">
        <v>3201.19</v>
      </c>
      <c r="Q71" s="29">
        <v>92749.66</v>
      </c>
      <c r="R71" s="9" t="s">
        <v>180</v>
      </c>
    </row>
    <row r="72" spans="1:18" ht="12" customHeight="1" x14ac:dyDescent="0.25">
      <c r="A72" s="14"/>
      <c r="B72" s="15">
        <v>19714</v>
      </c>
      <c r="C72" s="29">
        <v>13402</v>
      </c>
      <c r="D72" s="16">
        <v>45838</v>
      </c>
      <c r="E72" s="15" t="s">
        <v>2</v>
      </c>
      <c r="F72" s="29">
        <v>0</v>
      </c>
      <c r="G72" s="29">
        <v>0</v>
      </c>
      <c r="H72" s="29">
        <v>13865.32</v>
      </c>
      <c r="I72" s="15">
        <v>30</v>
      </c>
      <c r="J72" s="15">
        <v>25</v>
      </c>
      <c r="K72" s="30">
        <v>110000</v>
      </c>
      <c r="L72" s="17">
        <v>45869</v>
      </c>
      <c r="M72" s="18">
        <v>13865</v>
      </c>
      <c r="N72" s="16">
        <v>45869</v>
      </c>
      <c r="O72" s="19"/>
      <c r="P72" s="20">
        <v>463.31</v>
      </c>
      <c r="Q72" s="29">
        <v>13401.69</v>
      </c>
      <c r="R72" s="9" t="s">
        <v>180</v>
      </c>
    </row>
    <row r="73" spans="1:18" ht="12" customHeight="1" x14ac:dyDescent="0.25">
      <c r="A73" s="14"/>
      <c r="B73" s="15">
        <v>19719</v>
      </c>
      <c r="C73" s="29">
        <v>566568</v>
      </c>
      <c r="D73" s="16">
        <v>45839</v>
      </c>
      <c r="E73" s="15" t="s">
        <v>2</v>
      </c>
      <c r="F73" s="29">
        <v>0</v>
      </c>
      <c r="G73" s="29">
        <v>0</v>
      </c>
      <c r="H73" s="29">
        <v>576340.19999999995</v>
      </c>
      <c r="I73" s="15">
        <v>10</v>
      </c>
      <c r="J73" s="15">
        <v>9</v>
      </c>
      <c r="K73" s="30">
        <v>2000000</v>
      </c>
      <c r="L73" s="17">
        <v>45852</v>
      </c>
      <c r="M73" s="18">
        <v>576340</v>
      </c>
      <c r="N73" s="16">
        <v>45862</v>
      </c>
      <c r="O73" s="19"/>
      <c r="P73" s="20">
        <v>9772.2000000000007</v>
      </c>
      <c r="Q73" s="29">
        <v>566567.80000000005</v>
      </c>
      <c r="R73" s="9" t="s">
        <v>180</v>
      </c>
    </row>
    <row r="74" spans="1:18" ht="12" customHeight="1" x14ac:dyDescent="0.25">
      <c r="A74" s="14"/>
      <c r="B74" s="15">
        <v>19721</v>
      </c>
      <c r="C74" s="29">
        <v>48273</v>
      </c>
      <c r="D74" s="16">
        <v>45839</v>
      </c>
      <c r="E74" s="15" t="s">
        <v>2</v>
      </c>
      <c r="F74" s="29">
        <v>0</v>
      </c>
      <c r="G74" s="29">
        <v>0</v>
      </c>
      <c r="H74" s="29">
        <v>49988.84</v>
      </c>
      <c r="I74" s="15">
        <v>30</v>
      </c>
      <c r="J74" s="15">
        <v>22</v>
      </c>
      <c r="K74" s="30">
        <v>200000</v>
      </c>
      <c r="L74" s="17">
        <v>45869</v>
      </c>
      <c r="M74" s="18">
        <v>49988</v>
      </c>
      <c r="N74" s="16">
        <v>45868</v>
      </c>
      <c r="O74" s="19"/>
      <c r="P74" s="20">
        <v>1715.81</v>
      </c>
      <c r="Q74" s="29">
        <v>48272.19</v>
      </c>
      <c r="R74" s="9" t="s">
        <v>180</v>
      </c>
    </row>
    <row r="75" spans="1:18" ht="12" customHeight="1" x14ac:dyDescent="0.25">
      <c r="A75" s="14"/>
      <c r="B75" s="15">
        <v>19720</v>
      </c>
      <c r="C75" s="29">
        <v>400000</v>
      </c>
      <c r="D75" s="16">
        <v>45840</v>
      </c>
      <c r="E75" s="15" t="s">
        <v>2</v>
      </c>
      <c r="F75" s="29">
        <v>0</v>
      </c>
      <c r="G75" s="29">
        <v>0</v>
      </c>
      <c r="H75" s="29">
        <v>413760</v>
      </c>
      <c r="I75" s="15">
        <v>30</v>
      </c>
      <c r="J75" s="15">
        <v>5</v>
      </c>
      <c r="K75" s="30">
        <v>1600000</v>
      </c>
      <c r="L75" s="17">
        <v>45872</v>
      </c>
      <c r="M75" s="18">
        <v>413760</v>
      </c>
      <c r="N75" s="16">
        <v>45873</v>
      </c>
      <c r="O75" s="19"/>
      <c r="P75" s="20">
        <v>13760</v>
      </c>
      <c r="Q75" s="29">
        <v>400000</v>
      </c>
      <c r="R75" s="9" t="s">
        <v>180</v>
      </c>
    </row>
    <row r="76" spans="1:18" ht="12" customHeight="1" x14ac:dyDescent="0.25">
      <c r="A76" s="14"/>
      <c r="B76" s="15">
        <v>19722</v>
      </c>
      <c r="C76" s="29">
        <v>245870</v>
      </c>
      <c r="D76" s="16">
        <v>45840</v>
      </c>
      <c r="E76" s="15" t="s">
        <v>2</v>
      </c>
      <c r="F76" s="29">
        <v>0</v>
      </c>
      <c r="G76" s="29">
        <v>0</v>
      </c>
      <c r="H76" s="29">
        <v>254337.92000000001</v>
      </c>
      <c r="I76" s="15">
        <v>30</v>
      </c>
      <c r="J76" s="15">
        <v>20</v>
      </c>
      <c r="K76" s="30">
        <v>686000</v>
      </c>
      <c r="L76" s="17">
        <v>45873</v>
      </c>
      <c r="M76" s="18">
        <v>254337</v>
      </c>
      <c r="N76" s="16">
        <v>45873</v>
      </c>
      <c r="O76" s="19"/>
      <c r="P76" s="20">
        <v>8467.89</v>
      </c>
      <c r="Q76" s="29">
        <v>245869.11</v>
      </c>
      <c r="R76" s="9" t="s">
        <v>180</v>
      </c>
    </row>
    <row r="77" spans="1:18" ht="12" customHeight="1" x14ac:dyDescent="0.25">
      <c r="A77" s="14"/>
      <c r="B77" s="15">
        <v>19723</v>
      </c>
      <c r="C77" s="29">
        <v>164127</v>
      </c>
      <c r="D77" s="16">
        <v>45840</v>
      </c>
      <c r="E77" s="15" t="s">
        <v>2</v>
      </c>
      <c r="F77" s="29">
        <v>0</v>
      </c>
      <c r="G77" s="29">
        <v>0</v>
      </c>
      <c r="H77" s="29">
        <v>169800.61</v>
      </c>
      <c r="I77" s="15">
        <v>30</v>
      </c>
      <c r="J77" s="15">
        <v>28</v>
      </c>
      <c r="K77" s="30">
        <v>170000</v>
      </c>
      <c r="L77" s="17">
        <v>45873</v>
      </c>
      <c r="M77" s="18">
        <v>169800.67</v>
      </c>
      <c r="N77" s="16">
        <v>45872</v>
      </c>
      <c r="O77" s="19"/>
      <c r="P77" s="20">
        <v>5673.62</v>
      </c>
      <c r="Q77" s="29">
        <v>164127.04999999999</v>
      </c>
      <c r="R77" s="9" t="s">
        <v>180</v>
      </c>
    </row>
    <row r="78" spans="1:18" ht="12" customHeight="1" x14ac:dyDescent="0.25">
      <c r="A78" s="14"/>
      <c r="B78" s="15">
        <v>19732</v>
      </c>
      <c r="C78" s="29">
        <v>116720</v>
      </c>
      <c r="D78" s="16">
        <v>45841</v>
      </c>
      <c r="E78" s="15" t="s">
        <v>2</v>
      </c>
      <c r="F78" s="29">
        <v>0</v>
      </c>
      <c r="G78" s="29">
        <v>0</v>
      </c>
      <c r="H78" s="29">
        <v>118728.79</v>
      </c>
      <c r="I78" s="15">
        <v>10</v>
      </c>
      <c r="J78" s="15">
        <v>3</v>
      </c>
      <c r="K78" s="30">
        <v>1000000</v>
      </c>
      <c r="L78" s="17">
        <v>45852</v>
      </c>
      <c r="M78" s="18">
        <v>118730</v>
      </c>
      <c r="N78" s="16">
        <v>45853</v>
      </c>
      <c r="O78" s="19"/>
      <c r="P78" s="20">
        <v>2008.81</v>
      </c>
      <c r="Q78" s="29">
        <v>116721.19</v>
      </c>
      <c r="R78" s="9" t="s">
        <v>180</v>
      </c>
    </row>
    <row r="79" spans="1:18" ht="12" customHeight="1" x14ac:dyDescent="0.25">
      <c r="A79" s="14"/>
      <c r="B79" s="15">
        <v>19729</v>
      </c>
      <c r="C79" s="29">
        <v>0</v>
      </c>
      <c r="D79" s="16">
        <v>45841</v>
      </c>
      <c r="E79" s="15" t="s">
        <v>2</v>
      </c>
      <c r="F79" s="29">
        <v>0</v>
      </c>
      <c r="G79" s="29">
        <v>0</v>
      </c>
      <c r="H79" s="29">
        <v>6147</v>
      </c>
      <c r="I79" s="15">
        <v>0</v>
      </c>
      <c r="J79" s="15">
        <v>8</v>
      </c>
      <c r="K79" s="30">
        <v>3000000</v>
      </c>
      <c r="L79" s="17">
        <v>45841</v>
      </c>
      <c r="M79" s="18">
        <v>6147</v>
      </c>
      <c r="N79" s="16">
        <v>45858</v>
      </c>
      <c r="O79" s="19"/>
      <c r="P79" s="20">
        <v>6147</v>
      </c>
      <c r="Q79" s="29">
        <v>0</v>
      </c>
      <c r="R79" s="9" t="s">
        <v>180</v>
      </c>
    </row>
    <row r="80" spans="1:18" ht="12" customHeight="1" x14ac:dyDescent="0.25">
      <c r="A80" s="14"/>
      <c r="B80" s="15">
        <v>19727</v>
      </c>
      <c r="C80" s="29">
        <v>0</v>
      </c>
      <c r="D80" s="16">
        <v>45841</v>
      </c>
      <c r="E80" s="15" t="s">
        <v>2</v>
      </c>
      <c r="F80" s="29">
        <v>0</v>
      </c>
      <c r="G80" s="29">
        <v>0</v>
      </c>
      <c r="H80" s="29">
        <v>6161</v>
      </c>
      <c r="I80" s="15">
        <v>0</v>
      </c>
      <c r="J80" s="15">
        <v>8</v>
      </c>
      <c r="K80" s="30">
        <v>3000000</v>
      </c>
      <c r="L80" s="17">
        <v>45841</v>
      </c>
      <c r="M80" s="18">
        <v>6161</v>
      </c>
      <c r="N80" s="16">
        <v>45858</v>
      </c>
      <c r="O80" s="19"/>
      <c r="P80" s="20">
        <v>6161</v>
      </c>
      <c r="Q80" s="29">
        <v>0</v>
      </c>
      <c r="R80" s="9" t="s">
        <v>180</v>
      </c>
    </row>
    <row r="81" spans="1:18" ht="12" customHeight="1" x14ac:dyDescent="0.25">
      <c r="A81" s="14"/>
      <c r="B81" s="15">
        <v>19728</v>
      </c>
      <c r="C81" s="29">
        <v>0</v>
      </c>
      <c r="D81" s="16">
        <v>45841</v>
      </c>
      <c r="E81" s="15" t="s">
        <v>2</v>
      </c>
      <c r="F81" s="29">
        <v>0</v>
      </c>
      <c r="G81" s="29">
        <v>0</v>
      </c>
      <c r="H81" s="29">
        <v>4113</v>
      </c>
      <c r="I81" s="15">
        <v>0</v>
      </c>
      <c r="J81" s="15">
        <v>8</v>
      </c>
      <c r="K81" s="30">
        <v>3000000</v>
      </c>
      <c r="L81" s="17">
        <v>45841</v>
      </c>
      <c r="M81" s="18">
        <v>4113</v>
      </c>
      <c r="N81" s="16">
        <v>45858</v>
      </c>
      <c r="O81" s="19"/>
      <c r="P81" s="20">
        <v>4113</v>
      </c>
      <c r="Q81" s="29">
        <v>0</v>
      </c>
      <c r="R81" s="9" t="s">
        <v>180</v>
      </c>
    </row>
    <row r="82" spans="1:18" ht="12" customHeight="1" x14ac:dyDescent="0.25">
      <c r="A82" s="14"/>
      <c r="B82" s="15">
        <v>19730</v>
      </c>
      <c r="C82" s="29">
        <v>0</v>
      </c>
      <c r="D82" s="16">
        <v>45841</v>
      </c>
      <c r="E82" s="15" t="s">
        <v>2</v>
      </c>
      <c r="F82" s="29">
        <v>0</v>
      </c>
      <c r="G82" s="29">
        <v>0</v>
      </c>
      <c r="H82" s="29">
        <v>6055</v>
      </c>
      <c r="I82" s="15">
        <v>0</v>
      </c>
      <c r="J82" s="15">
        <v>8</v>
      </c>
      <c r="K82" s="30">
        <v>3000000</v>
      </c>
      <c r="L82" s="17">
        <v>45841</v>
      </c>
      <c r="M82" s="18">
        <v>6055</v>
      </c>
      <c r="N82" s="16">
        <v>45858</v>
      </c>
      <c r="O82" s="19"/>
      <c r="P82" s="20">
        <v>6055</v>
      </c>
      <c r="Q82" s="29">
        <v>0</v>
      </c>
      <c r="R82" s="9" t="s">
        <v>180</v>
      </c>
    </row>
    <row r="83" spans="1:18" ht="12" customHeight="1" x14ac:dyDescent="0.25">
      <c r="A83" s="14"/>
      <c r="B83" s="15">
        <v>19725</v>
      </c>
      <c r="C83" s="29">
        <v>208000</v>
      </c>
      <c r="D83" s="16">
        <v>45841</v>
      </c>
      <c r="E83" s="15" t="s">
        <v>2</v>
      </c>
      <c r="F83" s="29">
        <v>0</v>
      </c>
      <c r="G83" s="29">
        <v>0</v>
      </c>
      <c r="H83" s="29">
        <v>211619.20000000001</v>
      </c>
      <c r="I83" s="15">
        <v>10</v>
      </c>
      <c r="J83" s="15">
        <v>8</v>
      </c>
      <c r="K83" s="30">
        <v>3000000</v>
      </c>
      <c r="L83" s="17">
        <v>45852</v>
      </c>
      <c r="M83" s="18">
        <v>211619.20000000001</v>
      </c>
      <c r="N83" s="16">
        <v>45858</v>
      </c>
      <c r="O83" s="19"/>
      <c r="P83" s="20">
        <v>3619.2</v>
      </c>
      <c r="Q83" s="29">
        <v>208000</v>
      </c>
      <c r="R83" s="9" t="s">
        <v>180</v>
      </c>
    </row>
    <row r="84" spans="1:18" ht="12" customHeight="1" x14ac:dyDescent="0.25">
      <c r="A84" s="14"/>
      <c r="B84" s="15">
        <v>19724</v>
      </c>
      <c r="C84" s="29">
        <v>619200</v>
      </c>
      <c r="D84" s="16">
        <v>45844</v>
      </c>
      <c r="E84" s="15" t="s">
        <v>2</v>
      </c>
      <c r="F84" s="29">
        <v>0</v>
      </c>
      <c r="G84" s="29">
        <v>0</v>
      </c>
      <c r="H84" s="29">
        <v>629880</v>
      </c>
      <c r="I84" s="15">
        <v>10</v>
      </c>
      <c r="J84" s="15">
        <v>9</v>
      </c>
      <c r="K84" s="30">
        <v>2000000</v>
      </c>
      <c r="L84" s="17">
        <v>45854</v>
      </c>
      <c r="M84" s="18">
        <v>629880</v>
      </c>
      <c r="N84" s="16">
        <v>45862</v>
      </c>
      <c r="O84" s="19"/>
      <c r="P84" s="20">
        <v>10680</v>
      </c>
      <c r="Q84" s="29">
        <v>619200</v>
      </c>
      <c r="R84" s="9" t="s">
        <v>180</v>
      </c>
    </row>
    <row r="85" spans="1:18" ht="12" customHeight="1" x14ac:dyDescent="0.25">
      <c r="A85" s="14"/>
      <c r="B85" s="15">
        <v>19739</v>
      </c>
      <c r="C85" s="29">
        <v>0</v>
      </c>
      <c r="D85" s="16">
        <v>45845</v>
      </c>
      <c r="E85" s="15" t="s">
        <v>2</v>
      </c>
      <c r="F85" s="29">
        <v>0</v>
      </c>
      <c r="G85" s="29">
        <v>0</v>
      </c>
      <c r="H85" s="29">
        <v>6218</v>
      </c>
      <c r="I85" s="15">
        <v>0</v>
      </c>
      <c r="J85" s="15">
        <v>8</v>
      </c>
      <c r="K85" s="30">
        <v>3000000</v>
      </c>
      <c r="L85" s="17">
        <v>45845</v>
      </c>
      <c r="M85" s="18">
        <v>6218</v>
      </c>
      <c r="N85" s="16">
        <v>45858</v>
      </c>
      <c r="O85" s="19"/>
      <c r="P85" s="20">
        <v>6218</v>
      </c>
      <c r="Q85" s="29">
        <v>0</v>
      </c>
      <c r="R85" s="9" t="s">
        <v>180</v>
      </c>
    </row>
    <row r="86" spans="1:18" ht="12" customHeight="1" x14ac:dyDescent="0.25">
      <c r="A86" s="14"/>
      <c r="B86" s="15">
        <v>19741</v>
      </c>
      <c r="C86" s="29">
        <v>0</v>
      </c>
      <c r="D86" s="16">
        <v>45845</v>
      </c>
      <c r="E86" s="15" t="s">
        <v>2</v>
      </c>
      <c r="F86" s="29">
        <v>0</v>
      </c>
      <c r="G86" s="29">
        <v>0</v>
      </c>
      <c r="H86" s="29">
        <v>6232</v>
      </c>
      <c r="I86" s="15">
        <v>0</v>
      </c>
      <c r="J86" s="15">
        <v>8</v>
      </c>
      <c r="K86" s="30">
        <v>3000000</v>
      </c>
      <c r="L86" s="17">
        <v>45845</v>
      </c>
      <c r="M86" s="18">
        <v>6232</v>
      </c>
      <c r="N86" s="16">
        <v>45858</v>
      </c>
      <c r="O86" s="19"/>
      <c r="P86" s="20">
        <v>6232</v>
      </c>
      <c r="Q86" s="29">
        <v>0</v>
      </c>
      <c r="R86" s="9" t="s">
        <v>180</v>
      </c>
    </row>
    <row r="87" spans="1:18" ht="12" customHeight="1" x14ac:dyDescent="0.25">
      <c r="A87" s="14"/>
      <c r="B87" s="15">
        <v>19740</v>
      </c>
      <c r="C87" s="29">
        <v>0</v>
      </c>
      <c r="D87" s="16">
        <v>45845</v>
      </c>
      <c r="E87" s="15" t="s">
        <v>2</v>
      </c>
      <c r="F87" s="29">
        <v>0</v>
      </c>
      <c r="G87" s="29">
        <v>0</v>
      </c>
      <c r="H87" s="29">
        <v>4160</v>
      </c>
      <c r="I87" s="15">
        <v>0</v>
      </c>
      <c r="J87" s="15">
        <v>8</v>
      </c>
      <c r="K87" s="30">
        <v>3000000</v>
      </c>
      <c r="L87" s="17">
        <v>45845</v>
      </c>
      <c r="M87" s="18">
        <v>4160</v>
      </c>
      <c r="N87" s="16">
        <v>45858</v>
      </c>
      <c r="O87" s="19"/>
      <c r="P87" s="20">
        <v>4160</v>
      </c>
      <c r="Q87" s="29">
        <v>0</v>
      </c>
      <c r="R87" s="9" t="s">
        <v>180</v>
      </c>
    </row>
    <row r="88" spans="1:18" ht="12" customHeight="1" x14ac:dyDescent="0.25">
      <c r="A88" s="14"/>
      <c r="B88" s="15">
        <v>19738</v>
      </c>
      <c r="C88" s="29">
        <v>0</v>
      </c>
      <c r="D88" s="16">
        <v>45845</v>
      </c>
      <c r="E88" s="15" t="s">
        <v>2</v>
      </c>
      <c r="F88" s="29">
        <v>0</v>
      </c>
      <c r="G88" s="29">
        <v>0</v>
      </c>
      <c r="H88" s="29">
        <v>1341</v>
      </c>
      <c r="I88" s="15">
        <v>0</v>
      </c>
      <c r="J88" s="15">
        <v>8</v>
      </c>
      <c r="K88" s="30">
        <v>3000000</v>
      </c>
      <c r="L88" s="17">
        <v>45845</v>
      </c>
      <c r="M88" s="18">
        <v>1341</v>
      </c>
      <c r="N88" s="16">
        <v>45858</v>
      </c>
      <c r="O88" s="19"/>
      <c r="P88" s="20">
        <v>1341</v>
      </c>
      <c r="Q88" s="29">
        <v>0</v>
      </c>
      <c r="R88" s="9" t="s">
        <v>180</v>
      </c>
    </row>
    <row r="89" spans="1:18" ht="12" customHeight="1" x14ac:dyDescent="0.25">
      <c r="A89" s="14"/>
      <c r="B89" s="15">
        <v>19726</v>
      </c>
      <c r="C89" s="29">
        <v>208000</v>
      </c>
      <c r="D89" s="16">
        <v>45845</v>
      </c>
      <c r="E89" s="15" t="s">
        <v>2</v>
      </c>
      <c r="F89" s="29">
        <v>0</v>
      </c>
      <c r="G89" s="29">
        <v>0</v>
      </c>
      <c r="H89" s="29">
        <v>211619.20000000001</v>
      </c>
      <c r="I89" s="15">
        <v>10</v>
      </c>
      <c r="J89" s="15">
        <v>8</v>
      </c>
      <c r="K89" s="30">
        <v>3000000</v>
      </c>
      <c r="L89" s="17">
        <v>45858</v>
      </c>
      <c r="M89" s="18">
        <v>211619.20000000001</v>
      </c>
      <c r="N89" s="16">
        <v>45858</v>
      </c>
      <c r="O89" s="19"/>
      <c r="P89" s="20">
        <v>3619.2</v>
      </c>
      <c r="Q89" s="29">
        <v>208000</v>
      </c>
      <c r="R89" s="9" t="s">
        <v>180</v>
      </c>
    </row>
    <row r="90" spans="1:18" ht="12" customHeight="1" x14ac:dyDescent="0.25">
      <c r="A90" s="14"/>
      <c r="B90" s="15">
        <v>19959</v>
      </c>
      <c r="C90" s="29">
        <v>0</v>
      </c>
      <c r="D90" s="16">
        <v>45845</v>
      </c>
      <c r="E90" s="15" t="s">
        <v>2</v>
      </c>
      <c r="F90" s="29">
        <v>0</v>
      </c>
      <c r="G90" s="29">
        <v>0</v>
      </c>
      <c r="H90" s="29">
        <v>5264</v>
      </c>
      <c r="I90" s="15">
        <v>0</v>
      </c>
      <c r="J90" s="15">
        <v>6</v>
      </c>
      <c r="K90" s="30">
        <v>810000</v>
      </c>
      <c r="L90" s="17">
        <v>45845</v>
      </c>
      <c r="M90" s="18">
        <v>5264</v>
      </c>
      <c r="N90" s="16">
        <v>45879</v>
      </c>
      <c r="O90" s="19"/>
      <c r="P90" s="20">
        <v>5264</v>
      </c>
      <c r="Q90" s="29">
        <v>0</v>
      </c>
      <c r="R90" s="9" t="s">
        <v>180</v>
      </c>
    </row>
    <row r="91" spans="1:18" ht="12" customHeight="1" x14ac:dyDescent="0.25">
      <c r="A91" s="14"/>
      <c r="B91" s="15">
        <v>19734</v>
      </c>
      <c r="C91" s="29">
        <v>774000</v>
      </c>
      <c r="D91" s="16">
        <v>45845</v>
      </c>
      <c r="E91" s="15" t="s">
        <v>2</v>
      </c>
      <c r="F91" s="29">
        <v>0</v>
      </c>
      <c r="G91" s="29">
        <v>0</v>
      </c>
      <c r="H91" s="29">
        <v>787350</v>
      </c>
      <c r="I91" s="15">
        <v>10</v>
      </c>
      <c r="J91" s="15">
        <v>9</v>
      </c>
      <c r="K91" s="30">
        <v>2000000</v>
      </c>
      <c r="L91" s="17">
        <v>45858</v>
      </c>
      <c r="M91" s="18">
        <v>787350</v>
      </c>
      <c r="N91" s="16">
        <v>45853</v>
      </c>
      <c r="O91" s="19"/>
      <c r="P91" s="20">
        <v>13350</v>
      </c>
      <c r="Q91" s="29">
        <v>774000</v>
      </c>
      <c r="R91" s="9" t="s">
        <v>180</v>
      </c>
    </row>
    <row r="92" spans="1:18" ht="12" customHeight="1" x14ac:dyDescent="0.25">
      <c r="A92" s="14"/>
      <c r="B92" s="15">
        <v>19731</v>
      </c>
      <c r="C92" s="29">
        <v>208000</v>
      </c>
      <c r="D92" s="16">
        <v>45846</v>
      </c>
      <c r="E92" s="15" t="s">
        <v>2</v>
      </c>
      <c r="F92" s="29">
        <v>0</v>
      </c>
      <c r="G92" s="29">
        <v>0</v>
      </c>
      <c r="H92" s="29">
        <v>211619.20000000001</v>
      </c>
      <c r="I92" s="15">
        <v>10</v>
      </c>
      <c r="J92" s="15">
        <v>8</v>
      </c>
      <c r="K92" s="30">
        <v>3000000</v>
      </c>
      <c r="L92" s="17">
        <v>45858</v>
      </c>
      <c r="M92" s="18">
        <v>211619.20000000001</v>
      </c>
      <c r="N92" s="16">
        <v>45858</v>
      </c>
      <c r="O92" s="19"/>
      <c r="P92" s="20">
        <v>3619.2</v>
      </c>
      <c r="Q92" s="29">
        <v>208000</v>
      </c>
      <c r="R92" s="9" t="s">
        <v>180</v>
      </c>
    </row>
    <row r="93" spans="1:18" ht="12" customHeight="1" x14ac:dyDescent="0.25">
      <c r="A93" s="14"/>
      <c r="B93" s="15">
        <v>19735</v>
      </c>
      <c r="C93" s="29">
        <v>163880</v>
      </c>
      <c r="D93" s="16">
        <v>45846</v>
      </c>
      <c r="E93" s="15" t="s">
        <v>2</v>
      </c>
      <c r="F93" s="29">
        <v>0</v>
      </c>
      <c r="G93" s="29">
        <v>0</v>
      </c>
      <c r="H93" s="29">
        <v>167143.03</v>
      </c>
      <c r="I93" s="15">
        <v>15</v>
      </c>
      <c r="J93" s="15">
        <v>13</v>
      </c>
      <c r="K93" s="30">
        <v>1260000</v>
      </c>
      <c r="L93" s="17">
        <v>45862</v>
      </c>
      <c r="M93" s="18">
        <v>167154</v>
      </c>
      <c r="N93" s="16">
        <v>45865</v>
      </c>
      <c r="O93" s="19"/>
      <c r="P93" s="20">
        <v>3263.24</v>
      </c>
      <c r="Q93" s="29">
        <v>163890.76</v>
      </c>
      <c r="R93" s="9" t="s">
        <v>180</v>
      </c>
    </row>
    <row r="94" spans="1:18" ht="12" customHeight="1" x14ac:dyDescent="0.25">
      <c r="A94" s="14"/>
      <c r="B94" s="15">
        <v>19759</v>
      </c>
      <c r="C94" s="29">
        <v>0</v>
      </c>
      <c r="D94" s="16">
        <v>45847</v>
      </c>
      <c r="E94" s="15" t="s">
        <v>2</v>
      </c>
      <c r="F94" s="29">
        <v>0</v>
      </c>
      <c r="G94" s="29">
        <v>0</v>
      </c>
      <c r="H94" s="29">
        <v>12652</v>
      </c>
      <c r="I94" s="15">
        <v>0</v>
      </c>
      <c r="J94" s="15">
        <v>8</v>
      </c>
      <c r="K94" s="30">
        <v>3000000</v>
      </c>
      <c r="L94" s="17">
        <v>45847</v>
      </c>
      <c r="M94" s="18">
        <v>12652</v>
      </c>
      <c r="N94" s="16">
        <v>45858</v>
      </c>
      <c r="O94" s="19"/>
      <c r="P94" s="20">
        <v>12652</v>
      </c>
      <c r="Q94" s="29">
        <v>0</v>
      </c>
      <c r="R94" s="9" t="s">
        <v>180</v>
      </c>
    </row>
    <row r="95" spans="1:18" ht="12" customHeight="1" x14ac:dyDescent="0.25">
      <c r="A95" s="14"/>
      <c r="B95" s="15">
        <v>19758</v>
      </c>
      <c r="C95" s="29">
        <v>0</v>
      </c>
      <c r="D95" s="16">
        <v>45847</v>
      </c>
      <c r="E95" s="15" t="s">
        <v>2</v>
      </c>
      <c r="F95" s="29">
        <v>0</v>
      </c>
      <c r="G95" s="29">
        <v>0</v>
      </c>
      <c r="H95" s="29">
        <v>4208</v>
      </c>
      <c r="I95" s="15">
        <v>0</v>
      </c>
      <c r="J95" s="15">
        <v>8</v>
      </c>
      <c r="K95" s="30">
        <v>3000000</v>
      </c>
      <c r="L95" s="17">
        <v>45847</v>
      </c>
      <c r="M95" s="18">
        <v>4208</v>
      </c>
      <c r="N95" s="16">
        <v>45858</v>
      </c>
      <c r="O95" s="19"/>
      <c r="P95" s="20">
        <v>4208</v>
      </c>
      <c r="Q95" s="29">
        <v>0</v>
      </c>
      <c r="R95" s="9" t="s">
        <v>180</v>
      </c>
    </row>
    <row r="96" spans="1:18" ht="12" customHeight="1" x14ac:dyDescent="0.25">
      <c r="A96" s="14"/>
      <c r="B96" s="15">
        <v>19742</v>
      </c>
      <c r="C96" s="29">
        <v>208000</v>
      </c>
      <c r="D96" s="16">
        <v>45847</v>
      </c>
      <c r="E96" s="15" t="s">
        <v>2</v>
      </c>
      <c r="F96" s="29">
        <v>0</v>
      </c>
      <c r="G96" s="29">
        <v>0</v>
      </c>
      <c r="H96" s="29">
        <v>211619.20000000001</v>
      </c>
      <c r="I96" s="15">
        <v>10</v>
      </c>
      <c r="J96" s="15">
        <v>8</v>
      </c>
      <c r="K96" s="30">
        <v>3000000</v>
      </c>
      <c r="L96" s="17">
        <v>45858</v>
      </c>
      <c r="M96" s="18">
        <v>211619.20000000001</v>
      </c>
      <c r="N96" s="16">
        <v>45858</v>
      </c>
      <c r="O96" s="19"/>
      <c r="P96" s="20">
        <v>3619.2</v>
      </c>
      <c r="Q96" s="29">
        <v>208000</v>
      </c>
      <c r="R96" s="9" t="s">
        <v>180</v>
      </c>
    </row>
    <row r="97" spans="1:18" ht="12" customHeight="1" x14ac:dyDescent="0.25">
      <c r="A97" s="14"/>
      <c r="B97" s="15">
        <v>19745</v>
      </c>
      <c r="C97" s="29">
        <v>208000</v>
      </c>
      <c r="D97" s="16">
        <v>45847</v>
      </c>
      <c r="E97" s="15" t="s">
        <v>2</v>
      </c>
      <c r="F97" s="29">
        <v>0</v>
      </c>
      <c r="G97" s="29">
        <v>0</v>
      </c>
      <c r="H97" s="29">
        <v>211619.20000000001</v>
      </c>
      <c r="I97" s="15">
        <v>10</v>
      </c>
      <c r="J97" s="15">
        <v>8</v>
      </c>
      <c r="K97" s="30">
        <v>3000000</v>
      </c>
      <c r="L97" s="17">
        <v>45859</v>
      </c>
      <c r="M97" s="18">
        <v>211619.20000000001</v>
      </c>
      <c r="N97" s="16">
        <v>45858</v>
      </c>
      <c r="O97" s="19"/>
      <c r="P97" s="20">
        <v>3619.2</v>
      </c>
      <c r="Q97" s="29">
        <v>208000</v>
      </c>
      <c r="R97" s="9" t="s">
        <v>180</v>
      </c>
    </row>
    <row r="98" spans="1:18" ht="12" customHeight="1" x14ac:dyDescent="0.25">
      <c r="A98" s="14"/>
      <c r="B98" s="15">
        <v>19744</v>
      </c>
      <c r="C98" s="29">
        <v>130009</v>
      </c>
      <c r="D98" s="16">
        <v>45847</v>
      </c>
      <c r="E98" s="15" t="s">
        <v>2</v>
      </c>
      <c r="F98" s="29">
        <v>0</v>
      </c>
      <c r="G98" s="29">
        <v>0</v>
      </c>
      <c r="H98" s="29">
        <v>134497.99</v>
      </c>
      <c r="I98" s="15">
        <v>30</v>
      </c>
      <c r="J98" s="15">
        <v>17</v>
      </c>
      <c r="K98" s="30">
        <v>2400000</v>
      </c>
      <c r="L98" s="17">
        <v>45880</v>
      </c>
      <c r="M98" s="18">
        <v>134498</v>
      </c>
      <c r="N98" s="16">
        <v>45881</v>
      </c>
      <c r="O98" s="19"/>
      <c r="P98" s="20">
        <v>4488.99</v>
      </c>
      <c r="Q98" s="29">
        <v>130009.01</v>
      </c>
      <c r="R98" s="9" t="s">
        <v>180</v>
      </c>
    </row>
    <row r="99" spans="1:18" ht="12" customHeight="1" x14ac:dyDescent="0.25">
      <c r="A99" s="14"/>
      <c r="B99" s="15">
        <v>19733</v>
      </c>
      <c r="C99" s="29">
        <v>116550.72</v>
      </c>
      <c r="D99" s="16">
        <v>45847</v>
      </c>
      <c r="E99" s="15" t="s">
        <v>2</v>
      </c>
      <c r="F99" s="29">
        <v>0</v>
      </c>
      <c r="G99" s="29">
        <v>0</v>
      </c>
      <c r="H99" s="29">
        <v>118872</v>
      </c>
      <c r="I99" s="15">
        <v>15</v>
      </c>
      <c r="J99" s="15">
        <v>18</v>
      </c>
      <c r="K99" s="30">
        <v>600000</v>
      </c>
      <c r="L99" s="17">
        <v>45865</v>
      </c>
      <c r="M99" s="18">
        <v>118872</v>
      </c>
      <c r="N99" s="16">
        <v>45866</v>
      </c>
      <c r="O99" s="19"/>
      <c r="P99" s="20">
        <v>2321.2800000000002</v>
      </c>
      <c r="Q99" s="29">
        <v>116550.72</v>
      </c>
      <c r="R99" s="9" t="s">
        <v>180</v>
      </c>
    </row>
    <row r="100" spans="1:18" ht="12" customHeight="1" x14ac:dyDescent="0.25">
      <c r="A100" s="14"/>
      <c r="B100" s="15">
        <v>19747</v>
      </c>
      <c r="C100" s="29">
        <v>100040</v>
      </c>
      <c r="D100" s="16">
        <v>45848</v>
      </c>
      <c r="E100" s="15" t="s">
        <v>2</v>
      </c>
      <c r="F100" s="29">
        <v>0</v>
      </c>
      <c r="G100" s="29">
        <v>0</v>
      </c>
      <c r="H100" s="29">
        <v>103491.08</v>
      </c>
      <c r="I100" s="15">
        <v>30</v>
      </c>
      <c r="J100" s="15">
        <v>29</v>
      </c>
      <c r="K100" s="30">
        <v>1240000</v>
      </c>
      <c r="L100" s="17">
        <v>45879</v>
      </c>
      <c r="M100" s="18">
        <v>103491</v>
      </c>
      <c r="N100" s="16">
        <v>45879</v>
      </c>
      <c r="O100" s="19"/>
      <c r="P100" s="20">
        <v>3451.08</v>
      </c>
      <c r="Q100" s="29">
        <v>100039.92</v>
      </c>
      <c r="R100" s="9" t="s">
        <v>180</v>
      </c>
    </row>
    <row r="101" spans="1:18" ht="12" customHeight="1" x14ac:dyDescent="0.25">
      <c r="A101" s="14"/>
      <c r="B101" s="15">
        <v>19760</v>
      </c>
      <c r="C101" s="29">
        <v>0</v>
      </c>
      <c r="D101" s="16">
        <v>45849</v>
      </c>
      <c r="E101" s="15" t="s">
        <v>2</v>
      </c>
      <c r="F101" s="29">
        <v>0</v>
      </c>
      <c r="G101" s="29">
        <v>0</v>
      </c>
      <c r="H101" s="29">
        <v>4512</v>
      </c>
      <c r="I101" s="15">
        <v>0</v>
      </c>
      <c r="J101" s="15">
        <v>8</v>
      </c>
      <c r="K101" s="30">
        <v>3000000</v>
      </c>
      <c r="L101" s="17">
        <v>45849</v>
      </c>
      <c r="M101" s="18">
        <v>4512</v>
      </c>
      <c r="N101" s="16">
        <v>45858</v>
      </c>
      <c r="O101" s="19"/>
      <c r="P101" s="20">
        <v>4512</v>
      </c>
      <c r="Q101" s="29">
        <v>0</v>
      </c>
      <c r="R101" s="9" t="s">
        <v>180</v>
      </c>
    </row>
    <row r="102" spans="1:18" ht="12" customHeight="1" x14ac:dyDescent="0.25">
      <c r="A102" s="14"/>
      <c r="B102" s="15">
        <v>19736</v>
      </c>
      <c r="C102" s="29">
        <v>123120</v>
      </c>
      <c r="D102" s="16">
        <v>45851</v>
      </c>
      <c r="E102" s="15" t="s">
        <v>2</v>
      </c>
      <c r="F102" s="29">
        <v>0</v>
      </c>
      <c r="G102" s="29">
        <v>0</v>
      </c>
      <c r="H102" s="29">
        <v>124526.16</v>
      </c>
      <c r="I102" s="15">
        <v>4</v>
      </c>
      <c r="J102" s="15">
        <v>3</v>
      </c>
      <c r="K102" s="30">
        <v>1000000</v>
      </c>
      <c r="L102" s="17">
        <v>45858</v>
      </c>
      <c r="M102" s="18">
        <v>124526</v>
      </c>
      <c r="N102" s="16">
        <v>45858</v>
      </c>
      <c r="O102" s="19"/>
      <c r="P102" s="20">
        <v>1406.16</v>
      </c>
      <c r="Q102" s="29">
        <v>123119.84</v>
      </c>
      <c r="R102" s="9" t="s">
        <v>180</v>
      </c>
    </row>
    <row r="103" spans="1:18" ht="12" customHeight="1" x14ac:dyDescent="0.25">
      <c r="A103" s="14"/>
      <c r="B103" s="15">
        <v>19737</v>
      </c>
      <c r="C103" s="29">
        <v>163881</v>
      </c>
      <c r="D103" s="16">
        <v>45851</v>
      </c>
      <c r="E103" s="15" t="s">
        <v>2</v>
      </c>
      <c r="F103" s="29">
        <v>0</v>
      </c>
      <c r="G103" s="29">
        <v>0</v>
      </c>
      <c r="H103" s="29">
        <v>167144.04999999999</v>
      </c>
      <c r="I103" s="15">
        <v>15</v>
      </c>
      <c r="J103" s="15">
        <v>13</v>
      </c>
      <c r="K103" s="30">
        <v>1260000</v>
      </c>
      <c r="L103" s="17">
        <v>45867</v>
      </c>
      <c r="M103" s="18">
        <v>167144</v>
      </c>
      <c r="N103" s="16">
        <v>45869</v>
      </c>
      <c r="O103" s="19"/>
      <c r="P103" s="20">
        <v>3263.05</v>
      </c>
      <c r="Q103" s="29">
        <v>163880.95000000001</v>
      </c>
      <c r="R103" s="9" t="s">
        <v>180</v>
      </c>
    </row>
    <row r="104" spans="1:18" ht="12" customHeight="1" x14ac:dyDescent="0.25">
      <c r="A104" s="14"/>
      <c r="B104" s="15">
        <v>19749</v>
      </c>
      <c r="C104" s="29">
        <v>0</v>
      </c>
      <c r="D104" s="16">
        <v>45852</v>
      </c>
      <c r="E104" s="15" t="s">
        <v>2</v>
      </c>
      <c r="F104" s="29">
        <v>0</v>
      </c>
      <c r="G104" s="29">
        <v>0</v>
      </c>
      <c r="H104" s="29">
        <v>4561</v>
      </c>
      <c r="I104" s="15">
        <v>0</v>
      </c>
      <c r="J104" s="15">
        <v>9</v>
      </c>
      <c r="K104" s="30">
        <v>2000000</v>
      </c>
      <c r="L104" s="17">
        <v>45852</v>
      </c>
      <c r="M104" s="18">
        <v>4561</v>
      </c>
      <c r="N104" s="16">
        <v>45862</v>
      </c>
      <c r="O104" s="19"/>
      <c r="P104" s="20">
        <v>4561</v>
      </c>
      <c r="Q104" s="29">
        <v>0</v>
      </c>
      <c r="R104" s="9" t="s">
        <v>180</v>
      </c>
    </row>
    <row r="105" spans="1:18" ht="12" customHeight="1" x14ac:dyDescent="0.25">
      <c r="A105" s="14"/>
      <c r="B105" s="15">
        <v>19752</v>
      </c>
      <c r="C105" s="29">
        <v>0</v>
      </c>
      <c r="D105" s="16">
        <v>45852</v>
      </c>
      <c r="E105" s="15" t="s">
        <v>2</v>
      </c>
      <c r="F105" s="29">
        <v>0</v>
      </c>
      <c r="G105" s="29">
        <v>0</v>
      </c>
      <c r="H105" s="29">
        <v>3850</v>
      </c>
      <c r="I105" s="15">
        <v>0</v>
      </c>
      <c r="J105" s="15">
        <v>9</v>
      </c>
      <c r="K105" s="30">
        <v>2000000</v>
      </c>
      <c r="L105" s="17">
        <v>45852</v>
      </c>
      <c r="M105" s="18">
        <v>3850</v>
      </c>
      <c r="N105" s="16">
        <v>45862</v>
      </c>
      <c r="O105" s="19"/>
      <c r="P105" s="20">
        <v>3850</v>
      </c>
      <c r="Q105" s="29">
        <v>0</v>
      </c>
      <c r="R105" s="9" t="s">
        <v>180</v>
      </c>
    </row>
    <row r="106" spans="1:18" ht="12" customHeight="1" x14ac:dyDescent="0.25">
      <c r="A106" s="14"/>
      <c r="B106" s="15">
        <v>19762</v>
      </c>
      <c r="C106" s="29">
        <v>0</v>
      </c>
      <c r="D106" s="16">
        <v>45853</v>
      </c>
      <c r="E106" s="15" t="s">
        <v>2</v>
      </c>
      <c r="F106" s="29">
        <v>0</v>
      </c>
      <c r="G106" s="29">
        <v>0</v>
      </c>
      <c r="H106" s="29">
        <v>25137.25</v>
      </c>
      <c r="I106" s="15">
        <v>0</v>
      </c>
      <c r="J106" s="15">
        <v>4</v>
      </c>
      <c r="K106" s="30">
        <v>500000</v>
      </c>
      <c r="L106" s="17">
        <v>45853</v>
      </c>
      <c r="M106" s="18">
        <v>25137</v>
      </c>
      <c r="N106" s="16">
        <v>45883</v>
      </c>
      <c r="O106" s="19"/>
      <c r="P106" s="20">
        <v>25137</v>
      </c>
      <c r="Q106" s="29">
        <v>0</v>
      </c>
      <c r="R106" s="9" t="s">
        <v>180</v>
      </c>
    </row>
    <row r="107" spans="1:18" ht="12" customHeight="1" x14ac:dyDescent="0.25">
      <c r="A107" s="14"/>
      <c r="B107" s="15">
        <v>19763</v>
      </c>
      <c r="C107" s="29">
        <v>63156</v>
      </c>
      <c r="D107" s="16">
        <v>45854</v>
      </c>
      <c r="E107" s="15" t="s">
        <v>2</v>
      </c>
      <c r="F107" s="29">
        <v>0</v>
      </c>
      <c r="G107" s="29">
        <v>0</v>
      </c>
      <c r="H107" s="29">
        <v>65332.39</v>
      </c>
      <c r="I107" s="15">
        <v>30</v>
      </c>
      <c r="J107" s="15">
        <v>20</v>
      </c>
      <c r="K107" s="30">
        <v>686000</v>
      </c>
      <c r="L107" s="17">
        <v>45886</v>
      </c>
      <c r="M107" s="18">
        <v>65332</v>
      </c>
      <c r="N107" s="16">
        <v>45886</v>
      </c>
      <c r="O107" s="19"/>
      <c r="P107" s="20">
        <v>2176.38</v>
      </c>
      <c r="Q107" s="29">
        <v>63155.62</v>
      </c>
      <c r="R107" s="9" t="s">
        <v>180</v>
      </c>
    </row>
    <row r="108" spans="1:18" ht="12" customHeight="1" x14ac:dyDescent="0.25">
      <c r="A108" s="14"/>
      <c r="B108" s="15">
        <v>19757</v>
      </c>
      <c r="C108" s="29">
        <v>150460</v>
      </c>
      <c r="D108" s="16">
        <v>45854</v>
      </c>
      <c r="E108" s="15" t="s">
        <v>2</v>
      </c>
      <c r="F108" s="29">
        <v>0</v>
      </c>
      <c r="G108" s="29">
        <v>0</v>
      </c>
      <c r="H108" s="29">
        <v>155651.79</v>
      </c>
      <c r="I108" s="15">
        <v>30</v>
      </c>
      <c r="J108" s="15">
        <v>29</v>
      </c>
      <c r="K108" s="30">
        <v>1240000</v>
      </c>
      <c r="L108" s="17">
        <v>45886</v>
      </c>
      <c r="M108" s="18">
        <v>155652</v>
      </c>
      <c r="N108" s="16">
        <v>45887</v>
      </c>
      <c r="O108" s="19"/>
      <c r="P108" s="20">
        <v>5191.8</v>
      </c>
      <c r="Q108" s="29">
        <v>150460.20000000001</v>
      </c>
      <c r="R108" s="9" t="s">
        <v>180</v>
      </c>
    </row>
    <row r="109" spans="1:18" ht="12" customHeight="1" x14ac:dyDescent="0.25">
      <c r="A109" s="14"/>
      <c r="B109" s="15">
        <v>19753</v>
      </c>
      <c r="C109" s="29">
        <v>483000</v>
      </c>
      <c r="D109" s="16">
        <v>45855</v>
      </c>
      <c r="E109" s="15" t="s">
        <v>2</v>
      </c>
      <c r="F109" s="29">
        <v>0</v>
      </c>
      <c r="G109" s="29">
        <v>0</v>
      </c>
      <c r="H109" s="29">
        <v>499615.2</v>
      </c>
      <c r="I109" s="15">
        <v>30</v>
      </c>
      <c r="J109" s="15">
        <v>2</v>
      </c>
      <c r="K109" s="30">
        <v>845000</v>
      </c>
      <c r="L109" s="17">
        <v>45886</v>
      </c>
      <c r="M109" s="18">
        <v>499615</v>
      </c>
      <c r="N109" s="16">
        <v>45886</v>
      </c>
      <c r="O109" s="19"/>
      <c r="P109" s="20">
        <v>16615.189999999999</v>
      </c>
      <c r="Q109" s="29">
        <v>482999.81</v>
      </c>
      <c r="R109" s="9" t="s">
        <v>180</v>
      </c>
    </row>
    <row r="110" spans="1:18" ht="12" customHeight="1" x14ac:dyDescent="0.25">
      <c r="A110" s="14"/>
      <c r="B110" s="15">
        <v>19748</v>
      </c>
      <c r="C110" s="29">
        <v>300000</v>
      </c>
      <c r="D110" s="16">
        <v>45858</v>
      </c>
      <c r="E110" s="15" t="s">
        <v>2</v>
      </c>
      <c r="F110" s="29">
        <v>0</v>
      </c>
      <c r="G110" s="29">
        <v>0</v>
      </c>
      <c r="H110" s="29">
        <v>310320</v>
      </c>
      <c r="I110" s="15">
        <v>30</v>
      </c>
      <c r="J110" s="15">
        <v>15</v>
      </c>
      <c r="K110" s="30">
        <v>2300000</v>
      </c>
      <c r="L110" s="17">
        <v>45889</v>
      </c>
      <c r="M110" s="18">
        <v>310320</v>
      </c>
      <c r="N110" s="16">
        <v>45889</v>
      </c>
      <c r="O110" s="19"/>
      <c r="P110" s="20">
        <v>10320</v>
      </c>
      <c r="Q110" s="29">
        <v>300000</v>
      </c>
      <c r="R110" s="9" t="s">
        <v>180</v>
      </c>
    </row>
    <row r="111" spans="1:18" ht="12" customHeight="1" x14ac:dyDescent="0.25">
      <c r="A111" s="14"/>
      <c r="B111" s="15">
        <v>19754</v>
      </c>
      <c r="C111" s="29">
        <v>176885</v>
      </c>
      <c r="D111" s="16">
        <v>45859</v>
      </c>
      <c r="E111" s="15" t="s">
        <v>2</v>
      </c>
      <c r="F111" s="29">
        <v>0</v>
      </c>
      <c r="G111" s="29">
        <v>0</v>
      </c>
      <c r="H111" s="29">
        <v>180419.95</v>
      </c>
      <c r="I111" s="15">
        <v>15</v>
      </c>
      <c r="J111" s="15">
        <v>10</v>
      </c>
      <c r="K111" s="30">
        <v>403000</v>
      </c>
      <c r="L111" s="17">
        <v>45875</v>
      </c>
      <c r="M111" s="18">
        <v>180420</v>
      </c>
      <c r="N111" s="16">
        <v>45879</v>
      </c>
      <c r="O111" s="19"/>
      <c r="P111" s="20">
        <v>3534.96</v>
      </c>
      <c r="Q111" s="29">
        <v>176885.04</v>
      </c>
      <c r="R111" s="9" t="s">
        <v>180</v>
      </c>
    </row>
    <row r="112" spans="1:18" ht="12" customHeight="1" x14ac:dyDescent="0.25">
      <c r="A112" s="14"/>
      <c r="B112" s="15">
        <v>19770</v>
      </c>
      <c r="C112" s="29">
        <v>80403</v>
      </c>
      <c r="D112" s="16">
        <v>45860</v>
      </c>
      <c r="E112" s="15" t="s">
        <v>2</v>
      </c>
      <c r="F112" s="29">
        <v>0</v>
      </c>
      <c r="G112" s="29">
        <v>0</v>
      </c>
      <c r="H112" s="29">
        <v>84819.01</v>
      </c>
      <c r="I112" s="15">
        <v>45</v>
      </c>
      <c r="J112" s="15">
        <v>26</v>
      </c>
      <c r="K112" s="30">
        <v>90000</v>
      </c>
      <c r="L112" s="17">
        <v>45908</v>
      </c>
      <c r="M112" s="18">
        <v>84819</v>
      </c>
      <c r="N112" s="16">
        <v>45916</v>
      </c>
      <c r="O112" s="19"/>
      <c r="P112" s="20">
        <v>4416.01</v>
      </c>
      <c r="Q112" s="29">
        <v>80402.990000000005</v>
      </c>
      <c r="R112" s="9" t="s">
        <v>180</v>
      </c>
    </row>
    <row r="113" spans="1:19" ht="12" customHeight="1" x14ac:dyDescent="0.25">
      <c r="A113" s="14"/>
      <c r="B113" s="15">
        <v>19765</v>
      </c>
      <c r="C113" s="29">
        <v>174804</v>
      </c>
      <c r="D113" s="16">
        <v>45861</v>
      </c>
      <c r="E113" s="15" t="s">
        <v>2</v>
      </c>
      <c r="F113" s="29">
        <v>0</v>
      </c>
      <c r="G113" s="29">
        <v>0</v>
      </c>
      <c r="H113" s="29">
        <v>177805.56</v>
      </c>
      <c r="I113" s="15">
        <v>10</v>
      </c>
      <c r="J113" s="15">
        <v>13</v>
      </c>
      <c r="K113" s="30">
        <v>1260000</v>
      </c>
      <c r="L113" s="17">
        <v>45873</v>
      </c>
      <c r="M113" s="18">
        <v>177805</v>
      </c>
      <c r="N113" s="16">
        <v>45875</v>
      </c>
      <c r="O113" s="19"/>
      <c r="P113" s="20">
        <v>3001.55</v>
      </c>
      <c r="Q113" s="29">
        <v>174803.45</v>
      </c>
      <c r="R113" s="9" t="s">
        <v>180</v>
      </c>
    </row>
    <row r="114" spans="1:19" ht="12" customHeight="1" x14ac:dyDescent="0.25">
      <c r="A114" s="14"/>
      <c r="B114" s="15">
        <v>19769</v>
      </c>
      <c r="C114" s="29">
        <v>86909</v>
      </c>
      <c r="D114" s="16">
        <v>45861</v>
      </c>
      <c r="E114" s="15" t="s">
        <v>2</v>
      </c>
      <c r="F114" s="29">
        <v>0</v>
      </c>
      <c r="G114" s="29">
        <v>0</v>
      </c>
      <c r="H114" s="29">
        <v>89903.93</v>
      </c>
      <c r="I114" s="15">
        <v>30</v>
      </c>
      <c r="J114" s="15">
        <v>20</v>
      </c>
      <c r="K114" s="30">
        <v>686000</v>
      </c>
      <c r="L114" s="17">
        <v>45893</v>
      </c>
      <c r="M114" s="18">
        <v>89904</v>
      </c>
      <c r="N114" s="16">
        <v>45894</v>
      </c>
      <c r="O114" s="19"/>
      <c r="P114" s="20">
        <v>2994.93</v>
      </c>
      <c r="Q114" s="29">
        <v>86909.07</v>
      </c>
      <c r="R114" s="9" t="s">
        <v>180</v>
      </c>
    </row>
    <row r="115" spans="1:19" ht="12" customHeight="1" x14ac:dyDescent="0.25">
      <c r="A115" s="14"/>
      <c r="B115" s="15">
        <v>19771</v>
      </c>
      <c r="C115" s="29">
        <v>299982</v>
      </c>
      <c r="D115" s="16">
        <v>45861</v>
      </c>
      <c r="E115" s="15" t="s">
        <v>4</v>
      </c>
      <c r="F115" s="29">
        <v>310431.71999999997</v>
      </c>
      <c r="G115" s="29">
        <v>310431.71999999997</v>
      </c>
      <c r="H115" s="29">
        <v>310431.71999999997</v>
      </c>
      <c r="I115" s="15">
        <v>30</v>
      </c>
      <c r="J115" s="15">
        <v>33</v>
      </c>
      <c r="K115" s="30">
        <v>310000</v>
      </c>
      <c r="L115" s="17">
        <v>45893</v>
      </c>
      <c r="M115" s="18">
        <v>0</v>
      </c>
      <c r="N115" s="16"/>
      <c r="O115" s="19">
        <v>251</v>
      </c>
      <c r="P115" s="20">
        <v>0</v>
      </c>
      <c r="Q115" s="29">
        <v>0</v>
      </c>
      <c r="R115" s="9" t="s">
        <v>180</v>
      </c>
      <c r="S115" s="10" t="s">
        <v>635</v>
      </c>
    </row>
    <row r="116" spans="1:19" ht="12" customHeight="1" x14ac:dyDescent="0.25">
      <c r="A116" s="14"/>
      <c r="B116" s="15">
        <v>19774</v>
      </c>
      <c r="C116" s="29">
        <v>43470</v>
      </c>
      <c r="D116" s="16">
        <v>45861</v>
      </c>
      <c r="E116" s="15" t="s">
        <v>2</v>
      </c>
      <c r="F116" s="29">
        <v>0</v>
      </c>
      <c r="G116" s="29">
        <v>0</v>
      </c>
      <c r="H116" s="29">
        <v>48469.14</v>
      </c>
      <c r="I116" s="15">
        <v>90</v>
      </c>
      <c r="J116" s="15">
        <v>35</v>
      </c>
      <c r="K116" s="30">
        <v>550000</v>
      </c>
      <c r="L116" s="17">
        <v>45952</v>
      </c>
      <c r="M116" s="18">
        <v>48474.75</v>
      </c>
      <c r="N116" s="16">
        <v>45963</v>
      </c>
      <c r="O116" s="19"/>
      <c r="P116" s="20">
        <v>4999.72</v>
      </c>
      <c r="Q116" s="29">
        <v>43475.03</v>
      </c>
      <c r="R116" s="9" t="s">
        <v>180</v>
      </c>
    </row>
    <row r="117" spans="1:19" ht="12" customHeight="1" x14ac:dyDescent="0.25">
      <c r="A117" s="14"/>
      <c r="B117" s="15">
        <v>19775</v>
      </c>
      <c r="C117" s="29">
        <v>130008</v>
      </c>
      <c r="D117" s="16">
        <v>45862</v>
      </c>
      <c r="E117" s="15" t="s">
        <v>2</v>
      </c>
      <c r="F117" s="29">
        <v>0</v>
      </c>
      <c r="G117" s="29">
        <v>0</v>
      </c>
      <c r="H117" s="29">
        <v>134500.51999999999</v>
      </c>
      <c r="I117" s="15">
        <v>30</v>
      </c>
      <c r="J117" s="15">
        <v>17</v>
      </c>
      <c r="K117" s="30">
        <v>2400000</v>
      </c>
      <c r="L117" s="17">
        <v>45893</v>
      </c>
      <c r="M117" s="18">
        <v>134500</v>
      </c>
      <c r="N117" s="16">
        <v>45893</v>
      </c>
      <c r="O117" s="19"/>
      <c r="P117" s="20">
        <v>4492.5</v>
      </c>
      <c r="Q117" s="29">
        <v>130007.5</v>
      </c>
      <c r="R117" s="9" t="s">
        <v>180</v>
      </c>
    </row>
    <row r="118" spans="1:19" ht="12" customHeight="1" x14ac:dyDescent="0.25">
      <c r="A118" s="14"/>
      <c r="B118" s="15">
        <v>19776</v>
      </c>
      <c r="C118" s="29">
        <v>150000</v>
      </c>
      <c r="D118" s="16">
        <v>45865</v>
      </c>
      <c r="E118" s="15" t="s">
        <v>2</v>
      </c>
      <c r="F118" s="29">
        <v>0</v>
      </c>
      <c r="G118" s="29">
        <v>0</v>
      </c>
      <c r="H118" s="29">
        <v>151700</v>
      </c>
      <c r="I118" s="15">
        <v>4</v>
      </c>
      <c r="J118" s="15">
        <v>3</v>
      </c>
      <c r="K118" s="30">
        <v>1000000</v>
      </c>
      <c r="L118" s="17">
        <v>45869</v>
      </c>
      <c r="M118" s="18">
        <v>151700</v>
      </c>
      <c r="N118" s="16">
        <v>45872</v>
      </c>
      <c r="O118" s="19"/>
      <c r="P118" s="20">
        <v>1700</v>
      </c>
      <c r="Q118" s="29">
        <v>150000</v>
      </c>
      <c r="R118" s="9" t="s">
        <v>180</v>
      </c>
    </row>
    <row r="119" spans="1:19" ht="12" customHeight="1" x14ac:dyDescent="0.25">
      <c r="A119" s="14"/>
      <c r="B119" s="15">
        <v>19777</v>
      </c>
      <c r="C119" s="29">
        <v>120925</v>
      </c>
      <c r="D119" s="16">
        <v>45865</v>
      </c>
      <c r="E119" s="15" t="s">
        <v>2</v>
      </c>
      <c r="F119" s="29">
        <v>0</v>
      </c>
      <c r="G119" s="29">
        <v>0</v>
      </c>
      <c r="H119" s="29">
        <v>122318.91</v>
      </c>
      <c r="I119" s="15">
        <v>4</v>
      </c>
      <c r="J119" s="15">
        <v>3</v>
      </c>
      <c r="K119" s="30">
        <v>1000000</v>
      </c>
      <c r="L119" s="17">
        <v>45869</v>
      </c>
      <c r="M119" s="18">
        <v>122320</v>
      </c>
      <c r="N119" s="16">
        <v>45869</v>
      </c>
      <c r="O119" s="19"/>
      <c r="P119" s="20">
        <v>1393.93</v>
      </c>
      <c r="Q119" s="29">
        <v>120926.07</v>
      </c>
      <c r="R119" s="9" t="s">
        <v>180</v>
      </c>
    </row>
    <row r="120" spans="1:19" ht="12" customHeight="1" x14ac:dyDescent="0.25">
      <c r="A120" s="14"/>
      <c r="B120" s="15">
        <v>19779</v>
      </c>
      <c r="C120" s="29">
        <v>90000</v>
      </c>
      <c r="D120" s="16">
        <v>45865</v>
      </c>
      <c r="E120" s="15" t="s">
        <v>2</v>
      </c>
      <c r="F120" s="29">
        <v>0</v>
      </c>
      <c r="G120" s="29">
        <v>0</v>
      </c>
      <c r="H120" s="29">
        <v>93080</v>
      </c>
      <c r="I120" s="15">
        <v>30</v>
      </c>
      <c r="J120" s="15">
        <v>5</v>
      </c>
      <c r="K120" s="30">
        <v>1600000</v>
      </c>
      <c r="L120" s="17">
        <v>45895</v>
      </c>
      <c r="M120" s="18">
        <v>93080</v>
      </c>
      <c r="N120" s="16">
        <v>45895</v>
      </c>
      <c r="O120" s="19"/>
      <c r="P120" s="20">
        <v>3080</v>
      </c>
      <c r="Q120" s="29">
        <v>90000</v>
      </c>
      <c r="R120" s="9" t="s">
        <v>180</v>
      </c>
    </row>
    <row r="121" spans="1:19" ht="12" customHeight="1" x14ac:dyDescent="0.25">
      <c r="A121" s="14"/>
      <c r="B121" s="15">
        <v>19773</v>
      </c>
      <c r="C121" s="29">
        <v>250125</v>
      </c>
      <c r="D121" s="16">
        <v>45865</v>
      </c>
      <c r="E121" s="15" t="s">
        <v>2</v>
      </c>
      <c r="F121" s="29">
        <v>0</v>
      </c>
      <c r="G121" s="29">
        <v>0</v>
      </c>
      <c r="H121" s="29">
        <v>258750</v>
      </c>
      <c r="I121" s="15">
        <v>30</v>
      </c>
      <c r="J121" s="15">
        <v>6</v>
      </c>
      <c r="K121" s="30">
        <v>810000</v>
      </c>
      <c r="L121" s="17">
        <v>45895</v>
      </c>
      <c r="M121" s="18">
        <v>258750</v>
      </c>
      <c r="N121" s="16">
        <v>45907</v>
      </c>
      <c r="O121" s="19"/>
      <c r="P121" s="20">
        <v>8625</v>
      </c>
      <c r="Q121" s="29">
        <v>250125</v>
      </c>
      <c r="R121" s="9" t="s">
        <v>180</v>
      </c>
    </row>
    <row r="122" spans="1:19" ht="12" customHeight="1" x14ac:dyDescent="0.25">
      <c r="A122" s="14"/>
      <c r="B122" s="15">
        <v>19778</v>
      </c>
      <c r="C122" s="29">
        <v>184128</v>
      </c>
      <c r="D122" s="16">
        <v>45865</v>
      </c>
      <c r="E122" s="15" t="s">
        <v>2</v>
      </c>
      <c r="F122" s="29">
        <v>0</v>
      </c>
      <c r="G122" s="29">
        <v>0</v>
      </c>
      <c r="H122" s="29">
        <v>187279.72</v>
      </c>
      <c r="I122" s="15">
        <v>10</v>
      </c>
      <c r="J122" s="15">
        <v>13</v>
      </c>
      <c r="K122" s="30">
        <v>1260000</v>
      </c>
      <c r="L122" s="17">
        <v>45875</v>
      </c>
      <c r="M122" s="18">
        <v>187258</v>
      </c>
      <c r="N122" s="16">
        <v>45879</v>
      </c>
      <c r="O122" s="19"/>
      <c r="P122" s="20">
        <v>3151.36</v>
      </c>
      <c r="Q122" s="29">
        <v>184106.64</v>
      </c>
      <c r="R122" s="9" t="s">
        <v>180</v>
      </c>
    </row>
    <row r="123" spans="1:19" ht="12" customHeight="1" x14ac:dyDescent="0.25">
      <c r="A123" s="14"/>
      <c r="B123" s="15">
        <v>19788</v>
      </c>
      <c r="C123" s="29">
        <v>144560</v>
      </c>
      <c r="D123" s="16">
        <v>45865</v>
      </c>
      <c r="E123" s="15" t="s">
        <v>2</v>
      </c>
      <c r="F123" s="29">
        <v>0</v>
      </c>
      <c r="G123" s="29">
        <v>0</v>
      </c>
      <c r="H123" s="29">
        <v>149564</v>
      </c>
      <c r="I123" s="15">
        <v>30</v>
      </c>
      <c r="J123" s="15">
        <v>17</v>
      </c>
      <c r="K123" s="30">
        <v>2400000</v>
      </c>
      <c r="L123" s="17">
        <v>45895</v>
      </c>
      <c r="M123" s="18">
        <v>149564</v>
      </c>
      <c r="N123" s="16">
        <v>45895</v>
      </c>
      <c r="O123" s="19"/>
      <c r="P123" s="20">
        <v>5004</v>
      </c>
      <c r="Q123" s="29">
        <v>144560</v>
      </c>
      <c r="R123" s="9" t="s">
        <v>180</v>
      </c>
    </row>
    <row r="124" spans="1:19" ht="12" customHeight="1" x14ac:dyDescent="0.25">
      <c r="A124" s="14"/>
      <c r="B124" s="15">
        <v>19782</v>
      </c>
      <c r="C124" s="29">
        <v>614790</v>
      </c>
      <c r="D124" s="16">
        <v>45865</v>
      </c>
      <c r="E124" s="15" t="s">
        <v>2</v>
      </c>
      <c r="F124" s="29">
        <v>0</v>
      </c>
      <c r="G124" s="29">
        <v>0</v>
      </c>
      <c r="H124" s="29">
        <v>636319.19999999995</v>
      </c>
      <c r="I124" s="15">
        <v>30</v>
      </c>
      <c r="J124" s="15">
        <v>12</v>
      </c>
      <c r="K124" s="30">
        <v>1196000</v>
      </c>
      <c r="L124" s="17">
        <v>45896</v>
      </c>
      <c r="M124" s="18">
        <v>636319</v>
      </c>
      <c r="N124" s="16">
        <v>45900</v>
      </c>
      <c r="O124" s="19"/>
      <c r="P124" s="20">
        <v>21529.19</v>
      </c>
      <c r="Q124" s="29">
        <v>614789.81000000006</v>
      </c>
      <c r="R124" s="9" t="s">
        <v>180</v>
      </c>
    </row>
    <row r="125" spans="1:19" ht="12" customHeight="1" x14ac:dyDescent="0.25">
      <c r="A125" s="14"/>
      <c r="B125" s="15">
        <v>19781</v>
      </c>
      <c r="C125" s="29">
        <v>151800</v>
      </c>
      <c r="D125" s="16">
        <v>45865</v>
      </c>
      <c r="E125" s="15" t="s">
        <v>2</v>
      </c>
      <c r="F125" s="29">
        <v>0</v>
      </c>
      <c r="G125" s="29">
        <v>0</v>
      </c>
      <c r="H125" s="29">
        <v>160147.65</v>
      </c>
      <c r="I125" s="15">
        <v>45</v>
      </c>
      <c r="J125" s="15">
        <v>23</v>
      </c>
      <c r="K125" s="30">
        <v>310000</v>
      </c>
      <c r="L125" s="17">
        <v>45910</v>
      </c>
      <c r="M125" s="18">
        <v>160148</v>
      </c>
      <c r="N125" s="16">
        <v>45924</v>
      </c>
      <c r="O125" s="19"/>
      <c r="P125" s="20">
        <v>8347.67</v>
      </c>
      <c r="Q125" s="29">
        <v>151800.32999999999</v>
      </c>
      <c r="R125" s="9" t="s">
        <v>180</v>
      </c>
    </row>
    <row r="126" spans="1:19" ht="12" customHeight="1" x14ac:dyDescent="0.25">
      <c r="A126" s="14"/>
      <c r="B126" s="15">
        <v>19790</v>
      </c>
      <c r="C126" s="29">
        <v>72500</v>
      </c>
      <c r="D126" s="16">
        <v>45866</v>
      </c>
      <c r="E126" s="15" t="s">
        <v>2</v>
      </c>
      <c r="F126" s="29">
        <v>0</v>
      </c>
      <c r="G126" s="29">
        <v>0</v>
      </c>
      <c r="H126" s="29">
        <v>80003.75</v>
      </c>
      <c r="I126" s="15">
        <v>90</v>
      </c>
      <c r="J126" s="15">
        <v>31</v>
      </c>
      <c r="K126" s="30">
        <v>104000</v>
      </c>
      <c r="L126" s="17">
        <v>45956</v>
      </c>
      <c r="M126" s="18">
        <v>80004</v>
      </c>
      <c r="N126" s="16">
        <v>45952</v>
      </c>
      <c r="O126" s="19"/>
      <c r="P126" s="20">
        <v>7503.77</v>
      </c>
      <c r="Q126" s="29">
        <v>72500.23</v>
      </c>
      <c r="R126" s="9" t="s">
        <v>180</v>
      </c>
    </row>
    <row r="127" spans="1:19" ht="12" customHeight="1" x14ac:dyDescent="0.25">
      <c r="A127" s="14"/>
      <c r="B127" s="15">
        <v>19786</v>
      </c>
      <c r="C127" s="29">
        <v>166329.60000000001</v>
      </c>
      <c r="D127" s="16">
        <v>45867</v>
      </c>
      <c r="E127" s="15" t="s">
        <v>2</v>
      </c>
      <c r="F127" s="29">
        <v>0</v>
      </c>
      <c r="G127" s="29">
        <v>0</v>
      </c>
      <c r="H127" s="29">
        <v>168248.24</v>
      </c>
      <c r="I127" s="15">
        <v>4</v>
      </c>
      <c r="J127" s="15">
        <v>3</v>
      </c>
      <c r="K127" s="30">
        <v>1000000</v>
      </c>
      <c r="L127" s="17">
        <v>45872</v>
      </c>
      <c r="M127" s="18">
        <v>168542</v>
      </c>
      <c r="N127" s="16">
        <v>45874</v>
      </c>
      <c r="O127" s="19"/>
      <c r="P127" s="20">
        <v>1921.99</v>
      </c>
      <c r="Q127" s="29">
        <v>166620.01</v>
      </c>
      <c r="R127" s="9" t="s">
        <v>180</v>
      </c>
    </row>
    <row r="128" spans="1:19" ht="12" customHeight="1" x14ac:dyDescent="0.25">
      <c r="A128" s="14"/>
      <c r="B128" s="15">
        <v>19785</v>
      </c>
      <c r="C128" s="29">
        <v>300000</v>
      </c>
      <c r="D128" s="16">
        <v>45867</v>
      </c>
      <c r="E128" s="15" t="s">
        <v>2</v>
      </c>
      <c r="F128" s="29">
        <v>0</v>
      </c>
      <c r="G128" s="29">
        <v>0</v>
      </c>
      <c r="H128" s="29">
        <v>310320</v>
      </c>
      <c r="I128" s="15">
        <v>30</v>
      </c>
      <c r="J128" s="15">
        <v>5</v>
      </c>
      <c r="K128" s="30">
        <v>1600000</v>
      </c>
      <c r="L128" s="17">
        <v>45897</v>
      </c>
      <c r="M128" s="18">
        <v>310320</v>
      </c>
      <c r="N128" s="16">
        <v>45900</v>
      </c>
      <c r="O128" s="19"/>
      <c r="P128" s="20">
        <v>10320</v>
      </c>
      <c r="Q128" s="29">
        <v>300000</v>
      </c>
      <c r="R128" s="9" t="s">
        <v>180</v>
      </c>
    </row>
    <row r="129" spans="1:19" ht="12" customHeight="1" x14ac:dyDescent="0.25">
      <c r="A129" s="14"/>
      <c r="B129" s="15">
        <v>19780</v>
      </c>
      <c r="C129" s="29">
        <v>106360</v>
      </c>
      <c r="D129" s="16">
        <v>45867</v>
      </c>
      <c r="E129" s="15" t="s">
        <v>2</v>
      </c>
      <c r="F129" s="29">
        <v>0</v>
      </c>
      <c r="G129" s="29">
        <v>0</v>
      </c>
      <c r="H129" s="29">
        <v>108464.2</v>
      </c>
      <c r="I129" s="15">
        <v>15</v>
      </c>
      <c r="J129" s="15">
        <v>18</v>
      </c>
      <c r="K129" s="30">
        <v>600000</v>
      </c>
      <c r="L129" s="17">
        <v>45883</v>
      </c>
      <c r="M129" s="18">
        <v>108464</v>
      </c>
      <c r="N129" s="16">
        <v>45893</v>
      </c>
      <c r="O129" s="19"/>
      <c r="P129" s="20">
        <v>2104.19</v>
      </c>
      <c r="Q129" s="29">
        <v>106359.81</v>
      </c>
      <c r="R129" s="9" t="s">
        <v>180</v>
      </c>
    </row>
    <row r="130" spans="1:19" ht="12" customHeight="1" x14ac:dyDescent="0.25">
      <c r="A130" s="14"/>
      <c r="B130" s="15">
        <v>19796</v>
      </c>
      <c r="C130" s="29">
        <v>300000</v>
      </c>
      <c r="D130" s="16">
        <v>45868</v>
      </c>
      <c r="E130" s="15" t="s">
        <v>2</v>
      </c>
      <c r="F130" s="29">
        <v>0</v>
      </c>
      <c r="G130" s="29">
        <v>0</v>
      </c>
      <c r="H130" s="29">
        <v>310320</v>
      </c>
      <c r="I130" s="15">
        <v>30</v>
      </c>
      <c r="J130" s="15">
        <v>5</v>
      </c>
      <c r="K130" s="30">
        <v>1600000</v>
      </c>
      <c r="L130" s="17">
        <v>45900</v>
      </c>
      <c r="M130" s="18">
        <v>310320</v>
      </c>
      <c r="N130" s="16">
        <v>45901</v>
      </c>
      <c r="O130" s="19"/>
      <c r="P130" s="20">
        <v>10320</v>
      </c>
      <c r="Q130" s="29">
        <v>300000</v>
      </c>
      <c r="R130" s="9" t="s">
        <v>180</v>
      </c>
    </row>
    <row r="131" spans="1:19" ht="12" customHeight="1" x14ac:dyDescent="0.25">
      <c r="A131" s="14"/>
      <c r="B131" s="15">
        <v>19798</v>
      </c>
      <c r="C131" s="29">
        <v>49988</v>
      </c>
      <c r="D131" s="16">
        <v>45868</v>
      </c>
      <c r="E131" s="15" t="s">
        <v>2</v>
      </c>
      <c r="F131" s="29">
        <v>0</v>
      </c>
      <c r="G131" s="29">
        <v>0</v>
      </c>
      <c r="H131" s="29">
        <v>51713.13</v>
      </c>
      <c r="I131" s="15">
        <v>30</v>
      </c>
      <c r="J131" s="15">
        <v>6</v>
      </c>
      <c r="K131" s="30">
        <v>810000</v>
      </c>
      <c r="L131" s="17">
        <v>45900</v>
      </c>
      <c r="M131" s="18">
        <v>51713</v>
      </c>
      <c r="N131" s="16">
        <v>45907</v>
      </c>
      <c r="O131" s="19"/>
      <c r="P131" s="20">
        <v>1725.13</v>
      </c>
      <c r="Q131" s="29">
        <v>49987.87</v>
      </c>
      <c r="R131" s="9" t="s">
        <v>180</v>
      </c>
    </row>
    <row r="132" spans="1:19" ht="12" customHeight="1" x14ac:dyDescent="0.25">
      <c r="A132" s="14"/>
      <c r="B132" s="15">
        <v>19799</v>
      </c>
      <c r="C132" s="29">
        <v>173996</v>
      </c>
      <c r="D132" s="16">
        <v>45868</v>
      </c>
      <c r="E132" s="15" t="s">
        <v>2</v>
      </c>
      <c r="F132" s="29">
        <v>0</v>
      </c>
      <c r="G132" s="29">
        <v>0</v>
      </c>
      <c r="H132" s="29">
        <v>179998.94</v>
      </c>
      <c r="I132" s="15">
        <v>30</v>
      </c>
      <c r="J132" s="15">
        <v>17</v>
      </c>
      <c r="K132" s="30">
        <v>2400000</v>
      </c>
      <c r="L132" s="17">
        <v>45900</v>
      </c>
      <c r="M132" s="18">
        <v>179999</v>
      </c>
      <c r="N132" s="16">
        <v>45902</v>
      </c>
      <c r="O132" s="19"/>
      <c r="P132" s="20">
        <v>6002.95</v>
      </c>
      <c r="Q132" s="29">
        <v>173996.05</v>
      </c>
      <c r="R132" s="9" t="s">
        <v>180</v>
      </c>
    </row>
    <row r="133" spans="1:19" ht="12" customHeight="1" x14ac:dyDescent="0.25">
      <c r="A133" s="14"/>
      <c r="B133" s="15">
        <v>19801</v>
      </c>
      <c r="C133" s="29">
        <v>62700</v>
      </c>
      <c r="D133" s="16">
        <v>45868</v>
      </c>
      <c r="E133" s="15" t="s">
        <v>2</v>
      </c>
      <c r="F133" s="29">
        <v>0</v>
      </c>
      <c r="G133" s="29">
        <v>0</v>
      </c>
      <c r="H133" s="29">
        <v>69189.45</v>
      </c>
      <c r="I133" s="15">
        <v>90</v>
      </c>
      <c r="J133" s="15">
        <v>32</v>
      </c>
      <c r="K133" s="30">
        <v>70000</v>
      </c>
      <c r="L133" s="17">
        <v>45958</v>
      </c>
      <c r="M133" s="18">
        <v>69189</v>
      </c>
      <c r="N133" s="16">
        <v>46050</v>
      </c>
      <c r="O133" s="19"/>
      <c r="P133" s="20">
        <v>6489.41</v>
      </c>
      <c r="Q133" s="29">
        <v>62699.59</v>
      </c>
      <c r="R133" s="9" t="s">
        <v>180</v>
      </c>
    </row>
    <row r="134" spans="1:19" ht="12" customHeight="1" x14ac:dyDescent="0.25">
      <c r="A134" s="14"/>
      <c r="B134" s="15">
        <v>19797</v>
      </c>
      <c r="C134" s="29">
        <v>5050</v>
      </c>
      <c r="D134" s="16">
        <v>45869</v>
      </c>
      <c r="E134" s="15" t="s">
        <v>2</v>
      </c>
      <c r="F134" s="29">
        <v>0</v>
      </c>
      <c r="G134" s="29">
        <v>0</v>
      </c>
      <c r="H134" s="29">
        <v>5108</v>
      </c>
      <c r="I134" s="15">
        <v>4</v>
      </c>
      <c r="J134" s="15">
        <v>3</v>
      </c>
      <c r="K134" s="30">
        <v>1000000</v>
      </c>
      <c r="L134" s="17">
        <v>45873</v>
      </c>
      <c r="M134" s="18">
        <v>5108</v>
      </c>
      <c r="N134" s="16">
        <v>45874</v>
      </c>
      <c r="O134" s="19"/>
      <c r="P134" s="20">
        <v>58</v>
      </c>
      <c r="Q134" s="29">
        <v>5050</v>
      </c>
      <c r="R134" s="9" t="s">
        <v>180</v>
      </c>
    </row>
    <row r="135" spans="1:19" ht="12" customHeight="1" x14ac:dyDescent="0.25">
      <c r="A135" s="14"/>
      <c r="B135" s="15">
        <v>19805</v>
      </c>
      <c r="C135" s="29">
        <v>200000</v>
      </c>
      <c r="D135" s="16">
        <v>45869</v>
      </c>
      <c r="E135" s="15" t="s">
        <v>2</v>
      </c>
      <c r="F135" s="29">
        <v>0</v>
      </c>
      <c r="G135" s="29">
        <v>0</v>
      </c>
      <c r="H135" s="29">
        <v>206880</v>
      </c>
      <c r="I135" s="15">
        <v>30</v>
      </c>
      <c r="J135" s="15">
        <v>5</v>
      </c>
      <c r="K135" s="30">
        <v>1600000</v>
      </c>
      <c r="L135" s="17">
        <v>45903</v>
      </c>
      <c r="M135" s="18">
        <v>206880</v>
      </c>
      <c r="N135" s="16">
        <v>45907</v>
      </c>
      <c r="O135" s="19"/>
      <c r="P135" s="20">
        <v>6880</v>
      </c>
      <c r="Q135" s="29">
        <v>200000</v>
      </c>
      <c r="R135" s="9" t="s">
        <v>180</v>
      </c>
    </row>
    <row r="136" spans="1:19" ht="12" customHeight="1" x14ac:dyDescent="0.25">
      <c r="A136" s="14"/>
      <c r="B136" s="15">
        <v>19804</v>
      </c>
      <c r="C136" s="29">
        <v>48272</v>
      </c>
      <c r="D136" s="16">
        <v>45869</v>
      </c>
      <c r="E136" s="15" t="s">
        <v>2</v>
      </c>
      <c r="F136" s="29">
        <v>0</v>
      </c>
      <c r="G136" s="29">
        <v>0</v>
      </c>
      <c r="H136" s="29">
        <v>49990.51</v>
      </c>
      <c r="I136" s="15">
        <v>30</v>
      </c>
      <c r="J136" s="15">
        <v>22</v>
      </c>
      <c r="K136" s="30">
        <v>200000</v>
      </c>
      <c r="L136" s="17">
        <v>45900</v>
      </c>
      <c r="M136" s="18">
        <v>49987.199999999997</v>
      </c>
      <c r="N136" s="16">
        <v>45900</v>
      </c>
      <c r="O136" s="19"/>
      <c r="P136" s="20">
        <v>1718.4</v>
      </c>
      <c r="Q136" s="29">
        <v>48268.800000000003</v>
      </c>
      <c r="R136" s="9" t="s">
        <v>180</v>
      </c>
    </row>
    <row r="137" spans="1:19" ht="12" customHeight="1" x14ac:dyDescent="0.25">
      <c r="A137" s="14"/>
      <c r="B137" s="15">
        <v>19794</v>
      </c>
      <c r="C137" s="29">
        <v>250002</v>
      </c>
      <c r="D137" s="16">
        <v>45869</v>
      </c>
      <c r="E137" s="15" t="s">
        <v>2</v>
      </c>
      <c r="F137" s="29">
        <v>0</v>
      </c>
      <c r="G137" s="29">
        <v>0</v>
      </c>
      <c r="H137" s="29">
        <v>275892</v>
      </c>
      <c r="I137" s="15">
        <v>90</v>
      </c>
      <c r="J137" s="15">
        <v>40</v>
      </c>
      <c r="K137" s="30">
        <v>420000</v>
      </c>
      <c r="L137" s="17">
        <v>45959</v>
      </c>
      <c r="M137" s="18">
        <v>275893</v>
      </c>
      <c r="N137" s="16">
        <v>45967</v>
      </c>
      <c r="O137" s="19"/>
      <c r="P137" s="20">
        <v>25890.09</v>
      </c>
      <c r="Q137" s="29">
        <v>250002.91</v>
      </c>
      <c r="R137" s="9" t="s">
        <v>180</v>
      </c>
    </row>
    <row r="138" spans="1:19" ht="12" customHeight="1" x14ac:dyDescent="0.25">
      <c r="A138" s="14"/>
      <c r="B138" s="15">
        <v>19863</v>
      </c>
      <c r="C138" s="29">
        <v>598300</v>
      </c>
      <c r="D138" s="16">
        <v>45870</v>
      </c>
      <c r="E138" s="15" t="s">
        <v>4</v>
      </c>
      <c r="F138" s="29">
        <v>594237.32999999996</v>
      </c>
      <c r="G138" s="29">
        <v>594237.32999999996</v>
      </c>
      <c r="H138" s="29">
        <v>619237.32999999996</v>
      </c>
      <c r="I138" s="15">
        <v>30</v>
      </c>
      <c r="J138" s="15">
        <v>14</v>
      </c>
      <c r="K138" s="30">
        <v>620000</v>
      </c>
      <c r="L138" s="17">
        <v>45900</v>
      </c>
      <c r="M138" s="18">
        <v>25000</v>
      </c>
      <c r="N138" s="16">
        <v>45916</v>
      </c>
      <c r="O138" s="19">
        <v>242</v>
      </c>
      <c r="P138" s="20">
        <v>845.29</v>
      </c>
      <c r="Q138" s="29">
        <v>24154.71</v>
      </c>
      <c r="R138" s="9" t="s">
        <v>180</v>
      </c>
      <c r="S138" s="10" t="s">
        <v>636</v>
      </c>
    </row>
    <row r="139" spans="1:19" ht="12" customHeight="1" x14ac:dyDescent="0.25">
      <c r="A139" s="14"/>
      <c r="B139" s="15">
        <v>19809</v>
      </c>
      <c r="C139" s="29">
        <v>200000</v>
      </c>
      <c r="D139" s="16">
        <v>45872</v>
      </c>
      <c r="E139" s="15" t="s">
        <v>2</v>
      </c>
      <c r="F139" s="29">
        <v>0</v>
      </c>
      <c r="G139" s="29">
        <v>0</v>
      </c>
      <c r="H139" s="29">
        <v>206880</v>
      </c>
      <c r="I139" s="15">
        <v>30</v>
      </c>
      <c r="J139" s="15">
        <v>15</v>
      </c>
      <c r="K139" s="30">
        <v>2300000</v>
      </c>
      <c r="L139" s="17">
        <v>45902</v>
      </c>
      <c r="M139" s="18">
        <v>206880</v>
      </c>
      <c r="N139" s="16">
        <v>45902</v>
      </c>
      <c r="O139" s="19"/>
      <c r="P139" s="20">
        <v>6880</v>
      </c>
      <c r="Q139" s="29">
        <v>200000</v>
      </c>
      <c r="R139" s="9" t="s">
        <v>180</v>
      </c>
    </row>
    <row r="140" spans="1:19" ht="12" customHeight="1" x14ac:dyDescent="0.25">
      <c r="A140" s="14"/>
      <c r="B140" s="15">
        <v>19811</v>
      </c>
      <c r="C140" s="29">
        <v>325000</v>
      </c>
      <c r="D140" s="16">
        <v>45873</v>
      </c>
      <c r="E140" s="15" t="s">
        <v>2</v>
      </c>
      <c r="F140" s="29">
        <v>0</v>
      </c>
      <c r="G140" s="29">
        <v>0</v>
      </c>
      <c r="H140" s="29">
        <v>336180</v>
      </c>
      <c r="I140" s="15">
        <v>30</v>
      </c>
      <c r="J140" s="15">
        <v>5</v>
      </c>
      <c r="K140" s="30">
        <v>1600000</v>
      </c>
      <c r="L140" s="17">
        <v>45904</v>
      </c>
      <c r="M140" s="18">
        <v>336180</v>
      </c>
      <c r="N140" s="16">
        <v>45907</v>
      </c>
      <c r="O140" s="19"/>
      <c r="P140" s="20">
        <v>11180</v>
      </c>
      <c r="Q140" s="29">
        <v>325000</v>
      </c>
      <c r="R140" s="9" t="s">
        <v>180</v>
      </c>
    </row>
    <row r="141" spans="1:19" ht="12" customHeight="1" x14ac:dyDescent="0.25">
      <c r="A141" s="14"/>
      <c r="B141" s="15">
        <v>19812</v>
      </c>
      <c r="C141" s="29">
        <v>163564</v>
      </c>
      <c r="D141" s="16">
        <v>45873</v>
      </c>
      <c r="E141" s="15" t="s">
        <v>2</v>
      </c>
      <c r="F141" s="29">
        <v>0</v>
      </c>
      <c r="G141" s="29">
        <v>0</v>
      </c>
      <c r="H141" s="29">
        <v>169203.05</v>
      </c>
      <c r="I141" s="15">
        <v>30</v>
      </c>
      <c r="J141" s="15">
        <v>13</v>
      </c>
      <c r="K141" s="30">
        <v>1260000</v>
      </c>
      <c r="L141" s="17">
        <v>45904</v>
      </c>
      <c r="M141" s="18">
        <v>169203</v>
      </c>
      <c r="N141" s="16">
        <v>45907</v>
      </c>
      <c r="O141" s="19"/>
      <c r="P141" s="20">
        <v>5639.04</v>
      </c>
      <c r="Q141" s="29">
        <v>163563.96</v>
      </c>
      <c r="R141" s="9" t="s">
        <v>180</v>
      </c>
    </row>
    <row r="142" spans="1:19" ht="12" customHeight="1" x14ac:dyDescent="0.25">
      <c r="A142" s="14"/>
      <c r="B142" s="15">
        <v>19813</v>
      </c>
      <c r="C142" s="29">
        <v>179690</v>
      </c>
      <c r="D142" s="16">
        <v>45873</v>
      </c>
      <c r="E142" s="15" t="s">
        <v>2</v>
      </c>
      <c r="F142" s="29">
        <v>0</v>
      </c>
      <c r="G142" s="29">
        <v>0</v>
      </c>
      <c r="H142" s="29">
        <v>191975</v>
      </c>
      <c r="I142" s="15">
        <v>60</v>
      </c>
      <c r="J142" s="15">
        <v>13</v>
      </c>
      <c r="K142" s="30">
        <v>1260000</v>
      </c>
      <c r="L142" s="17">
        <v>45936</v>
      </c>
      <c r="M142" s="18">
        <v>191990</v>
      </c>
      <c r="N142" s="16">
        <v>45939</v>
      </c>
      <c r="O142" s="19"/>
      <c r="P142" s="20">
        <v>12285.96</v>
      </c>
      <c r="Q142" s="29">
        <v>179704.04</v>
      </c>
      <c r="R142" s="9" t="s">
        <v>180</v>
      </c>
    </row>
    <row r="143" spans="1:19" ht="12" customHeight="1" x14ac:dyDescent="0.25">
      <c r="A143" s="14"/>
      <c r="B143" s="15">
        <v>19810</v>
      </c>
      <c r="C143" s="29">
        <v>73865</v>
      </c>
      <c r="D143" s="16">
        <v>45873</v>
      </c>
      <c r="E143" s="15" t="s">
        <v>2</v>
      </c>
      <c r="F143" s="29">
        <v>0</v>
      </c>
      <c r="G143" s="29">
        <v>0</v>
      </c>
      <c r="H143" s="29">
        <v>74715.3</v>
      </c>
      <c r="I143" s="15">
        <v>4</v>
      </c>
      <c r="J143" s="15">
        <v>18</v>
      </c>
      <c r="K143" s="30">
        <v>600000</v>
      </c>
      <c r="L143" s="17">
        <v>45880</v>
      </c>
      <c r="M143" s="18">
        <v>74715</v>
      </c>
      <c r="N143" s="16">
        <v>45879</v>
      </c>
      <c r="O143" s="19"/>
      <c r="P143" s="20">
        <v>850.3</v>
      </c>
      <c r="Q143" s="29">
        <v>73864.7</v>
      </c>
      <c r="R143" s="9" t="s">
        <v>180</v>
      </c>
    </row>
    <row r="144" spans="1:19" ht="12" customHeight="1" x14ac:dyDescent="0.25">
      <c r="A144" s="14"/>
      <c r="B144" s="15">
        <v>19817</v>
      </c>
      <c r="C144" s="29">
        <v>324162</v>
      </c>
      <c r="D144" s="16">
        <v>45873</v>
      </c>
      <c r="E144" s="15" t="s">
        <v>2</v>
      </c>
      <c r="F144" s="29">
        <v>0</v>
      </c>
      <c r="G144" s="29">
        <v>0</v>
      </c>
      <c r="H144" s="29">
        <v>335332.8</v>
      </c>
      <c r="I144" s="15">
        <v>30</v>
      </c>
      <c r="J144" s="15">
        <v>20</v>
      </c>
      <c r="K144" s="30">
        <v>686000</v>
      </c>
      <c r="L144" s="17">
        <v>45904</v>
      </c>
      <c r="M144" s="18">
        <v>335333</v>
      </c>
      <c r="N144" s="16">
        <v>45917</v>
      </c>
      <c r="O144" s="19"/>
      <c r="P144" s="20">
        <v>11170.81</v>
      </c>
      <c r="Q144" s="29">
        <v>324162.19</v>
      </c>
      <c r="R144" s="9" t="s">
        <v>180</v>
      </c>
    </row>
    <row r="145" spans="1:18" ht="12" customHeight="1" x14ac:dyDescent="0.25">
      <c r="A145" s="14"/>
      <c r="B145" s="15">
        <v>20044</v>
      </c>
      <c r="C145" s="29">
        <v>0</v>
      </c>
      <c r="D145" s="16">
        <v>45873</v>
      </c>
      <c r="E145" s="15" t="s">
        <v>2</v>
      </c>
      <c r="F145" s="29">
        <v>0</v>
      </c>
      <c r="G145" s="29">
        <v>0</v>
      </c>
      <c r="H145" s="29">
        <v>3117</v>
      </c>
      <c r="I145" s="15">
        <v>0</v>
      </c>
      <c r="J145" s="15">
        <v>20</v>
      </c>
      <c r="K145" s="30">
        <v>686000</v>
      </c>
      <c r="L145" s="17">
        <v>45873</v>
      </c>
      <c r="M145" s="18">
        <v>3117</v>
      </c>
      <c r="N145" s="16">
        <v>45918</v>
      </c>
      <c r="O145" s="19"/>
      <c r="P145" s="20">
        <v>3117</v>
      </c>
      <c r="Q145" s="29">
        <v>0</v>
      </c>
      <c r="R145" s="9" t="s">
        <v>180</v>
      </c>
    </row>
    <row r="146" spans="1:18" ht="12" customHeight="1" x14ac:dyDescent="0.25">
      <c r="A146" s="14"/>
      <c r="B146" s="15">
        <v>19808</v>
      </c>
      <c r="C146" s="29">
        <v>48408</v>
      </c>
      <c r="D146" s="16">
        <v>45873</v>
      </c>
      <c r="E146" s="15" t="s">
        <v>2</v>
      </c>
      <c r="F146" s="29">
        <v>0</v>
      </c>
      <c r="G146" s="29">
        <v>0</v>
      </c>
      <c r="H146" s="29">
        <v>50073.48</v>
      </c>
      <c r="I146" s="15">
        <v>30</v>
      </c>
      <c r="J146" s="15">
        <v>47</v>
      </c>
      <c r="K146" s="30">
        <v>50000</v>
      </c>
      <c r="L146" s="17">
        <v>45903</v>
      </c>
      <c r="M146" s="18">
        <v>50076</v>
      </c>
      <c r="N146" s="16">
        <v>45915</v>
      </c>
      <c r="O146" s="19"/>
      <c r="P146" s="20">
        <v>1665.56</v>
      </c>
      <c r="Q146" s="29">
        <v>48410.44</v>
      </c>
      <c r="R146" s="9" t="s">
        <v>180</v>
      </c>
    </row>
    <row r="147" spans="1:18" ht="12" customHeight="1" x14ac:dyDescent="0.25">
      <c r="A147" s="14"/>
      <c r="B147" s="15">
        <v>19807</v>
      </c>
      <c r="C147" s="29">
        <v>70000</v>
      </c>
      <c r="D147" s="16">
        <v>45873</v>
      </c>
      <c r="E147" s="15" t="s">
        <v>2</v>
      </c>
      <c r="F147" s="29">
        <v>0</v>
      </c>
      <c r="G147" s="29">
        <v>0</v>
      </c>
      <c r="H147" s="29">
        <v>72415</v>
      </c>
      <c r="I147" s="15">
        <v>30</v>
      </c>
      <c r="J147" s="15">
        <v>43</v>
      </c>
      <c r="K147" s="30">
        <v>89000</v>
      </c>
      <c r="L147" s="17">
        <v>45904</v>
      </c>
      <c r="M147" s="18">
        <v>72415</v>
      </c>
      <c r="N147" s="16">
        <v>45886</v>
      </c>
      <c r="O147" s="19"/>
      <c r="P147" s="20">
        <v>2415</v>
      </c>
      <c r="Q147" s="29">
        <v>70000</v>
      </c>
      <c r="R147" s="9" t="s">
        <v>180</v>
      </c>
    </row>
    <row r="148" spans="1:18" ht="12" customHeight="1" x14ac:dyDescent="0.25">
      <c r="A148" s="14"/>
      <c r="B148" s="15">
        <v>19823</v>
      </c>
      <c r="C148" s="29">
        <v>0</v>
      </c>
      <c r="D148" s="16">
        <v>45874</v>
      </c>
      <c r="E148" s="15" t="s">
        <v>2</v>
      </c>
      <c r="F148" s="29">
        <v>0</v>
      </c>
      <c r="G148" s="29">
        <v>0</v>
      </c>
      <c r="H148" s="29">
        <v>1103.43</v>
      </c>
      <c r="I148" s="15">
        <v>0</v>
      </c>
      <c r="J148" s="15">
        <v>25</v>
      </c>
      <c r="K148" s="30">
        <v>110000</v>
      </c>
      <c r="L148" s="17">
        <v>45874</v>
      </c>
      <c r="M148" s="18">
        <v>1103</v>
      </c>
      <c r="N148" s="16">
        <v>45946</v>
      </c>
      <c r="O148" s="19"/>
      <c r="P148" s="20">
        <v>1103</v>
      </c>
      <c r="Q148" s="29">
        <v>0</v>
      </c>
      <c r="R148" s="9" t="s">
        <v>180</v>
      </c>
    </row>
    <row r="149" spans="1:18" ht="12" customHeight="1" x14ac:dyDescent="0.25">
      <c r="A149" s="14"/>
      <c r="B149" s="15">
        <v>19848</v>
      </c>
      <c r="C149" s="29">
        <v>0</v>
      </c>
      <c r="D149" s="16">
        <v>45874</v>
      </c>
      <c r="E149" s="15" t="s">
        <v>2</v>
      </c>
      <c r="F149" s="29">
        <v>0</v>
      </c>
      <c r="G149" s="29">
        <v>0</v>
      </c>
      <c r="H149" s="29">
        <v>944</v>
      </c>
      <c r="I149" s="15">
        <v>0</v>
      </c>
      <c r="J149" s="15">
        <v>25</v>
      </c>
      <c r="K149" s="30">
        <v>110000</v>
      </c>
      <c r="L149" s="17">
        <v>45874</v>
      </c>
      <c r="M149" s="18">
        <v>945.15</v>
      </c>
      <c r="N149" s="16">
        <v>45946</v>
      </c>
      <c r="O149" s="19"/>
      <c r="P149" s="20">
        <v>945.15</v>
      </c>
      <c r="Q149" s="29">
        <v>0</v>
      </c>
      <c r="R149" s="9" t="s">
        <v>180</v>
      </c>
    </row>
    <row r="150" spans="1:18" ht="12" customHeight="1" x14ac:dyDescent="0.25">
      <c r="A150" s="14"/>
      <c r="B150" s="15">
        <v>19821</v>
      </c>
      <c r="C150" s="29">
        <v>164144</v>
      </c>
      <c r="D150" s="16">
        <v>45874</v>
      </c>
      <c r="E150" s="15" t="s">
        <v>2</v>
      </c>
      <c r="F150" s="29">
        <v>0</v>
      </c>
      <c r="G150" s="29">
        <v>0</v>
      </c>
      <c r="H150" s="29">
        <v>169799.86</v>
      </c>
      <c r="I150" s="15">
        <v>30</v>
      </c>
      <c r="J150" s="15">
        <v>28</v>
      </c>
      <c r="K150" s="30">
        <v>170000</v>
      </c>
      <c r="L150" s="17">
        <v>45907</v>
      </c>
      <c r="M150" s="18">
        <v>169800</v>
      </c>
      <c r="N150" s="16">
        <v>45944</v>
      </c>
      <c r="O150" s="19"/>
      <c r="P150" s="20">
        <v>5655.86</v>
      </c>
      <c r="Q150" s="29">
        <v>164144.14000000001</v>
      </c>
      <c r="R150" s="9" t="s">
        <v>180</v>
      </c>
    </row>
    <row r="151" spans="1:18" ht="12" customHeight="1" x14ac:dyDescent="0.25">
      <c r="A151" s="14"/>
      <c r="B151" s="15">
        <v>19818</v>
      </c>
      <c r="C151" s="29">
        <v>500187</v>
      </c>
      <c r="D151" s="16">
        <v>45874</v>
      </c>
      <c r="E151" s="15" t="s">
        <v>2</v>
      </c>
      <c r="F151" s="29">
        <v>0</v>
      </c>
      <c r="G151" s="29">
        <v>0</v>
      </c>
      <c r="H151" s="29">
        <v>551956.35</v>
      </c>
      <c r="I151" s="15">
        <v>90</v>
      </c>
      <c r="J151" s="15">
        <v>37</v>
      </c>
      <c r="K151" s="30">
        <v>1500000</v>
      </c>
      <c r="L151" s="17">
        <v>45964</v>
      </c>
      <c r="M151" s="18">
        <v>551956.31999999995</v>
      </c>
      <c r="N151" s="16">
        <v>45966</v>
      </c>
      <c r="O151" s="19"/>
      <c r="P151" s="20">
        <v>51769.34</v>
      </c>
      <c r="Q151" s="29">
        <v>500186.98</v>
      </c>
      <c r="R151" s="9" t="s">
        <v>180</v>
      </c>
    </row>
    <row r="152" spans="1:18" ht="12" customHeight="1" x14ac:dyDescent="0.25">
      <c r="A152" s="14"/>
      <c r="B152" s="15">
        <v>19819</v>
      </c>
      <c r="C152" s="29">
        <v>503354</v>
      </c>
      <c r="D152" s="16">
        <v>45874</v>
      </c>
      <c r="E152" s="15" t="s">
        <v>2</v>
      </c>
      <c r="F152" s="29">
        <v>0</v>
      </c>
      <c r="G152" s="29">
        <v>0</v>
      </c>
      <c r="H152" s="29">
        <v>555452.03</v>
      </c>
      <c r="I152" s="15">
        <v>90</v>
      </c>
      <c r="J152" s="15">
        <v>37</v>
      </c>
      <c r="K152" s="30">
        <v>1500000</v>
      </c>
      <c r="L152" s="17">
        <v>45964</v>
      </c>
      <c r="M152" s="18">
        <v>555452</v>
      </c>
      <c r="N152" s="16">
        <v>45991</v>
      </c>
      <c r="O152" s="19"/>
      <c r="P152" s="20">
        <v>52098.03</v>
      </c>
      <c r="Q152" s="29">
        <v>503353.97</v>
      </c>
      <c r="R152" s="9" t="s">
        <v>180</v>
      </c>
    </row>
    <row r="153" spans="1:18" ht="12" customHeight="1" x14ac:dyDescent="0.25">
      <c r="A153" s="14"/>
      <c r="B153" s="15">
        <v>19827</v>
      </c>
      <c r="C153" s="29">
        <v>332500</v>
      </c>
      <c r="D153" s="16">
        <v>45875</v>
      </c>
      <c r="E153" s="15" t="s">
        <v>2</v>
      </c>
      <c r="F153" s="29">
        <v>0</v>
      </c>
      <c r="G153" s="29">
        <v>0</v>
      </c>
      <c r="H153" s="29">
        <v>343938</v>
      </c>
      <c r="I153" s="15">
        <v>30</v>
      </c>
      <c r="J153" s="15">
        <v>5</v>
      </c>
      <c r="K153" s="30">
        <v>1600000</v>
      </c>
      <c r="L153" s="17">
        <v>45908</v>
      </c>
      <c r="M153" s="18">
        <v>343938</v>
      </c>
      <c r="N153" s="16">
        <v>45911</v>
      </c>
      <c r="O153" s="19"/>
      <c r="P153" s="20">
        <v>11438</v>
      </c>
      <c r="Q153" s="29">
        <v>332500</v>
      </c>
      <c r="R153" s="9" t="s">
        <v>180</v>
      </c>
    </row>
    <row r="154" spans="1:18" ht="12" customHeight="1" x14ac:dyDescent="0.25">
      <c r="A154" s="14"/>
      <c r="B154" s="15">
        <v>19815</v>
      </c>
      <c r="C154" s="29">
        <v>164729</v>
      </c>
      <c r="D154" s="16">
        <v>45875</v>
      </c>
      <c r="E154" s="15" t="s">
        <v>2</v>
      </c>
      <c r="F154" s="29">
        <v>0</v>
      </c>
      <c r="G154" s="29">
        <v>0</v>
      </c>
      <c r="H154" s="29">
        <v>166636.04</v>
      </c>
      <c r="I154" s="15">
        <v>4</v>
      </c>
      <c r="J154" s="15">
        <v>18</v>
      </c>
      <c r="K154" s="30">
        <v>600000</v>
      </c>
      <c r="L154" s="17">
        <v>45880</v>
      </c>
      <c r="M154" s="18">
        <v>166635</v>
      </c>
      <c r="N154" s="16">
        <v>45881</v>
      </c>
      <c r="O154" s="19"/>
      <c r="P154" s="20">
        <v>1907.03</v>
      </c>
      <c r="Q154" s="29">
        <v>164727.97</v>
      </c>
      <c r="R154" s="9" t="s">
        <v>180</v>
      </c>
    </row>
    <row r="155" spans="1:18" ht="12" customHeight="1" x14ac:dyDescent="0.25">
      <c r="A155" s="14"/>
      <c r="B155" s="15">
        <v>19806</v>
      </c>
      <c r="C155" s="29">
        <v>29889</v>
      </c>
      <c r="D155" s="16">
        <v>45875</v>
      </c>
      <c r="E155" s="15" t="s">
        <v>2</v>
      </c>
      <c r="F155" s="29">
        <v>0</v>
      </c>
      <c r="G155" s="29">
        <v>0</v>
      </c>
      <c r="H155" s="29">
        <v>30920.32</v>
      </c>
      <c r="I155" s="15">
        <v>30</v>
      </c>
      <c r="J155" s="15">
        <v>34</v>
      </c>
      <c r="K155" s="30">
        <v>370000</v>
      </c>
      <c r="L155" s="17">
        <v>45907</v>
      </c>
      <c r="M155" s="18">
        <v>30919.8</v>
      </c>
      <c r="N155" s="16">
        <v>45907</v>
      </c>
      <c r="O155" s="19"/>
      <c r="P155" s="20">
        <v>1031.3</v>
      </c>
      <c r="Q155" s="29">
        <v>29888.5</v>
      </c>
      <c r="R155" s="9" t="s">
        <v>180</v>
      </c>
    </row>
    <row r="156" spans="1:18" ht="12" customHeight="1" x14ac:dyDescent="0.25">
      <c r="A156" s="14"/>
      <c r="B156" s="15">
        <v>19822</v>
      </c>
      <c r="C156" s="29">
        <v>18748</v>
      </c>
      <c r="D156" s="16">
        <v>45875</v>
      </c>
      <c r="E156" s="15" t="s">
        <v>2</v>
      </c>
      <c r="F156" s="29">
        <v>0</v>
      </c>
      <c r="G156" s="29">
        <v>0</v>
      </c>
      <c r="H156" s="29">
        <v>19545.79</v>
      </c>
      <c r="I156" s="15">
        <v>30</v>
      </c>
      <c r="J156" s="15">
        <v>46</v>
      </c>
      <c r="K156" s="30">
        <v>30000</v>
      </c>
      <c r="L156" s="17">
        <v>45907</v>
      </c>
      <c r="M156" s="18">
        <v>19483</v>
      </c>
      <c r="N156" s="16">
        <v>45908</v>
      </c>
      <c r="O156" s="19"/>
      <c r="P156" s="20">
        <v>795.22</v>
      </c>
      <c r="Q156" s="29">
        <v>18687.78</v>
      </c>
      <c r="R156" s="9" t="s">
        <v>180</v>
      </c>
    </row>
    <row r="157" spans="1:18" ht="12" customHeight="1" x14ac:dyDescent="0.25">
      <c r="A157" s="14"/>
      <c r="B157" s="15">
        <v>19826</v>
      </c>
      <c r="C157" s="29">
        <v>130281</v>
      </c>
      <c r="D157" s="16">
        <v>45876</v>
      </c>
      <c r="E157" s="15" t="s">
        <v>2</v>
      </c>
      <c r="F157" s="29">
        <v>0</v>
      </c>
      <c r="G157" s="29">
        <v>0</v>
      </c>
      <c r="H157" s="29">
        <v>131773.56</v>
      </c>
      <c r="I157" s="15">
        <v>4</v>
      </c>
      <c r="J157" s="15">
        <v>3</v>
      </c>
      <c r="K157" s="30">
        <v>1000000</v>
      </c>
      <c r="L157" s="17">
        <v>45883</v>
      </c>
      <c r="M157" s="18">
        <v>131773</v>
      </c>
      <c r="N157" s="16">
        <v>45883</v>
      </c>
      <c r="O157" s="19"/>
      <c r="P157" s="20">
        <v>1492.55</v>
      </c>
      <c r="Q157" s="29">
        <v>130280.45</v>
      </c>
      <c r="R157" s="9" t="s">
        <v>180</v>
      </c>
    </row>
    <row r="158" spans="1:18" ht="12" customHeight="1" x14ac:dyDescent="0.25">
      <c r="A158" s="14"/>
      <c r="B158" s="15">
        <v>19828</v>
      </c>
      <c r="C158" s="29">
        <v>136501</v>
      </c>
      <c r="D158" s="16">
        <v>45876</v>
      </c>
      <c r="E158" s="15" t="s">
        <v>2</v>
      </c>
      <c r="F158" s="29">
        <v>0</v>
      </c>
      <c r="G158" s="29">
        <v>0</v>
      </c>
      <c r="H158" s="29">
        <v>141170.85</v>
      </c>
      <c r="I158" s="15">
        <v>30</v>
      </c>
      <c r="J158" s="15">
        <v>13</v>
      </c>
      <c r="K158" s="30">
        <v>1260000</v>
      </c>
      <c r="L158" s="17">
        <v>45907</v>
      </c>
      <c r="M158" s="18">
        <v>141163</v>
      </c>
      <c r="N158" s="16">
        <v>45908</v>
      </c>
      <c r="O158" s="19"/>
      <c r="P158" s="20">
        <v>4669.59</v>
      </c>
      <c r="Q158" s="29">
        <v>136493.41</v>
      </c>
      <c r="R158" s="9" t="s">
        <v>180</v>
      </c>
    </row>
    <row r="159" spans="1:18" ht="12" customHeight="1" x14ac:dyDescent="0.25">
      <c r="A159" s="14"/>
      <c r="B159" s="15">
        <v>19824</v>
      </c>
      <c r="C159" s="29">
        <v>172115</v>
      </c>
      <c r="D159" s="16">
        <v>45876</v>
      </c>
      <c r="E159" s="15" t="s">
        <v>2</v>
      </c>
      <c r="F159" s="29">
        <v>0</v>
      </c>
      <c r="G159" s="29">
        <v>0</v>
      </c>
      <c r="H159" s="29">
        <v>175615.64</v>
      </c>
      <c r="I159" s="15">
        <v>15</v>
      </c>
      <c r="J159" s="15">
        <v>18</v>
      </c>
      <c r="K159" s="30">
        <v>600000</v>
      </c>
      <c r="L159" s="17">
        <v>45894</v>
      </c>
      <c r="M159" s="18">
        <v>175616</v>
      </c>
      <c r="N159" s="16">
        <v>45893</v>
      </c>
      <c r="O159" s="19"/>
      <c r="P159" s="20">
        <v>3500.65</v>
      </c>
      <c r="Q159" s="29">
        <v>172115.35</v>
      </c>
      <c r="R159" s="9" t="s">
        <v>180</v>
      </c>
    </row>
    <row r="160" spans="1:18" ht="12" customHeight="1" x14ac:dyDescent="0.25">
      <c r="A160" s="14"/>
      <c r="B160" s="15">
        <v>19829</v>
      </c>
      <c r="C160" s="29">
        <v>125133</v>
      </c>
      <c r="D160" s="16">
        <v>45876</v>
      </c>
      <c r="E160" s="15" t="s">
        <v>2</v>
      </c>
      <c r="F160" s="29">
        <v>0</v>
      </c>
      <c r="G160" s="29">
        <v>0</v>
      </c>
      <c r="H160" s="29">
        <v>138521.91</v>
      </c>
      <c r="I160" s="15">
        <v>90</v>
      </c>
      <c r="J160" s="15">
        <v>21</v>
      </c>
      <c r="K160" s="30">
        <v>140000</v>
      </c>
      <c r="L160" s="17">
        <v>45966</v>
      </c>
      <c r="M160" s="18">
        <v>138521.92000000001</v>
      </c>
      <c r="N160" s="16">
        <v>45994</v>
      </c>
      <c r="O160" s="19"/>
      <c r="P160" s="20">
        <v>13388.92</v>
      </c>
      <c r="Q160" s="29">
        <v>125133</v>
      </c>
      <c r="R160" s="9" t="s">
        <v>180</v>
      </c>
    </row>
    <row r="161" spans="1:18" ht="12" customHeight="1" x14ac:dyDescent="0.25">
      <c r="A161" s="14"/>
      <c r="B161" s="15">
        <v>19814</v>
      </c>
      <c r="C161" s="29">
        <v>116450</v>
      </c>
      <c r="D161" s="16">
        <v>45879</v>
      </c>
      <c r="E161" s="15" t="s">
        <v>2</v>
      </c>
      <c r="F161" s="29">
        <v>0</v>
      </c>
      <c r="G161" s="29">
        <v>0</v>
      </c>
      <c r="H161" s="29">
        <v>117777.2</v>
      </c>
      <c r="I161" s="15">
        <v>4</v>
      </c>
      <c r="J161" s="15">
        <v>3</v>
      </c>
      <c r="K161" s="30">
        <v>1000000</v>
      </c>
      <c r="L161" s="17">
        <v>45883</v>
      </c>
      <c r="M161" s="18">
        <v>117579.6</v>
      </c>
      <c r="N161" s="16">
        <v>45888</v>
      </c>
      <c r="O161" s="19"/>
      <c r="P161" s="20">
        <v>1324.97</v>
      </c>
      <c r="Q161" s="29">
        <v>116254.63</v>
      </c>
      <c r="R161" s="9" t="s">
        <v>180</v>
      </c>
    </row>
    <row r="162" spans="1:18" ht="12" customHeight="1" x14ac:dyDescent="0.25">
      <c r="A162" s="14"/>
      <c r="B162" s="15">
        <v>19845</v>
      </c>
      <c r="C162" s="29">
        <v>39999</v>
      </c>
      <c r="D162" s="16">
        <v>45879</v>
      </c>
      <c r="E162" s="15" t="s">
        <v>2</v>
      </c>
      <c r="F162" s="29">
        <v>0</v>
      </c>
      <c r="G162" s="29">
        <v>0</v>
      </c>
      <c r="H162" s="29">
        <v>41386.79</v>
      </c>
      <c r="I162" s="15">
        <v>30</v>
      </c>
      <c r="J162" s="15">
        <v>6</v>
      </c>
      <c r="K162" s="30">
        <v>810000</v>
      </c>
      <c r="L162" s="17">
        <v>45909</v>
      </c>
      <c r="M162" s="18">
        <v>41387</v>
      </c>
      <c r="N162" s="16">
        <v>45921</v>
      </c>
      <c r="O162" s="19"/>
      <c r="P162" s="20">
        <v>1387.8</v>
      </c>
      <c r="Q162" s="29">
        <v>39999.199999999997</v>
      </c>
      <c r="R162" s="9" t="s">
        <v>180</v>
      </c>
    </row>
    <row r="163" spans="1:18" ht="12" customHeight="1" x14ac:dyDescent="0.25">
      <c r="A163" s="14"/>
      <c r="B163" s="15">
        <v>19835</v>
      </c>
      <c r="C163" s="29">
        <v>179690</v>
      </c>
      <c r="D163" s="16">
        <v>45879</v>
      </c>
      <c r="E163" s="15" t="s">
        <v>2</v>
      </c>
      <c r="F163" s="29">
        <v>0</v>
      </c>
      <c r="G163" s="29">
        <v>0</v>
      </c>
      <c r="H163" s="29">
        <v>191975</v>
      </c>
      <c r="I163" s="15">
        <v>60</v>
      </c>
      <c r="J163" s="15">
        <v>13</v>
      </c>
      <c r="K163" s="30">
        <v>1260000</v>
      </c>
      <c r="L163" s="17">
        <v>45939</v>
      </c>
      <c r="M163" s="18">
        <v>191975</v>
      </c>
      <c r="N163" s="16">
        <v>45942</v>
      </c>
      <c r="O163" s="19"/>
      <c r="P163" s="20">
        <v>12285</v>
      </c>
      <c r="Q163" s="29">
        <v>179690</v>
      </c>
      <c r="R163" s="9" t="s">
        <v>180</v>
      </c>
    </row>
    <row r="164" spans="1:18" ht="12" customHeight="1" x14ac:dyDescent="0.25">
      <c r="A164" s="14"/>
      <c r="B164" s="15">
        <v>19861</v>
      </c>
      <c r="C164" s="29">
        <v>0</v>
      </c>
      <c r="D164" s="16">
        <v>45879</v>
      </c>
      <c r="E164" s="15" t="s">
        <v>2</v>
      </c>
      <c r="F164" s="29">
        <v>0</v>
      </c>
      <c r="G164" s="29">
        <v>0</v>
      </c>
      <c r="H164" s="29">
        <v>6880</v>
      </c>
      <c r="I164" s="15">
        <v>0</v>
      </c>
      <c r="J164" s="15">
        <v>14</v>
      </c>
      <c r="K164" s="30">
        <v>620000</v>
      </c>
      <c r="L164" s="17">
        <v>45879</v>
      </c>
      <c r="M164" s="18">
        <v>6877</v>
      </c>
      <c r="N164" s="16">
        <v>45887</v>
      </c>
      <c r="O164" s="19"/>
      <c r="P164" s="20">
        <v>6877</v>
      </c>
      <c r="Q164" s="29">
        <v>0</v>
      </c>
      <c r="R164" s="9" t="s">
        <v>180</v>
      </c>
    </row>
    <row r="165" spans="1:18" ht="12" customHeight="1" x14ac:dyDescent="0.25">
      <c r="A165" s="14"/>
      <c r="B165" s="15">
        <v>19842</v>
      </c>
      <c r="C165" s="29">
        <v>39168</v>
      </c>
      <c r="D165" s="16">
        <v>45879</v>
      </c>
      <c r="E165" s="15" t="s">
        <v>2</v>
      </c>
      <c r="F165" s="29">
        <v>0</v>
      </c>
      <c r="G165" s="29">
        <v>0</v>
      </c>
      <c r="H165" s="29">
        <v>40550.400000000001</v>
      </c>
      <c r="I165" s="15">
        <v>30</v>
      </c>
      <c r="J165" s="15">
        <v>16</v>
      </c>
      <c r="K165" s="30">
        <v>364000</v>
      </c>
      <c r="L165" s="17">
        <v>45909</v>
      </c>
      <c r="M165" s="18">
        <v>40550</v>
      </c>
      <c r="N165" s="16">
        <v>45910</v>
      </c>
      <c r="O165" s="19"/>
      <c r="P165" s="20">
        <v>1382.39</v>
      </c>
      <c r="Q165" s="29">
        <v>39167.61</v>
      </c>
      <c r="R165" s="9" t="s">
        <v>180</v>
      </c>
    </row>
    <row r="166" spans="1:18" ht="12" customHeight="1" x14ac:dyDescent="0.25">
      <c r="A166" s="14"/>
      <c r="B166" s="15">
        <v>19841</v>
      </c>
      <c r="C166" s="29">
        <v>172801</v>
      </c>
      <c r="D166" s="16">
        <v>45879</v>
      </c>
      <c r="E166" s="15" t="s">
        <v>2</v>
      </c>
      <c r="F166" s="29">
        <v>0</v>
      </c>
      <c r="G166" s="29">
        <v>0</v>
      </c>
      <c r="H166" s="29">
        <v>178772.67</v>
      </c>
      <c r="I166" s="15">
        <v>30</v>
      </c>
      <c r="J166" s="15">
        <v>16</v>
      </c>
      <c r="K166" s="30">
        <v>364000</v>
      </c>
      <c r="L166" s="17">
        <v>45909</v>
      </c>
      <c r="M166" s="18">
        <v>178773</v>
      </c>
      <c r="N166" s="16">
        <v>45924</v>
      </c>
      <c r="O166" s="19"/>
      <c r="P166" s="20">
        <v>5971.68</v>
      </c>
      <c r="Q166" s="29">
        <v>172801.32</v>
      </c>
      <c r="R166" s="9" t="s">
        <v>180</v>
      </c>
    </row>
    <row r="167" spans="1:18" ht="12" customHeight="1" x14ac:dyDescent="0.25">
      <c r="A167" s="14"/>
      <c r="B167" s="15">
        <v>19849</v>
      </c>
      <c r="C167" s="29">
        <v>100040</v>
      </c>
      <c r="D167" s="16">
        <v>45879</v>
      </c>
      <c r="E167" s="15" t="s">
        <v>2</v>
      </c>
      <c r="F167" s="29">
        <v>0</v>
      </c>
      <c r="G167" s="29">
        <v>0</v>
      </c>
      <c r="H167" s="29">
        <v>103493.59</v>
      </c>
      <c r="I167" s="15">
        <v>30</v>
      </c>
      <c r="J167" s="15">
        <v>29</v>
      </c>
      <c r="K167" s="30">
        <v>1240000</v>
      </c>
      <c r="L167" s="17">
        <v>45910</v>
      </c>
      <c r="M167" s="18">
        <v>103492.55</v>
      </c>
      <c r="N167" s="16">
        <v>45910</v>
      </c>
      <c r="O167" s="19"/>
      <c r="P167" s="20">
        <v>3453.56</v>
      </c>
      <c r="Q167" s="29">
        <v>100038.99</v>
      </c>
      <c r="R167" s="9" t="s">
        <v>180</v>
      </c>
    </row>
    <row r="168" spans="1:18" ht="12" customHeight="1" x14ac:dyDescent="0.25">
      <c r="A168" s="14"/>
      <c r="B168" s="15">
        <v>19844</v>
      </c>
      <c r="C168" s="29">
        <v>170001</v>
      </c>
      <c r="D168" s="16">
        <v>45879</v>
      </c>
      <c r="E168" s="15" t="s">
        <v>2</v>
      </c>
      <c r="F168" s="29">
        <v>0</v>
      </c>
      <c r="G168" s="29">
        <v>0</v>
      </c>
      <c r="H168" s="29">
        <v>187584.11</v>
      </c>
      <c r="I168" s="15">
        <v>90</v>
      </c>
      <c r="J168" s="15">
        <v>40</v>
      </c>
      <c r="K168" s="30">
        <v>420000</v>
      </c>
      <c r="L168" s="17">
        <v>45971</v>
      </c>
      <c r="M168" s="18">
        <v>187630</v>
      </c>
      <c r="N168" s="16">
        <v>45985</v>
      </c>
      <c r="O168" s="19"/>
      <c r="P168" s="20">
        <v>17587.41</v>
      </c>
      <c r="Q168" s="29">
        <v>170042.59</v>
      </c>
      <c r="R168" s="9" t="s">
        <v>180</v>
      </c>
    </row>
    <row r="169" spans="1:18" ht="12" customHeight="1" x14ac:dyDescent="0.25">
      <c r="A169" s="14"/>
      <c r="B169" s="15">
        <v>19833</v>
      </c>
      <c r="C169" s="29">
        <v>66852</v>
      </c>
      <c r="D169" s="16">
        <v>45879</v>
      </c>
      <c r="E169" s="15" t="s">
        <v>2</v>
      </c>
      <c r="F169" s="29">
        <v>0</v>
      </c>
      <c r="G169" s="29">
        <v>0</v>
      </c>
      <c r="H169" s="29">
        <v>73766.02</v>
      </c>
      <c r="I169" s="15">
        <v>90</v>
      </c>
      <c r="J169" s="15">
        <v>49</v>
      </c>
      <c r="K169" s="30">
        <v>273000</v>
      </c>
      <c r="L169" s="17">
        <v>45970</v>
      </c>
      <c r="M169" s="18">
        <v>73765</v>
      </c>
      <c r="N169" s="16">
        <v>45971</v>
      </c>
      <c r="O169" s="19"/>
      <c r="P169" s="20">
        <v>6913.93</v>
      </c>
      <c r="Q169" s="29">
        <v>66851.070000000007</v>
      </c>
      <c r="R169" s="9" t="s">
        <v>180</v>
      </c>
    </row>
    <row r="170" spans="1:18" ht="12" customHeight="1" x14ac:dyDescent="0.25">
      <c r="A170" s="14"/>
      <c r="B170" s="15">
        <v>19834</v>
      </c>
      <c r="C170" s="29">
        <v>165431</v>
      </c>
      <c r="D170" s="16">
        <v>45880</v>
      </c>
      <c r="E170" s="15" t="s">
        <v>2</v>
      </c>
      <c r="F170" s="29">
        <v>0</v>
      </c>
      <c r="G170" s="29">
        <v>0</v>
      </c>
      <c r="H170" s="29">
        <v>167338.28</v>
      </c>
      <c r="I170" s="15">
        <v>4</v>
      </c>
      <c r="J170" s="15">
        <v>3</v>
      </c>
      <c r="K170" s="30">
        <v>1000000</v>
      </c>
      <c r="L170" s="17">
        <v>45886</v>
      </c>
      <c r="M170" s="18">
        <v>167338</v>
      </c>
      <c r="N170" s="16">
        <v>45888</v>
      </c>
      <c r="O170" s="19"/>
      <c r="P170" s="20">
        <v>1907.27</v>
      </c>
      <c r="Q170" s="29">
        <v>165430.73000000001</v>
      </c>
      <c r="R170" s="9" t="s">
        <v>180</v>
      </c>
    </row>
    <row r="171" spans="1:18" ht="12" customHeight="1" x14ac:dyDescent="0.25">
      <c r="A171" s="14"/>
      <c r="B171" s="15">
        <v>19838</v>
      </c>
      <c r="C171" s="29">
        <v>176200</v>
      </c>
      <c r="D171" s="16">
        <v>45880</v>
      </c>
      <c r="E171" s="15" t="s">
        <v>2</v>
      </c>
      <c r="F171" s="29">
        <v>0</v>
      </c>
      <c r="G171" s="29">
        <v>0</v>
      </c>
      <c r="H171" s="29">
        <v>188245.3</v>
      </c>
      <c r="I171" s="15">
        <v>60</v>
      </c>
      <c r="J171" s="15">
        <v>13</v>
      </c>
      <c r="K171" s="30">
        <v>1260000</v>
      </c>
      <c r="L171" s="17">
        <v>45942</v>
      </c>
      <c r="M171" s="18">
        <v>188245</v>
      </c>
      <c r="N171" s="16">
        <v>45943</v>
      </c>
      <c r="O171" s="19"/>
      <c r="P171" s="20">
        <v>12045.28</v>
      </c>
      <c r="Q171" s="29">
        <v>176199.72</v>
      </c>
      <c r="R171" s="9" t="s">
        <v>180</v>
      </c>
    </row>
    <row r="172" spans="1:18" ht="12" customHeight="1" x14ac:dyDescent="0.25">
      <c r="A172" s="14"/>
      <c r="B172" s="15">
        <v>19851</v>
      </c>
      <c r="C172" s="29">
        <v>10830</v>
      </c>
      <c r="D172" s="16">
        <v>45880</v>
      </c>
      <c r="E172" s="15" t="s">
        <v>2</v>
      </c>
      <c r="F172" s="29">
        <v>0</v>
      </c>
      <c r="G172" s="29">
        <v>0</v>
      </c>
      <c r="H172" s="29">
        <v>11226.47</v>
      </c>
      <c r="I172" s="15">
        <v>30</v>
      </c>
      <c r="J172" s="15">
        <v>46</v>
      </c>
      <c r="K172" s="30">
        <v>30000</v>
      </c>
      <c r="L172" s="17">
        <v>45910</v>
      </c>
      <c r="M172" s="18">
        <v>11226.88</v>
      </c>
      <c r="N172" s="16">
        <v>45910</v>
      </c>
      <c r="O172" s="19"/>
      <c r="P172" s="20">
        <v>396.48</v>
      </c>
      <c r="Q172" s="29">
        <v>10830.4</v>
      </c>
      <c r="R172" s="9" t="s">
        <v>180</v>
      </c>
    </row>
    <row r="173" spans="1:18" ht="12" customHeight="1" x14ac:dyDescent="0.25">
      <c r="A173" s="14"/>
      <c r="B173" s="15">
        <v>19852</v>
      </c>
      <c r="C173" s="29">
        <v>87450</v>
      </c>
      <c r="D173" s="16">
        <v>45881</v>
      </c>
      <c r="E173" s="15" t="s">
        <v>2</v>
      </c>
      <c r="F173" s="29">
        <v>0</v>
      </c>
      <c r="G173" s="29">
        <v>0</v>
      </c>
      <c r="H173" s="29">
        <v>90459</v>
      </c>
      <c r="I173" s="15">
        <v>30</v>
      </c>
      <c r="J173" s="15">
        <v>13</v>
      </c>
      <c r="K173" s="30">
        <v>1260000</v>
      </c>
      <c r="L173" s="17">
        <v>45914</v>
      </c>
      <c r="M173" s="18">
        <v>90459</v>
      </c>
      <c r="N173" s="16">
        <v>45914</v>
      </c>
      <c r="O173" s="19"/>
      <c r="P173" s="20">
        <v>3009</v>
      </c>
      <c r="Q173" s="29">
        <v>87450</v>
      </c>
      <c r="R173" s="9" t="s">
        <v>180</v>
      </c>
    </row>
    <row r="174" spans="1:18" ht="12" customHeight="1" x14ac:dyDescent="0.25">
      <c r="A174" s="14"/>
      <c r="B174" s="15">
        <v>19864</v>
      </c>
      <c r="C174" s="29">
        <v>130058</v>
      </c>
      <c r="D174" s="16">
        <v>45881</v>
      </c>
      <c r="E174" s="15" t="s">
        <v>2</v>
      </c>
      <c r="F174" s="29">
        <v>0</v>
      </c>
      <c r="G174" s="29">
        <v>0</v>
      </c>
      <c r="H174" s="29">
        <v>134546.28</v>
      </c>
      <c r="I174" s="15">
        <v>30</v>
      </c>
      <c r="J174" s="15">
        <v>17</v>
      </c>
      <c r="K174" s="30">
        <v>2400000</v>
      </c>
      <c r="L174" s="17">
        <v>45911</v>
      </c>
      <c r="M174" s="18">
        <v>134538</v>
      </c>
      <c r="N174" s="16">
        <v>45914</v>
      </c>
      <c r="O174" s="19"/>
      <c r="P174" s="20">
        <v>4488</v>
      </c>
      <c r="Q174" s="29">
        <v>130050</v>
      </c>
      <c r="R174" s="9" t="s">
        <v>180</v>
      </c>
    </row>
    <row r="175" spans="1:18" ht="12" customHeight="1" x14ac:dyDescent="0.25">
      <c r="A175" s="14"/>
      <c r="B175" s="15">
        <v>19869</v>
      </c>
      <c r="C175" s="29">
        <v>152950</v>
      </c>
      <c r="D175" s="16">
        <v>45881</v>
      </c>
      <c r="E175" s="15" t="s">
        <v>2</v>
      </c>
      <c r="F175" s="29">
        <v>0</v>
      </c>
      <c r="G175" s="29">
        <v>0</v>
      </c>
      <c r="H175" s="29">
        <v>161360</v>
      </c>
      <c r="I175" s="15">
        <v>45</v>
      </c>
      <c r="J175" s="15">
        <v>23</v>
      </c>
      <c r="K175" s="30">
        <v>310000</v>
      </c>
      <c r="L175" s="17">
        <v>45929</v>
      </c>
      <c r="M175" s="18">
        <v>161360</v>
      </c>
      <c r="N175" s="16">
        <v>45929</v>
      </c>
      <c r="O175" s="19"/>
      <c r="P175" s="20">
        <v>8410</v>
      </c>
      <c r="Q175" s="29">
        <v>152950</v>
      </c>
      <c r="R175" s="9" t="s">
        <v>180</v>
      </c>
    </row>
    <row r="176" spans="1:18" ht="12" customHeight="1" x14ac:dyDescent="0.25">
      <c r="A176" s="14"/>
      <c r="B176" s="15">
        <v>19865</v>
      </c>
      <c r="C176" s="29">
        <v>200022</v>
      </c>
      <c r="D176" s="16">
        <v>45881</v>
      </c>
      <c r="E176" s="15" t="s">
        <v>2</v>
      </c>
      <c r="F176" s="29">
        <v>0</v>
      </c>
      <c r="G176" s="29">
        <v>0</v>
      </c>
      <c r="H176" s="29">
        <v>220707.21</v>
      </c>
      <c r="I176" s="15">
        <v>90</v>
      </c>
      <c r="J176" s="15">
        <v>24</v>
      </c>
      <c r="K176" s="30">
        <v>230000</v>
      </c>
      <c r="L176" s="17">
        <v>45972</v>
      </c>
      <c r="M176" s="18">
        <v>220707</v>
      </c>
      <c r="N176" s="16">
        <v>45985</v>
      </c>
      <c r="O176" s="19"/>
      <c r="P176" s="20">
        <v>20685.189999999999</v>
      </c>
      <c r="Q176" s="29">
        <v>200021.81</v>
      </c>
      <c r="R176" s="9" t="s">
        <v>180</v>
      </c>
    </row>
    <row r="177" spans="1:18" ht="12" customHeight="1" x14ac:dyDescent="0.25">
      <c r="A177" s="14"/>
      <c r="B177" s="15">
        <v>19882</v>
      </c>
      <c r="C177" s="29">
        <v>96329</v>
      </c>
      <c r="D177" s="16">
        <v>45883</v>
      </c>
      <c r="E177" s="15" t="s">
        <v>2</v>
      </c>
      <c r="F177" s="29">
        <v>0</v>
      </c>
      <c r="G177" s="29">
        <v>0</v>
      </c>
      <c r="H177" s="29">
        <v>98226.11</v>
      </c>
      <c r="I177" s="15">
        <v>15</v>
      </c>
      <c r="J177" s="15">
        <v>4</v>
      </c>
      <c r="K177" s="30">
        <v>500000</v>
      </c>
      <c r="L177" s="17">
        <v>45900</v>
      </c>
      <c r="M177" s="18">
        <v>98226.11</v>
      </c>
      <c r="N177" s="16">
        <v>45897</v>
      </c>
      <c r="O177" s="19"/>
      <c r="P177" s="20">
        <v>1897.11</v>
      </c>
      <c r="Q177" s="29">
        <v>96329</v>
      </c>
      <c r="R177" s="9" t="s">
        <v>180</v>
      </c>
    </row>
    <row r="178" spans="1:18" ht="12" customHeight="1" x14ac:dyDescent="0.25">
      <c r="A178" s="14"/>
      <c r="B178" s="15">
        <v>19831</v>
      </c>
      <c r="C178" s="29">
        <v>0</v>
      </c>
      <c r="D178" s="16">
        <v>45883</v>
      </c>
      <c r="E178" s="15" t="s">
        <v>2</v>
      </c>
      <c r="F178" s="29">
        <v>0</v>
      </c>
      <c r="G178" s="29">
        <v>0</v>
      </c>
      <c r="H178" s="29">
        <v>1926.49</v>
      </c>
      <c r="I178" s="15">
        <v>0</v>
      </c>
      <c r="J178" s="15">
        <v>4</v>
      </c>
      <c r="K178" s="30">
        <v>500000</v>
      </c>
      <c r="L178" s="17">
        <v>45883</v>
      </c>
      <c r="M178" s="18">
        <v>1926.49</v>
      </c>
      <c r="N178" s="16">
        <v>45897</v>
      </c>
      <c r="O178" s="19"/>
      <c r="P178" s="20">
        <v>1926.49</v>
      </c>
      <c r="Q178" s="29">
        <v>0</v>
      </c>
      <c r="R178" s="9" t="s">
        <v>180</v>
      </c>
    </row>
    <row r="179" spans="1:18" ht="12" customHeight="1" x14ac:dyDescent="0.25">
      <c r="A179" s="14"/>
      <c r="B179" s="15">
        <v>19941</v>
      </c>
      <c r="C179" s="29">
        <v>30401</v>
      </c>
      <c r="D179" s="16">
        <v>45883</v>
      </c>
      <c r="E179" s="15" t="s">
        <v>2</v>
      </c>
      <c r="F179" s="29">
        <v>0</v>
      </c>
      <c r="G179" s="29">
        <v>0</v>
      </c>
      <c r="H179" s="29">
        <v>31009.02</v>
      </c>
      <c r="I179" s="15">
        <v>15</v>
      </c>
      <c r="J179" s="15">
        <v>4</v>
      </c>
      <c r="K179" s="30">
        <v>500000</v>
      </c>
      <c r="L179" s="17">
        <v>45900</v>
      </c>
      <c r="M179" s="18">
        <v>31047.02</v>
      </c>
      <c r="N179" s="16">
        <v>45897</v>
      </c>
      <c r="O179" s="19"/>
      <c r="P179" s="20">
        <v>608.77</v>
      </c>
      <c r="Q179" s="29">
        <v>30438.25</v>
      </c>
      <c r="R179" s="9" t="s">
        <v>180</v>
      </c>
    </row>
    <row r="180" spans="1:18" ht="12" customHeight="1" x14ac:dyDescent="0.25">
      <c r="A180" s="14"/>
      <c r="B180" s="15">
        <v>19853</v>
      </c>
      <c r="C180" s="29">
        <v>169338</v>
      </c>
      <c r="D180" s="16">
        <v>45883</v>
      </c>
      <c r="E180" s="15" t="s">
        <v>2</v>
      </c>
      <c r="F180" s="29">
        <v>0</v>
      </c>
      <c r="G180" s="29">
        <v>0</v>
      </c>
      <c r="H180" s="29">
        <v>180999</v>
      </c>
      <c r="I180" s="15">
        <v>60</v>
      </c>
      <c r="J180" s="15">
        <v>13</v>
      </c>
      <c r="K180" s="30">
        <v>1260000</v>
      </c>
      <c r="L180" s="17">
        <v>45943</v>
      </c>
      <c r="M180" s="18">
        <v>181000</v>
      </c>
      <c r="N180" s="16">
        <v>45944</v>
      </c>
      <c r="O180" s="19"/>
      <c r="P180" s="20">
        <v>11661.06</v>
      </c>
      <c r="Q180" s="29">
        <v>169338.94</v>
      </c>
      <c r="R180" s="9" t="s">
        <v>180</v>
      </c>
    </row>
    <row r="181" spans="1:18" ht="12" customHeight="1" x14ac:dyDescent="0.25">
      <c r="A181" s="14"/>
      <c r="B181" s="15">
        <v>19876</v>
      </c>
      <c r="C181" s="29">
        <v>150063</v>
      </c>
      <c r="D181" s="16">
        <v>45883</v>
      </c>
      <c r="E181" s="15" t="s">
        <v>2</v>
      </c>
      <c r="F181" s="29">
        <v>0</v>
      </c>
      <c r="G181" s="29">
        <v>0</v>
      </c>
      <c r="H181" s="29">
        <v>155240.17000000001</v>
      </c>
      <c r="I181" s="15">
        <v>30</v>
      </c>
      <c r="J181" s="15">
        <v>29</v>
      </c>
      <c r="K181" s="30">
        <v>1240000</v>
      </c>
      <c r="L181" s="17">
        <v>45914</v>
      </c>
      <c r="M181" s="18">
        <v>155238.82</v>
      </c>
      <c r="N181" s="16">
        <v>45914</v>
      </c>
      <c r="O181" s="19"/>
      <c r="P181" s="20">
        <v>5177.13</v>
      </c>
      <c r="Q181" s="29">
        <v>150061.69</v>
      </c>
      <c r="R181" s="9" t="s">
        <v>180</v>
      </c>
    </row>
    <row r="182" spans="1:18" ht="12" customHeight="1" x14ac:dyDescent="0.25">
      <c r="A182" s="14"/>
      <c r="B182" s="15">
        <v>19874</v>
      </c>
      <c r="C182" s="29">
        <v>57930</v>
      </c>
      <c r="D182" s="16">
        <v>45883</v>
      </c>
      <c r="E182" s="15" t="s">
        <v>2</v>
      </c>
      <c r="F182" s="29">
        <v>0</v>
      </c>
      <c r="G182" s="29">
        <v>0</v>
      </c>
      <c r="H182" s="29">
        <v>59928.58</v>
      </c>
      <c r="I182" s="15">
        <v>30</v>
      </c>
      <c r="J182" s="15">
        <v>51</v>
      </c>
      <c r="K182" s="30">
        <v>60000</v>
      </c>
      <c r="L182" s="17">
        <v>45914</v>
      </c>
      <c r="M182" s="18">
        <v>59927.7</v>
      </c>
      <c r="N182" s="16">
        <v>45914</v>
      </c>
      <c r="O182" s="19"/>
      <c r="P182" s="20">
        <v>1998.55</v>
      </c>
      <c r="Q182" s="29">
        <v>57929.15</v>
      </c>
      <c r="R182" s="9" t="s">
        <v>180</v>
      </c>
    </row>
    <row r="183" spans="1:18" ht="12" customHeight="1" x14ac:dyDescent="0.25">
      <c r="A183" s="14"/>
      <c r="B183" s="15">
        <v>19855</v>
      </c>
      <c r="C183" s="29">
        <v>128088</v>
      </c>
      <c r="D183" s="16">
        <v>45886</v>
      </c>
      <c r="E183" s="15" t="s">
        <v>2</v>
      </c>
      <c r="F183" s="29">
        <v>0</v>
      </c>
      <c r="G183" s="29">
        <v>0</v>
      </c>
      <c r="H183" s="29">
        <v>129556.8</v>
      </c>
      <c r="I183" s="15">
        <v>4</v>
      </c>
      <c r="J183" s="15">
        <v>3</v>
      </c>
      <c r="K183" s="30">
        <v>1000000</v>
      </c>
      <c r="L183" s="17">
        <v>45893</v>
      </c>
      <c r="M183" s="18">
        <v>129556</v>
      </c>
      <c r="N183" s="16">
        <v>45894</v>
      </c>
      <c r="O183" s="19"/>
      <c r="P183" s="20">
        <v>1468.79</v>
      </c>
      <c r="Q183" s="29">
        <v>128087.21</v>
      </c>
      <c r="R183" s="9" t="s">
        <v>180</v>
      </c>
    </row>
    <row r="184" spans="1:18" ht="12" customHeight="1" x14ac:dyDescent="0.25">
      <c r="A184" s="14"/>
      <c r="B184" s="15">
        <v>19854</v>
      </c>
      <c r="C184" s="29">
        <v>80601</v>
      </c>
      <c r="D184" s="16">
        <v>45886</v>
      </c>
      <c r="E184" s="15" t="s">
        <v>2</v>
      </c>
      <c r="F184" s="29">
        <v>0</v>
      </c>
      <c r="G184" s="29">
        <v>0</v>
      </c>
      <c r="H184" s="29">
        <v>81514.559999999998</v>
      </c>
      <c r="I184" s="15">
        <v>4</v>
      </c>
      <c r="J184" s="15">
        <v>18</v>
      </c>
      <c r="K184" s="30">
        <v>600000</v>
      </c>
      <c r="L184" s="17">
        <v>45890</v>
      </c>
      <c r="M184" s="18">
        <v>81517</v>
      </c>
      <c r="N184" s="16">
        <v>45893</v>
      </c>
      <c r="O184" s="19"/>
      <c r="P184" s="20">
        <v>913.59</v>
      </c>
      <c r="Q184" s="29">
        <v>80603.41</v>
      </c>
      <c r="R184" s="9" t="s">
        <v>180</v>
      </c>
    </row>
    <row r="185" spans="1:18" ht="12" customHeight="1" x14ac:dyDescent="0.25">
      <c r="A185" s="14"/>
      <c r="B185" s="15">
        <v>19877</v>
      </c>
      <c r="C185" s="29">
        <v>618503</v>
      </c>
      <c r="D185" s="16">
        <v>45886</v>
      </c>
      <c r="E185" s="15" t="s">
        <v>2</v>
      </c>
      <c r="F185" s="29">
        <v>0</v>
      </c>
      <c r="G185" s="29">
        <v>0</v>
      </c>
      <c r="H185" s="29">
        <v>682513.57</v>
      </c>
      <c r="I185" s="15">
        <v>90</v>
      </c>
      <c r="J185" s="15">
        <v>52</v>
      </c>
      <c r="K185" s="30">
        <v>690000</v>
      </c>
      <c r="L185" s="17">
        <v>45978</v>
      </c>
      <c r="M185" s="18">
        <v>682513.25</v>
      </c>
      <c r="N185" s="16">
        <v>45972</v>
      </c>
      <c r="O185" s="19"/>
      <c r="P185" s="20">
        <v>64010.54</v>
      </c>
      <c r="Q185" s="29">
        <v>618502.71</v>
      </c>
      <c r="R185" s="9" t="s">
        <v>180</v>
      </c>
    </row>
    <row r="186" spans="1:18" ht="12" customHeight="1" x14ac:dyDescent="0.25">
      <c r="A186" s="14"/>
      <c r="B186" s="15">
        <v>19881</v>
      </c>
      <c r="C186" s="29">
        <v>26000</v>
      </c>
      <c r="D186" s="16">
        <v>45886</v>
      </c>
      <c r="E186" s="15" t="s">
        <v>2</v>
      </c>
      <c r="F186" s="29">
        <v>0</v>
      </c>
      <c r="G186" s="29">
        <v>0</v>
      </c>
      <c r="H186" s="29">
        <v>26520</v>
      </c>
      <c r="I186" s="15">
        <v>14</v>
      </c>
      <c r="J186" s="15">
        <v>50</v>
      </c>
      <c r="K186" s="30">
        <v>84000</v>
      </c>
      <c r="L186" s="17">
        <v>45900</v>
      </c>
      <c r="M186" s="18">
        <v>26520</v>
      </c>
      <c r="N186" s="16">
        <v>45900</v>
      </c>
      <c r="O186" s="19"/>
      <c r="P186" s="20">
        <v>520</v>
      </c>
      <c r="Q186" s="29">
        <v>26000</v>
      </c>
      <c r="R186" s="9" t="s">
        <v>180</v>
      </c>
    </row>
    <row r="187" spans="1:18" ht="12" customHeight="1" x14ac:dyDescent="0.25">
      <c r="A187" s="14"/>
      <c r="B187" s="15">
        <v>19889</v>
      </c>
      <c r="C187" s="29">
        <v>74706</v>
      </c>
      <c r="D187" s="16">
        <v>45887</v>
      </c>
      <c r="E187" s="15" t="s">
        <v>2</v>
      </c>
      <c r="F187" s="29">
        <v>0</v>
      </c>
      <c r="G187" s="29">
        <v>0</v>
      </c>
      <c r="H187" s="29">
        <v>77280.41</v>
      </c>
      <c r="I187" s="15">
        <v>30</v>
      </c>
      <c r="J187" s="15">
        <v>20</v>
      </c>
      <c r="K187" s="30">
        <v>686000</v>
      </c>
      <c r="L187" s="17">
        <v>45917</v>
      </c>
      <c r="M187" s="18">
        <v>77281</v>
      </c>
      <c r="N187" s="16">
        <v>45918</v>
      </c>
      <c r="O187" s="19"/>
      <c r="P187" s="20">
        <v>2574.4299999999998</v>
      </c>
      <c r="Q187" s="29">
        <v>74706.570000000007</v>
      </c>
      <c r="R187" s="9" t="s">
        <v>180</v>
      </c>
    </row>
    <row r="188" spans="1:18" ht="12" customHeight="1" x14ac:dyDescent="0.25">
      <c r="A188" s="14"/>
      <c r="B188" s="15">
        <v>19892</v>
      </c>
      <c r="C188" s="29">
        <v>70000</v>
      </c>
      <c r="D188" s="16">
        <v>45887</v>
      </c>
      <c r="E188" s="15" t="s">
        <v>2</v>
      </c>
      <c r="F188" s="29">
        <v>0</v>
      </c>
      <c r="G188" s="29">
        <v>0</v>
      </c>
      <c r="H188" s="29">
        <v>72415</v>
      </c>
      <c r="I188" s="15">
        <v>30</v>
      </c>
      <c r="J188" s="15">
        <v>43</v>
      </c>
      <c r="K188" s="30">
        <v>89000</v>
      </c>
      <c r="L188" s="17">
        <v>45917</v>
      </c>
      <c r="M188" s="18">
        <v>72415</v>
      </c>
      <c r="N188" s="16">
        <v>45914</v>
      </c>
      <c r="O188" s="19"/>
      <c r="P188" s="20">
        <v>2415</v>
      </c>
      <c r="Q188" s="29">
        <v>70000</v>
      </c>
      <c r="R188" s="9" t="s">
        <v>180</v>
      </c>
    </row>
    <row r="189" spans="1:18" ht="12" customHeight="1" x14ac:dyDescent="0.25">
      <c r="A189" s="14"/>
      <c r="B189" s="15">
        <v>19858</v>
      </c>
      <c r="C189" s="29">
        <v>170500</v>
      </c>
      <c r="D189" s="16">
        <v>45888</v>
      </c>
      <c r="E189" s="15" t="s">
        <v>2</v>
      </c>
      <c r="F189" s="29">
        <v>0</v>
      </c>
      <c r="G189" s="29">
        <v>0</v>
      </c>
      <c r="H189" s="29">
        <v>176298</v>
      </c>
      <c r="I189" s="15">
        <v>30</v>
      </c>
      <c r="J189" s="15">
        <v>3</v>
      </c>
      <c r="K189" s="30">
        <v>1000000</v>
      </c>
      <c r="L189" s="17">
        <v>45918</v>
      </c>
      <c r="M189" s="18">
        <v>176298</v>
      </c>
      <c r="N189" s="16">
        <v>45921</v>
      </c>
      <c r="O189" s="19"/>
      <c r="P189" s="20">
        <v>5798</v>
      </c>
      <c r="Q189" s="29">
        <v>170500</v>
      </c>
      <c r="R189" s="9" t="s">
        <v>180</v>
      </c>
    </row>
    <row r="190" spans="1:18" ht="12" customHeight="1" x14ac:dyDescent="0.25">
      <c r="A190" s="14"/>
      <c r="B190" s="15">
        <v>19890</v>
      </c>
      <c r="C190" s="29">
        <v>62100</v>
      </c>
      <c r="D190" s="16">
        <v>45888</v>
      </c>
      <c r="E190" s="15" t="s">
        <v>2</v>
      </c>
      <c r="F190" s="29">
        <v>0</v>
      </c>
      <c r="G190" s="29">
        <v>0</v>
      </c>
      <c r="H190" s="29">
        <v>64242</v>
      </c>
      <c r="I190" s="15">
        <v>30</v>
      </c>
      <c r="J190" s="15">
        <v>6</v>
      </c>
      <c r="K190" s="30">
        <v>810000</v>
      </c>
      <c r="L190" s="17">
        <v>45918</v>
      </c>
      <c r="M190" s="18">
        <v>64242</v>
      </c>
      <c r="N190" s="16">
        <v>45921</v>
      </c>
      <c r="O190" s="19"/>
      <c r="P190" s="20">
        <v>2142</v>
      </c>
      <c r="Q190" s="29">
        <v>62100</v>
      </c>
      <c r="R190" s="9" t="s">
        <v>180</v>
      </c>
    </row>
    <row r="191" spans="1:18" ht="12" customHeight="1" x14ac:dyDescent="0.25">
      <c r="A191" s="14"/>
      <c r="B191" s="15">
        <v>19867</v>
      </c>
      <c r="C191" s="29">
        <v>1965983.6</v>
      </c>
      <c r="D191" s="16">
        <v>45888</v>
      </c>
      <c r="E191" s="15" t="s">
        <v>2</v>
      </c>
      <c r="F191" s="29">
        <v>0</v>
      </c>
      <c r="G191" s="29">
        <v>0</v>
      </c>
      <c r="H191" s="29">
        <v>2000004.88</v>
      </c>
      <c r="I191" s="15">
        <v>10</v>
      </c>
      <c r="J191" s="15">
        <v>42</v>
      </c>
      <c r="K191" s="30">
        <v>2000000</v>
      </c>
      <c r="L191" s="17">
        <v>45900</v>
      </c>
      <c r="M191" s="18">
        <v>2000004.88</v>
      </c>
      <c r="N191" s="16">
        <v>45895</v>
      </c>
      <c r="O191" s="19"/>
      <c r="P191" s="20">
        <v>34021.279999999999</v>
      </c>
      <c r="Q191" s="29">
        <v>1965983.6</v>
      </c>
      <c r="R191" s="9" t="s">
        <v>180</v>
      </c>
    </row>
    <row r="192" spans="1:18" ht="12" customHeight="1" x14ac:dyDescent="0.25">
      <c r="A192" s="14"/>
      <c r="B192" s="15">
        <v>19886</v>
      </c>
      <c r="C192" s="29">
        <v>570008</v>
      </c>
      <c r="D192" s="16">
        <v>45888</v>
      </c>
      <c r="E192" s="15" t="s">
        <v>2</v>
      </c>
      <c r="F192" s="29">
        <v>0</v>
      </c>
      <c r="G192" s="29">
        <v>0</v>
      </c>
      <c r="H192" s="29">
        <v>629000.56999999995</v>
      </c>
      <c r="I192" s="15">
        <v>90</v>
      </c>
      <c r="J192" s="15">
        <v>53</v>
      </c>
      <c r="K192" s="30">
        <v>630000</v>
      </c>
      <c r="L192" s="17">
        <v>45978</v>
      </c>
      <c r="M192" s="18">
        <v>629001</v>
      </c>
      <c r="N192" s="16">
        <v>45991</v>
      </c>
      <c r="O192" s="19"/>
      <c r="P192" s="20">
        <v>58992.61</v>
      </c>
      <c r="Q192" s="29">
        <v>570008.39</v>
      </c>
      <c r="R192" s="9" t="s">
        <v>180</v>
      </c>
    </row>
    <row r="193" spans="1:19" ht="12" customHeight="1" x14ac:dyDescent="0.25">
      <c r="A193" s="14"/>
      <c r="B193" s="15">
        <v>19902</v>
      </c>
      <c r="C193" s="29">
        <v>82759</v>
      </c>
      <c r="D193" s="16">
        <v>45888</v>
      </c>
      <c r="E193" s="15" t="s">
        <v>2</v>
      </c>
      <c r="F193" s="29">
        <v>0</v>
      </c>
      <c r="G193" s="29">
        <v>0</v>
      </c>
      <c r="H193" s="29">
        <v>97034.95</v>
      </c>
      <c r="I193" s="15">
        <v>90</v>
      </c>
      <c r="J193" s="15">
        <v>48</v>
      </c>
      <c r="K193" s="30">
        <v>120000</v>
      </c>
      <c r="L193" s="17">
        <v>45979</v>
      </c>
      <c r="M193" s="18">
        <v>97034.9</v>
      </c>
      <c r="N193" s="16">
        <v>45988</v>
      </c>
      <c r="O193" s="19"/>
      <c r="P193" s="20">
        <v>14275.94</v>
      </c>
      <c r="Q193" s="29">
        <v>82758.960000000006</v>
      </c>
      <c r="R193" s="9" t="s">
        <v>180</v>
      </c>
    </row>
    <row r="194" spans="1:19" ht="12" customHeight="1" x14ac:dyDescent="0.25">
      <c r="A194" s="14"/>
      <c r="B194" s="15">
        <v>19857</v>
      </c>
      <c r="C194" s="29">
        <v>175100</v>
      </c>
      <c r="D194" s="16">
        <v>45889</v>
      </c>
      <c r="E194" s="15" t="s">
        <v>2</v>
      </c>
      <c r="F194" s="29">
        <v>0</v>
      </c>
      <c r="G194" s="29">
        <v>0</v>
      </c>
      <c r="H194" s="29">
        <v>178600.63</v>
      </c>
      <c r="I194" s="15">
        <v>15</v>
      </c>
      <c r="J194" s="15">
        <v>10</v>
      </c>
      <c r="K194" s="30">
        <v>403000</v>
      </c>
      <c r="L194" s="17">
        <v>45904</v>
      </c>
      <c r="M194" s="18">
        <v>178585</v>
      </c>
      <c r="N194" s="16">
        <v>45908</v>
      </c>
      <c r="O194" s="19"/>
      <c r="P194" s="20">
        <v>3500.32</v>
      </c>
      <c r="Q194" s="29">
        <v>175084.68</v>
      </c>
      <c r="R194" s="9" t="s">
        <v>180</v>
      </c>
    </row>
    <row r="195" spans="1:19" ht="12" customHeight="1" x14ac:dyDescent="0.25">
      <c r="A195" s="14"/>
      <c r="B195" s="15">
        <v>19893</v>
      </c>
      <c r="C195" s="29">
        <v>122820</v>
      </c>
      <c r="D195" s="16">
        <v>45889</v>
      </c>
      <c r="E195" s="15" t="s">
        <v>2</v>
      </c>
      <c r="F195" s="29">
        <v>0</v>
      </c>
      <c r="G195" s="29">
        <v>0</v>
      </c>
      <c r="H195" s="29">
        <v>127001.92</v>
      </c>
      <c r="I195" s="15">
        <v>30</v>
      </c>
      <c r="J195" s="15">
        <v>13</v>
      </c>
      <c r="K195" s="30">
        <v>1260000</v>
      </c>
      <c r="L195" s="17">
        <v>45921</v>
      </c>
      <c r="M195" s="18">
        <v>126998</v>
      </c>
      <c r="N195" s="16">
        <v>45925</v>
      </c>
      <c r="O195" s="19"/>
      <c r="P195" s="20">
        <v>4181.79</v>
      </c>
      <c r="Q195" s="29">
        <v>122816.21</v>
      </c>
      <c r="R195" s="9" t="s">
        <v>180</v>
      </c>
    </row>
    <row r="196" spans="1:19" ht="12" customHeight="1" x14ac:dyDescent="0.25">
      <c r="A196" s="14"/>
      <c r="B196" s="15">
        <v>19894</v>
      </c>
      <c r="C196" s="29">
        <v>287642</v>
      </c>
      <c r="D196" s="16">
        <v>45889</v>
      </c>
      <c r="E196" s="15" t="s">
        <v>2</v>
      </c>
      <c r="F196" s="29">
        <v>0</v>
      </c>
      <c r="G196" s="29">
        <v>0</v>
      </c>
      <c r="H196" s="29">
        <v>297522.87</v>
      </c>
      <c r="I196" s="15">
        <v>30</v>
      </c>
      <c r="J196" s="15">
        <v>15</v>
      </c>
      <c r="K196" s="30">
        <v>2300000</v>
      </c>
      <c r="L196" s="17">
        <v>45921</v>
      </c>
      <c r="M196" s="18">
        <v>297523</v>
      </c>
      <c r="N196" s="16">
        <v>45924</v>
      </c>
      <c r="O196" s="19"/>
      <c r="P196" s="20">
        <v>9880.8700000000008</v>
      </c>
      <c r="Q196" s="29">
        <v>287642.13</v>
      </c>
      <c r="R196" s="9" t="s">
        <v>180</v>
      </c>
    </row>
    <row r="197" spans="1:19" ht="12" customHeight="1" x14ac:dyDescent="0.25">
      <c r="A197" s="14"/>
      <c r="B197" s="15">
        <v>19905</v>
      </c>
      <c r="C197" s="29">
        <v>34086</v>
      </c>
      <c r="D197" s="16">
        <v>45889</v>
      </c>
      <c r="E197" s="15" t="s">
        <v>2</v>
      </c>
      <c r="F197" s="29">
        <v>0</v>
      </c>
      <c r="G197" s="29">
        <v>0</v>
      </c>
      <c r="H197" s="29">
        <v>37613.199999999997</v>
      </c>
      <c r="I197" s="15">
        <v>90</v>
      </c>
      <c r="J197" s="15">
        <v>55</v>
      </c>
      <c r="K197" s="30">
        <v>210000</v>
      </c>
      <c r="L197" s="17">
        <v>45979</v>
      </c>
      <c r="M197" s="18">
        <v>37613.519999999997</v>
      </c>
      <c r="N197" s="16">
        <v>45981</v>
      </c>
      <c r="O197" s="19"/>
      <c r="P197" s="20">
        <v>3527.23</v>
      </c>
      <c r="Q197" s="29">
        <v>34086.29</v>
      </c>
      <c r="R197" s="9" t="s">
        <v>180</v>
      </c>
    </row>
    <row r="198" spans="1:19" ht="12" customHeight="1" x14ac:dyDescent="0.25">
      <c r="A198" s="14"/>
      <c r="B198" s="15">
        <v>19908</v>
      </c>
      <c r="C198" s="29">
        <v>70725</v>
      </c>
      <c r="D198" s="16">
        <v>45890</v>
      </c>
      <c r="E198" s="15" t="s">
        <v>2</v>
      </c>
      <c r="F198" s="29">
        <v>0</v>
      </c>
      <c r="G198" s="29">
        <v>0</v>
      </c>
      <c r="H198" s="29">
        <v>73162.5</v>
      </c>
      <c r="I198" s="15">
        <v>30</v>
      </c>
      <c r="J198" s="15">
        <v>6</v>
      </c>
      <c r="K198" s="30">
        <v>810000</v>
      </c>
      <c r="L198" s="17">
        <v>45921</v>
      </c>
      <c r="M198" s="18">
        <v>73162</v>
      </c>
      <c r="N198" s="16">
        <v>45921</v>
      </c>
      <c r="O198" s="19"/>
      <c r="P198" s="20">
        <v>2437.48</v>
      </c>
      <c r="Q198" s="29">
        <v>70724.52</v>
      </c>
      <c r="R198" s="9" t="s">
        <v>180</v>
      </c>
    </row>
    <row r="199" spans="1:19" ht="12" customHeight="1" x14ac:dyDescent="0.25">
      <c r="A199" s="14"/>
      <c r="B199" s="15">
        <v>19895</v>
      </c>
      <c r="C199" s="29">
        <v>133821</v>
      </c>
      <c r="D199" s="16">
        <v>45890</v>
      </c>
      <c r="E199" s="15" t="s">
        <v>2</v>
      </c>
      <c r="F199" s="29">
        <v>0</v>
      </c>
      <c r="G199" s="29">
        <v>0</v>
      </c>
      <c r="H199" s="29">
        <v>136477.74</v>
      </c>
      <c r="I199" s="15">
        <v>15</v>
      </c>
      <c r="J199" s="15">
        <v>18</v>
      </c>
      <c r="K199" s="30">
        <v>600000</v>
      </c>
      <c r="L199" s="17">
        <v>45907</v>
      </c>
      <c r="M199" s="18">
        <v>136478</v>
      </c>
      <c r="N199" s="16">
        <v>45907</v>
      </c>
      <c r="O199" s="19"/>
      <c r="P199" s="20">
        <v>2656.75</v>
      </c>
      <c r="Q199" s="29">
        <v>133821.25</v>
      </c>
      <c r="R199" s="9" t="s">
        <v>180</v>
      </c>
    </row>
    <row r="200" spans="1:19" ht="12" customHeight="1" x14ac:dyDescent="0.25">
      <c r="A200" s="14"/>
      <c r="B200" s="15">
        <v>19907</v>
      </c>
      <c r="C200" s="29">
        <v>39963</v>
      </c>
      <c r="D200" s="16">
        <v>45890</v>
      </c>
      <c r="E200" s="15" t="s">
        <v>2</v>
      </c>
      <c r="F200" s="29">
        <v>0</v>
      </c>
      <c r="G200" s="29">
        <v>0</v>
      </c>
      <c r="H200" s="29">
        <v>44098.55</v>
      </c>
      <c r="I200" s="15">
        <v>90</v>
      </c>
      <c r="J200" s="15">
        <v>55</v>
      </c>
      <c r="K200" s="30">
        <v>210000</v>
      </c>
      <c r="L200" s="17">
        <v>45980</v>
      </c>
      <c r="M200" s="18">
        <v>44098</v>
      </c>
      <c r="N200" s="16">
        <v>45981</v>
      </c>
      <c r="O200" s="19"/>
      <c r="P200" s="20">
        <v>4135.5</v>
      </c>
      <c r="Q200" s="29">
        <v>39962.5</v>
      </c>
      <c r="R200" s="9" t="s">
        <v>180</v>
      </c>
    </row>
    <row r="201" spans="1:19" ht="12" customHeight="1" x14ac:dyDescent="0.25">
      <c r="A201" s="14"/>
      <c r="B201" s="15">
        <v>19910</v>
      </c>
      <c r="C201" s="29">
        <v>87400</v>
      </c>
      <c r="D201" s="16">
        <v>45890</v>
      </c>
      <c r="E201" s="15" t="s">
        <v>2</v>
      </c>
      <c r="F201" s="29">
        <v>0</v>
      </c>
      <c r="G201" s="29">
        <v>0</v>
      </c>
      <c r="H201" s="29">
        <v>96445</v>
      </c>
      <c r="I201" s="15">
        <v>90</v>
      </c>
      <c r="J201" s="15">
        <v>55</v>
      </c>
      <c r="K201" s="30">
        <v>210000</v>
      </c>
      <c r="L201" s="17">
        <v>45980</v>
      </c>
      <c r="M201" s="18">
        <v>96445</v>
      </c>
      <c r="N201" s="16">
        <v>45981</v>
      </c>
      <c r="O201" s="19"/>
      <c r="P201" s="20">
        <v>9045</v>
      </c>
      <c r="Q201" s="29">
        <v>87400</v>
      </c>
      <c r="R201" s="9" t="s">
        <v>180</v>
      </c>
    </row>
    <row r="202" spans="1:19" ht="12" customHeight="1" x14ac:dyDescent="0.25">
      <c r="A202" s="14"/>
      <c r="B202" s="15">
        <v>19992</v>
      </c>
      <c r="C202" s="29">
        <v>0</v>
      </c>
      <c r="D202" s="16">
        <v>45893</v>
      </c>
      <c r="E202" s="15" t="s">
        <v>4</v>
      </c>
      <c r="F202" s="29">
        <v>3569</v>
      </c>
      <c r="G202" s="29">
        <v>3569</v>
      </c>
      <c r="H202" s="29">
        <v>3569</v>
      </c>
      <c r="I202" s="15">
        <v>0</v>
      </c>
      <c r="J202" s="15">
        <v>33</v>
      </c>
      <c r="K202" s="30">
        <v>310000</v>
      </c>
      <c r="L202" s="17">
        <v>45893</v>
      </c>
      <c r="M202" s="18">
        <v>0</v>
      </c>
      <c r="N202" s="16"/>
      <c r="O202" s="19">
        <v>219</v>
      </c>
      <c r="P202" s="20">
        <v>0</v>
      </c>
      <c r="Q202" s="29">
        <v>0</v>
      </c>
      <c r="R202" s="9" t="s">
        <v>180</v>
      </c>
      <c r="S202" s="10" t="s">
        <v>635</v>
      </c>
    </row>
    <row r="203" spans="1:19" ht="12" customHeight="1" x14ac:dyDescent="0.25">
      <c r="A203" s="14"/>
      <c r="B203" s="15">
        <v>19921</v>
      </c>
      <c r="C203" s="29">
        <v>89339</v>
      </c>
      <c r="D203" s="16">
        <v>45893</v>
      </c>
      <c r="E203" s="15" t="s">
        <v>2</v>
      </c>
      <c r="F203" s="29">
        <v>0</v>
      </c>
      <c r="G203" s="29">
        <v>0</v>
      </c>
      <c r="H203" s="29">
        <v>98585.15</v>
      </c>
      <c r="I203" s="15">
        <v>90</v>
      </c>
      <c r="J203" s="15">
        <v>49</v>
      </c>
      <c r="K203" s="30">
        <v>273000</v>
      </c>
      <c r="L203" s="17">
        <v>45984</v>
      </c>
      <c r="M203" s="18">
        <v>98584.6</v>
      </c>
      <c r="N203" s="16">
        <v>45985</v>
      </c>
      <c r="O203" s="19"/>
      <c r="P203" s="20">
        <v>9246.1</v>
      </c>
      <c r="Q203" s="29">
        <v>89338.5</v>
      </c>
      <c r="R203" s="9" t="s">
        <v>180</v>
      </c>
    </row>
    <row r="204" spans="1:19" ht="12" customHeight="1" x14ac:dyDescent="0.25">
      <c r="A204" s="14"/>
      <c r="B204" s="15">
        <v>19914</v>
      </c>
      <c r="C204" s="29">
        <v>28560</v>
      </c>
      <c r="D204" s="16">
        <v>45893</v>
      </c>
      <c r="E204" s="15" t="s">
        <v>2</v>
      </c>
      <c r="F204" s="29">
        <v>0</v>
      </c>
      <c r="G204" s="29">
        <v>0</v>
      </c>
      <c r="H204" s="29">
        <v>31512.57</v>
      </c>
      <c r="I204" s="15">
        <v>90</v>
      </c>
      <c r="J204" s="15">
        <v>55</v>
      </c>
      <c r="K204" s="30">
        <v>210000</v>
      </c>
      <c r="L204" s="17">
        <v>45984</v>
      </c>
      <c r="M204" s="18">
        <v>31513</v>
      </c>
      <c r="N204" s="16">
        <v>45984</v>
      </c>
      <c r="O204" s="19"/>
      <c r="P204" s="20">
        <v>2952.61</v>
      </c>
      <c r="Q204" s="29">
        <v>28560.39</v>
      </c>
      <c r="R204" s="9" t="s">
        <v>180</v>
      </c>
    </row>
    <row r="205" spans="1:19" ht="12" customHeight="1" x14ac:dyDescent="0.25">
      <c r="A205" s="14"/>
      <c r="B205" s="15">
        <v>19913</v>
      </c>
      <c r="C205" s="29">
        <v>14352</v>
      </c>
      <c r="D205" s="16">
        <v>45893</v>
      </c>
      <c r="E205" s="15" t="s">
        <v>2</v>
      </c>
      <c r="F205" s="29">
        <v>0</v>
      </c>
      <c r="G205" s="29">
        <v>0</v>
      </c>
      <c r="H205" s="29">
        <v>16002</v>
      </c>
      <c r="I205" s="15">
        <v>60</v>
      </c>
      <c r="J205" s="15">
        <v>54</v>
      </c>
      <c r="K205" s="30">
        <v>117000</v>
      </c>
      <c r="L205" s="17">
        <v>45953</v>
      </c>
      <c r="M205" s="18">
        <v>16002</v>
      </c>
      <c r="N205" s="16">
        <v>45950</v>
      </c>
      <c r="O205" s="19"/>
      <c r="P205" s="20">
        <v>1650</v>
      </c>
      <c r="Q205" s="29">
        <v>14352</v>
      </c>
      <c r="R205" s="9" t="s">
        <v>180</v>
      </c>
    </row>
    <row r="206" spans="1:19" ht="12" customHeight="1" x14ac:dyDescent="0.25">
      <c r="A206" s="14"/>
      <c r="B206" s="15">
        <v>19897</v>
      </c>
      <c r="C206" s="29">
        <v>84378</v>
      </c>
      <c r="D206" s="16">
        <v>45893</v>
      </c>
      <c r="E206" s="15" t="s">
        <v>2</v>
      </c>
      <c r="F206" s="29">
        <v>0</v>
      </c>
      <c r="G206" s="29">
        <v>0</v>
      </c>
      <c r="H206" s="29">
        <v>87267.31</v>
      </c>
      <c r="I206" s="15">
        <v>30</v>
      </c>
      <c r="J206" s="15">
        <v>11</v>
      </c>
      <c r="K206" s="30">
        <v>90000</v>
      </c>
      <c r="L206" s="17">
        <v>45923</v>
      </c>
      <c r="M206" s="18">
        <v>87280</v>
      </c>
      <c r="N206" s="16">
        <v>45921</v>
      </c>
      <c r="O206" s="19"/>
      <c r="P206" s="20">
        <v>2889.73</v>
      </c>
      <c r="Q206" s="29">
        <v>84390.27</v>
      </c>
      <c r="R206" s="9" t="s">
        <v>180</v>
      </c>
    </row>
    <row r="207" spans="1:19" ht="12" customHeight="1" x14ac:dyDescent="0.25">
      <c r="A207" s="14"/>
      <c r="B207" s="15">
        <v>19931</v>
      </c>
      <c r="C207" s="29">
        <v>80213</v>
      </c>
      <c r="D207" s="16">
        <v>45894</v>
      </c>
      <c r="E207" s="15" t="s">
        <v>2</v>
      </c>
      <c r="F207" s="29">
        <v>0</v>
      </c>
      <c r="G207" s="29">
        <v>0</v>
      </c>
      <c r="H207" s="29">
        <v>82925.52</v>
      </c>
      <c r="I207" s="15">
        <v>30</v>
      </c>
      <c r="J207" s="15">
        <v>6</v>
      </c>
      <c r="K207" s="30">
        <v>810000</v>
      </c>
      <c r="L207" s="17">
        <v>45924</v>
      </c>
      <c r="M207" s="18">
        <v>82926</v>
      </c>
      <c r="N207" s="16">
        <v>45924</v>
      </c>
      <c r="O207" s="19"/>
      <c r="P207" s="20">
        <v>2712.53</v>
      </c>
      <c r="Q207" s="29">
        <v>80213.47</v>
      </c>
      <c r="R207" s="9" t="s">
        <v>180</v>
      </c>
    </row>
    <row r="208" spans="1:19" ht="12" customHeight="1" x14ac:dyDescent="0.25">
      <c r="A208" s="14"/>
      <c r="B208" s="15">
        <v>19923</v>
      </c>
      <c r="C208" s="29">
        <v>139580</v>
      </c>
      <c r="D208" s="16">
        <v>45894</v>
      </c>
      <c r="E208" s="15" t="s">
        <v>2</v>
      </c>
      <c r="F208" s="29">
        <v>0</v>
      </c>
      <c r="G208" s="29">
        <v>0</v>
      </c>
      <c r="H208" s="29">
        <v>144396</v>
      </c>
      <c r="I208" s="15">
        <v>30</v>
      </c>
      <c r="J208" s="15">
        <v>17</v>
      </c>
      <c r="K208" s="30">
        <v>2400000</v>
      </c>
      <c r="L208" s="17">
        <v>45924</v>
      </c>
      <c r="M208" s="18">
        <v>144415</v>
      </c>
      <c r="N208" s="16">
        <v>45925</v>
      </c>
      <c r="O208" s="19"/>
      <c r="P208" s="20">
        <v>4816.63</v>
      </c>
      <c r="Q208" s="29">
        <v>139598.37</v>
      </c>
      <c r="R208" s="9" t="s">
        <v>180</v>
      </c>
    </row>
    <row r="209" spans="1:18" ht="12" customHeight="1" x14ac:dyDescent="0.25">
      <c r="A209" s="14"/>
      <c r="B209" s="15">
        <v>19932</v>
      </c>
      <c r="C209" s="29">
        <v>77780</v>
      </c>
      <c r="D209" s="16">
        <v>45894</v>
      </c>
      <c r="E209" s="15" t="s">
        <v>2</v>
      </c>
      <c r="F209" s="29">
        <v>0</v>
      </c>
      <c r="G209" s="29">
        <v>0</v>
      </c>
      <c r="H209" s="29">
        <v>80460.34</v>
      </c>
      <c r="I209" s="15">
        <v>30</v>
      </c>
      <c r="J209" s="15">
        <v>20</v>
      </c>
      <c r="K209" s="30">
        <v>686000</v>
      </c>
      <c r="L209" s="17">
        <v>45924</v>
      </c>
      <c r="M209" s="18">
        <v>80461</v>
      </c>
      <c r="N209" s="16">
        <v>45924</v>
      </c>
      <c r="O209" s="19"/>
      <c r="P209" s="20">
        <v>2680.36</v>
      </c>
      <c r="Q209" s="29">
        <v>77780.639999999999</v>
      </c>
      <c r="R209" s="9" t="s">
        <v>180</v>
      </c>
    </row>
    <row r="210" spans="1:18" ht="12" customHeight="1" x14ac:dyDescent="0.25">
      <c r="A210" s="14"/>
      <c r="B210" s="15">
        <v>19924</v>
      </c>
      <c r="C210" s="29">
        <v>14345</v>
      </c>
      <c r="D210" s="16">
        <v>45894</v>
      </c>
      <c r="E210" s="15" t="s">
        <v>2</v>
      </c>
      <c r="F210" s="29">
        <v>0</v>
      </c>
      <c r="G210" s="29">
        <v>0</v>
      </c>
      <c r="H210" s="29">
        <v>15592.39</v>
      </c>
      <c r="I210" s="15">
        <v>45</v>
      </c>
      <c r="J210" s="15">
        <v>54</v>
      </c>
      <c r="K210" s="30">
        <v>117000</v>
      </c>
      <c r="L210" s="17">
        <v>45939</v>
      </c>
      <c r="M210" s="18">
        <v>15592.5</v>
      </c>
      <c r="N210" s="16">
        <v>45936</v>
      </c>
      <c r="O210" s="19"/>
      <c r="P210" s="20">
        <v>1247.4000000000001</v>
      </c>
      <c r="Q210" s="29">
        <v>14345.1</v>
      </c>
      <c r="R210" s="9" t="s">
        <v>180</v>
      </c>
    </row>
    <row r="211" spans="1:18" ht="12" customHeight="1" x14ac:dyDescent="0.25">
      <c r="A211" s="14"/>
      <c r="B211" s="15">
        <v>19898</v>
      </c>
      <c r="C211" s="29">
        <v>400000</v>
      </c>
      <c r="D211" s="16">
        <v>45894</v>
      </c>
      <c r="E211" s="15" t="s">
        <v>2</v>
      </c>
      <c r="F211" s="29">
        <v>0</v>
      </c>
      <c r="G211" s="29">
        <v>0</v>
      </c>
      <c r="H211" s="29">
        <v>413707.51</v>
      </c>
      <c r="I211" s="15">
        <v>30</v>
      </c>
      <c r="J211" s="15">
        <v>7</v>
      </c>
      <c r="K211" s="30">
        <v>650000</v>
      </c>
      <c r="L211" s="17">
        <v>45924</v>
      </c>
      <c r="M211" s="18">
        <v>413707</v>
      </c>
      <c r="N211" s="16">
        <v>45930</v>
      </c>
      <c r="O211" s="19"/>
      <c r="P211" s="20">
        <v>13707.49</v>
      </c>
      <c r="Q211" s="29">
        <v>399999.51</v>
      </c>
      <c r="R211" s="9" t="s">
        <v>180</v>
      </c>
    </row>
    <row r="212" spans="1:18" ht="12" customHeight="1" x14ac:dyDescent="0.25">
      <c r="A212" s="14"/>
      <c r="B212" s="15">
        <v>19936</v>
      </c>
      <c r="C212" s="29">
        <v>45877</v>
      </c>
      <c r="D212" s="16">
        <v>45894</v>
      </c>
      <c r="E212" s="15" t="s">
        <v>2</v>
      </c>
      <c r="F212" s="29">
        <v>0</v>
      </c>
      <c r="G212" s="29">
        <v>0</v>
      </c>
      <c r="H212" s="29">
        <v>49026.38</v>
      </c>
      <c r="I212" s="15">
        <v>60</v>
      </c>
      <c r="J212" s="15">
        <v>59</v>
      </c>
      <c r="K212" s="30">
        <v>49000</v>
      </c>
      <c r="L212" s="17">
        <v>45956</v>
      </c>
      <c r="M212" s="18">
        <v>49000</v>
      </c>
      <c r="N212" s="16">
        <v>45944</v>
      </c>
      <c r="O212" s="19"/>
      <c r="P212" s="20">
        <v>3147.68</v>
      </c>
      <c r="Q212" s="29">
        <v>45852.32</v>
      </c>
      <c r="R212" s="9" t="s">
        <v>180</v>
      </c>
    </row>
    <row r="213" spans="1:18" ht="12" customHeight="1" x14ac:dyDescent="0.25">
      <c r="A213" s="14"/>
      <c r="B213" s="15">
        <v>19940</v>
      </c>
      <c r="C213" s="29">
        <v>248170</v>
      </c>
      <c r="D213" s="16">
        <v>45895</v>
      </c>
      <c r="E213" s="15" t="s">
        <v>2</v>
      </c>
      <c r="F213" s="29">
        <v>0</v>
      </c>
      <c r="G213" s="29">
        <v>0</v>
      </c>
      <c r="H213" s="29">
        <v>256724</v>
      </c>
      <c r="I213" s="15">
        <v>30</v>
      </c>
      <c r="J213" s="15">
        <v>6</v>
      </c>
      <c r="K213" s="30">
        <v>810000</v>
      </c>
      <c r="L213" s="17">
        <v>45925</v>
      </c>
      <c r="M213" s="18">
        <v>256724</v>
      </c>
      <c r="N213" s="16">
        <v>45945</v>
      </c>
      <c r="O213" s="19"/>
      <c r="P213" s="20">
        <v>8554</v>
      </c>
      <c r="Q213" s="29">
        <v>248170</v>
      </c>
      <c r="R213" s="9" t="s">
        <v>180</v>
      </c>
    </row>
    <row r="214" spans="1:18" ht="12" customHeight="1" x14ac:dyDescent="0.25">
      <c r="A214" s="14"/>
      <c r="B214" s="15">
        <v>19937</v>
      </c>
      <c r="C214" s="29">
        <v>350003</v>
      </c>
      <c r="D214" s="16">
        <v>45895</v>
      </c>
      <c r="E214" s="15" t="s">
        <v>2</v>
      </c>
      <c r="F214" s="29">
        <v>0</v>
      </c>
      <c r="G214" s="29">
        <v>0</v>
      </c>
      <c r="H214" s="29">
        <v>386228.31</v>
      </c>
      <c r="I214" s="15">
        <v>90</v>
      </c>
      <c r="J214" s="15">
        <v>37</v>
      </c>
      <c r="K214" s="30">
        <v>1500000</v>
      </c>
      <c r="L214" s="17">
        <v>45985</v>
      </c>
      <c r="M214" s="18">
        <v>386228.26</v>
      </c>
      <c r="N214" s="16">
        <v>45994</v>
      </c>
      <c r="O214" s="19"/>
      <c r="P214" s="20">
        <v>36225.31</v>
      </c>
      <c r="Q214" s="29">
        <v>350002.95</v>
      </c>
      <c r="R214" s="9" t="s">
        <v>180</v>
      </c>
    </row>
    <row r="215" spans="1:18" ht="12" customHeight="1" x14ac:dyDescent="0.25">
      <c r="A215" s="14"/>
      <c r="B215" s="15">
        <v>19947</v>
      </c>
      <c r="C215" s="29">
        <v>1966000</v>
      </c>
      <c r="D215" s="16">
        <v>45895</v>
      </c>
      <c r="E215" s="15" t="s">
        <v>2</v>
      </c>
      <c r="F215" s="29">
        <v>0</v>
      </c>
      <c r="G215" s="29">
        <v>0</v>
      </c>
      <c r="H215" s="29">
        <v>2000000</v>
      </c>
      <c r="I215" s="15">
        <v>10</v>
      </c>
      <c r="J215" s="15">
        <v>42</v>
      </c>
      <c r="K215" s="30">
        <v>2000000</v>
      </c>
      <c r="L215" s="17">
        <v>45908</v>
      </c>
      <c r="M215" s="18">
        <v>2000000</v>
      </c>
      <c r="N215" s="16">
        <v>45902</v>
      </c>
      <c r="O215" s="19"/>
      <c r="P215" s="20">
        <v>34000</v>
      </c>
      <c r="Q215" s="29">
        <v>1966000</v>
      </c>
      <c r="R215" s="9" t="s">
        <v>180</v>
      </c>
    </row>
    <row r="216" spans="1:18" ht="12" customHeight="1" x14ac:dyDescent="0.25">
      <c r="A216" s="14"/>
      <c r="B216" s="15">
        <v>19918</v>
      </c>
      <c r="C216" s="29">
        <v>134059</v>
      </c>
      <c r="D216" s="16">
        <v>45896</v>
      </c>
      <c r="E216" s="15" t="s">
        <v>2</v>
      </c>
      <c r="F216" s="29">
        <v>0</v>
      </c>
      <c r="G216" s="29">
        <v>0</v>
      </c>
      <c r="H216" s="29">
        <v>135587.79999999999</v>
      </c>
      <c r="I216" s="15">
        <v>4</v>
      </c>
      <c r="J216" s="15">
        <v>3</v>
      </c>
      <c r="K216" s="30">
        <v>1000000</v>
      </c>
      <c r="L216" s="17">
        <v>45900</v>
      </c>
      <c r="M216" s="18">
        <v>135588</v>
      </c>
      <c r="N216" s="16">
        <v>45902</v>
      </c>
      <c r="O216" s="19"/>
      <c r="P216" s="20">
        <v>1528.8</v>
      </c>
      <c r="Q216" s="29">
        <v>134059.20000000001</v>
      </c>
      <c r="R216" s="9" t="s">
        <v>180</v>
      </c>
    </row>
    <row r="217" spans="1:18" ht="12" customHeight="1" x14ac:dyDescent="0.25">
      <c r="A217" s="14"/>
      <c r="B217" s="15">
        <v>19919</v>
      </c>
      <c r="C217" s="29">
        <v>150000</v>
      </c>
      <c r="D217" s="16">
        <v>45896</v>
      </c>
      <c r="E217" s="15" t="s">
        <v>2</v>
      </c>
      <c r="F217" s="29">
        <v>0</v>
      </c>
      <c r="G217" s="29">
        <v>0</v>
      </c>
      <c r="H217" s="29">
        <v>155100.01999999999</v>
      </c>
      <c r="I217" s="15">
        <v>30</v>
      </c>
      <c r="J217" s="15">
        <v>3</v>
      </c>
      <c r="K217" s="30">
        <v>1000000</v>
      </c>
      <c r="L217" s="17">
        <v>45928</v>
      </c>
      <c r="M217" s="18">
        <v>155100</v>
      </c>
      <c r="N217" s="16">
        <v>45930</v>
      </c>
      <c r="O217" s="19"/>
      <c r="P217" s="20">
        <v>5100.0200000000004</v>
      </c>
      <c r="Q217" s="29">
        <v>149999.98000000001</v>
      </c>
      <c r="R217" s="9" t="s">
        <v>180</v>
      </c>
    </row>
    <row r="218" spans="1:18" ht="12" customHeight="1" x14ac:dyDescent="0.25">
      <c r="A218" s="14"/>
      <c r="B218" s="15">
        <v>19925</v>
      </c>
      <c r="C218" s="29">
        <v>81835</v>
      </c>
      <c r="D218" s="16">
        <v>45896</v>
      </c>
      <c r="E218" s="15" t="s">
        <v>2</v>
      </c>
      <c r="F218" s="29">
        <v>0</v>
      </c>
      <c r="G218" s="29">
        <v>0</v>
      </c>
      <c r="H218" s="29">
        <v>82759.899999999994</v>
      </c>
      <c r="I218" s="15">
        <v>4</v>
      </c>
      <c r="J218" s="15">
        <v>18</v>
      </c>
      <c r="K218" s="30">
        <v>600000</v>
      </c>
      <c r="L218" s="17">
        <v>45901</v>
      </c>
      <c r="M218" s="18">
        <v>82760</v>
      </c>
      <c r="N218" s="16">
        <v>45902</v>
      </c>
      <c r="O218" s="19"/>
      <c r="P218" s="20">
        <v>924.9</v>
      </c>
      <c r="Q218" s="29">
        <v>81835.100000000006</v>
      </c>
      <c r="R218" s="9" t="s">
        <v>180</v>
      </c>
    </row>
    <row r="219" spans="1:18" ht="12" customHeight="1" x14ac:dyDescent="0.25">
      <c r="A219" s="14"/>
      <c r="B219" s="15">
        <v>19950</v>
      </c>
      <c r="C219" s="29">
        <v>153007.5</v>
      </c>
      <c r="D219" s="16">
        <v>45897</v>
      </c>
      <c r="E219" s="15" t="s">
        <v>2</v>
      </c>
      <c r="F219" s="29">
        <v>0</v>
      </c>
      <c r="G219" s="29">
        <v>0</v>
      </c>
      <c r="H219" s="29">
        <v>158287.76</v>
      </c>
      <c r="I219" s="15">
        <v>30</v>
      </c>
      <c r="J219" s="15">
        <v>17</v>
      </c>
      <c r="K219" s="30">
        <v>2400000</v>
      </c>
      <c r="L219" s="17">
        <v>45928</v>
      </c>
      <c r="M219" s="18">
        <v>158280</v>
      </c>
      <c r="N219" s="16">
        <v>45928</v>
      </c>
      <c r="O219" s="19"/>
      <c r="P219" s="20">
        <v>5280</v>
      </c>
      <c r="Q219" s="29">
        <v>153000</v>
      </c>
      <c r="R219" s="9" t="s">
        <v>180</v>
      </c>
    </row>
    <row r="220" spans="1:18" ht="12" customHeight="1" x14ac:dyDescent="0.25">
      <c r="A220" s="14"/>
      <c r="B220" s="15">
        <v>19926</v>
      </c>
      <c r="C220" s="29">
        <v>115003</v>
      </c>
      <c r="D220" s="16">
        <v>45897</v>
      </c>
      <c r="E220" s="15" t="s">
        <v>2</v>
      </c>
      <c r="F220" s="29">
        <v>0</v>
      </c>
      <c r="G220" s="29">
        <v>0</v>
      </c>
      <c r="H220" s="29">
        <v>117280.6</v>
      </c>
      <c r="I220" s="15">
        <v>15</v>
      </c>
      <c r="J220" s="15">
        <v>18</v>
      </c>
      <c r="K220" s="30">
        <v>600000</v>
      </c>
      <c r="L220" s="17">
        <v>45914</v>
      </c>
      <c r="M220" s="18">
        <v>117280</v>
      </c>
      <c r="N220" s="16">
        <v>45915</v>
      </c>
      <c r="O220" s="19"/>
      <c r="P220" s="20">
        <v>2277.58</v>
      </c>
      <c r="Q220" s="29">
        <v>115002.42</v>
      </c>
      <c r="R220" s="9" t="s">
        <v>180</v>
      </c>
    </row>
    <row r="221" spans="1:18" ht="12" customHeight="1" x14ac:dyDescent="0.25">
      <c r="A221" s="14"/>
      <c r="B221" s="15">
        <v>19953</v>
      </c>
      <c r="C221" s="29">
        <v>233003</v>
      </c>
      <c r="D221" s="16">
        <v>45897</v>
      </c>
      <c r="E221" s="15" t="s">
        <v>2</v>
      </c>
      <c r="F221" s="29">
        <v>0</v>
      </c>
      <c r="G221" s="29">
        <v>0</v>
      </c>
      <c r="H221" s="29">
        <v>257135.51</v>
      </c>
      <c r="I221" s="15">
        <v>90</v>
      </c>
      <c r="J221" s="15">
        <v>58</v>
      </c>
      <c r="K221" s="30">
        <v>260000</v>
      </c>
      <c r="L221" s="17">
        <v>45987</v>
      </c>
      <c r="M221" s="18">
        <v>257122</v>
      </c>
      <c r="N221" s="16">
        <v>45987</v>
      </c>
      <c r="O221" s="19"/>
      <c r="P221" s="20">
        <v>24131.25</v>
      </c>
      <c r="Q221" s="29">
        <v>232990.75</v>
      </c>
      <c r="R221" s="9" t="s">
        <v>180</v>
      </c>
    </row>
    <row r="222" spans="1:18" ht="12" customHeight="1" x14ac:dyDescent="0.25">
      <c r="A222" s="14"/>
      <c r="B222" s="15">
        <v>19957</v>
      </c>
      <c r="C222" s="29">
        <v>8410</v>
      </c>
      <c r="D222" s="16">
        <v>45900</v>
      </c>
      <c r="E222" s="15" t="s">
        <v>2</v>
      </c>
      <c r="F222" s="29">
        <v>0</v>
      </c>
      <c r="G222" s="29">
        <v>0</v>
      </c>
      <c r="H222" s="29">
        <v>9280.07</v>
      </c>
      <c r="I222" s="15">
        <v>90</v>
      </c>
      <c r="J222" s="15">
        <v>24</v>
      </c>
      <c r="K222" s="30">
        <v>230000</v>
      </c>
      <c r="L222" s="17">
        <v>45991</v>
      </c>
      <c r="M222" s="18">
        <v>9280</v>
      </c>
      <c r="N222" s="16">
        <v>45995</v>
      </c>
      <c r="O222" s="19"/>
      <c r="P222" s="20">
        <v>870.06</v>
      </c>
      <c r="Q222" s="29">
        <v>8409.94</v>
      </c>
      <c r="R222" s="9" t="s">
        <v>180</v>
      </c>
    </row>
    <row r="223" spans="1:18" ht="12" customHeight="1" x14ac:dyDescent="0.25">
      <c r="A223" s="14"/>
      <c r="B223" s="15">
        <v>19965</v>
      </c>
      <c r="C223" s="29">
        <v>134059</v>
      </c>
      <c r="D223" s="16">
        <v>45901</v>
      </c>
      <c r="E223" s="15" t="s">
        <v>2</v>
      </c>
      <c r="F223" s="29">
        <v>0</v>
      </c>
      <c r="G223" s="29">
        <v>0</v>
      </c>
      <c r="H223" s="29">
        <v>135587.79999999999</v>
      </c>
      <c r="I223" s="15">
        <v>4</v>
      </c>
      <c r="J223" s="15">
        <v>3</v>
      </c>
      <c r="K223" s="30">
        <v>1000000</v>
      </c>
      <c r="L223" s="17">
        <v>45907</v>
      </c>
      <c r="M223" s="18">
        <v>135588</v>
      </c>
      <c r="N223" s="16">
        <v>45908</v>
      </c>
      <c r="O223" s="19"/>
      <c r="P223" s="20">
        <v>1528.8</v>
      </c>
      <c r="Q223" s="29">
        <v>134059.20000000001</v>
      </c>
      <c r="R223" s="9" t="s">
        <v>180</v>
      </c>
    </row>
    <row r="224" spans="1:18" ht="12" customHeight="1" x14ac:dyDescent="0.25">
      <c r="A224" s="14"/>
      <c r="B224" s="15">
        <v>19966</v>
      </c>
      <c r="C224" s="29">
        <v>115003</v>
      </c>
      <c r="D224" s="16">
        <v>45901</v>
      </c>
      <c r="E224" s="15" t="s">
        <v>2</v>
      </c>
      <c r="F224" s="29">
        <v>0</v>
      </c>
      <c r="G224" s="29">
        <v>0</v>
      </c>
      <c r="H224" s="29">
        <v>117280.6</v>
      </c>
      <c r="I224" s="15">
        <v>15</v>
      </c>
      <c r="J224" s="15">
        <v>3</v>
      </c>
      <c r="K224" s="30">
        <v>1000000</v>
      </c>
      <c r="L224" s="17">
        <v>45917</v>
      </c>
      <c r="M224" s="18">
        <v>117280</v>
      </c>
      <c r="N224" s="16">
        <v>45917</v>
      </c>
      <c r="O224" s="19"/>
      <c r="P224" s="20">
        <v>2277.58</v>
      </c>
      <c r="Q224" s="29">
        <v>115002.42</v>
      </c>
      <c r="R224" s="9" t="s">
        <v>180</v>
      </c>
    </row>
    <row r="225" spans="1:19" ht="12" customHeight="1" x14ac:dyDescent="0.25">
      <c r="A225" s="14"/>
      <c r="B225" s="15">
        <v>19964</v>
      </c>
      <c r="C225" s="29">
        <v>166600</v>
      </c>
      <c r="D225" s="16">
        <v>45901</v>
      </c>
      <c r="E225" s="15" t="s">
        <v>2</v>
      </c>
      <c r="F225" s="29">
        <v>0</v>
      </c>
      <c r="G225" s="29">
        <v>0</v>
      </c>
      <c r="H225" s="29">
        <v>172346</v>
      </c>
      <c r="I225" s="15">
        <v>30</v>
      </c>
      <c r="J225" s="15">
        <v>15</v>
      </c>
      <c r="K225" s="30">
        <v>2300000</v>
      </c>
      <c r="L225" s="17">
        <v>45931</v>
      </c>
      <c r="M225" s="18">
        <v>172346</v>
      </c>
      <c r="N225" s="16">
        <v>45932</v>
      </c>
      <c r="O225" s="19"/>
      <c r="P225" s="20">
        <v>5746</v>
      </c>
      <c r="Q225" s="29">
        <v>166600</v>
      </c>
      <c r="R225" s="9" t="s">
        <v>180</v>
      </c>
    </row>
    <row r="226" spans="1:19" ht="12" customHeight="1" x14ac:dyDescent="0.25">
      <c r="A226" s="14"/>
      <c r="B226" s="15">
        <v>19962</v>
      </c>
      <c r="C226" s="29">
        <v>48553</v>
      </c>
      <c r="D226" s="16">
        <v>45901</v>
      </c>
      <c r="E226" s="15" t="s">
        <v>2</v>
      </c>
      <c r="F226" s="29">
        <v>0</v>
      </c>
      <c r="G226" s="29">
        <v>0</v>
      </c>
      <c r="H226" s="29">
        <v>49112.94</v>
      </c>
      <c r="I226" s="15">
        <v>4</v>
      </c>
      <c r="J226" s="15">
        <v>22</v>
      </c>
      <c r="K226" s="30">
        <v>200000</v>
      </c>
      <c r="L226" s="17">
        <v>45907</v>
      </c>
      <c r="M226" s="18">
        <v>49112</v>
      </c>
      <c r="N226" s="16">
        <v>45904</v>
      </c>
      <c r="O226" s="19"/>
      <c r="P226" s="20">
        <v>559.92999999999995</v>
      </c>
      <c r="Q226" s="29">
        <v>48552.07</v>
      </c>
      <c r="R226" s="9" t="s">
        <v>180</v>
      </c>
    </row>
    <row r="227" spans="1:19" ht="12" customHeight="1" x14ac:dyDescent="0.25">
      <c r="A227" s="14"/>
      <c r="B227" s="15">
        <v>19977</v>
      </c>
      <c r="C227" s="29">
        <v>194218</v>
      </c>
      <c r="D227" s="16">
        <v>45901</v>
      </c>
      <c r="E227" s="15" t="s">
        <v>2</v>
      </c>
      <c r="F227" s="29">
        <v>0</v>
      </c>
      <c r="G227" s="29">
        <v>0</v>
      </c>
      <c r="H227" s="29">
        <v>200910.86</v>
      </c>
      <c r="I227" s="15">
        <v>30</v>
      </c>
      <c r="J227" s="15">
        <v>20</v>
      </c>
      <c r="K227" s="30">
        <v>686000</v>
      </c>
      <c r="L227" s="17">
        <v>45932</v>
      </c>
      <c r="M227" s="18">
        <v>200911</v>
      </c>
      <c r="N227" s="16">
        <v>45937</v>
      </c>
      <c r="O227" s="19"/>
      <c r="P227" s="20">
        <v>6692.86</v>
      </c>
      <c r="Q227" s="29">
        <v>194218.14</v>
      </c>
      <c r="R227" s="9" t="s">
        <v>180</v>
      </c>
    </row>
    <row r="228" spans="1:19" ht="12" customHeight="1" x14ac:dyDescent="0.25">
      <c r="A228" s="14"/>
      <c r="B228" s="15">
        <v>19963</v>
      </c>
      <c r="C228" s="29">
        <v>145636</v>
      </c>
      <c r="D228" s="16">
        <v>45901</v>
      </c>
      <c r="E228" s="15" t="s">
        <v>2</v>
      </c>
      <c r="F228" s="29">
        <v>0</v>
      </c>
      <c r="G228" s="29">
        <v>0</v>
      </c>
      <c r="H228" s="29">
        <v>150630.89000000001</v>
      </c>
      <c r="I228" s="15">
        <v>30</v>
      </c>
      <c r="J228" s="15">
        <v>56</v>
      </c>
      <c r="K228" s="30">
        <v>320000</v>
      </c>
      <c r="L228" s="17">
        <v>45931</v>
      </c>
      <c r="M228" s="18">
        <v>150630</v>
      </c>
      <c r="N228" s="16">
        <v>45931</v>
      </c>
      <c r="O228" s="19"/>
      <c r="P228" s="20">
        <v>4994.8599999999997</v>
      </c>
      <c r="Q228" s="29">
        <v>145635.14000000001</v>
      </c>
      <c r="R228" s="9" t="s">
        <v>180</v>
      </c>
    </row>
    <row r="229" spans="1:19" ht="12" customHeight="1" x14ac:dyDescent="0.25">
      <c r="A229" s="14"/>
      <c r="B229" s="15">
        <v>19983</v>
      </c>
      <c r="C229" s="29">
        <v>287500</v>
      </c>
      <c r="D229" s="16">
        <v>45901</v>
      </c>
      <c r="E229" s="15" t="s">
        <v>2</v>
      </c>
      <c r="F229" s="29">
        <v>0</v>
      </c>
      <c r="G229" s="29">
        <v>0</v>
      </c>
      <c r="H229" s="29">
        <v>317315</v>
      </c>
      <c r="I229" s="15">
        <v>90</v>
      </c>
      <c r="J229" s="15">
        <v>62</v>
      </c>
      <c r="K229" s="30">
        <v>360000</v>
      </c>
      <c r="L229" s="17">
        <v>45991</v>
      </c>
      <c r="M229" s="18">
        <v>317315</v>
      </c>
      <c r="N229" s="16">
        <v>46019</v>
      </c>
      <c r="O229" s="19"/>
      <c r="P229" s="20">
        <v>29815</v>
      </c>
      <c r="Q229" s="29">
        <v>287500</v>
      </c>
      <c r="R229" s="9" t="s">
        <v>180</v>
      </c>
    </row>
    <row r="230" spans="1:19" ht="12" customHeight="1" x14ac:dyDescent="0.25">
      <c r="A230" s="14"/>
      <c r="B230" s="15">
        <v>19967</v>
      </c>
      <c r="C230" s="29">
        <v>170982</v>
      </c>
      <c r="D230" s="16">
        <v>45902</v>
      </c>
      <c r="E230" s="15" t="s">
        <v>2</v>
      </c>
      <c r="F230" s="29">
        <v>0</v>
      </c>
      <c r="G230" s="29">
        <v>0</v>
      </c>
      <c r="H230" s="29">
        <v>172939.84</v>
      </c>
      <c r="I230" s="15">
        <v>4</v>
      </c>
      <c r="J230" s="15">
        <v>18</v>
      </c>
      <c r="K230" s="30">
        <v>600000</v>
      </c>
      <c r="L230" s="17">
        <v>45907</v>
      </c>
      <c r="M230" s="18">
        <v>172976</v>
      </c>
      <c r="N230" s="16">
        <v>45909</v>
      </c>
      <c r="O230" s="19"/>
      <c r="P230" s="20">
        <v>1958.25</v>
      </c>
      <c r="Q230" s="29">
        <v>171017.75</v>
      </c>
      <c r="R230" s="9" t="s">
        <v>180</v>
      </c>
    </row>
    <row r="231" spans="1:19" ht="12" customHeight="1" x14ac:dyDescent="0.25">
      <c r="A231" s="14"/>
      <c r="B231" s="15">
        <v>19980</v>
      </c>
      <c r="C231" s="29">
        <v>1977200</v>
      </c>
      <c r="D231" s="16">
        <v>45902</v>
      </c>
      <c r="E231" s="15" t="s">
        <v>2</v>
      </c>
      <c r="F231" s="29">
        <v>0</v>
      </c>
      <c r="G231" s="29">
        <v>0</v>
      </c>
      <c r="H231" s="29">
        <v>2000000</v>
      </c>
      <c r="I231" s="15">
        <v>4</v>
      </c>
      <c r="J231" s="15">
        <v>42</v>
      </c>
      <c r="K231" s="30">
        <v>2000000</v>
      </c>
      <c r="L231" s="17">
        <v>45907</v>
      </c>
      <c r="M231" s="18">
        <v>2000000</v>
      </c>
      <c r="N231" s="16">
        <v>45904</v>
      </c>
      <c r="O231" s="19"/>
      <c r="P231" s="20">
        <v>22800</v>
      </c>
      <c r="Q231" s="29">
        <v>1977200</v>
      </c>
      <c r="R231" s="9" t="s">
        <v>180</v>
      </c>
    </row>
    <row r="232" spans="1:19" ht="12" customHeight="1" x14ac:dyDescent="0.25">
      <c r="A232" s="14"/>
      <c r="B232" s="15">
        <v>19978</v>
      </c>
      <c r="C232" s="29">
        <v>26000</v>
      </c>
      <c r="D232" s="16">
        <v>45902</v>
      </c>
      <c r="E232" s="15" t="s">
        <v>2</v>
      </c>
      <c r="F232" s="29">
        <v>0</v>
      </c>
      <c r="G232" s="29">
        <v>0</v>
      </c>
      <c r="H232" s="29">
        <v>26520</v>
      </c>
      <c r="I232" s="15">
        <v>14</v>
      </c>
      <c r="J232" s="15">
        <v>50</v>
      </c>
      <c r="K232" s="30">
        <v>84000</v>
      </c>
      <c r="L232" s="17">
        <v>45916</v>
      </c>
      <c r="M232" s="18">
        <v>26520</v>
      </c>
      <c r="N232" s="16">
        <v>45908</v>
      </c>
      <c r="O232" s="19"/>
      <c r="P232" s="20">
        <v>520</v>
      </c>
      <c r="Q232" s="29">
        <v>26000</v>
      </c>
      <c r="R232" s="9" t="s">
        <v>180</v>
      </c>
    </row>
    <row r="233" spans="1:19" ht="12" customHeight="1" x14ac:dyDescent="0.25">
      <c r="A233" s="14"/>
      <c r="B233" s="15">
        <v>19968</v>
      </c>
      <c r="C233" s="29">
        <v>170642</v>
      </c>
      <c r="D233" s="16">
        <v>45903</v>
      </c>
      <c r="E233" s="15" t="s">
        <v>2</v>
      </c>
      <c r="F233" s="29">
        <v>0</v>
      </c>
      <c r="G233" s="29">
        <v>0</v>
      </c>
      <c r="H233" s="29">
        <v>172583.42</v>
      </c>
      <c r="I233" s="15">
        <v>4</v>
      </c>
      <c r="J233" s="15">
        <v>3</v>
      </c>
      <c r="K233" s="30">
        <v>1000000</v>
      </c>
      <c r="L233" s="17">
        <v>45908</v>
      </c>
      <c r="M233" s="18">
        <v>172500</v>
      </c>
      <c r="N233" s="16">
        <v>45911</v>
      </c>
      <c r="O233" s="19"/>
      <c r="P233" s="20">
        <v>1940.48</v>
      </c>
      <c r="Q233" s="29">
        <v>170559.52</v>
      </c>
      <c r="R233" s="9" t="s">
        <v>180</v>
      </c>
    </row>
    <row r="234" spans="1:19" ht="12" customHeight="1" x14ac:dyDescent="0.25">
      <c r="A234" s="14"/>
      <c r="B234" s="15">
        <v>19982</v>
      </c>
      <c r="C234" s="29">
        <v>242000</v>
      </c>
      <c r="D234" s="16">
        <v>45903</v>
      </c>
      <c r="E234" s="15" t="s">
        <v>2</v>
      </c>
      <c r="F234" s="29">
        <v>0</v>
      </c>
      <c r="G234" s="29">
        <v>0</v>
      </c>
      <c r="H234" s="29">
        <v>250000</v>
      </c>
      <c r="I234" s="15">
        <v>30</v>
      </c>
      <c r="J234" s="15">
        <v>4</v>
      </c>
      <c r="K234" s="30">
        <v>250000</v>
      </c>
      <c r="L234" s="17">
        <v>45935</v>
      </c>
      <c r="M234" s="18">
        <v>250000</v>
      </c>
      <c r="N234" s="16">
        <v>45943</v>
      </c>
      <c r="O234" s="19"/>
      <c r="P234" s="20">
        <v>8000</v>
      </c>
      <c r="Q234" s="29">
        <v>242000</v>
      </c>
      <c r="R234" s="9" t="s">
        <v>180</v>
      </c>
    </row>
    <row r="235" spans="1:19" ht="12" customHeight="1" x14ac:dyDescent="0.25">
      <c r="A235" s="14"/>
      <c r="B235" s="15">
        <v>19989</v>
      </c>
      <c r="C235" s="29">
        <v>0</v>
      </c>
      <c r="D235" s="16">
        <v>45903</v>
      </c>
      <c r="E235" s="15" t="s">
        <v>4</v>
      </c>
      <c r="F235" s="29">
        <v>12385</v>
      </c>
      <c r="G235" s="29">
        <v>12385</v>
      </c>
      <c r="H235" s="29">
        <v>12385</v>
      </c>
      <c r="I235" s="15">
        <v>0</v>
      </c>
      <c r="J235" s="15">
        <v>14</v>
      </c>
      <c r="K235" s="30">
        <v>620000</v>
      </c>
      <c r="L235" s="17">
        <v>45903</v>
      </c>
      <c r="M235" s="18">
        <v>0</v>
      </c>
      <c r="N235" s="16"/>
      <c r="O235" s="19">
        <v>209</v>
      </c>
      <c r="P235" s="20">
        <v>0</v>
      </c>
      <c r="Q235" s="29">
        <v>0</v>
      </c>
      <c r="R235" s="9" t="s">
        <v>180</v>
      </c>
      <c r="S235" s="10" t="s">
        <v>636</v>
      </c>
    </row>
    <row r="236" spans="1:19" ht="12" customHeight="1" x14ac:dyDescent="0.25">
      <c r="A236" s="14"/>
      <c r="B236" s="15">
        <v>19969</v>
      </c>
      <c r="C236" s="29">
        <v>200000</v>
      </c>
      <c r="D236" s="16">
        <v>45903</v>
      </c>
      <c r="E236" s="15" t="s">
        <v>2</v>
      </c>
      <c r="F236" s="29">
        <v>0</v>
      </c>
      <c r="G236" s="29">
        <v>0</v>
      </c>
      <c r="H236" s="29">
        <v>206880</v>
      </c>
      <c r="I236" s="15">
        <v>30</v>
      </c>
      <c r="J236" s="15">
        <v>15</v>
      </c>
      <c r="K236" s="30">
        <v>2300000</v>
      </c>
      <c r="L236" s="17">
        <v>45935</v>
      </c>
      <c r="M236" s="18">
        <v>206880</v>
      </c>
      <c r="N236" s="16">
        <v>45937</v>
      </c>
      <c r="O236" s="19"/>
      <c r="P236" s="20">
        <v>6880</v>
      </c>
      <c r="Q236" s="29">
        <v>200000</v>
      </c>
      <c r="R236" s="9" t="s">
        <v>180</v>
      </c>
    </row>
    <row r="237" spans="1:19" ht="12" customHeight="1" x14ac:dyDescent="0.25">
      <c r="A237" s="14"/>
      <c r="B237" s="15">
        <v>19993</v>
      </c>
      <c r="C237" s="29">
        <v>0</v>
      </c>
      <c r="D237" s="16">
        <v>45903</v>
      </c>
      <c r="E237" s="15" t="s">
        <v>4</v>
      </c>
      <c r="F237" s="29">
        <v>3611</v>
      </c>
      <c r="G237" s="29">
        <v>3611</v>
      </c>
      <c r="H237" s="29">
        <v>3611</v>
      </c>
      <c r="I237" s="15">
        <v>0</v>
      </c>
      <c r="J237" s="15">
        <v>33</v>
      </c>
      <c r="K237" s="30">
        <v>310000</v>
      </c>
      <c r="L237" s="17">
        <v>45903</v>
      </c>
      <c r="M237" s="18">
        <v>0</v>
      </c>
      <c r="N237" s="16"/>
      <c r="O237" s="19">
        <v>209</v>
      </c>
      <c r="P237" s="20">
        <v>0</v>
      </c>
      <c r="Q237" s="29">
        <v>0</v>
      </c>
      <c r="R237" s="9" t="s">
        <v>180</v>
      </c>
      <c r="S237" s="10" t="s">
        <v>635</v>
      </c>
    </row>
    <row r="238" spans="1:19" ht="12" customHeight="1" x14ac:dyDescent="0.25">
      <c r="A238" s="14"/>
      <c r="B238" s="15">
        <v>19987</v>
      </c>
      <c r="C238" s="29">
        <v>12696</v>
      </c>
      <c r="D238" s="16">
        <v>45903</v>
      </c>
      <c r="E238" s="15" t="s">
        <v>2</v>
      </c>
      <c r="F238" s="29">
        <v>0</v>
      </c>
      <c r="G238" s="29">
        <v>0</v>
      </c>
      <c r="H238" s="29">
        <v>14156</v>
      </c>
      <c r="I238" s="15">
        <v>60</v>
      </c>
      <c r="J238" s="15">
        <v>54</v>
      </c>
      <c r="K238" s="30">
        <v>117000</v>
      </c>
      <c r="L238" s="17">
        <v>45964</v>
      </c>
      <c r="M238" s="18">
        <v>14156.04</v>
      </c>
      <c r="N238" s="16">
        <v>45965</v>
      </c>
      <c r="O238" s="19"/>
      <c r="P238" s="20">
        <v>1460</v>
      </c>
      <c r="Q238" s="29">
        <v>12696.04</v>
      </c>
      <c r="R238" s="9" t="s">
        <v>180</v>
      </c>
    </row>
    <row r="239" spans="1:19" ht="12" customHeight="1" x14ac:dyDescent="0.25">
      <c r="A239" s="14"/>
      <c r="B239" s="15">
        <v>19985</v>
      </c>
      <c r="C239" s="29">
        <v>99688</v>
      </c>
      <c r="D239" s="16">
        <v>45903</v>
      </c>
      <c r="E239" s="15" t="s">
        <v>4</v>
      </c>
      <c r="F239" s="29">
        <v>110000.55</v>
      </c>
      <c r="G239" s="29">
        <v>110000.55</v>
      </c>
      <c r="H239" s="29">
        <v>110000.55</v>
      </c>
      <c r="I239" s="15">
        <v>90</v>
      </c>
      <c r="J239" s="15">
        <v>61</v>
      </c>
      <c r="K239" s="30">
        <v>110000</v>
      </c>
      <c r="L239" s="17">
        <v>45993</v>
      </c>
      <c r="M239" s="18">
        <v>0</v>
      </c>
      <c r="N239" s="16"/>
      <c r="O239" s="19">
        <v>209</v>
      </c>
      <c r="P239" s="20">
        <v>0</v>
      </c>
      <c r="Q239" s="29">
        <v>0</v>
      </c>
      <c r="R239" s="9" t="s">
        <v>180</v>
      </c>
      <c r="S239" s="10" t="s">
        <v>637</v>
      </c>
    </row>
    <row r="240" spans="1:19" ht="12" customHeight="1" x14ac:dyDescent="0.25">
      <c r="A240" s="14"/>
      <c r="B240" s="15">
        <v>19990</v>
      </c>
      <c r="C240" s="29">
        <v>173408.5</v>
      </c>
      <c r="D240" s="16">
        <v>45904</v>
      </c>
      <c r="E240" s="15" t="s">
        <v>2</v>
      </c>
      <c r="F240" s="29">
        <v>0</v>
      </c>
      <c r="G240" s="29">
        <v>0</v>
      </c>
      <c r="H240" s="29">
        <v>179390.8</v>
      </c>
      <c r="I240" s="15">
        <v>30</v>
      </c>
      <c r="J240" s="15">
        <v>17</v>
      </c>
      <c r="K240" s="30">
        <v>2400000</v>
      </c>
      <c r="L240" s="17">
        <v>45935</v>
      </c>
      <c r="M240" s="18">
        <v>179384</v>
      </c>
      <c r="N240" s="16">
        <v>45936</v>
      </c>
      <c r="O240" s="19"/>
      <c r="P240" s="20">
        <v>5982.07</v>
      </c>
      <c r="Q240" s="29">
        <v>173401.93</v>
      </c>
      <c r="R240" s="9" t="s">
        <v>180</v>
      </c>
    </row>
    <row r="241" spans="1:19" ht="12" customHeight="1" x14ac:dyDescent="0.25">
      <c r="A241" s="14"/>
      <c r="B241" s="15">
        <v>19971</v>
      </c>
      <c r="C241" s="29">
        <v>134093</v>
      </c>
      <c r="D241" s="16">
        <v>45904</v>
      </c>
      <c r="E241" s="15" t="s">
        <v>2</v>
      </c>
      <c r="F241" s="29">
        <v>0</v>
      </c>
      <c r="G241" s="29">
        <v>0</v>
      </c>
      <c r="H241" s="29">
        <v>135626.6</v>
      </c>
      <c r="I241" s="15">
        <v>4</v>
      </c>
      <c r="J241" s="15">
        <v>18</v>
      </c>
      <c r="K241" s="30">
        <v>600000</v>
      </c>
      <c r="L241" s="17">
        <v>45911</v>
      </c>
      <c r="M241" s="18">
        <v>135627</v>
      </c>
      <c r="N241" s="16">
        <v>45914</v>
      </c>
      <c r="O241" s="19"/>
      <c r="P241" s="20">
        <v>1533.61</v>
      </c>
      <c r="Q241" s="29">
        <v>134093.39000000001</v>
      </c>
      <c r="R241" s="9" t="s">
        <v>180</v>
      </c>
    </row>
    <row r="242" spans="1:19" ht="12" customHeight="1" x14ac:dyDescent="0.25">
      <c r="A242" s="14"/>
      <c r="B242" s="15">
        <v>19994</v>
      </c>
      <c r="C242" s="29">
        <v>62759</v>
      </c>
      <c r="D242" s="16">
        <v>45904</v>
      </c>
      <c r="E242" s="15" t="s">
        <v>2</v>
      </c>
      <c r="F242" s="29">
        <v>0</v>
      </c>
      <c r="G242" s="29">
        <v>0</v>
      </c>
      <c r="H242" s="29">
        <v>64924.27</v>
      </c>
      <c r="I242" s="15">
        <v>30</v>
      </c>
      <c r="J242" s="15">
        <v>22</v>
      </c>
      <c r="K242" s="30">
        <v>200000</v>
      </c>
      <c r="L242" s="17">
        <v>45935</v>
      </c>
      <c r="M242" s="18">
        <v>64924.68</v>
      </c>
      <c r="N242" s="16">
        <v>45932</v>
      </c>
      <c r="O242" s="19"/>
      <c r="P242" s="20">
        <v>2165.2800000000002</v>
      </c>
      <c r="Q242" s="29">
        <v>62759.4</v>
      </c>
      <c r="R242" s="9" t="s">
        <v>180</v>
      </c>
    </row>
    <row r="243" spans="1:19" ht="12" customHeight="1" x14ac:dyDescent="0.25">
      <c r="A243" s="14"/>
      <c r="B243" s="15">
        <v>19984</v>
      </c>
      <c r="C243" s="29">
        <v>145314</v>
      </c>
      <c r="D243" s="16">
        <v>45904</v>
      </c>
      <c r="E243" s="15" t="s">
        <v>2</v>
      </c>
      <c r="F243" s="29">
        <v>0</v>
      </c>
      <c r="G243" s="29">
        <v>0</v>
      </c>
      <c r="H243" s="29">
        <v>150321.60000000001</v>
      </c>
      <c r="I243" s="15">
        <v>30</v>
      </c>
      <c r="J243" s="15">
        <v>20</v>
      </c>
      <c r="K243" s="30">
        <v>686000</v>
      </c>
      <c r="L243" s="17">
        <v>45935</v>
      </c>
      <c r="M243" s="18">
        <v>150322</v>
      </c>
      <c r="N243" s="16">
        <v>45937</v>
      </c>
      <c r="O243" s="19"/>
      <c r="P243" s="20">
        <v>5007.6099999999997</v>
      </c>
      <c r="Q243" s="29">
        <v>145314.39000000001</v>
      </c>
      <c r="R243" s="9" t="s">
        <v>180</v>
      </c>
    </row>
    <row r="244" spans="1:19" ht="12" customHeight="1" x14ac:dyDescent="0.25">
      <c r="A244" s="14"/>
      <c r="B244" s="15">
        <v>19991</v>
      </c>
      <c r="C244" s="29">
        <v>0</v>
      </c>
      <c r="D244" s="16">
        <v>45904</v>
      </c>
      <c r="E244" s="15" t="s">
        <v>2</v>
      </c>
      <c r="F244" s="29">
        <v>0</v>
      </c>
      <c r="G244" s="29">
        <v>0</v>
      </c>
      <c r="H244" s="29">
        <v>4150</v>
      </c>
      <c r="I244" s="15">
        <v>0</v>
      </c>
      <c r="J244" s="15">
        <v>25</v>
      </c>
      <c r="K244" s="30">
        <v>110000</v>
      </c>
      <c r="L244" s="17">
        <v>45904</v>
      </c>
      <c r="M244" s="18">
        <v>4150</v>
      </c>
      <c r="N244" s="16">
        <v>45971</v>
      </c>
      <c r="O244" s="19"/>
      <c r="P244" s="20">
        <v>4150</v>
      </c>
      <c r="Q244" s="29">
        <v>0</v>
      </c>
      <c r="R244" s="9" t="s">
        <v>180</v>
      </c>
    </row>
    <row r="245" spans="1:19" ht="12" customHeight="1" x14ac:dyDescent="0.25">
      <c r="A245" s="14"/>
      <c r="B245" s="15">
        <v>19970</v>
      </c>
      <c r="C245" s="29">
        <v>627328</v>
      </c>
      <c r="D245" s="16">
        <v>45907</v>
      </c>
      <c r="E245" s="15" t="s">
        <v>2</v>
      </c>
      <c r="F245" s="29">
        <v>0</v>
      </c>
      <c r="G245" s="29">
        <v>0</v>
      </c>
      <c r="H245" s="29">
        <v>648928.80000000005</v>
      </c>
      <c r="I245" s="15">
        <v>30</v>
      </c>
      <c r="J245" s="15">
        <v>5</v>
      </c>
      <c r="K245" s="30">
        <v>1600000</v>
      </c>
      <c r="L245" s="17">
        <v>45937</v>
      </c>
      <c r="M245" s="18">
        <v>648930</v>
      </c>
      <c r="N245" s="16">
        <v>45942</v>
      </c>
      <c r="O245" s="19"/>
      <c r="P245" s="20">
        <v>21600.84</v>
      </c>
      <c r="Q245" s="29">
        <v>627329.16</v>
      </c>
      <c r="R245" s="9" t="s">
        <v>180</v>
      </c>
    </row>
    <row r="246" spans="1:19" ht="12" customHeight="1" x14ac:dyDescent="0.25">
      <c r="A246" s="14"/>
      <c r="B246" s="15">
        <v>20002</v>
      </c>
      <c r="C246" s="29">
        <v>39663</v>
      </c>
      <c r="D246" s="16">
        <v>45907</v>
      </c>
      <c r="E246" s="15" t="s">
        <v>2</v>
      </c>
      <c r="F246" s="29">
        <v>0</v>
      </c>
      <c r="G246" s="29">
        <v>0</v>
      </c>
      <c r="H246" s="29">
        <v>41031.019999999997</v>
      </c>
      <c r="I246" s="15">
        <v>30</v>
      </c>
      <c r="J246" s="15">
        <v>6</v>
      </c>
      <c r="K246" s="30">
        <v>810000</v>
      </c>
      <c r="L246" s="17">
        <v>45937</v>
      </c>
      <c r="M246" s="18">
        <v>41031</v>
      </c>
      <c r="N246" s="16">
        <v>45937</v>
      </c>
      <c r="O246" s="19"/>
      <c r="P246" s="20">
        <v>1368.02</v>
      </c>
      <c r="Q246" s="29">
        <v>39662.980000000003</v>
      </c>
      <c r="R246" s="9" t="s">
        <v>180</v>
      </c>
    </row>
    <row r="247" spans="1:19" ht="12" customHeight="1" x14ac:dyDescent="0.25">
      <c r="A247" s="14"/>
      <c r="B247" s="15">
        <v>20005</v>
      </c>
      <c r="C247" s="29">
        <v>38502</v>
      </c>
      <c r="D247" s="16">
        <v>45908</v>
      </c>
      <c r="E247" s="15" t="s">
        <v>2</v>
      </c>
      <c r="F247" s="29">
        <v>0</v>
      </c>
      <c r="G247" s="29">
        <v>0</v>
      </c>
      <c r="H247" s="29">
        <v>42452.639999999999</v>
      </c>
      <c r="I247" s="15">
        <v>90</v>
      </c>
      <c r="J247" s="15">
        <v>62</v>
      </c>
      <c r="K247" s="30">
        <v>360000</v>
      </c>
      <c r="L247" s="17">
        <v>45998</v>
      </c>
      <c r="M247" s="18">
        <v>42452.639999999999</v>
      </c>
      <c r="N247" s="16">
        <v>46019</v>
      </c>
      <c r="O247" s="19"/>
      <c r="P247" s="20">
        <v>3950.64</v>
      </c>
      <c r="Q247" s="29">
        <v>38502</v>
      </c>
      <c r="R247" s="9" t="s">
        <v>180</v>
      </c>
    </row>
    <row r="248" spans="1:19" ht="12" customHeight="1" x14ac:dyDescent="0.25">
      <c r="A248" s="14"/>
      <c r="B248" s="15">
        <v>20006</v>
      </c>
      <c r="C248" s="29">
        <v>10030</v>
      </c>
      <c r="D248" s="16">
        <v>45908</v>
      </c>
      <c r="E248" s="15" t="s">
        <v>4</v>
      </c>
      <c r="F248" s="29">
        <v>9999.1</v>
      </c>
      <c r="G248" s="29">
        <v>9999.1</v>
      </c>
      <c r="H248" s="29">
        <v>11310.1</v>
      </c>
      <c r="I248" s="15">
        <v>90</v>
      </c>
      <c r="J248" s="15">
        <v>65</v>
      </c>
      <c r="K248" s="30">
        <v>10000</v>
      </c>
      <c r="L248" s="17">
        <v>45998</v>
      </c>
      <c r="M248" s="18">
        <v>1311</v>
      </c>
      <c r="N248" s="16">
        <v>45908</v>
      </c>
      <c r="O248" s="19">
        <v>204</v>
      </c>
      <c r="P248" s="20">
        <v>148.38</v>
      </c>
      <c r="Q248" s="29">
        <v>1162.6199999999999</v>
      </c>
      <c r="R248" s="9" t="s">
        <v>180</v>
      </c>
      <c r="S248" s="10" t="s">
        <v>638</v>
      </c>
    </row>
    <row r="249" spans="1:19" ht="12" customHeight="1" x14ac:dyDescent="0.25">
      <c r="A249" s="14"/>
      <c r="B249" s="15">
        <v>20016</v>
      </c>
      <c r="C249" s="29">
        <v>200873</v>
      </c>
      <c r="D249" s="16">
        <v>45909</v>
      </c>
      <c r="E249" s="15" t="s">
        <v>2</v>
      </c>
      <c r="F249" s="29">
        <v>0</v>
      </c>
      <c r="G249" s="29">
        <v>0</v>
      </c>
      <c r="H249" s="29">
        <v>207808.09</v>
      </c>
      <c r="I249" s="15">
        <v>30</v>
      </c>
      <c r="J249" s="15">
        <v>29</v>
      </c>
      <c r="K249" s="30">
        <v>1240000</v>
      </c>
      <c r="L249" s="17">
        <v>45939</v>
      </c>
      <c r="M249" s="18">
        <v>207808.5</v>
      </c>
      <c r="N249" s="16">
        <v>45938</v>
      </c>
      <c r="O249" s="19"/>
      <c r="P249" s="20">
        <v>6935.1</v>
      </c>
      <c r="Q249" s="29">
        <v>200873.4</v>
      </c>
      <c r="R249" s="9" t="s">
        <v>180</v>
      </c>
    </row>
    <row r="250" spans="1:19" ht="12" customHeight="1" x14ac:dyDescent="0.25">
      <c r="A250" s="14"/>
      <c r="B250" s="15">
        <v>20017</v>
      </c>
      <c r="C250" s="29">
        <v>0</v>
      </c>
      <c r="D250" s="16">
        <v>45909</v>
      </c>
      <c r="E250" s="15" t="s">
        <v>4</v>
      </c>
      <c r="F250" s="29">
        <v>6352</v>
      </c>
      <c r="G250" s="29">
        <v>6352</v>
      </c>
      <c r="H250" s="29">
        <v>6352</v>
      </c>
      <c r="I250" s="15">
        <v>0</v>
      </c>
      <c r="J250" s="15">
        <v>33</v>
      </c>
      <c r="K250" s="30">
        <v>310000</v>
      </c>
      <c r="L250" s="17">
        <v>45909</v>
      </c>
      <c r="M250" s="18">
        <v>0</v>
      </c>
      <c r="N250" s="16"/>
      <c r="O250" s="19">
        <v>203</v>
      </c>
      <c r="P250" s="20">
        <v>0</v>
      </c>
      <c r="Q250" s="29">
        <v>0</v>
      </c>
      <c r="R250" s="9" t="s">
        <v>180</v>
      </c>
      <c r="S250" s="10" t="s">
        <v>635</v>
      </c>
    </row>
    <row r="251" spans="1:19" ht="12" customHeight="1" x14ac:dyDescent="0.25">
      <c r="A251" s="14"/>
      <c r="B251" s="15">
        <v>20007</v>
      </c>
      <c r="C251" s="29">
        <v>13841</v>
      </c>
      <c r="D251" s="16">
        <v>45909</v>
      </c>
      <c r="E251" s="15" t="s">
        <v>2</v>
      </c>
      <c r="F251" s="29">
        <v>0</v>
      </c>
      <c r="G251" s="29">
        <v>0</v>
      </c>
      <c r="H251" s="29">
        <v>14317.9</v>
      </c>
      <c r="I251" s="15">
        <v>30</v>
      </c>
      <c r="J251" s="15">
        <v>46</v>
      </c>
      <c r="K251" s="30">
        <v>30000</v>
      </c>
      <c r="L251" s="17">
        <v>45939</v>
      </c>
      <c r="M251" s="18">
        <v>14189.87</v>
      </c>
      <c r="N251" s="16">
        <v>45942</v>
      </c>
      <c r="O251" s="19"/>
      <c r="P251" s="20">
        <v>472.63</v>
      </c>
      <c r="Q251" s="29">
        <v>13717.24</v>
      </c>
      <c r="R251" s="9" t="s">
        <v>180</v>
      </c>
    </row>
    <row r="252" spans="1:19" ht="12" customHeight="1" x14ac:dyDescent="0.25">
      <c r="A252" s="14"/>
      <c r="B252" s="15">
        <v>20014</v>
      </c>
      <c r="C252" s="29">
        <v>26000</v>
      </c>
      <c r="D252" s="16">
        <v>45909</v>
      </c>
      <c r="E252" s="15" t="s">
        <v>2</v>
      </c>
      <c r="F252" s="29">
        <v>0</v>
      </c>
      <c r="G252" s="29">
        <v>0</v>
      </c>
      <c r="H252" s="29">
        <v>26520</v>
      </c>
      <c r="I252" s="15">
        <v>15</v>
      </c>
      <c r="J252" s="15">
        <v>50</v>
      </c>
      <c r="K252" s="30">
        <v>84000</v>
      </c>
      <c r="L252" s="17">
        <v>45924</v>
      </c>
      <c r="M252" s="18">
        <v>26520</v>
      </c>
      <c r="N252" s="16">
        <v>45925</v>
      </c>
      <c r="O252" s="19"/>
      <c r="P252" s="20">
        <v>520</v>
      </c>
      <c r="Q252" s="29">
        <v>26000</v>
      </c>
      <c r="R252" s="9" t="s">
        <v>180</v>
      </c>
    </row>
    <row r="253" spans="1:19" ht="12" customHeight="1" x14ac:dyDescent="0.25">
      <c r="A253" s="14"/>
      <c r="B253" s="15">
        <v>20013</v>
      </c>
      <c r="C253" s="29">
        <v>90622</v>
      </c>
      <c r="D253" s="16">
        <v>45909</v>
      </c>
      <c r="E253" s="15" t="s">
        <v>2</v>
      </c>
      <c r="F253" s="29">
        <v>0</v>
      </c>
      <c r="G253" s="29">
        <v>0</v>
      </c>
      <c r="H253" s="29">
        <v>100001.33</v>
      </c>
      <c r="I253" s="15">
        <v>90</v>
      </c>
      <c r="J253" s="15">
        <v>67</v>
      </c>
      <c r="K253" s="30">
        <v>100000</v>
      </c>
      <c r="L253" s="17">
        <v>45999</v>
      </c>
      <c r="M253" s="18">
        <v>100000</v>
      </c>
      <c r="N253" s="16">
        <v>46005</v>
      </c>
      <c r="O253" s="19"/>
      <c r="P253" s="20">
        <v>9379.2000000000007</v>
      </c>
      <c r="Q253" s="29">
        <v>90620.800000000003</v>
      </c>
      <c r="R253" s="9" t="s">
        <v>180</v>
      </c>
    </row>
    <row r="254" spans="1:19" ht="12" customHeight="1" x14ac:dyDescent="0.25">
      <c r="A254" s="14"/>
      <c r="B254" s="15">
        <v>19996</v>
      </c>
      <c r="C254" s="29">
        <v>186735</v>
      </c>
      <c r="D254" s="16">
        <v>45910</v>
      </c>
      <c r="E254" s="15" t="s">
        <v>2</v>
      </c>
      <c r="F254" s="29">
        <v>0</v>
      </c>
      <c r="G254" s="29">
        <v>0</v>
      </c>
      <c r="H254" s="29">
        <v>189929.17</v>
      </c>
      <c r="I254" s="15">
        <v>10</v>
      </c>
      <c r="J254" s="15">
        <v>13</v>
      </c>
      <c r="K254" s="30">
        <v>1260000</v>
      </c>
      <c r="L254" s="17">
        <v>45921</v>
      </c>
      <c r="M254" s="18">
        <v>189929</v>
      </c>
      <c r="N254" s="16">
        <v>45929</v>
      </c>
      <c r="O254" s="19"/>
      <c r="P254" s="20">
        <v>3194.16</v>
      </c>
      <c r="Q254" s="29">
        <v>186734.84</v>
      </c>
      <c r="R254" s="9" t="s">
        <v>180</v>
      </c>
    </row>
    <row r="255" spans="1:19" ht="12" customHeight="1" x14ac:dyDescent="0.25">
      <c r="A255" s="14"/>
      <c r="B255" s="15">
        <v>20004</v>
      </c>
      <c r="C255" s="29">
        <v>60000</v>
      </c>
      <c r="D255" s="16">
        <v>45910</v>
      </c>
      <c r="E255" s="15" t="s">
        <v>4</v>
      </c>
      <c r="F255" s="29">
        <v>69314.259999999995</v>
      </c>
      <c r="G255" s="29">
        <v>69314.259999999995</v>
      </c>
      <c r="H255" s="29">
        <v>69314.259999999995</v>
      </c>
      <c r="I255" s="15">
        <v>90</v>
      </c>
      <c r="J255" s="15">
        <v>63</v>
      </c>
      <c r="K255" s="30">
        <v>60000</v>
      </c>
      <c r="L255" s="17">
        <v>46000</v>
      </c>
      <c r="M255" s="18">
        <v>0</v>
      </c>
      <c r="N255" s="16"/>
      <c r="O255" s="19">
        <v>202</v>
      </c>
      <c r="P255" s="20">
        <v>0</v>
      </c>
      <c r="Q255" s="29">
        <v>0</v>
      </c>
      <c r="R255" s="9" t="s">
        <v>180</v>
      </c>
      <c r="S255" s="10" t="s">
        <v>639</v>
      </c>
    </row>
    <row r="256" spans="1:19" ht="12" customHeight="1" x14ac:dyDescent="0.25">
      <c r="A256" s="14"/>
      <c r="B256" s="15">
        <v>20018</v>
      </c>
      <c r="C256" s="29">
        <v>452971</v>
      </c>
      <c r="D256" s="16">
        <v>45910</v>
      </c>
      <c r="E256" s="15" t="s">
        <v>2</v>
      </c>
      <c r="F256" s="29">
        <v>0</v>
      </c>
      <c r="G256" s="29">
        <v>0</v>
      </c>
      <c r="H256" s="29">
        <v>499834.7</v>
      </c>
      <c r="I256" s="15">
        <v>90</v>
      </c>
      <c r="J256" s="15">
        <v>69</v>
      </c>
      <c r="K256" s="30">
        <v>500000</v>
      </c>
      <c r="L256" s="17">
        <v>46000</v>
      </c>
      <c r="M256" s="18">
        <v>499834.72</v>
      </c>
      <c r="N256" s="16">
        <v>46023</v>
      </c>
      <c r="O256" s="19"/>
      <c r="P256" s="20">
        <v>46863.7</v>
      </c>
      <c r="Q256" s="29">
        <v>452971.02</v>
      </c>
      <c r="R256" s="9" t="s">
        <v>180</v>
      </c>
    </row>
    <row r="257" spans="1:19" ht="12" customHeight="1" x14ac:dyDescent="0.25">
      <c r="A257" s="14"/>
      <c r="B257" s="15">
        <v>19998</v>
      </c>
      <c r="C257" s="29">
        <v>500000</v>
      </c>
      <c r="D257" s="16">
        <v>45911</v>
      </c>
      <c r="E257" s="15" t="s">
        <v>2</v>
      </c>
      <c r="F257" s="29">
        <v>0</v>
      </c>
      <c r="G257" s="29">
        <v>0</v>
      </c>
      <c r="H257" s="29">
        <v>517200</v>
      </c>
      <c r="I257" s="15">
        <v>30</v>
      </c>
      <c r="J257" s="15">
        <v>5</v>
      </c>
      <c r="K257" s="30">
        <v>1600000</v>
      </c>
      <c r="L257" s="17">
        <v>45942</v>
      </c>
      <c r="M257" s="18">
        <v>517200</v>
      </c>
      <c r="N257" s="16">
        <v>45943</v>
      </c>
      <c r="O257" s="19"/>
      <c r="P257" s="20">
        <v>17200</v>
      </c>
      <c r="Q257" s="29">
        <v>500000</v>
      </c>
      <c r="R257" s="9" t="s">
        <v>180</v>
      </c>
    </row>
    <row r="258" spans="1:19" ht="12" customHeight="1" x14ac:dyDescent="0.25">
      <c r="A258" s="14"/>
      <c r="B258" s="15">
        <v>20023</v>
      </c>
      <c r="C258" s="29">
        <v>0</v>
      </c>
      <c r="D258" s="16">
        <v>45911</v>
      </c>
      <c r="E258" s="15" t="s">
        <v>4</v>
      </c>
      <c r="F258" s="29">
        <v>14527</v>
      </c>
      <c r="G258" s="29">
        <v>14527</v>
      </c>
      <c r="H258" s="29">
        <v>14527</v>
      </c>
      <c r="I258" s="15">
        <v>0</v>
      </c>
      <c r="J258" s="15">
        <v>14</v>
      </c>
      <c r="K258" s="30">
        <v>620000</v>
      </c>
      <c r="L258" s="17">
        <v>45911</v>
      </c>
      <c r="M258" s="18">
        <v>0</v>
      </c>
      <c r="N258" s="16"/>
      <c r="O258" s="19">
        <v>201</v>
      </c>
      <c r="P258" s="20">
        <v>0</v>
      </c>
      <c r="Q258" s="29">
        <v>0</v>
      </c>
      <c r="R258" s="9" t="s">
        <v>180</v>
      </c>
      <c r="S258" s="10" t="s">
        <v>636</v>
      </c>
    </row>
    <row r="259" spans="1:19" ht="12" customHeight="1" x14ac:dyDescent="0.25">
      <c r="A259" s="14"/>
      <c r="B259" s="15">
        <v>20090</v>
      </c>
      <c r="C259" s="29">
        <v>0</v>
      </c>
      <c r="D259" s="16">
        <v>45911</v>
      </c>
      <c r="E259" s="15" t="s">
        <v>4</v>
      </c>
      <c r="F259" s="29">
        <v>14286</v>
      </c>
      <c r="G259" s="29">
        <v>14286</v>
      </c>
      <c r="H259" s="29">
        <v>14286</v>
      </c>
      <c r="I259" s="15">
        <v>0</v>
      </c>
      <c r="J259" s="15">
        <v>14</v>
      </c>
      <c r="K259" s="30">
        <v>620000</v>
      </c>
      <c r="L259" s="17">
        <v>45911</v>
      </c>
      <c r="M259" s="18">
        <v>0</v>
      </c>
      <c r="N259" s="16"/>
      <c r="O259" s="19">
        <v>201</v>
      </c>
      <c r="P259" s="20">
        <v>0</v>
      </c>
      <c r="Q259" s="29">
        <v>0</v>
      </c>
      <c r="R259" s="9" t="s">
        <v>180</v>
      </c>
      <c r="S259" s="10" t="s">
        <v>636</v>
      </c>
    </row>
    <row r="260" spans="1:19" ht="12" customHeight="1" x14ac:dyDescent="0.25">
      <c r="A260" s="14"/>
      <c r="B260" s="15">
        <v>19995</v>
      </c>
      <c r="C260" s="29">
        <v>170642</v>
      </c>
      <c r="D260" s="16">
        <v>45911</v>
      </c>
      <c r="E260" s="15" t="s">
        <v>2</v>
      </c>
      <c r="F260" s="29">
        <v>0</v>
      </c>
      <c r="G260" s="29">
        <v>0</v>
      </c>
      <c r="H260" s="29">
        <v>172600.32000000001</v>
      </c>
      <c r="I260" s="15">
        <v>4</v>
      </c>
      <c r="J260" s="15">
        <v>18</v>
      </c>
      <c r="K260" s="30">
        <v>600000</v>
      </c>
      <c r="L260" s="17">
        <v>45918</v>
      </c>
      <c r="M260" s="18">
        <v>172484</v>
      </c>
      <c r="N260" s="16">
        <v>45921</v>
      </c>
      <c r="O260" s="19"/>
      <c r="P260" s="20">
        <v>1957</v>
      </c>
      <c r="Q260" s="29">
        <v>170527</v>
      </c>
      <c r="R260" s="9" t="s">
        <v>180</v>
      </c>
    </row>
    <row r="261" spans="1:19" ht="12" customHeight="1" x14ac:dyDescent="0.25">
      <c r="A261" s="14"/>
      <c r="B261" s="15">
        <v>20022</v>
      </c>
      <c r="C261" s="29">
        <v>0</v>
      </c>
      <c r="D261" s="16">
        <v>45911</v>
      </c>
      <c r="E261" s="15" t="s">
        <v>2</v>
      </c>
      <c r="F261" s="29">
        <v>0</v>
      </c>
      <c r="G261" s="29">
        <v>0</v>
      </c>
      <c r="H261" s="29">
        <v>1953</v>
      </c>
      <c r="I261" s="15">
        <v>0</v>
      </c>
      <c r="J261" s="15">
        <v>28</v>
      </c>
      <c r="K261" s="30">
        <v>170000</v>
      </c>
      <c r="L261" s="17">
        <v>45911</v>
      </c>
      <c r="M261" s="18">
        <v>1953</v>
      </c>
      <c r="N261" s="16">
        <v>45959</v>
      </c>
      <c r="O261" s="19"/>
      <c r="P261" s="20">
        <v>1953</v>
      </c>
      <c r="Q261" s="29">
        <v>0</v>
      </c>
      <c r="R261" s="9" t="s">
        <v>180</v>
      </c>
    </row>
    <row r="262" spans="1:19" ht="12" customHeight="1" x14ac:dyDescent="0.25">
      <c r="A262" s="14"/>
      <c r="B262" s="15">
        <v>20064</v>
      </c>
      <c r="C262" s="29">
        <v>0</v>
      </c>
      <c r="D262" s="16">
        <v>45911</v>
      </c>
      <c r="E262" s="15" t="s">
        <v>2</v>
      </c>
      <c r="F262" s="29">
        <v>0</v>
      </c>
      <c r="G262" s="29">
        <v>0</v>
      </c>
      <c r="H262" s="29">
        <v>1975</v>
      </c>
      <c r="I262" s="15">
        <v>0</v>
      </c>
      <c r="J262" s="15">
        <v>28</v>
      </c>
      <c r="K262" s="30">
        <v>170000</v>
      </c>
      <c r="L262" s="17">
        <v>45911</v>
      </c>
      <c r="M262" s="18">
        <v>1975</v>
      </c>
      <c r="N262" s="16">
        <v>45959</v>
      </c>
      <c r="O262" s="19"/>
      <c r="P262" s="20">
        <v>1975</v>
      </c>
      <c r="Q262" s="29">
        <v>0</v>
      </c>
      <c r="R262" s="9" t="s">
        <v>180</v>
      </c>
    </row>
    <row r="263" spans="1:19" ht="12" customHeight="1" x14ac:dyDescent="0.25">
      <c r="A263" s="14"/>
      <c r="B263" s="15">
        <v>20086</v>
      </c>
      <c r="C263" s="29">
        <v>0</v>
      </c>
      <c r="D263" s="16">
        <v>45911</v>
      </c>
      <c r="E263" s="15" t="s">
        <v>2</v>
      </c>
      <c r="F263" s="29">
        <v>0</v>
      </c>
      <c r="G263" s="29">
        <v>0</v>
      </c>
      <c r="H263" s="29">
        <v>1423</v>
      </c>
      <c r="I263" s="15">
        <v>0</v>
      </c>
      <c r="J263" s="15">
        <v>28</v>
      </c>
      <c r="K263" s="30">
        <v>170000</v>
      </c>
      <c r="L263" s="17">
        <v>45911</v>
      </c>
      <c r="M263" s="18">
        <v>1423</v>
      </c>
      <c r="N263" s="16">
        <v>45959</v>
      </c>
      <c r="O263" s="19"/>
      <c r="P263" s="20">
        <v>1423</v>
      </c>
      <c r="Q263" s="29">
        <v>0</v>
      </c>
      <c r="R263" s="9" t="s">
        <v>180</v>
      </c>
    </row>
    <row r="264" spans="1:19" ht="12" customHeight="1" x14ac:dyDescent="0.25">
      <c r="A264" s="14"/>
      <c r="B264" s="15">
        <v>20043</v>
      </c>
      <c r="C264" s="29">
        <v>0</v>
      </c>
      <c r="D264" s="16">
        <v>45911</v>
      </c>
      <c r="E264" s="15" t="s">
        <v>2</v>
      </c>
      <c r="F264" s="29">
        <v>0</v>
      </c>
      <c r="G264" s="29">
        <v>0</v>
      </c>
      <c r="H264" s="29">
        <v>975</v>
      </c>
      <c r="I264" s="15">
        <v>0</v>
      </c>
      <c r="J264" s="15">
        <v>26</v>
      </c>
      <c r="K264" s="30">
        <v>90000</v>
      </c>
      <c r="L264" s="17">
        <v>45911</v>
      </c>
      <c r="M264" s="18">
        <v>975</v>
      </c>
      <c r="N264" s="16">
        <v>45915</v>
      </c>
      <c r="O264" s="19"/>
      <c r="P264" s="20">
        <v>975</v>
      </c>
      <c r="Q264" s="29">
        <v>0</v>
      </c>
      <c r="R264" s="9" t="s">
        <v>180</v>
      </c>
    </row>
    <row r="265" spans="1:19" ht="12" customHeight="1" x14ac:dyDescent="0.25">
      <c r="A265" s="14"/>
      <c r="B265" s="15">
        <v>20035</v>
      </c>
      <c r="C265" s="29">
        <v>0</v>
      </c>
      <c r="D265" s="16">
        <v>45911</v>
      </c>
      <c r="E265" s="15" t="s">
        <v>4</v>
      </c>
      <c r="F265" s="29">
        <v>29633</v>
      </c>
      <c r="G265" s="29">
        <v>29633</v>
      </c>
      <c r="H265" s="29">
        <v>29633</v>
      </c>
      <c r="I265" s="15">
        <v>0</v>
      </c>
      <c r="J265" s="15">
        <v>33</v>
      </c>
      <c r="K265" s="30">
        <v>310000</v>
      </c>
      <c r="L265" s="17">
        <v>45911</v>
      </c>
      <c r="M265" s="18">
        <v>0</v>
      </c>
      <c r="N265" s="16"/>
      <c r="O265" s="19">
        <v>201</v>
      </c>
      <c r="P265" s="20">
        <v>0</v>
      </c>
      <c r="Q265" s="29">
        <v>0</v>
      </c>
      <c r="R265" s="9" t="s">
        <v>180</v>
      </c>
      <c r="S265" s="10" t="s">
        <v>635</v>
      </c>
    </row>
    <row r="266" spans="1:19" ht="12" customHeight="1" x14ac:dyDescent="0.25">
      <c r="A266" s="14"/>
      <c r="B266" s="15">
        <v>20021</v>
      </c>
      <c r="C266" s="29">
        <v>206196</v>
      </c>
      <c r="D266" s="16">
        <v>45911</v>
      </c>
      <c r="E266" s="15" t="s">
        <v>2</v>
      </c>
      <c r="F266" s="29">
        <v>0</v>
      </c>
      <c r="G266" s="29">
        <v>0</v>
      </c>
      <c r="H266" s="29">
        <v>227525.23</v>
      </c>
      <c r="I266" s="15">
        <v>90</v>
      </c>
      <c r="J266" s="15">
        <v>68</v>
      </c>
      <c r="K266" s="30">
        <v>230000</v>
      </c>
      <c r="L266" s="17">
        <v>46001</v>
      </c>
      <c r="M266" s="18">
        <v>227525.8</v>
      </c>
      <c r="N266" s="16">
        <v>46002</v>
      </c>
      <c r="O266" s="19"/>
      <c r="P266" s="20">
        <v>21329.279999999999</v>
      </c>
      <c r="Q266" s="29">
        <v>206196.52</v>
      </c>
      <c r="R266" s="9" t="s">
        <v>180</v>
      </c>
    </row>
    <row r="267" spans="1:19" ht="12" customHeight="1" x14ac:dyDescent="0.25">
      <c r="A267" s="14"/>
      <c r="B267" s="15">
        <v>20049</v>
      </c>
      <c r="C267" s="29">
        <v>0</v>
      </c>
      <c r="D267" s="16">
        <v>45914</v>
      </c>
      <c r="E267" s="15" t="s">
        <v>2</v>
      </c>
      <c r="F267" s="29">
        <v>0</v>
      </c>
      <c r="G267" s="29">
        <v>0</v>
      </c>
      <c r="H267" s="29">
        <v>1842</v>
      </c>
      <c r="I267" s="15">
        <v>0</v>
      </c>
      <c r="J267" s="15">
        <v>23</v>
      </c>
      <c r="K267" s="30">
        <v>310000</v>
      </c>
      <c r="L267" s="17">
        <v>45914</v>
      </c>
      <c r="M267" s="18">
        <v>1842</v>
      </c>
      <c r="N267" s="16">
        <v>45924</v>
      </c>
      <c r="O267" s="19"/>
      <c r="P267" s="20">
        <v>1842</v>
      </c>
      <c r="Q267" s="29">
        <v>0</v>
      </c>
      <c r="R267" s="9" t="s">
        <v>180</v>
      </c>
    </row>
    <row r="268" spans="1:19" ht="12" customHeight="1" x14ac:dyDescent="0.25">
      <c r="A268" s="14"/>
      <c r="B268" s="15">
        <v>20038</v>
      </c>
      <c r="C268" s="29">
        <v>175064</v>
      </c>
      <c r="D268" s="16">
        <v>45914</v>
      </c>
      <c r="E268" s="15" t="s">
        <v>2</v>
      </c>
      <c r="F268" s="29">
        <v>0</v>
      </c>
      <c r="G268" s="29">
        <v>0</v>
      </c>
      <c r="H268" s="29">
        <v>181105.15</v>
      </c>
      <c r="I268" s="15">
        <v>30</v>
      </c>
      <c r="J268" s="15">
        <v>29</v>
      </c>
      <c r="K268" s="30">
        <v>1240000</v>
      </c>
      <c r="L268" s="17">
        <v>45944</v>
      </c>
      <c r="M268" s="18">
        <v>181105</v>
      </c>
      <c r="N268" s="16">
        <v>45945</v>
      </c>
      <c r="O268" s="19"/>
      <c r="P268" s="20">
        <v>6041.15</v>
      </c>
      <c r="Q268" s="29">
        <v>175063.85</v>
      </c>
      <c r="R268" s="9" t="s">
        <v>180</v>
      </c>
    </row>
    <row r="269" spans="1:19" ht="12" customHeight="1" x14ac:dyDescent="0.25">
      <c r="A269" s="14"/>
      <c r="B269" s="15">
        <v>20036</v>
      </c>
      <c r="C269" s="29">
        <v>20000</v>
      </c>
      <c r="D269" s="16">
        <v>45914</v>
      </c>
      <c r="E269" s="15" t="s">
        <v>2</v>
      </c>
      <c r="F269" s="29">
        <v>0</v>
      </c>
      <c r="G269" s="29">
        <v>0</v>
      </c>
      <c r="H269" s="29">
        <v>20345.02</v>
      </c>
      <c r="I269" s="15">
        <v>10</v>
      </c>
      <c r="J269" s="15">
        <v>43</v>
      </c>
      <c r="K269" s="30">
        <v>89000</v>
      </c>
      <c r="L269" s="17">
        <v>45924</v>
      </c>
      <c r="M269" s="18">
        <v>20345</v>
      </c>
      <c r="N269" s="16">
        <v>45928</v>
      </c>
      <c r="O269" s="19"/>
      <c r="P269" s="20">
        <v>345.02</v>
      </c>
      <c r="Q269" s="29">
        <v>19999.98</v>
      </c>
      <c r="R269" s="9" t="s">
        <v>180</v>
      </c>
    </row>
    <row r="270" spans="1:19" ht="12" customHeight="1" x14ac:dyDescent="0.25">
      <c r="A270" s="14"/>
      <c r="B270" s="15">
        <v>20037</v>
      </c>
      <c r="C270" s="29">
        <v>20000</v>
      </c>
      <c r="D270" s="16">
        <v>45914</v>
      </c>
      <c r="E270" s="15" t="s">
        <v>2</v>
      </c>
      <c r="F270" s="29">
        <v>0</v>
      </c>
      <c r="G270" s="29">
        <v>0</v>
      </c>
      <c r="H270" s="29">
        <v>20345.02</v>
      </c>
      <c r="I270" s="15">
        <v>10</v>
      </c>
      <c r="J270" s="15">
        <v>43</v>
      </c>
      <c r="K270" s="30">
        <v>89000</v>
      </c>
      <c r="L270" s="17">
        <v>45924</v>
      </c>
      <c r="M270" s="18">
        <v>20345</v>
      </c>
      <c r="N270" s="16">
        <v>45928</v>
      </c>
      <c r="O270" s="19"/>
      <c r="P270" s="20">
        <v>345.02</v>
      </c>
      <c r="Q270" s="29">
        <v>19999.98</v>
      </c>
      <c r="R270" s="9" t="s">
        <v>180</v>
      </c>
    </row>
    <row r="271" spans="1:19" ht="12" customHeight="1" x14ac:dyDescent="0.25">
      <c r="A271" s="14"/>
      <c r="B271" s="15">
        <v>19999</v>
      </c>
      <c r="C271" s="29">
        <v>300000</v>
      </c>
      <c r="D271" s="16">
        <v>45915</v>
      </c>
      <c r="E271" s="15" t="s">
        <v>2</v>
      </c>
      <c r="F271" s="29">
        <v>0</v>
      </c>
      <c r="G271" s="29">
        <v>0</v>
      </c>
      <c r="H271" s="29">
        <v>310320</v>
      </c>
      <c r="I271" s="15">
        <v>30</v>
      </c>
      <c r="J271" s="15">
        <v>5</v>
      </c>
      <c r="K271" s="30">
        <v>1600000</v>
      </c>
      <c r="L271" s="17">
        <v>45945</v>
      </c>
      <c r="M271" s="18">
        <v>310320</v>
      </c>
      <c r="N271" s="16">
        <v>45946</v>
      </c>
      <c r="O271" s="19"/>
      <c r="P271" s="20">
        <v>10320</v>
      </c>
      <c r="Q271" s="29">
        <v>300000</v>
      </c>
      <c r="R271" s="9" t="s">
        <v>180</v>
      </c>
    </row>
    <row r="272" spans="1:19" ht="12" customHeight="1" x14ac:dyDescent="0.25">
      <c r="A272" s="14"/>
      <c r="B272" s="15">
        <v>20000</v>
      </c>
      <c r="C272" s="29">
        <v>173179</v>
      </c>
      <c r="D272" s="16">
        <v>45915</v>
      </c>
      <c r="E272" s="15" t="s">
        <v>2</v>
      </c>
      <c r="F272" s="29">
        <v>0</v>
      </c>
      <c r="G272" s="29">
        <v>0</v>
      </c>
      <c r="H272" s="29">
        <v>176164.84</v>
      </c>
      <c r="I272" s="15">
        <v>10</v>
      </c>
      <c r="J272" s="15">
        <v>13</v>
      </c>
      <c r="K272" s="30">
        <v>1260000</v>
      </c>
      <c r="L272" s="17">
        <v>45928</v>
      </c>
      <c r="M272" s="18">
        <v>176166</v>
      </c>
      <c r="N272" s="16">
        <v>45937</v>
      </c>
      <c r="O272" s="19"/>
      <c r="P272" s="20">
        <v>2985.86</v>
      </c>
      <c r="Q272" s="29">
        <v>173180.14</v>
      </c>
      <c r="R272" s="9" t="s">
        <v>180</v>
      </c>
    </row>
    <row r="273" spans="1:18" ht="12" customHeight="1" x14ac:dyDescent="0.25">
      <c r="A273" s="14"/>
      <c r="B273" s="15">
        <v>20045</v>
      </c>
      <c r="C273" s="29">
        <v>150450</v>
      </c>
      <c r="D273" s="16">
        <v>45915</v>
      </c>
      <c r="E273" s="15" t="s">
        <v>2</v>
      </c>
      <c r="F273" s="29">
        <v>0</v>
      </c>
      <c r="G273" s="29">
        <v>0</v>
      </c>
      <c r="H273" s="29">
        <v>155642</v>
      </c>
      <c r="I273" s="15">
        <v>30</v>
      </c>
      <c r="J273" s="15">
        <v>17</v>
      </c>
      <c r="K273" s="30">
        <v>2400000</v>
      </c>
      <c r="L273" s="17">
        <v>45945</v>
      </c>
      <c r="M273" s="18">
        <v>155642</v>
      </c>
      <c r="N273" s="16">
        <v>45946</v>
      </c>
      <c r="O273" s="19"/>
      <c r="P273" s="20">
        <v>5192</v>
      </c>
      <c r="Q273" s="29">
        <v>150450</v>
      </c>
      <c r="R273" s="9" t="s">
        <v>180</v>
      </c>
    </row>
    <row r="274" spans="1:18" ht="12" customHeight="1" x14ac:dyDescent="0.25">
      <c r="A274" s="14"/>
      <c r="B274" s="15">
        <v>20046</v>
      </c>
      <c r="C274" s="29">
        <v>16000</v>
      </c>
      <c r="D274" s="16">
        <v>45915</v>
      </c>
      <c r="E274" s="15" t="s">
        <v>2</v>
      </c>
      <c r="F274" s="29">
        <v>0</v>
      </c>
      <c r="G274" s="29">
        <v>0</v>
      </c>
      <c r="H274" s="29">
        <v>16276</v>
      </c>
      <c r="I274" s="15">
        <v>10</v>
      </c>
      <c r="J274" s="15">
        <v>43</v>
      </c>
      <c r="K274" s="30">
        <v>89000</v>
      </c>
      <c r="L274" s="17">
        <v>45925</v>
      </c>
      <c r="M274" s="18">
        <v>16276</v>
      </c>
      <c r="N274" s="16">
        <v>45928</v>
      </c>
      <c r="O274" s="19"/>
      <c r="P274" s="20">
        <v>276</v>
      </c>
      <c r="Q274" s="29">
        <v>16000</v>
      </c>
      <c r="R274" s="9" t="s">
        <v>180</v>
      </c>
    </row>
    <row r="275" spans="1:18" ht="12" customHeight="1" x14ac:dyDescent="0.25">
      <c r="A275" s="14"/>
      <c r="B275" s="15">
        <v>20047</v>
      </c>
      <c r="C275" s="29">
        <v>15312</v>
      </c>
      <c r="D275" s="16">
        <v>45915</v>
      </c>
      <c r="E275" s="15" t="s">
        <v>2</v>
      </c>
      <c r="F275" s="29">
        <v>0</v>
      </c>
      <c r="G275" s="29">
        <v>0</v>
      </c>
      <c r="H275" s="29">
        <v>15576.11</v>
      </c>
      <c r="I275" s="15">
        <v>10</v>
      </c>
      <c r="J275" s="15">
        <v>43</v>
      </c>
      <c r="K275" s="30">
        <v>89000</v>
      </c>
      <c r="L275" s="17">
        <v>45925</v>
      </c>
      <c r="M275" s="18">
        <v>15576</v>
      </c>
      <c r="N275" s="16">
        <v>45928</v>
      </c>
      <c r="O275" s="19"/>
      <c r="P275" s="20">
        <v>264.11</v>
      </c>
      <c r="Q275" s="29">
        <v>15311.89</v>
      </c>
      <c r="R275" s="9" t="s">
        <v>180</v>
      </c>
    </row>
    <row r="276" spans="1:18" ht="12" customHeight="1" x14ac:dyDescent="0.25">
      <c r="A276" s="14"/>
      <c r="B276" s="15">
        <v>20024</v>
      </c>
      <c r="C276" s="29">
        <v>172108</v>
      </c>
      <c r="D276" s="16">
        <v>45915</v>
      </c>
      <c r="E276" s="15" t="s">
        <v>2</v>
      </c>
      <c r="F276" s="29">
        <v>0</v>
      </c>
      <c r="G276" s="29">
        <v>0</v>
      </c>
      <c r="H276" s="29">
        <v>174064.16</v>
      </c>
      <c r="I276" s="15">
        <v>4</v>
      </c>
      <c r="J276" s="15">
        <v>71</v>
      </c>
      <c r="K276" s="30">
        <v>590000</v>
      </c>
      <c r="L276" s="17">
        <v>45921</v>
      </c>
      <c r="M276" s="18">
        <v>174040</v>
      </c>
      <c r="N276" s="16">
        <v>45921</v>
      </c>
      <c r="O276" s="19"/>
      <c r="P276" s="20">
        <v>1955.89</v>
      </c>
      <c r="Q276" s="29">
        <v>172084.11</v>
      </c>
      <c r="R276" s="9" t="s">
        <v>180</v>
      </c>
    </row>
    <row r="277" spans="1:18" ht="12" customHeight="1" x14ac:dyDescent="0.25">
      <c r="A277" s="14"/>
      <c r="B277" s="15">
        <v>20025</v>
      </c>
      <c r="C277" s="29">
        <v>185276</v>
      </c>
      <c r="D277" s="16">
        <v>45915</v>
      </c>
      <c r="E277" s="15" t="s">
        <v>2</v>
      </c>
      <c r="F277" s="29">
        <v>0</v>
      </c>
      <c r="G277" s="29">
        <v>0</v>
      </c>
      <c r="H277" s="29">
        <v>188952.4</v>
      </c>
      <c r="I277" s="15">
        <v>15</v>
      </c>
      <c r="J277" s="15">
        <v>71</v>
      </c>
      <c r="K277" s="30">
        <v>590000</v>
      </c>
      <c r="L277" s="17">
        <v>45930</v>
      </c>
      <c r="M277" s="18">
        <v>188952</v>
      </c>
      <c r="N277" s="16">
        <v>45935</v>
      </c>
      <c r="O277" s="19"/>
      <c r="P277" s="20">
        <v>3676.39</v>
      </c>
      <c r="Q277" s="29">
        <v>185275.61</v>
      </c>
      <c r="R277" s="9" t="s">
        <v>180</v>
      </c>
    </row>
    <row r="278" spans="1:18" ht="12" customHeight="1" x14ac:dyDescent="0.25">
      <c r="A278" s="14"/>
      <c r="B278" s="15">
        <v>20048</v>
      </c>
      <c r="C278" s="29">
        <v>9648</v>
      </c>
      <c r="D278" s="16">
        <v>45915</v>
      </c>
      <c r="E278" s="15" t="s">
        <v>2</v>
      </c>
      <c r="F278" s="29">
        <v>0</v>
      </c>
      <c r="G278" s="29">
        <v>0</v>
      </c>
      <c r="H278" s="29">
        <v>10000</v>
      </c>
      <c r="I278" s="15">
        <v>30</v>
      </c>
      <c r="J278" s="15">
        <v>73</v>
      </c>
      <c r="K278" s="30">
        <v>10000</v>
      </c>
      <c r="L278" s="17">
        <v>45946</v>
      </c>
      <c r="M278" s="18">
        <v>10000</v>
      </c>
      <c r="N278" s="16">
        <v>45949</v>
      </c>
      <c r="O278" s="19"/>
      <c r="P278" s="20">
        <v>352</v>
      </c>
      <c r="Q278" s="29">
        <v>9648</v>
      </c>
      <c r="R278" s="9" t="s">
        <v>180</v>
      </c>
    </row>
    <row r="279" spans="1:18" ht="12" customHeight="1" x14ac:dyDescent="0.25">
      <c r="A279" s="14"/>
      <c r="B279" s="15">
        <v>20061</v>
      </c>
      <c r="C279" s="29">
        <v>299238</v>
      </c>
      <c r="D279" s="16">
        <v>45916</v>
      </c>
      <c r="E279" s="15" t="s">
        <v>2</v>
      </c>
      <c r="F279" s="29">
        <v>0</v>
      </c>
      <c r="G279" s="29">
        <v>0</v>
      </c>
      <c r="H279" s="29">
        <v>309555.48</v>
      </c>
      <c r="I279" s="15">
        <v>30</v>
      </c>
      <c r="J279" s="15">
        <v>6</v>
      </c>
      <c r="K279" s="30">
        <v>810000</v>
      </c>
      <c r="L279" s="17">
        <v>45946</v>
      </c>
      <c r="M279" s="18">
        <v>309555</v>
      </c>
      <c r="N279" s="16">
        <v>45956</v>
      </c>
      <c r="O279" s="19"/>
      <c r="P279" s="20">
        <v>10317.459999999999</v>
      </c>
      <c r="Q279" s="29">
        <v>299237.53999999998</v>
      </c>
      <c r="R279" s="9" t="s">
        <v>180</v>
      </c>
    </row>
    <row r="280" spans="1:18" ht="12" customHeight="1" x14ac:dyDescent="0.25">
      <c r="A280" s="14"/>
      <c r="B280" s="15">
        <v>20042</v>
      </c>
      <c r="C280" s="29">
        <v>42873</v>
      </c>
      <c r="D280" s="16">
        <v>45916</v>
      </c>
      <c r="E280" s="15" t="s">
        <v>2</v>
      </c>
      <c r="F280" s="29">
        <v>0</v>
      </c>
      <c r="G280" s="29">
        <v>0</v>
      </c>
      <c r="H280" s="29">
        <v>45835.73</v>
      </c>
      <c r="I280" s="15">
        <v>60</v>
      </c>
      <c r="J280" s="15">
        <v>26</v>
      </c>
      <c r="K280" s="30">
        <v>90000</v>
      </c>
      <c r="L280" s="17">
        <v>45977</v>
      </c>
      <c r="M280" s="18">
        <v>45836</v>
      </c>
      <c r="N280" s="16">
        <v>46002</v>
      </c>
      <c r="O280" s="19"/>
      <c r="P280" s="20">
        <v>2962.75</v>
      </c>
      <c r="Q280" s="29">
        <v>42873.25</v>
      </c>
      <c r="R280" s="9" t="s">
        <v>180</v>
      </c>
    </row>
    <row r="281" spans="1:18" ht="12" customHeight="1" x14ac:dyDescent="0.25">
      <c r="A281" s="14"/>
      <c r="B281" s="15">
        <v>20065</v>
      </c>
      <c r="C281" s="29">
        <v>41648</v>
      </c>
      <c r="D281" s="16">
        <v>45916</v>
      </c>
      <c r="E281" s="15" t="s">
        <v>2</v>
      </c>
      <c r="F281" s="29">
        <v>0</v>
      </c>
      <c r="G281" s="29">
        <v>0</v>
      </c>
      <c r="H281" s="29">
        <v>44520.98</v>
      </c>
      <c r="I281" s="15">
        <v>60</v>
      </c>
      <c r="J281" s="15">
        <v>26</v>
      </c>
      <c r="K281" s="30">
        <v>90000</v>
      </c>
      <c r="L281" s="17">
        <v>45977</v>
      </c>
      <c r="M281" s="18">
        <v>44878.58</v>
      </c>
      <c r="N281" s="16">
        <v>45984</v>
      </c>
      <c r="O281" s="19"/>
      <c r="P281" s="20">
        <v>2896.06</v>
      </c>
      <c r="Q281" s="29">
        <v>41982.52</v>
      </c>
      <c r="R281" s="9" t="s">
        <v>180</v>
      </c>
    </row>
    <row r="282" spans="1:18" ht="12" customHeight="1" x14ac:dyDescent="0.25">
      <c r="A282" s="14"/>
      <c r="B282" s="15">
        <v>20027</v>
      </c>
      <c r="C282" s="29">
        <v>40320</v>
      </c>
      <c r="D282" s="16">
        <v>45916</v>
      </c>
      <c r="E282" s="15" t="s">
        <v>2</v>
      </c>
      <c r="F282" s="29">
        <v>0</v>
      </c>
      <c r="G282" s="29">
        <v>0</v>
      </c>
      <c r="H282" s="29">
        <v>41706</v>
      </c>
      <c r="I282" s="15">
        <v>30</v>
      </c>
      <c r="J282" s="15">
        <v>47</v>
      </c>
      <c r="K282" s="30">
        <v>50000</v>
      </c>
      <c r="L282" s="17">
        <v>45949</v>
      </c>
      <c r="M282" s="18">
        <v>41706</v>
      </c>
      <c r="N282" s="16">
        <v>45966</v>
      </c>
      <c r="O282" s="19"/>
      <c r="P282" s="20">
        <v>1386</v>
      </c>
      <c r="Q282" s="29">
        <v>40320</v>
      </c>
      <c r="R282" s="9" t="s">
        <v>180</v>
      </c>
    </row>
    <row r="283" spans="1:18" ht="12" customHeight="1" x14ac:dyDescent="0.25">
      <c r="A283" s="14"/>
      <c r="B283" s="15">
        <v>20026</v>
      </c>
      <c r="C283" s="29">
        <v>121959</v>
      </c>
      <c r="D283" s="16">
        <v>45916</v>
      </c>
      <c r="E283" s="15" t="s">
        <v>2</v>
      </c>
      <c r="F283" s="29">
        <v>0</v>
      </c>
      <c r="G283" s="29">
        <v>0</v>
      </c>
      <c r="H283" s="29">
        <v>124392.48</v>
      </c>
      <c r="I283" s="15">
        <v>15</v>
      </c>
      <c r="J283" s="15">
        <v>71</v>
      </c>
      <c r="K283" s="30">
        <v>590000</v>
      </c>
      <c r="L283" s="17">
        <v>45931</v>
      </c>
      <c r="M283" s="18">
        <v>124423</v>
      </c>
      <c r="N283" s="16">
        <v>45937</v>
      </c>
      <c r="O283" s="19"/>
      <c r="P283" s="20">
        <v>2434.08</v>
      </c>
      <c r="Q283" s="29">
        <v>121988.92</v>
      </c>
      <c r="R283" s="9" t="s">
        <v>180</v>
      </c>
    </row>
    <row r="284" spans="1:18" ht="12" customHeight="1" x14ac:dyDescent="0.25">
      <c r="A284" s="14"/>
      <c r="B284" s="15">
        <v>20050</v>
      </c>
      <c r="C284" s="29">
        <v>349637</v>
      </c>
      <c r="D284" s="16">
        <v>45916</v>
      </c>
      <c r="E284" s="15" t="s">
        <v>2</v>
      </c>
      <c r="F284" s="29">
        <v>0</v>
      </c>
      <c r="G284" s="29">
        <v>0</v>
      </c>
      <c r="H284" s="29">
        <v>385823.6</v>
      </c>
      <c r="I284" s="15">
        <v>90</v>
      </c>
      <c r="J284" s="15">
        <v>75</v>
      </c>
      <c r="K284" s="30">
        <v>390000</v>
      </c>
      <c r="L284" s="17">
        <v>46006</v>
      </c>
      <c r="M284" s="18">
        <v>385825</v>
      </c>
      <c r="N284" s="16">
        <v>46020</v>
      </c>
      <c r="O284" s="19"/>
      <c r="P284" s="20">
        <v>36186.730000000003</v>
      </c>
      <c r="Q284" s="29">
        <v>349638.27</v>
      </c>
      <c r="R284" s="9" t="s">
        <v>180</v>
      </c>
    </row>
    <row r="285" spans="1:18" ht="12" customHeight="1" x14ac:dyDescent="0.25">
      <c r="A285" s="14"/>
      <c r="B285" s="15">
        <v>20052</v>
      </c>
      <c r="C285" s="29">
        <v>265529</v>
      </c>
      <c r="D285" s="16">
        <v>45916</v>
      </c>
      <c r="E285" s="15" t="s">
        <v>2</v>
      </c>
      <c r="F285" s="29">
        <v>0</v>
      </c>
      <c r="G285" s="29">
        <v>0</v>
      </c>
      <c r="H285" s="29">
        <v>279997.46999999997</v>
      </c>
      <c r="I285" s="15">
        <v>45</v>
      </c>
      <c r="J285" s="15">
        <v>74</v>
      </c>
      <c r="K285" s="30">
        <v>280000</v>
      </c>
      <c r="L285" s="17">
        <v>45963</v>
      </c>
      <c r="M285" s="18">
        <v>280024</v>
      </c>
      <c r="N285" s="16">
        <v>45974</v>
      </c>
      <c r="O285" s="19"/>
      <c r="P285" s="20">
        <v>14469.84</v>
      </c>
      <c r="Q285" s="29">
        <v>265554.15999999997</v>
      </c>
      <c r="R285" s="9" t="s">
        <v>180</v>
      </c>
    </row>
    <row r="286" spans="1:18" ht="12" customHeight="1" x14ac:dyDescent="0.25">
      <c r="A286" s="14"/>
      <c r="B286" s="15">
        <v>20062</v>
      </c>
      <c r="C286" s="29">
        <v>8321</v>
      </c>
      <c r="D286" s="16">
        <v>45916</v>
      </c>
      <c r="E286" s="15" t="s">
        <v>2</v>
      </c>
      <c r="F286" s="29">
        <v>0</v>
      </c>
      <c r="G286" s="29">
        <v>0</v>
      </c>
      <c r="H286" s="29">
        <v>8608.2900000000009</v>
      </c>
      <c r="I286" s="15">
        <v>30</v>
      </c>
      <c r="J286" s="15">
        <v>70</v>
      </c>
      <c r="K286" s="30">
        <v>10000</v>
      </c>
      <c r="L286" s="17">
        <v>45946</v>
      </c>
      <c r="M286" s="18">
        <v>8608.16</v>
      </c>
      <c r="N286" s="16">
        <v>45949</v>
      </c>
      <c r="O286" s="19"/>
      <c r="P286" s="20">
        <v>287.29000000000002</v>
      </c>
      <c r="Q286" s="29">
        <v>8320.8700000000008</v>
      </c>
      <c r="R286" s="9" t="s">
        <v>180</v>
      </c>
    </row>
    <row r="287" spans="1:18" ht="12" customHeight="1" x14ac:dyDescent="0.25">
      <c r="A287" s="14"/>
      <c r="B287" s="15">
        <v>20069</v>
      </c>
      <c r="C287" s="29">
        <v>0</v>
      </c>
      <c r="D287" s="16">
        <v>45917</v>
      </c>
      <c r="E287" s="15" t="s">
        <v>2</v>
      </c>
      <c r="F287" s="29">
        <v>0</v>
      </c>
      <c r="G287" s="29">
        <v>0</v>
      </c>
      <c r="H287" s="29">
        <v>1863</v>
      </c>
      <c r="I287" s="15">
        <v>0</v>
      </c>
      <c r="J287" s="15">
        <v>23</v>
      </c>
      <c r="K287" s="30">
        <v>310000</v>
      </c>
      <c r="L287" s="17">
        <v>45917</v>
      </c>
      <c r="M287" s="18">
        <v>1863</v>
      </c>
      <c r="N287" s="16">
        <v>45960</v>
      </c>
      <c r="O287" s="19"/>
      <c r="P287" s="20">
        <v>1863</v>
      </c>
      <c r="Q287" s="29">
        <v>0</v>
      </c>
      <c r="R287" s="9" t="s">
        <v>180</v>
      </c>
    </row>
    <row r="288" spans="1:18" ht="12" customHeight="1" x14ac:dyDescent="0.25">
      <c r="A288" s="14"/>
      <c r="B288" s="15">
        <v>20029</v>
      </c>
      <c r="C288" s="29">
        <v>71901</v>
      </c>
      <c r="D288" s="16">
        <v>45917</v>
      </c>
      <c r="E288" s="15" t="s">
        <v>2</v>
      </c>
      <c r="F288" s="29">
        <v>0</v>
      </c>
      <c r="G288" s="29">
        <v>0</v>
      </c>
      <c r="H288" s="29">
        <v>73332.03</v>
      </c>
      <c r="I288" s="15">
        <v>15</v>
      </c>
      <c r="J288" s="15">
        <v>71</v>
      </c>
      <c r="K288" s="30">
        <v>590000</v>
      </c>
      <c r="L288" s="17">
        <v>45932</v>
      </c>
      <c r="M288" s="18">
        <v>73333</v>
      </c>
      <c r="N288" s="16">
        <v>45935</v>
      </c>
      <c r="O288" s="19"/>
      <c r="P288" s="20">
        <v>1431.05</v>
      </c>
      <c r="Q288" s="29">
        <v>71901.95</v>
      </c>
      <c r="R288" s="9" t="s">
        <v>180</v>
      </c>
    </row>
    <row r="289" spans="1:18" ht="12" customHeight="1" x14ac:dyDescent="0.25">
      <c r="A289" s="14"/>
      <c r="B289" s="15">
        <v>20066</v>
      </c>
      <c r="C289" s="29">
        <v>217490</v>
      </c>
      <c r="D289" s="16">
        <v>45917</v>
      </c>
      <c r="E289" s="15" t="s">
        <v>2</v>
      </c>
      <c r="F289" s="29">
        <v>0</v>
      </c>
      <c r="G289" s="29">
        <v>0</v>
      </c>
      <c r="H289" s="29">
        <v>240000</v>
      </c>
      <c r="I289" s="15">
        <v>90</v>
      </c>
      <c r="J289" s="15">
        <v>77</v>
      </c>
      <c r="K289" s="30">
        <v>240000</v>
      </c>
      <c r="L289" s="17">
        <v>46007</v>
      </c>
      <c r="M289" s="18">
        <v>240000</v>
      </c>
      <c r="N289" s="16">
        <v>46001</v>
      </c>
      <c r="O289" s="19"/>
      <c r="P289" s="20">
        <v>22510</v>
      </c>
      <c r="Q289" s="29">
        <v>217490</v>
      </c>
      <c r="R289" s="9" t="s">
        <v>180</v>
      </c>
    </row>
    <row r="290" spans="1:18" ht="12" customHeight="1" x14ac:dyDescent="0.25">
      <c r="A290" s="14"/>
      <c r="B290" s="15">
        <v>20030</v>
      </c>
      <c r="C290" s="29">
        <v>98073</v>
      </c>
      <c r="D290" s="16">
        <v>45917</v>
      </c>
      <c r="E290" s="15" t="s">
        <v>2</v>
      </c>
      <c r="F290" s="29">
        <v>0</v>
      </c>
      <c r="G290" s="29">
        <v>0</v>
      </c>
      <c r="H290" s="29">
        <v>100018.35</v>
      </c>
      <c r="I290" s="15">
        <v>15</v>
      </c>
      <c r="J290" s="15">
        <v>76</v>
      </c>
      <c r="K290" s="30">
        <v>221000</v>
      </c>
      <c r="L290" s="17">
        <v>45932</v>
      </c>
      <c r="M290" s="18">
        <v>100019</v>
      </c>
      <c r="N290" s="16">
        <v>45936</v>
      </c>
      <c r="O290" s="19"/>
      <c r="P290" s="20">
        <v>1945.36</v>
      </c>
      <c r="Q290" s="29">
        <v>98073.64</v>
      </c>
      <c r="R290" s="9" t="s">
        <v>180</v>
      </c>
    </row>
    <row r="291" spans="1:18" ht="12" customHeight="1" x14ac:dyDescent="0.25">
      <c r="A291" s="14"/>
      <c r="B291" s="15">
        <v>20070</v>
      </c>
      <c r="C291" s="29">
        <v>62576</v>
      </c>
      <c r="D291" s="16">
        <v>45918</v>
      </c>
      <c r="E291" s="15" t="s">
        <v>2</v>
      </c>
      <c r="F291" s="29">
        <v>0</v>
      </c>
      <c r="G291" s="29">
        <v>0</v>
      </c>
      <c r="H291" s="29">
        <v>64734.89</v>
      </c>
      <c r="I291" s="15">
        <v>30</v>
      </c>
      <c r="J291" s="15">
        <v>29</v>
      </c>
      <c r="K291" s="30">
        <v>1240000</v>
      </c>
      <c r="L291" s="17">
        <v>45949</v>
      </c>
      <c r="M291" s="18">
        <v>64735.1</v>
      </c>
      <c r="N291" s="16">
        <v>45950</v>
      </c>
      <c r="O291" s="19"/>
      <c r="P291" s="20">
        <v>2158.9</v>
      </c>
      <c r="Q291" s="29">
        <v>62576.2</v>
      </c>
      <c r="R291" s="9" t="s">
        <v>180</v>
      </c>
    </row>
    <row r="292" spans="1:18" ht="12" customHeight="1" x14ac:dyDescent="0.25">
      <c r="A292" s="14"/>
      <c r="B292" s="15">
        <v>20071</v>
      </c>
      <c r="C292" s="29">
        <v>21469</v>
      </c>
      <c r="D292" s="16">
        <v>45918</v>
      </c>
      <c r="E292" s="15" t="s">
        <v>2</v>
      </c>
      <c r="F292" s="29">
        <v>0</v>
      </c>
      <c r="G292" s="29">
        <v>0</v>
      </c>
      <c r="H292" s="29">
        <v>22209.69</v>
      </c>
      <c r="I292" s="15">
        <v>30</v>
      </c>
      <c r="J292" s="15">
        <v>34</v>
      </c>
      <c r="K292" s="30">
        <v>370000</v>
      </c>
      <c r="L292" s="17">
        <v>45949</v>
      </c>
      <c r="M292" s="18">
        <v>22209.96</v>
      </c>
      <c r="N292" s="16">
        <v>45950</v>
      </c>
      <c r="O292" s="19"/>
      <c r="P292" s="20">
        <v>740.7</v>
      </c>
      <c r="Q292" s="29">
        <v>21469.26</v>
      </c>
      <c r="R292" s="9" t="s">
        <v>180</v>
      </c>
    </row>
    <row r="293" spans="1:18" ht="12" customHeight="1" x14ac:dyDescent="0.25">
      <c r="A293" s="14"/>
      <c r="B293" s="15">
        <v>20055</v>
      </c>
      <c r="C293" s="29">
        <v>78508</v>
      </c>
      <c r="D293" s="16">
        <v>45918</v>
      </c>
      <c r="E293" s="15" t="s">
        <v>2</v>
      </c>
      <c r="F293" s="29">
        <v>0</v>
      </c>
      <c r="G293" s="29">
        <v>0</v>
      </c>
      <c r="H293" s="29">
        <v>80065.259999999995</v>
      </c>
      <c r="I293" s="15">
        <v>15</v>
      </c>
      <c r="J293" s="15">
        <v>78</v>
      </c>
      <c r="K293" s="30">
        <v>208000</v>
      </c>
      <c r="L293" s="17">
        <v>45935</v>
      </c>
      <c r="M293" s="18">
        <v>80065</v>
      </c>
      <c r="N293" s="16">
        <v>45936</v>
      </c>
      <c r="O293" s="19"/>
      <c r="P293" s="20">
        <v>1557.26</v>
      </c>
      <c r="Q293" s="29">
        <v>78507.740000000005</v>
      </c>
      <c r="R293" s="9" t="s">
        <v>180</v>
      </c>
    </row>
    <row r="294" spans="1:18" ht="12" customHeight="1" x14ac:dyDescent="0.25">
      <c r="A294" s="14"/>
      <c r="B294" s="15">
        <v>20056</v>
      </c>
      <c r="C294" s="29">
        <v>83832</v>
      </c>
      <c r="D294" s="16">
        <v>45921</v>
      </c>
      <c r="E294" s="15" t="s">
        <v>2</v>
      </c>
      <c r="F294" s="29">
        <v>0</v>
      </c>
      <c r="G294" s="29">
        <v>0</v>
      </c>
      <c r="H294" s="29">
        <v>84789.6</v>
      </c>
      <c r="I294" s="15">
        <v>4</v>
      </c>
      <c r="J294" s="15">
        <v>3</v>
      </c>
      <c r="K294" s="30">
        <v>1000000</v>
      </c>
      <c r="L294" s="17">
        <v>45925</v>
      </c>
      <c r="M294" s="18">
        <v>84790</v>
      </c>
      <c r="N294" s="16">
        <v>45928</v>
      </c>
      <c r="O294" s="19"/>
      <c r="P294" s="20">
        <v>957.6</v>
      </c>
      <c r="Q294" s="29">
        <v>83832.399999999994</v>
      </c>
      <c r="R294" s="9" t="s">
        <v>180</v>
      </c>
    </row>
    <row r="295" spans="1:18" ht="12" customHeight="1" x14ac:dyDescent="0.25">
      <c r="A295" s="14"/>
      <c r="B295" s="15">
        <v>20067</v>
      </c>
      <c r="C295" s="29">
        <v>249363.25</v>
      </c>
      <c r="D295" s="16">
        <v>45921</v>
      </c>
      <c r="E295" s="15" t="s">
        <v>2</v>
      </c>
      <c r="F295" s="29">
        <v>0</v>
      </c>
      <c r="G295" s="29">
        <v>0</v>
      </c>
      <c r="H295" s="29">
        <v>257956.44</v>
      </c>
      <c r="I295" s="15">
        <v>30</v>
      </c>
      <c r="J295" s="15">
        <v>20</v>
      </c>
      <c r="K295" s="30">
        <v>686000</v>
      </c>
      <c r="L295" s="17">
        <v>45951</v>
      </c>
      <c r="M295" s="18">
        <v>257955.20000000001</v>
      </c>
      <c r="N295" s="16">
        <v>45960</v>
      </c>
      <c r="O295" s="19"/>
      <c r="P295" s="20">
        <v>8593.15</v>
      </c>
      <c r="Q295" s="29">
        <v>249362.05</v>
      </c>
      <c r="R295" s="9" t="s">
        <v>180</v>
      </c>
    </row>
    <row r="296" spans="1:18" ht="12" customHeight="1" x14ac:dyDescent="0.25">
      <c r="A296" s="14"/>
      <c r="B296" s="15">
        <v>20081</v>
      </c>
      <c r="C296" s="29">
        <v>14272</v>
      </c>
      <c r="D296" s="16">
        <v>45921</v>
      </c>
      <c r="E296" s="15" t="s">
        <v>2</v>
      </c>
      <c r="F296" s="29">
        <v>0</v>
      </c>
      <c r="G296" s="29">
        <v>0</v>
      </c>
      <c r="H296" s="29">
        <v>14879.32</v>
      </c>
      <c r="I296" s="15">
        <v>30</v>
      </c>
      <c r="J296" s="15">
        <v>46</v>
      </c>
      <c r="K296" s="30">
        <v>30000</v>
      </c>
      <c r="L296" s="17">
        <v>45951</v>
      </c>
      <c r="M296" s="18">
        <v>14879</v>
      </c>
      <c r="N296" s="16">
        <v>45951</v>
      </c>
      <c r="O296" s="19"/>
      <c r="P296" s="20">
        <v>607.30999999999995</v>
      </c>
      <c r="Q296" s="29">
        <v>14271.69</v>
      </c>
      <c r="R296" s="9" t="s">
        <v>180</v>
      </c>
    </row>
    <row r="297" spans="1:18" ht="12" customHeight="1" x14ac:dyDescent="0.25">
      <c r="A297" s="14"/>
      <c r="B297" s="15">
        <v>20088</v>
      </c>
      <c r="C297" s="29">
        <v>140400</v>
      </c>
      <c r="D297" s="16">
        <v>45922</v>
      </c>
      <c r="E297" s="15" t="s">
        <v>2</v>
      </c>
      <c r="F297" s="29">
        <v>0</v>
      </c>
      <c r="G297" s="29">
        <v>0</v>
      </c>
      <c r="H297" s="29">
        <v>145233</v>
      </c>
      <c r="I297" s="15">
        <v>30</v>
      </c>
      <c r="J297" s="15">
        <v>17</v>
      </c>
      <c r="K297" s="30">
        <v>2400000</v>
      </c>
      <c r="L297" s="17">
        <v>45952</v>
      </c>
      <c r="M297" s="18">
        <v>145233</v>
      </c>
      <c r="N297" s="16">
        <v>45953</v>
      </c>
      <c r="O297" s="19"/>
      <c r="P297" s="20">
        <v>4833</v>
      </c>
      <c r="Q297" s="29">
        <v>140400</v>
      </c>
      <c r="R297" s="9" t="s">
        <v>180</v>
      </c>
    </row>
    <row r="298" spans="1:18" ht="12" customHeight="1" x14ac:dyDescent="0.25">
      <c r="A298" s="14"/>
      <c r="B298" s="15">
        <v>20083</v>
      </c>
      <c r="C298" s="29">
        <v>100000</v>
      </c>
      <c r="D298" s="16">
        <v>45922</v>
      </c>
      <c r="E298" s="15" t="s">
        <v>2</v>
      </c>
      <c r="F298" s="29">
        <v>0</v>
      </c>
      <c r="G298" s="29">
        <v>0</v>
      </c>
      <c r="H298" s="29">
        <v>110350</v>
      </c>
      <c r="I298" s="15">
        <v>90</v>
      </c>
      <c r="J298" s="15">
        <v>80</v>
      </c>
      <c r="K298" s="30">
        <v>100000</v>
      </c>
      <c r="L298" s="17">
        <v>46012</v>
      </c>
      <c r="M298" s="18">
        <v>110350</v>
      </c>
      <c r="N298" s="16">
        <v>46013</v>
      </c>
      <c r="O298" s="19"/>
      <c r="P298" s="20">
        <v>10350</v>
      </c>
      <c r="Q298" s="29">
        <v>100000</v>
      </c>
      <c r="R298" s="9" t="s">
        <v>180</v>
      </c>
    </row>
    <row r="299" spans="1:18" ht="12" customHeight="1" x14ac:dyDescent="0.25">
      <c r="A299" s="14"/>
      <c r="B299" s="15">
        <v>20082</v>
      </c>
      <c r="C299" s="29">
        <v>140360</v>
      </c>
      <c r="D299" s="16">
        <v>45924</v>
      </c>
      <c r="E299" s="15" t="s">
        <v>2</v>
      </c>
      <c r="F299" s="29">
        <v>0</v>
      </c>
      <c r="G299" s="29">
        <v>0</v>
      </c>
      <c r="H299" s="29">
        <v>145200</v>
      </c>
      <c r="I299" s="15">
        <v>30</v>
      </c>
      <c r="J299" s="15">
        <v>6</v>
      </c>
      <c r="K299" s="30">
        <v>810000</v>
      </c>
      <c r="L299" s="17">
        <v>45956</v>
      </c>
      <c r="M299" s="18">
        <v>145200</v>
      </c>
      <c r="N299" s="16">
        <v>45960</v>
      </c>
      <c r="O299" s="19"/>
      <c r="P299" s="20">
        <v>4840</v>
      </c>
      <c r="Q299" s="29">
        <v>140360</v>
      </c>
      <c r="R299" s="9" t="s">
        <v>180</v>
      </c>
    </row>
    <row r="300" spans="1:18" ht="12" customHeight="1" x14ac:dyDescent="0.25">
      <c r="A300" s="14"/>
      <c r="B300" s="15">
        <v>20100</v>
      </c>
      <c r="C300" s="29">
        <v>135288</v>
      </c>
      <c r="D300" s="16">
        <v>45924</v>
      </c>
      <c r="E300" s="15" t="s">
        <v>2</v>
      </c>
      <c r="F300" s="29">
        <v>0</v>
      </c>
      <c r="G300" s="29">
        <v>0</v>
      </c>
      <c r="H300" s="29">
        <v>149286.04999999999</v>
      </c>
      <c r="I300" s="15">
        <v>90</v>
      </c>
      <c r="J300" s="15">
        <v>6</v>
      </c>
      <c r="K300" s="30">
        <v>810000</v>
      </c>
      <c r="L300" s="17">
        <v>46015</v>
      </c>
      <c r="M300" s="18">
        <v>149285.5</v>
      </c>
      <c r="N300" s="16">
        <v>46014</v>
      </c>
      <c r="O300" s="19"/>
      <c r="P300" s="20">
        <v>13998</v>
      </c>
      <c r="Q300" s="29">
        <v>135287.5</v>
      </c>
      <c r="R300" s="9" t="s">
        <v>180</v>
      </c>
    </row>
    <row r="301" spans="1:18" ht="12" customHeight="1" x14ac:dyDescent="0.25">
      <c r="A301" s="14"/>
      <c r="B301" s="15">
        <v>20058</v>
      </c>
      <c r="C301" s="29">
        <v>287200</v>
      </c>
      <c r="D301" s="16">
        <v>45924</v>
      </c>
      <c r="E301" s="15" t="s">
        <v>2</v>
      </c>
      <c r="F301" s="29">
        <v>0</v>
      </c>
      <c r="G301" s="29">
        <v>0</v>
      </c>
      <c r="H301" s="29">
        <v>296964.8</v>
      </c>
      <c r="I301" s="15">
        <v>30</v>
      </c>
      <c r="J301" s="15">
        <v>15</v>
      </c>
      <c r="K301" s="30">
        <v>2300000</v>
      </c>
      <c r="L301" s="17">
        <v>45956</v>
      </c>
      <c r="M301" s="18">
        <v>296964</v>
      </c>
      <c r="N301" s="16">
        <v>45958</v>
      </c>
      <c r="O301" s="19"/>
      <c r="P301" s="20">
        <v>9764.77</v>
      </c>
      <c r="Q301" s="29">
        <v>287199.23</v>
      </c>
      <c r="R301" s="9" t="s">
        <v>180</v>
      </c>
    </row>
    <row r="302" spans="1:18" ht="12" customHeight="1" x14ac:dyDescent="0.25">
      <c r="A302" s="14"/>
      <c r="B302" s="15" t="s">
        <v>23</v>
      </c>
      <c r="C302" s="29">
        <v>0</v>
      </c>
      <c r="D302" s="16">
        <v>45924</v>
      </c>
      <c r="E302" s="15" t="s">
        <v>2</v>
      </c>
      <c r="F302" s="29">
        <v>0</v>
      </c>
      <c r="G302" s="29">
        <v>0</v>
      </c>
      <c r="H302" s="29">
        <v>2609</v>
      </c>
      <c r="I302" s="15">
        <v>0</v>
      </c>
      <c r="J302" s="15">
        <v>16</v>
      </c>
      <c r="K302" s="30">
        <v>364000</v>
      </c>
      <c r="L302" s="17">
        <v>45924</v>
      </c>
      <c r="M302" s="18">
        <v>2609</v>
      </c>
      <c r="N302" s="16">
        <v>45945</v>
      </c>
      <c r="O302" s="19"/>
      <c r="P302" s="20">
        <v>2609</v>
      </c>
      <c r="Q302" s="29">
        <v>0</v>
      </c>
      <c r="R302" s="9" t="s">
        <v>180</v>
      </c>
    </row>
    <row r="303" spans="1:18" ht="12" customHeight="1" x14ac:dyDescent="0.25">
      <c r="A303" s="14"/>
      <c r="B303" s="15">
        <v>20060</v>
      </c>
      <c r="C303" s="29">
        <v>179712</v>
      </c>
      <c r="D303" s="16">
        <v>45924</v>
      </c>
      <c r="E303" s="15" t="s">
        <v>2</v>
      </c>
      <c r="F303" s="29">
        <v>0</v>
      </c>
      <c r="G303" s="29">
        <v>0</v>
      </c>
      <c r="H303" s="29">
        <v>182782.07999999999</v>
      </c>
      <c r="I303" s="15">
        <v>10</v>
      </c>
      <c r="J303" s="15">
        <v>18</v>
      </c>
      <c r="K303" s="30">
        <v>600000</v>
      </c>
      <c r="L303" s="17">
        <v>45936</v>
      </c>
      <c r="M303" s="18">
        <v>182782</v>
      </c>
      <c r="N303" s="16">
        <v>45938</v>
      </c>
      <c r="O303" s="19"/>
      <c r="P303" s="20">
        <v>3070.08</v>
      </c>
      <c r="Q303" s="29">
        <v>179711.92</v>
      </c>
      <c r="R303" s="9" t="s">
        <v>180</v>
      </c>
    </row>
    <row r="304" spans="1:18" ht="12" customHeight="1" x14ac:dyDescent="0.25">
      <c r="A304" s="14"/>
      <c r="B304" s="15">
        <v>20099</v>
      </c>
      <c r="C304" s="29">
        <v>78250</v>
      </c>
      <c r="D304" s="16">
        <v>45924</v>
      </c>
      <c r="E304" s="15" t="s">
        <v>2</v>
      </c>
      <c r="F304" s="29">
        <v>0</v>
      </c>
      <c r="G304" s="29">
        <v>0</v>
      </c>
      <c r="H304" s="29">
        <v>80957.45</v>
      </c>
      <c r="I304" s="15">
        <v>30</v>
      </c>
      <c r="J304" s="15">
        <v>20</v>
      </c>
      <c r="K304" s="30">
        <v>686000</v>
      </c>
      <c r="L304" s="17">
        <v>45957</v>
      </c>
      <c r="M304" s="18">
        <v>80957.440000000002</v>
      </c>
      <c r="N304" s="16">
        <v>45957</v>
      </c>
      <c r="O304" s="19"/>
      <c r="P304" s="20">
        <v>2707.45</v>
      </c>
      <c r="Q304" s="29">
        <v>78249.990000000005</v>
      </c>
      <c r="R304" s="9" t="s">
        <v>180</v>
      </c>
    </row>
    <row r="305" spans="1:19" ht="12" customHeight="1" x14ac:dyDescent="0.25">
      <c r="A305" s="14"/>
      <c r="B305" s="15">
        <v>20095</v>
      </c>
      <c r="C305" s="29">
        <v>0</v>
      </c>
      <c r="D305" s="16">
        <v>45924</v>
      </c>
      <c r="E305" s="15" t="s">
        <v>2</v>
      </c>
      <c r="F305" s="29">
        <v>0</v>
      </c>
      <c r="G305" s="29">
        <v>0</v>
      </c>
      <c r="H305" s="29">
        <v>1206</v>
      </c>
      <c r="I305" s="15">
        <v>0</v>
      </c>
      <c r="J305" s="15">
        <v>23</v>
      </c>
      <c r="K305" s="30">
        <v>310000</v>
      </c>
      <c r="L305" s="17">
        <v>45924</v>
      </c>
      <c r="M305" s="18">
        <v>1206</v>
      </c>
      <c r="N305" s="16">
        <v>45956</v>
      </c>
      <c r="O305" s="19"/>
      <c r="P305" s="20">
        <v>1206</v>
      </c>
      <c r="Q305" s="29">
        <v>0</v>
      </c>
      <c r="R305" s="9" t="s">
        <v>180</v>
      </c>
    </row>
    <row r="306" spans="1:19" ht="12" customHeight="1" x14ac:dyDescent="0.25">
      <c r="A306" s="14"/>
      <c r="B306" s="15">
        <v>20097</v>
      </c>
      <c r="C306" s="29">
        <v>152950</v>
      </c>
      <c r="D306" s="16">
        <v>45924</v>
      </c>
      <c r="E306" s="15" t="s">
        <v>2</v>
      </c>
      <c r="F306" s="29">
        <v>0</v>
      </c>
      <c r="G306" s="29">
        <v>0</v>
      </c>
      <c r="H306" s="29">
        <v>163884</v>
      </c>
      <c r="I306" s="15">
        <v>60</v>
      </c>
      <c r="J306" s="15">
        <v>23</v>
      </c>
      <c r="K306" s="30">
        <v>310000</v>
      </c>
      <c r="L306" s="17">
        <v>45985</v>
      </c>
      <c r="M306" s="18">
        <v>163884</v>
      </c>
      <c r="N306" s="16">
        <v>45987</v>
      </c>
      <c r="O306" s="19"/>
      <c r="P306" s="20">
        <v>10934</v>
      </c>
      <c r="Q306" s="29">
        <v>152950</v>
      </c>
      <c r="R306" s="9" t="s">
        <v>180</v>
      </c>
    </row>
    <row r="307" spans="1:19" ht="12" customHeight="1" x14ac:dyDescent="0.25">
      <c r="A307" s="14"/>
      <c r="B307" s="15">
        <v>20057</v>
      </c>
      <c r="C307" s="29">
        <v>172036</v>
      </c>
      <c r="D307" s="16">
        <v>45924</v>
      </c>
      <c r="E307" s="15" t="s">
        <v>2</v>
      </c>
      <c r="F307" s="29">
        <v>0</v>
      </c>
      <c r="G307" s="29">
        <v>0</v>
      </c>
      <c r="H307" s="29">
        <v>175433.48</v>
      </c>
      <c r="I307" s="15">
        <v>15</v>
      </c>
      <c r="J307" s="15">
        <v>71</v>
      </c>
      <c r="K307" s="30">
        <v>590000</v>
      </c>
      <c r="L307" s="17">
        <v>45942</v>
      </c>
      <c r="M307" s="18">
        <v>175444</v>
      </c>
      <c r="N307" s="16">
        <v>45944</v>
      </c>
      <c r="O307" s="19"/>
      <c r="P307" s="20">
        <v>3397.68</v>
      </c>
      <c r="Q307" s="29">
        <v>172046.32</v>
      </c>
      <c r="R307" s="9" t="s">
        <v>180</v>
      </c>
    </row>
    <row r="308" spans="1:19" ht="12" customHeight="1" x14ac:dyDescent="0.25">
      <c r="A308" s="14"/>
      <c r="B308" s="15">
        <v>20098</v>
      </c>
      <c r="C308" s="29">
        <v>83000</v>
      </c>
      <c r="D308" s="16">
        <v>45924</v>
      </c>
      <c r="E308" s="15" t="s">
        <v>2</v>
      </c>
      <c r="F308" s="29">
        <v>0</v>
      </c>
      <c r="G308" s="29">
        <v>0</v>
      </c>
      <c r="H308" s="29">
        <v>91600</v>
      </c>
      <c r="I308" s="15">
        <v>90</v>
      </c>
      <c r="J308" s="15">
        <v>79</v>
      </c>
      <c r="K308" s="30">
        <v>92000</v>
      </c>
      <c r="L308" s="17">
        <v>46015</v>
      </c>
      <c r="M308" s="18">
        <v>91600</v>
      </c>
      <c r="N308" s="16">
        <v>46012</v>
      </c>
      <c r="O308" s="19"/>
      <c r="P308" s="20">
        <v>8600</v>
      </c>
      <c r="Q308" s="29">
        <v>83000</v>
      </c>
      <c r="R308" s="9" t="s">
        <v>180</v>
      </c>
    </row>
    <row r="309" spans="1:19" ht="12" customHeight="1" x14ac:dyDescent="0.25">
      <c r="A309" s="14"/>
      <c r="B309" s="15">
        <v>20104</v>
      </c>
      <c r="C309" s="29">
        <v>125400</v>
      </c>
      <c r="D309" s="16">
        <v>45925</v>
      </c>
      <c r="E309" s="15" t="s">
        <v>2</v>
      </c>
      <c r="F309" s="29">
        <v>0</v>
      </c>
      <c r="G309" s="29">
        <v>0</v>
      </c>
      <c r="H309" s="29">
        <v>129810</v>
      </c>
      <c r="I309" s="15">
        <v>30</v>
      </c>
      <c r="J309" s="15">
        <v>6</v>
      </c>
      <c r="K309" s="30">
        <v>810000</v>
      </c>
      <c r="L309" s="17">
        <v>45956</v>
      </c>
      <c r="M309" s="18">
        <v>129810</v>
      </c>
      <c r="N309" s="16">
        <v>45959</v>
      </c>
      <c r="O309" s="19"/>
      <c r="P309" s="20">
        <v>4410</v>
      </c>
      <c r="Q309" s="29">
        <v>125400</v>
      </c>
      <c r="R309" s="9" t="s">
        <v>180</v>
      </c>
    </row>
    <row r="310" spans="1:19" ht="12" customHeight="1" x14ac:dyDescent="0.25">
      <c r="A310" s="14"/>
      <c r="B310" s="15">
        <v>20091</v>
      </c>
      <c r="C310" s="29">
        <v>150800</v>
      </c>
      <c r="D310" s="16">
        <v>45925</v>
      </c>
      <c r="E310" s="15" t="s">
        <v>2</v>
      </c>
      <c r="F310" s="29">
        <v>0</v>
      </c>
      <c r="G310" s="29">
        <v>0</v>
      </c>
      <c r="H310" s="29">
        <v>155991</v>
      </c>
      <c r="I310" s="15">
        <v>30</v>
      </c>
      <c r="J310" s="15">
        <v>17</v>
      </c>
      <c r="K310" s="30">
        <v>2400000</v>
      </c>
      <c r="L310" s="17">
        <v>45956</v>
      </c>
      <c r="M310" s="18">
        <v>155991</v>
      </c>
      <c r="N310" s="16">
        <v>45957</v>
      </c>
      <c r="O310" s="19"/>
      <c r="P310" s="20">
        <v>5191</v>
      </c>
      <c r="Q310" s="29">
        <v>150800</v>
      </c>
      <c r="R310" s="9" t="s">
        <v>180</v>
      </c>
    </row>
    <row r="311" spans="1:19" ht="12" customHeight="1" x14ac:dyDescent="0.25">
      <c r="A311" s="14"/>
      <c r="B311" s="15">
        <v>20101</v>
      </c>
      <c r="C311" s="29">
        <v>979782</v>
      </c>
      <c r="D311" s="16">
        <v>45925</v>
      </c>
      <c r="E311" s="15" t="s">
        <v>2</v>
      </c>
      <c r="F311" s="29">
        <v>0</v>
      </c>
      <c r="G311" s="29">
        <v>0</v>
      </c>
      <c r="H311" s="29">
        <v>999457.31</v>
      </c>
      <c r="I311" s="15">
        <v>15</v>
      </c>
      <c r="J311" s="15">
        <v>42</v>
      </c>
      <c r="K311" s="30">
        <v>2000000</v>
      </c>
      <c r="L311" s="17">
        <v>45942</v>
      </c>
      <c r="M311" s="18">
        <v>999396</v>
      </c>
      <c r="N311" s="16">
        <v>45942</v>
      </c>
      <c r="O311" s="19"/>
      <c r="P311" s="20">
        <v>19674.099999999999</v>
      </c>
      <c r="Q311" s="29">
        <v>979721.9</v>
      </c>
      <c r="R311" s="9" t="s">
        <v>180</v>
      </c>
    </row>
    <row r="312" spans="1:19" ht="12" customHeight="1" x14ac:dyDescent="0.25">
      <c r="A312" s="14"/>
      <c r="B312" s="15">
        <v>20102</v>
      </c>
      <c r="C312" s="29">
        <v>966458</v>
      </c>
      <c r="D312" s="16">
        <v>45925</v>
      </c>
      <c r="E312" s="15" t="s">
        <v>2</v>
      </c>
      <c r="F312" s="29">
        <v>0</v>
      </c>
      <c r="G312" s="29">
        <v>0</v>
      </c>
      <c r="H312" s="29">
        <v>999773.74</v>
      </c>
      <c r="I312" s="15">
        <v>30</v>
      </c>
      <c r="J312" s="15">
        <v>42</v>
      </c>
      <c r="K312" s="30">
        <v>2000000</v>
      </c>
      <c r="L312" s="17">
        <v>45956</v>
      </c>
      <c r="M312" s="18">
        <v>999774</v>
      </c>
      <c r="N312" s="16">
        <v>45956</v>
      </c>
      <c r="O312" s="19"/>
      <c r="P312" s="20">
        <v>33315.75</v>
      </c>
      <c r="Q312" s="29">
        <v>966458.25</v>
      </c>
      <c r="R312" s="9" t="s">
        <v>180</v>
      </c>
    </row>
    <row r="313" spans="1:19" ht="12" customHeight="1" x14ac:dyDescent="0.25">
      <c r="A313" s="14"/>
      <c r="B313" s="15">
        <v>20059</v>
      </c>
      <c r="C313" s="29">
        <v>76577</v>
      </c>
      <c r="D313" s="16">
        <v>45925</v>
      </c>
      <c r="E313" s="15" t="s">
        <v>4</v>
      </c>
      <c r="F313" s="29">
        <v>79212.600000000006</v>
      </c>
      <c r="G313" s="29">
        <v>79212.600000000006</v>
      </c>
      <c r="H313" s="29">
        <v>79212.600000000006</v>
      </c>
      <c r="I313" s="15">
        <v>30</v>
      </c>
      <c r="J313" s="15">
        <v>82</v>
      </c>
      <c r="K313" s="30">
        <v>79000</v>
      </c>
      <c r="L313" s="17">
        <v>45956</v>
      </c>
      <c r="M313" s="18">
        <v>0</v>
      </c>
      <c r="N313" s="16"/>
      <c r="O313" s="19">
        <v>187</v>
      </c>
      <c r="P313" s="20">
        <v>0</v>
      </c>
      <c r="Q313" s="29">
        <v>0</v>
      </c>
      <c r="R313" s="9" t="s">
        <v>180</v>
      </c>
      <c r="S313" s="10" t="s">
        <v>978</v>
      </c>
    </row>
    <row r="314" spans="1:19" ht="12" customHeight="1" x14ac:dyDescent="0.25">
      <c r="A314" s="14"/>
      <c r="B314" s="15">
        <v>20105</v>
      </c>
      <c r="C314" s="29">
        <v>90624</v>
      </c>
      <c r="D314" s="16">
        <v>45925</v>
      </c>
      <c r="E314" s="15" t="s">
        <v>4</v>
      </c>
      <c r="F314" s="29">
        <v>99988.479999999996</v>
      </c>
      <c r="G314" s="29">
        <v>99988.479999999996</v>
      </c>
      <c r="H314" s="29">
        <v>99988.479999999996</v>
      </c>
      <c r="I314" s="15">
        <v>90</v>
      </c>
      <c r="J314" s="15">
        <v>85</v>
      </c>
      <c r="K314" s="30">
        <v>100000</v>
      </c>
      <c r="L314" s="17">
        <v>46015</v>
      </c>
      <c r="M314" s="18">
        <v>0</v>
      </c>
      <c r="N314" s="16"/>
      <c r="O314" s="19">
        <v>187</v>
      </c>
      <c r="P314" s="20">
        <v>0</v>
      </c>
      <c r="Q314" s="29">
        <v>0</v>
      </c>
      <c r="R314" s="9" t="s">
        <v>180</v>
      </c>
      <c r="S314" s="10" t="s">
        <v>640</v>
      </c>
    </row>
    <row r="315" spans="1:19" ht="12" customHeight="1" x14ac:dyDescent="0.25">
      <c r="A315" s="14"/>
      <c r="B315" s="15">
        <v>20106</v>
      </c>
      <c r="C315" s="29">
        <v>23376</v>
      </c>
      <c r="D315" s="16">
        <v>45925</v>
      </c>
      <c r="E315" s="15" t="s">
        <v>2</v>
      </c>
      <c r="F315" s="29">
        <v>0</v>
      </c>
      <c r="G315" s="29">
        <v>0</v>
      </c>
      <c r="H315" s="29">
        <v>24987.97</v>
      </c>
      <c r="I315" s="15">
        <v>60</v>
      </c>
      <c r="J315" s="15">
        <v>83</v>
      </c>
      <c r="K315" s="30">
        <v>25000</v>
      </c>
      <c r="L315" s="17">
        <v>45985</v>
      </c>
      <c r="M315" s="18">
        <v>24988</v>
      </c>
      <c r="N315" s="16">
        <v>46044</v>
      </c>
      <c r="O315" s="19"/>
      <c r="P315" s="20">
        <v>1611.97</v>
      </c>
      <c r="Q315" s="29">
        <v>23376.03</v>
      </c>
      <c r="R315" s="9" t="s">
        <v>180</v>
      </c>
    </row>
    <row r="316" spans="1:19" ht="12" customHeight="1" x14ac:dyDescent="0.25">
      <c r="A316" s="14"/>
      <c r="B316" s="15">
        <v>20072</v>
      </c>
      <c r="C316" s="29">
        <v>170859</v>
      </c>
      <c r="D316" s="16">
        <v>45928</v>
      </c>
      <c r="E316" s="15" t="s">
        <v>2</v>
      </c>
      <c r="F316" s="29">
        <v>0</v>
      </c>
      <c r="G316" s="29">
        <v>0</v>
      </c>
      <c r="H316" s="29">
        <v>172812.6</v>
      </c>
      <c r="I316" s="15">
        <v>4</v>
      </c>
      <c r="J316" s="15">
        <v>3</v>
      </c>
      <c r="K316" s="30">
        <v>1000000</v>
      </c>
      <c r="L316" s="17">
        <v>45932</v>
      </c>
      <c r="M316" s="18">
        <v>172834</v>
      </c>
      <c r="N316" s="16">
        <v>45935</v>
      </c>
      <c r="O316" s="19"/>
      <c r="P316" s="20">
        <v>1953.85</v>
      </c>
      <c r="Q316" s="29">
        <v>170880.15</v>
      </c>
      <c r="R316" s="9" t="s">
        <v>180</v>
      </c>
    </row>
    <row r="317" spans="1:19" ht="12" customHeight="1" x14ac:dyDescent="0.25">
      <c r="A317" s="14"/>
      <c r="B317" s="15">
        <v>20107</v>
      </c>
      <c r="C317" s="29">
        <v>153539</v>
      </c>
      <c r="D317" s="16">
        <v>45928</v>
      </c>
      <c r="E317" s="15" t="s">
        <v>2</v>
      </c>
      <c r="F317" s="29">
        <v>0</v>
      </c>
      <c r="G317" s="29">
        <v>0</v>
      </c>
      <c r="H317" s="29">
        <v>158515.65</v>
      </c>
      <c r="I317" s="15">
        <v>30</v>
      </c>
      <c r="J317" s="15">
        <v>16</v>
      </c>
      <c r="K317" s="30">
        <v>364000</v>
      </c>
      <c r="L317" s="17">
        <v>45958</v>
      </c>
      <c r="M317" s="18">
        <v>158516</v>
      </c>
      <c r="N317" s="16">
        <v>45974</v>
      </c>
      <c r="O317" s="19"/>
      <c r="P317" s="20">
        <v>4976.67</v>
      </c>
      <c r="Q317" s="29">
        <v>153539.32999999999</v>
      </c>
      <c r="R317" s="9" t="s">
        <v>180</v>
      </c>
    </row>
    <row r="318" spans="1:19" ht="12" customHeight="1" x14ac:dyDescent="0.25">
      <c r="A318" s="14"/>
      <c r="B318" s="15">
        <v>20108</v>
      </c>
      <c r="C318" s="29">
        <v>129548</v>
      </c>
      <c r="D318" s="16">
        <v>45928</v>
      </c>
      <c r="E318" s="15" t="s">
        <v>2</v>
      </c>
      <c r="F318" s="29">
        <v>0</v>
      </c>
      <c r="G318" s="29">
        <v>0</v>
      </c>
      <c r="H318" s="29">
        <v>133747.03</v>
      </c>
      <c r="I318" s="15">
        <v>30</v>
      </c>
      <c r="J318" s="15">
        <v>16</v>
      </c>
      <c r="K318" s="30">
        <v>364000</v>
      </c>
      <c r="L318" s="17">
        <v>45958</v>
      </c>
      <c r="M318" s="18">
        <v>133747</v>
      </c>
      <c r="N318" s="16">
        <v>45974</v>
      </c>
      <c r="O318" s="19"/>
      <c r="P318" s="20">
        <v>4199.03</v>
      </c>
      <c r="Q318" s="29">
        <v>129547.97</v>
      </c>
      <c r="R318" s="9" t="s">
        <v>180</v>
      </c>
    </row>
    <row r="319" spans="1:19" ht="12" customHeight="1" x14ac:dyDescent="0.25">
      <c r="A319" s="14"/>
      <c r="B319" s="15">
        <v>20112</v>
      </c>
      <c r="C319" s="29">
        <v>147900</v>
      </c>
      <c r="D319" s="16">
        <v>45928</v>
      </c>
      <c r="E319" s="15" t="s">
        <v>2</v>
      </c>
      <c r="F319" s="29">
        <v>0</v>
      </c>
      <c r="G319" s="29">
        <v>0</v>
      </c>
      <c r="H319" s="29">
        <v>150452</v>
      </c>
      <c r="I319" s="15">
        <v>10</v>
      </c>
      <c r="J319" s="15">
        <v>17</v>
      </c>
      <c r="K319" s="30">
        <v>2400000</v>
      </c>
      <c r="L319" s="17">
        <v>45938</v>
      </c>
      <c r="M319" s="18">
        <v>150452</v>
      </c>
      <c r="N319" s="16">
        <v>45939</v>
      </c>
      <c r="O319" s="19"/>
      <c r="P319" s="20">
        <v>2552</v>
      </c>
      <c r="Q319" s="29">
        <v>147900</v>
      </c>
      <c r="R319" s="9" t="s">
        <v>180</v>
      </c>
    </row>
    <row r="320" spans="1:19" ht="12" customHeight="1" x14ac:dyDescent="0.25">
      <c r="A320" s="14"/>
      <c r="B320" s="15">
        <v>20111</v>
      </c>
      <c r="C320" s="29">
        <v>0</v>
      </c>
      <c r="D320" s="16">
        <v>45928</v>
      </c>
      <c r="E320" s="15" t="s">
        <v>2</v>
      </c>
      <c r="F320" s="29">
        <v>0</v>
      </c>
      <c r="G320" s="29">
        <v>0</v>
      </c>
      <c r="H320" s="29">
        <v>830</v>
      </c>
      <c r="I320" s="15">
        <v>0</v>
      </c>
      <c r="J320" s="15">
        <v>28</v>
      </c>
      <c r="K320" s="30">
        <v>170000</v>
      </c>
      <c r="L320" s="17">
        <v>45928</v>
      </c>
      <c r="M320" s="18">
        <v>830</v>
      </c>
      <c r="N320" s="16">
        <v>45959</v>
      </c>
      <c r="O320" s="19"/>
      <c r="P320" s="20">
        <v>830</v>
      </c>
      <c r="Q320" s="29">
        <v>0</v>
      </c>
      <c r="R320" s="9" t="s">
        <v>180</v>
      </c>
    </row>
    <row r="321" spans="1:19" ht="12" customHeight="1" x14ac:dyDescent="0.25">
      <c r="A321" s="14"/>
      <c r="B321" s="15">
        <v>20113</v>
      </c>
      <c r="C321" s="29">
        <v>55480</v>
      </c>
      <c r="D321" s="16">
        <v>45928</v>
      </c>
      <c r="E321" s="15" t="s">
        <v>2</v>
      </c>
      <c r="F321" s="29">
        <v>0</v>
      </c>
      <c r="G321" s="29">
        <v>0</v>
      </c>
      <c r="H321" s="29">
        <v>57394</v>
      </c>
      <c r="I321" s="15">
        <v>30</v>
      </c>
      <c r="J321" s="15">
        <v>43</v>
      </c>
      <c r="K321" s="30">
        <v>89000</v>
      </c>
      <c r="L321" s="17">
        <v>45958</v>
      </c>
      <c r="M321" s="18">
        <v>57394</v>
      </c>
      <c r="N321" s="16">
        <v>45958</v>
      </c>
      <c r="O321" s="19"/>
      <c r="P321" s="20">
        <v>1914</v>
      </c>
      <c r="Q321" s="29">
        <v>55480</v>
      </c>
      <c r="R321" s="9" t="s">
        <v>180</v>
      </c>
    </row>
    <row r="322" spans="1:19" ht="12" customHeight="1" x14ac:dyDescent="0.25">
      <c r="A322" s="14"/>
      <c r="B322" s="15">
        <v>20109</v>
      </c>
      <c r="C322" s="29">
        <v>19586</v>
      </c>
      <c r="D322" s="16">
        <v>45928</v>
      </c>
      <c r="E322" s="15" t="s">
        <v>2</v>
      </c>
      <c r="F322" s="29">
        <v>0</v>
      </c>
      <c r="G322" s="29">
        <v>0</v>
      </c>
      <c r="H322" s="29">
        <v>22964.58</v>
      </c>
      <c r="I322" s="15">
        <v>90</v>
      </c>
      <c r="J322" s="15">
        <v>48</v>
      </c>
      <c r="K322" s="30">
        <v>120000</v>
      </c>
      <c r="L322" s="17">
        <v>46019</v>
      </c>
      <c r="M322" s="18">
        <v>22964.9</v>
      </c>
      <c r="N322" s="16">
        <v>46005</v>
      </c>
      <c r="O322" s="19"/>
      <c r="P322" s="20">
        <v>3378.62</v>
      </c>
      <c r="Q322" s="29">
        <v>19586.28</v>
      </c>
      <c r="R322" s="9" t="s">
        <v>180</v>
      </c>
    </row>
    <row r="323" spans="1:19" ht="12" customHeight="1" x14ac:dyDescent="0.25">
      <c r="A323" s="14"/>
      <c r="B323" s="15">
        <v>20118</v>
      </c>
      <c r="C323" s="29">
        <v>150450</v>
      </c>
      <c r="D323" s="16">
        <v>45929</v>
      </c>
      <c r="E323" s="15" t="s">
        <v>2</v>
      </c>
      <c r="F323" s="29">
        <v>0</v>
      </c>
      <c r="G323" s="29">
        <v>0</v>
      </c>
      <c r="H323" s="29">
        <v>155642</v>
      </c>
      <c r="I323" s="15">
        <v>30</v>
      </c>
      <c r="J323" s="15">
        <v>17</v>
      </c>
      <c r="K323" s="30">
        <v>2400000</v>
      </c>
      <c r="L323" s="17">
        <v>45959</v>
      </c>
      <c r="M323" s="18">
        <v>155642</v>
      </c>
      <c r="N323" s="16">
        <v>45960</v>
      </c>
      <c r="O323" s="19"/>
      <c r="P323" s="20">
        <v>5192</v>
      </c>
      <c r="Q323" s="29">
        <v>150450</v>
      </c>
      <c r="R323" s="9" t="s">
        <v>180</v>
      </c>
    </row>
    <row r="324" spans="1:19" ht="12" customHeight="1" x14ac:dyDescent="0.25">
      <c r="A324" s="14"/>
      <c r="B324" s="15">
        <v>20074</v>
      </c>
      <c r="C324" s="29">
        <v>200000</v>
      </c>
      <c r="D324" s="16">
        <v>45929</v>
      </c>
      <c r="E324" s="15" t="s">
        <v>2</v>
      </c>
      <c r="F324" s="29">
        <v>0</v>
      </c>
      <c r="G324" s="29">
        <v>0</v>
      </c>
      <c r="H324" s="29">
        <v>206840</v>
      </c>
      <c r="I324" s="15">
        <v>30</v>
      </c>
      <c r="J324" s="15">
        <v>7</v>
      </c>
      <c r="K324" s="30">
        <v>650000</v>
      </c>
      <c r="L324" s="17">
        <v>45960</v>
      </c>
      <c r="M324" s="18">
        <v>206840</v>
      </c>
      <c r="N324" s="16">
        <v>45963</v>
      </c>
      <c r="O324" s="19"/>
      <c r="P324" s="20">
        <v>6840</v>
      </c>
      <c r="Q324" s="29">
        <v>200000</v>
      </c>
      <c r="R324" s="9" t="s">
        <v>180</v>
      </c>
    </row>
    <row r="325" spans="1:19" ht="12" customHeight="1" x14ac:dyDescent="0.25">
      <c r="A325" s="14"/>
      <c r="B325" s="15">
        <v>20075</v>
      </c>
      <c r="C325" s="29">
        <v>165459</v>
      </c>
      <c r="D325" s="16">
        <v>45930</v>
      </c>
      <c r="E325" s="15" t="s">
        <v>2</v>
      </c>
      <c r="F325" s="29">
        <v>0</v>
      </c>
      <c r="G325" s="29">
        <v>0</v>
      </c>
      <c r="H325" s="29">
        <v>167344.41</v>
      </c>
      <c r="I325" s="15">
        <v>4</v>
      </c>
      <c r="J325" s="15">
        <v>3</v>
      </c>
      <c r="K325" s="30">
        <v>1000000</v>
      </c>
      <c r="L325" s="17">
        <v>45935</v>
      </c>
      <c r="M325" s="18">
        <v>167344</v>
      </c>
      <c r="N325" s="16">
        <v>45938</v>
      </c>
      <c r="O325" s="19"/>
      <c r="P325" s="20">
        <v>1885.41</v>
      </c>
      <c r="Q325" s="29">
        <v>165458.59</v>
      </c>
      <c r="R325" s="9" t="s">
        <v>180</v>
      </c>
    </row>
    <row r="326" spans="1:19" ht="12" customHeight="1" x14ac:dyDescent="0.25">
      <c r="A326" s="14"/>
      <c r="B326" s="15" t="s">
        <v>19</v>
      </c>
      <c r="C326" s="29">
        <v>132250</v>
      </c>
      <c r="D326" s="16">
        <v>45930</v>
      </c>
      <c r="E326" s="15" t="s">
        <v>2</v>
      </c>
      <c r="F326" s="29">
        <v>0</v>
      </c>
      <c r="G326" s="29">
        <v>0</v>
      </c>
      <c r="H326" s="29">
        <v>141370.65</v>
      </c>
      <c r="I326" s="15">
        <v>60</v>
      </c>
      <c r="J326" s="15">
        <v>23</v>
      </c>
      <c r="K326" s="30">
        <v>310000</v>
      </c>
      <c r="L326" s="17">
        <v>45991</v>
      </c>
      <c r="M326" s="18">
        <v>141371</v>
      </c>
      <c r="N326" s="16">
        <v>45990</v>
      </c>
      <c r="O326" s="19"/>
      <c r="P326" s="20">
        <v>9120.67</v>
      </c>
      <c r="Q326" s="29">
        <v>132250.32999999999</v>
      </c>
      <c r="R326" s="9" t="s">
        <v>180</v>
      </c>
    </row>
    <row r="327" spans="1:19" ht="12" customHeight="1" x14ac:dyDescent="0.25">
      <c r="A327" s="14"/>
      <c r="B327" s="15">
        <v>20124</v>
      </c>
      <c r="C327" s="29">
        <v>14980</v>
      </c>
      <c r="D327" s="16">
        <v>45930</v>
      </c>
      <c r="E327" s="15" t="s">
        <v>2</v>
      </c>
      <c r="F327" s="29">
        <v>0</v>
      </c>
      <c r="G327" s="29">
        <v>0</v>
      </c>
      <c r="H327" s="29">
        <v>15496.8</v>
      </c>
      <c r="I327" s="15">
        <v>30</v>
      </c>
      <c r="J327" s="15">
        <v>43</v>
      </c>
      <c r="K327" s="30">
        <v>89000</v>
      </c>
      <c r="L327" s="17">
        <v>45960</v>
      </c>
      <c r="M327" s="18">
        <v>15497</v>
      </c>
      <c r="N327" s="16">
        <v>45960</v>
      </c>
      <c r="O327" s="19"/>
      <c r="P327" s="20">
        <v>516.80999999999995</v>
      </c>
      <c r="Q327" s="29">
        <v>14980.19</v>
      </c>
      <c r="R327" s="9" t="s">
        <v>180</v>
      </c>
    </row>
    <row r="328" spans="1:19" ht="12" customHeight="1" x14ac:dyDescent="0.25">
      <c r="A328" s="14"/>
      <c r="B328" s="15" t="s">
        <v>20</v>
      </c>
      <c r="C328" s="29">
        <v>82340</v>
      </c>
      <c r="D328" s="16">
        <v>45930</v>
      </c>
      <c r="E328" s="15" t="s">
        <v>2</v>
      </c>
      <c r="F328" s="29">
        <v>0</v>
      </c>
      <c r="G328" s="29">
        <v>0</v>
      </c>
      <c r="H328" s="29">
        <v>87272</v>
      </c>
      <c r="I328" s="15">
        <v>60</v>
      </c>
      <c r="J328" s="15">
        <v>84</v>
      </c>
      <c r="K328" s="30">
        <v>82000</v>
      </c>
      <c r="L328" s="17">
        <v>45991</v>
      </c>
      <c r="M328" s="18">
        <v>87272</v>
      </c>
      <c r="N328" s="16">
        <v>45991</v>
      </c>
      <c r="O328" s="19"/>
      <c r="P328" s="20">
        <v>4932</v>
      </c>
      <c r="Q328" s="29">
        <v>82340</v>
      </c>
      <c r="R328" s="9" t="s">
        <v>180</v>
      </c>
    </row>
    <row r="329" spans="1:19" ht="12" customHeight="1" x14ac:dyDescent="0.25">
      <c r="A329" s="14"/>
      <c r="B329" s="15">
        <v>20123</v>
      </c>
      <c r="C329" s="29">
        <v>55699</v>
      </c>
      <c r="D329" s="16">
        <v>45930</v>
      </c>
      <c r="E329" s="15" t="s">
        <v>2</v>
      </c>
      <c r="F329" s="29">
        <v>0</v>
      </c>
      <c r="G329" s="29">
        <v>0</v>
      </c>
      <c r="H329" s="29">
        <v>59542.59</v>
      </c>
      <c r="I329" s="15">
        <v>60</v>
      </c>
      <c r="J329" s="15">
        <v>87</v>
      </c>
      <c r="K329" s="30">
        <v>60000</v>
      </c>
      <c r="L329" s="17">
        <v>45991</v>
      </c>
      <c r="M329" s="18">
        <v>59542.6</v>
      </c>
      <c r="N329" s="16">
        <v>46021</v>
      </c>
      <c r="O329" s="19"/>
      <c r="P329" s="20">
        <v>3843.59</v>
      </c>
      <c r="Q329" s="29">
        <v>55699.01</v>
      </c>
      <c r="R329" s="9" t="s">
        <v>180</v>
      </c>
    </row>
    <row r="330" spans="1:19" ht="12" customHeight="1" x14ac:dyDescent="0.25">
      <c r="A330" s="14"/>
      <c r="B330" s="15">
        <v>20120</v>
      </c>
      <c r="C330" s="29">
        <v>30240</v>
      </c>
      <c r="D330" s="16">
        <v>45931</v>
      </c>
      <c r="E330" s="15" t="s">
        <v>2</v>
      </c>
      <c r="F330" s="29">
        <v>0</v>
      </c>
      <c r="G330" s="29">
        <v>0</v>
      </c>
      <c r="H330" s="29">
        <v>31283.279999999999</v>
      </c>
      <c r="I330" s="15">
        <v>30</v>
      </c>
      <c r="J330" s="15">
        <v>6</v>
      </c>
      <c r="K330" s="30">
        <v>810000</v>
      </c>
      <c r="L330" s="17">
        <v>45963</v>
      </c>
      <c r="M330" s="18">
        <v>31283</v>
      </c>
      <c r="N330" s="16">
        <v>45964</v>
      </c>
      <c r="O330" s="19"/>
      <c r="P330" s="20">
        <v>1043.27</v>
      </c>
      <c r="Q330" s="29">
        <v>30239.73</v>
      </c>
      <c r="R330" s="9" t="s">
        <v>180</v>
      </c>
    </row>
    <row r="331" spans="1:19" ht="12" customHeight="1" x14ac:dyDescent="0.25">
      <c r="A331" s="14"/>
      <c r="B331" s="15" t="s">
        <v>25</v>
      </c>
      <c r="C331" s="29">
        <v>88953</v>
      </c>
      <c r="D331" s="16">
        <v>45931</v>
      </c>
      <c r="E331" s="15" t="s">
        <v>4</v>
      </c>
      <c r="F331" s="29">
        <v>98159.63</v>
      </c>
      <c r="G331" s="29">
        <v>98159.63</v>
      </c>
      <c r="H331" s="29">
        <v>98159.63</v>
      </c>
      <c r="I331" s="15">
        <v>90</v>
      </c>
      <c r="J331" s="15">
        <v>86</v>
      </c>
      <c r="K331" s="30">
        <v>100000</v>
      </c>
      <c r="L331" s="17">
        <v>46021</v>
      </c>
      <c r="M331" s="18">
        <v>0</v>
      </c>
      <c r="N331" s="16"/>
      <c r="O331" s="19">
        <v>181</v>
      </c>
      <c r="P331" s="20">
        <v>0</v>
      </c>
      <c r="Q331" s="29">
        <v>0</v>
      </c>
      <c r="R331" s="9" t="s">
        <v>180</v>
      </c>
      <c r="S331" s="10" t="s">
        <v>979</v>
      </c>
    </row>
    <row r="332" spans="1:19" ht="12" customHeight="1" x14ac:dyDescent="0.25">
      <c r="A332" s="14"/>
      <c r="B332" s="15" t="s">
        <v>26</v>
      </c>
      <c r="C332" s="29">
        <v>58000</v>
      </c>
      <c r="D332" s="16">
        <v>45931</v>
      </c>
      <c r="E332" s="15" t="s">
        <v>2</v>
      </c>
      <c r="F332" s="29">
        <v>0</v>
      </c>
      <c r="G332" s="29">
        <v>0</v>
      </c>
      <c r="H332" s="29">
        <v>64000</v>
      </c>
      <c r="I332" s="15">
        <v>90</v>
      </c>
      <c r="J332" s="15">
        <v>89</v>
      </c>
      <c r="K332" s="30">
        <v>64000</v>
      </c>
      <c r="L332" s="17">
        <v>46021</v>
      </c>
      <c r="M332" s="18">
        <v>64000</v>
      </c>
      <c r="N332" s="16">
        <v>46040</v>
      </c>
      <c r="O332" s="19"/>
      <c r="P332" s="20">
        <v>6000</v>
      </c>
      <c r="Q332" s="29">
        <v>58000</v>
      </c>
      <c r="R332" s="9" t="s">
        <v>180</v>
      </c>
    </row>
    <row r="333" spans="1:19" ht="12" customHeight="1" x14ac:dyDescent="0.25">
      <c r="A333" s="14"/>
      <c r="B333" s="15" t="s">
        <v>27</v>
      </c>
      <c r="C333" s="29">
        <v>120000</v>
      </c>
      <c r="D333" s="16">
        <v>45932</v>
      </c>
      <c r="E333" s="15" t="s">
        <v>2</v>
      </c>
      <c r="F333" s="29">
        <v>0</v>
      </c>
      <c r="G333" s="29">
        <v>0</v>
      </c>
      <c r="H333" s="29">
        <v>124128.01</v>
      </c>
      <c r="I333" s="15">
        <v>30</v>
      </c>
      <c r="J333" s="15">
        <v>5</v>
      </c>
      <c r="K333" s="30">
        <v>1600000</v>
      </c>
      <c r="L333" s="17">
        <v>45965</v>
      </c>
      <c r="M333" s="18">
        <v>124128</v>
      </c>
      <c r="N333" s="16">
        <v>45966</v>
      </c>
      <c r="O333" s="19"/>
      <c r="P333" s="20">
        <v>4128.01</v>
      </c>
      <c r="Q333" s="29">
        <v>119999.99</v>
      </c>
      <c r="R333" s="9" t="s">
        <v>180</v>
      </c>
    </row>
    <row r="334" spans="1:19" ht="12" customHeight="1" x14ac:dyDescent="0.25">
      <c r="A334" s="14"/>
      <c r="B334" s="15" t="s">
        <v>28</v>
      </c>
      <c r="C334" s="29">
        <v>62760</v>
      </c>
      <c r="D334" s="16">
        <v>45932</v>
      </c>
      <c r="E334" s="15" t="s">
        <v>2</v>
      </c>
      <c r="F334" s="29">
        <v>0</v>
      </c>
      <c r="G334" s="29">
        <v>0</v>
      </c>
      <c r="H334" s="29">
        <v>64996.32</v>
      </c>
      <c r="I334" s="15">
        <v>30</v>
      </c>
      <c r="J334" s="15">
        <v>22</v>
      </c>
      <c r="K334" s="30">
        <v>200000</v>
      </c>
      <c r="L334" s="17">
        <v>45963</v>
      </c>
      <c r="M334" s="18">
        <v>64996.32</v>
      </c>
      <c r="N334" s="16">
        <v>45959</v>
      </c>
      <c r="O334" s="19"/>
      <c r="P334" s="20">
        <v>2236.3200000000002</v>
      </c>
      <c r="Q334" s="29">
        <v>62760</v>
      </c>
      <c r="R334" s="9" t="s">
        <v>180</v>
      </c>
    </row>
    <row r="335" spans="1:19" ht="12" customHeight="1" x14ac:dyDescent="0.25">
      <c r="A335" s="14"/>
      <c r="B335" s="15" t="s">
        <v>29</v>
      </c>
      <c r="C335" s="29">
        <v>28995</v>
      </c>
      <c r="D335" s="16">
        <v>45932</v>
      </c>
      <c r="E335" s="15" t="s">
        <v>2</v>
      </c>
      <c r="F335" s="29">
        <v>0</v>
      </c>
      <c r="G335" s="29">
        <v>0</v>
      </c>
      <c r="H335" s="29">
        <v>29995.32</v>
      </c>
      <c r="I335" s="15">
        <v>30</v>
      </c>
      <c r="J335" s="15">
        <v>51</v>
      </c>
      <c r="K335" s="30">
        <v>60000</v>
      </c>
      <c r="L335" s="17">
        <v>45963</v>
      </c>
      <c r="M335" s="18">
        <v>29995.32</v>
      </c>
      <c r="N335" s="16">
        <v>45964</v>
      </c>
      <c r="O335" s="19"/>
      <c r="P335" s="20">
        <v>1000.32</v>
      </c>
      <c r="Q335" s="29">
        <v>28995</v>
      </c>
      <c r="R335" s="9" t="s">
        <v>180</v>
      </c>
    </row>
    <row r="336" spans="1:19" ht="12" customHeight="1" x14ac:dyDescent="0.25">
      <c r="A336" s="14"/>
      <c r="B336" s="15" t="s">
        <v>30</v>
      </c>
      <c r="C336" s="29">
        <v>30153</v>
      </c>
      <c r="D336" s="16">
        <v>45932</v>
      </c>
      <c r="E336" s="15" t="s">
        <v>2</v>
      </c>
      <c r="F336" s="29">
        <v>0</v>
      </c>
      <c r="G336" s="29">
        <v>0</v>
      </c>
      <c r="H336" s="29">
        <v>33620.589999999997</v>
      </c>
      <c r="I336" s="15">
        <v>60</v>
      </c>
      <c r="J336" s="15">
        <v>54</v>
      </c>
      <c r="K336" s="30">
        <v>117000</v>
      </c>
      <c r="L336" s="17">
        <v>45992</v>
      </c>
      <c r="M336" s="18">
        <v>33620.6</v>
      </c>
      <c r="N336" s="16">
        <v>45992</v>
      </c>
      <c r="O336" s="19"/>
      <c r="P336" s="20">
        <v>3467.59</v>
      </c>
      <c r="Q336" s="29">
        <v>30153.01</v>
      </c>
      <c r="R336" s="9" t="s">
        <v>180</v>
      </c>
    </row>
    <row r="337" spans="1:18" ht="12" customHeight="1" x14ac:dyDescent="0.25">
      <c r="A337" s="14"/>
      <c r="B337" s="15" t="s">
        <v>31</v>
      </c>
      <c r="C337" s="29">
        <v>143820</v>
      </c>
      <c r="D337" s="16">
        <v>45932</v>
      </c>
      <c r="E337" s="15" t="s">
        <v>2</v>
      </c>
      <c r="F337" s="29">
        <v>0</v>
      </c>
      <c r="G337" s="29">
        <v>0</v>
      </c>
      <c r="H337" s="29">
        <v>148769</v>
      </c>
      <c r="I337" s="15">
        <v>30</v>
      </c>
      <c r="J337" s="15">
        <v>56</v>
      </c>
      <c r="K337" s="30">
        <v>320000</v>
      </c>
      <c r="L337" s="17">
        <v>45963</v>
      </c>
      <c r="M337" s="18">
        <v>148770</v>
      </c>
      <c r="N337" s="16">
        <v>45964</v>
      </c>
      <c r="O337" s="19"/>
      <c r="P337" s="20">
        <v>4949.03</v>
      </c>
      <c r="Q337" s="29">
        <v>143820.97</v>
      </c>
      <c r="R337" s="9" t="s">
        <v>180</v>
      </c>
    </row>
    <row r="338" spans="1:18" ht="12" customHeight="1" x14ac:dyDescent="0.25">
      <c r="A338" s="14"/>
      <c r="B338" s="15" t="s">
        <v>32</v>
      </c>
      <c r="C338" s="29">
        <v>60726</v>
      </c>
      <c r="D338" s="16">
        <v>45932</v>
      </c>
      <c r="E338" s="15" t="s">
        <v>2</v>
      </c>
      <c r="F338" s="29">
        <v>0</v>
      </c>
      <c r="G338" s="29">
        <v>0</v>
      </c>
      <c r="H338" s="29">
        <v>64000.45</v>
      </c>
      <c r="I338" s="15">
        <v>45</v>
      </c>
      <c r="J338" s="15">
        <v>88</v>
      </c>
      <c r="K338" s="30">
        <v>64000</v>
      </c>
      <c r="L338" s="17">
        <v>45977</v>
      </c>
      <c r="M338" s="18">
        <v>64000.25</v>
      </c>
      <c r="N338" s="16">
        <v>45983</v>
      </c>
      <c r="O338" s="19"/>
      <c r="P338" s="20">
        <v>3274.44</v>
      </c>
      <c r="Q338" s="29">
        <v>60725.81</v>
      </c>
      <c r="R338" s="9" t="s">
        <v>180</v>
      </c>
    </row>
    <row r="339" spans="1:18" ht="12" customHeight="1" x14ac:dyDescent="0.25">
      <c r="A339" s="14"/>
      <c r="B339" s="15" t="s">
        <v>33</v>
      </c>
      <c r="C339" s="29">
        <v>95950</v>
      </c>
      <c r="D339" s="16">
        <v>45932</v>
      </c>
      <c r="E339" s="15" t="s">
        <v>2</v>
      </c>
      <c r="F339" s="29">
        <v>0</v>
      </c>
      <c r="G339" s="29">
        <v>0</v>
      </c>
      <c r="H339" s="29">
        <v>99313</v>
      </c>
      <c r="I339" s="15">
        <v>30</v>
      </c>
      <c r="J339" s="15">
        <v>90</v>
      </c>
      <c r="K339" s="30">
        <v>100000</v>
      </c>
      <c r="L339" s="17">
        <v>45963</v>
      </c>
      <c r="M339" s="18">
        <v>99313</v>
      </c>
      <c r="N339" s="16">
        <v>45973</v>
      </c>
      <c r="O339" s="19"/>
      <c r="P339" s="20">
        <v>3363</v>
      </c>
      <c r="Q339" s="29">
        <v>95950</v>
      </c>
      <c r="R339" s="9" t="s">
        <v>180</v>
      </c>
    </row>
    <row r="340" spans="1:18" ht="12" customHeight="1" x14ac:dyDescent="0.25">
      <c r="A340" s="14"/>
      <c r="B340" s="15" t="s">
        <v>34</v>
      </c>
      <c r="C340" s="29">
        <v>159192</v>
      </c>
      <c r="D340" s="16">
        <v>45935</v>
      </c>
      <c r="E340" s="15" t="s">
        <v>2</v>
      </c>
      <c r="F340" s="29">
        <v>0</v>
      </c>
      <c r="G340" s="29">
        <v>0</v>
      </c>
      <c r="H340" s="29">
        <v>161020</v>
      </c>
      <c r="I340" s="15">
        <v>4</v>
      </c>
      <c r="J340" s="15">
        <v>3</v>
      </c>
      <c r="K340" s="30">
        <v>1000000</v>
      </c>
      <c r="L340" s="17">
        <v>45939</v>
      </c>
      <c r="M340" s="18">
        <v>161020</v>
      </c>
      <c r="N340" s="16">
        <v>45942</v>
      </c>
      <c r="O340" s="19"/>
      <c r="P340" s="20">
        <v>1828</v>
      </c>
      <c r="Q340" s="29">
        <v>159192</v>
      </c>
      <c r="R340" s="9" t="s">
        <v>180</v>
      </c>
    </row>
    <row r="341" spans="1:18" ht="12" customHeight="1" x14ac:dyDescent="0.25">
      <c r="A341" s="14"/>
      <c r="B341" s="15" t="s">
        <v>35</v>
      </c>
      <c r="C341" s="29">
        <v>171435</v>
      </c>
      <c r="D341" s="16">
        <v>45935</v>
      </c>
      <c r="E341" s="15" t="s">
        <v>2</v>
      </c>
      <c r="F341" s="29">
        <v>0</v>
      </c>
      <c r="G341" s="29">
        <v>0</v>
      </c>
      <c r="H341" s="29">
        <v>173385.93</v>
      </c>
      <c r="I341" s="15">
        <v>4</v>
      </c>
      <c r="J341" s="15">
        <v>3</v>
      </c>
      <c r="K341" s="30">
        <v>1000000</v>
      </c>
      <c r="L341" s="17">
        <v>45939</v>
      </c>
      <c r="M341" s="18">
        <v>173386</v>
      </c>
      <c r="N341" s="16">
        <v>45943</v>
      </c>
      <c r="O341" s="19"/>
      <c r="P341" s="20">
        <v>1950.93</v>
      </c>
      <c r="Q341" s="29">
        <v>171435.07</v>
      </c>
      <c r="R341" s="9" t="s">
        <v>180</v>
      </c>
    </row>
    <row r="342" spans="1:18" ht="12" customHeight="1" x14ac:dyDescent="0.25">
      <c r="A342" s="14"/>
      <c r="B342" s="15" t="s">
        <v>37</v>
      </c>
      <c r="C342" s="29">
        <v>167000</v>
      </c>
      <c r="D342" s="16">
        <v>45935</v>
      </c>
      <c r="E342" s="15" t="s">
        <v>2</v>
      </c>
      <c r="F342" s="29">
        <v>0</v>
      </c>
      <c r="G342" s="29">
        <v>0</v>
      </c>
      <c r="H342" s="29">
        <v>172744.01</v>
      </c>
      <c r="I342" s="15">
        <v>30</v>
      </c>
      <c r="J342" s="15">
        <v>15</v>
      </c>
      <c r="K342" s="30">
        <v>2300000</v>
      </c>
      <c r="L342" s="17">
        <v>45965</v>
      </c>
      <c r="M342" s="18">
        <v>172744</v>
      </c>
      <c r="N342" s="16">
        <v>45967</v>
      </c>
      <c r="O342" s="19"/>
      <c r="P342" s="20">
        <v>5744.01</v>
      </c>
      <c r="Q342" s="29">
        <v>166999.99</v>
      </c>
      <c r="R342" s="9" t="s">
        <v>180</v>
      </c>
    </row>
    <row r="343" spans="1:18" ht="12" customHeight="1" x14ac:dyDescent="0.25">
      <c r="A343" s="14"/>
      <c r="B343" s="15" t="s">
        <v>38</v>
      </c>
      <c r="C343" s="29">
        <v>63423</v>
      </c>
      <c r="D343" s="16">
        <v>45935</v>
      </c>
      <c r="E343" s="15" t="s">
        <v>2</v>
      </c>
      <c r="F343" s="29">
        <v>0</v>
      </c>
      <c r="G343" s="29">
        <v>0</v>
      </c>
      <c r="H343" s="29">
        <v>69993.62</v>
      </c>
      <c r="I343" s="15">
        <v>90</v>
      </c>
      <c r="J343" s="15">
        <v>81</v>
      </c>
      <c r="K343" s="30">
        <v>190000</v>
      </c>
      <c r="L343" s="17">
        <v>46026</v>
      </c>
      <c r="M343" s="18">
        <v>69993</v>
      </c>
      <c r="N343" s="16">
        <v>45972</v>
      </c>
      <c r="O343" s="19"/>
      <c r="P343" s="20">
        <v>6570.56</v>
      </c>
      <c r="Q343" s="29">
        <v>63422.44</v>
      </c>
      <c r="R343" s="9" t="s">
        <v>180</v>
      </c>
    </row>
    <row r="344" spans="1:18" ht="12" customHeight="1" x14ac:dyDescent="0.25">
      <c r="A344" s="14"/>
      <c r="B344" s="15" t="s">
        <v>39</v>
      </c>
      <c r="C344" s="29">
        <v>172574</v>
      </c>
      <c r="D344" s="16">
        <v>45935</v>
      </c>
      <c r="E344" s="15" t="s">
        <v>2</v>
      </c>
      <c r="F344" s="29">
        <v>0</v>
      </c>
      <c r="G344" s="29">
        <v>0</v>
      </c>
      <c r="H344" s="29">
        <v>178543.55</v>
      </c>
      <c r="I344" s="15">
        <v>30</v>
      </c>
      <c r="J344" s="15">
        <v>92</v>
      </c>
      <c r="K344" s="30">
        <v>559000</v>
      </c>
      <c r="L344" s="17">
        <v>45965</v>
      </c>
      <c r="M344" s="18">
        <v>178544</v>
      </c>
      <c r="N344" s="16">
        <v>45966</v>
      </c>
      <c r="O344" s="19"/>
      <c r="P344" s="20">
        <v>5969.56</v>
      </c>
      <c r="Q344" s="29">
        <v>172574.44</v>
      </c>
      <c r="R344" s="9" t="s">
        <v>180</v>
      </c>
    </row>
    <row r="345" spans="1:18" ht="12" customHeight="1" x14ac:dyDescent="0.25">
      <c r="A345" s="14"/>
      <c r="B345" s="15" t="s">
        <v>24</v>
      </c>
      <c r="C345" s="29">
        <v>0</v>
      </c>
      <c r="D345" s="16">
        <v>45936</v>
      </c>
      <c r="E345" s="15" t="s">
        <v>2</v>
      </c>
      <c r="F345" s="29">
        <v>0</v>
      </c>
      <c r="G345" s="29">
        <v>0</v>
      </c>
      <c r="H345" s="29">
        <v>3267</v>
      </c>
      <c r="I345" s="15">
        <v>0</v>
      </c>
      <c r="J345" s="15">
        <v>13</v>
      </c>
      <c r="K345" s="30">
        <v>1260000</v>
      </c>
      <c r="L345" s="17">
        <v>45936</v>
      </c>
      <c r="M345" s="18">
        <v>3267</v>
      </c>
      <c r="N345" s="16">
        <v>45942</v>
      </c>
      <c r="O345" s="19"/>
      <c r="P345" s="20">
        <v>3267</v>
      </c>
      <c r="Q345" s="29">
        <v>0</v>
      </c>
      <c r="R345" s="9" t="s">
        <v>180</v>
      </c>
    </row>
    <row r="346" spans="1:18" ht="12" customHeight="1" x14ac:dyDescent="0.25">
      <c r="A346" s="14"/>
      <c r="B346" s="15" t="s">
        <v>40</v>
      </c>
      <c r="C346" s="29">
        <v>173195</v>
      </c>
      <c r="D346" s="16">
        <v>45936</v>
      </c>
      <c r="E346" s="15" t="s">
        <v>2</v>
      </c>
      <c r="F346" s="29">
        <v>0</v>
      </c>
      <c r="G346" s="29">
        <v>0</v>
      </c>
      <c r="H346" s="29">
        <v>179149.09</v>
      </c>
      <c r="I346" s="15">
        <v>30</v>
      </c>
      <c r="J346" s="15">
        <v>71</v>
      </c>
      <c r="K346" s="30">
        <v>590000</v>
      </c>
      <c r="L346" s="17">
        <v>45966</v>
      </c>
      <c r="M346" s="18">
        <v>179150</v>
      </c>
      <c r="N346" s="16">
        <v>45966</v>
      </c>
      <c r="O346" s="19"/>
      <c r="P346" s="20">
        <v>5954.12</v>
      </c>
      <c r="Q346" s="29">
        <v>173195.88</v>
      </c>
      <c r="R346" s="9" t="s">
        <v>180</v>
      </c>
    </row>
    <row r="347" spans="1:18" ht="12" customHeight="1" x14ac:dyDescent="0.25">
      <c r="A347" s="14"/>
      <c r="B347" s="15" t="s">
        <v>41</v>
      </c>
      <c r="C347" s="29">
        <v>97000</v>
      </c>
      <c r="D347" s="16">
        <v>45936</v>
      </c>
      <c r="E347" s="15" t="s">
        <v>2</v>
      </c>
      <c r="F347" s="29">
        <v>0</v>
      </c>
      <c r="G347" s="29">
        <v>0</v>
      </c>
      <c r="H347" s="29">
        <v>100320</v>
      </c>
      <c r="I347" s="15">
        <v>30</v>
      </c>
      <c r="J347" s="15">
        <v>76</v>
      </c>
      <c r="K347" s="30">
        <v>221000</v>
      </c>
      <c r="L347" s="17">
        <v>45967</v>
      </c>
      <c r="M347" s="18">
        <v>100320</v>
      </c>
      <c r="N347" s="16">
        <v>45957</v>
      </c>
      <c r="O347" s="19"/>
      <c r="P347" s="20">
        <v>3320</v>
      </c>
      <c r="Q347" s="29">
        <v>97000</v>
      </c>
      <c r="R347" s="9" t="s">
        <v>180</v>
      </c>
    </row>
    <row r="348" spans="1:18" ht="12" customHeight="1" x14ac:dyDescent="0.25">
      <c r="A348" s="14"/>
      <c r="B348" s="15" t="s">
        <v>42</v>
      </c>
      <c r="C348" s="29">
        <v>77998</v>
      </c>
      <c r="D348" s="16">
        <v>45936</v>
      </c>
      <c r="E348" s="15" t="s">
        <v>2</v>
      </c>
      <c r="F348" s="29">
        <v>0</v>
      </c>
      <c r="G348" s="29">
        <v>0</v>
      </c>
      <c r="H348" s="29">
        <v>80671.59</v>
      </c>
      <c r="I348" s="15">
        <v>30</v>
      </c>
      <c r="J348" s="15">
        <v>78</v>
      </c>
      <c r="K348" s="30">
        <v>208000</v>
      </c>
      <c r="L348" s="17">
        <v>45967</v>
      </c>
      <c r="M348" s="18">
        <v>80672</v>
      </c>
      <c r="N348" s="16">
        <v>45957</v>
      </c>
      <c r="O348" s="19"/>
      <c r="P348" s="20">
        <v>2673.6</v>
      </c>
      <c r="Q348" s="29">
        <v>77998.399999999994</v>
      </c>
      <c r="R348" s="9" t="s">
        <v>180</v>
      </c>
    </row>
    <row r="349" spans="1:18" ht="12" customHeight="1" x14ac:dyDescent="0.25">
      <c r="A349" s="14"/>
      <c r="B349" s="15" t="s">
        <v>43</v>
      </c>
      <c r="C349" s="29">
        <v>200000</v>
      </c>
      <c r="D349" s="16">
        <v>45937</v>
      </c>
      <c r="E349" s="15" t="s">
        <v>2</v>
      </c>
      <c r="F349" s="29">
        <v>0</v>
      </c>
      <c r="G349" s="29">
        <v>0</v>
      </c>
      <c r="H349" s="29">
        <v>206880.01</v>
      </c>
      <c r="I349" s="15">
        <v>30</v>
      </c>
      <c r="J349" s="15">
        <v>15</v>
      </c>
      <c r="K349" s="30">
        <v>2300000</v>
      </c>
      <c r="L349" s="17">
        <v>45967</v>
      </c>
      <c r="M349" s="18">
        <v>206880</v>
      </c>
      <c r="N349" s="16">
        <v>45970</v>
      </c>
      <c r="O349" s="19"/>
      <c r="P349" s="20">
        <v>6880.01</v>
      </c>
      <c r="Q349" s="29">
        <v>199999.99</v>
      </c>
      <c r="R349" s="9" t="s">
        <v>180</v>
      </c>
    </row>
    <row r="350" spans="1:18" ht="12" customHeight="1" x14ac:dyDescent="0.25">
      <c r="A350" s="14"/>
      <c r="B350" s="15" t="s">
        <v>44</v>
      </c>
      <c r="C350" s="29">
        <v>339532</v>
      </c>
      <c r="D350" s="16">
        <v>45937</v>
      </c>
      <c r="E350" s="15" t="s">
        <v>2</v>
      </c>
      <c r="F350" s="29">
        <v>0</v>
      </c>
      <c r="G350" s="29">
        <v>0</v>
      </c>
      <c r="H350" s="29">
        <v>351226.99</v>
      </c>
      <c r="I350" s="15">
        <v>30</v>
      </c>
      <c r="J350" s="15">
        <v>20</v>
      </c>
      <c r="K350" s="30">
        <v>686000</v>
      </c>
      <c r="L350" s="17">
        <v>45967</v>
      </c>
      <c r="M350" s="18">
        <v>351227</v>
      </c>
      <c r="N350" s="16">
        <v>45967</v>
      </c>
      <c r="O350" s="19"/>
      <c r="P350" s="20">
        <v>11694.99</v>
      </c>
      <c r="Q350" s="29">
        <v>339532.01</v>
      </c>
      <c r="R350" s="9" t="s">
        <v>180</v>
      </c>
    </row>
    <row r="351" spans="1:18" ht="12" customHeight="1" x14ac:dyDescent="0.25">
      <c r="A351" s="14"/>
      <c r="B351" s="15" t="s">
        <v>45</v>
      </c>
      <c r="C351" s="29">
        <v>27197</v>
      </c>
      <c r="D351" s="16">
        <v>45937</v>
      </c>
      <c r="E351" s="15" t="s">
        <v>2</v>
      </c>
      <c r="F351" s="29">
        <v>0</v>
      </c>
      <c r="G351" s="29">
        <v>0</v>
      </c>
      <c r="H351" s="29">
        <v>29998.32</v>
      </c>
      <c r="I351" s="15">
        <v>90</v>
      </c>
      <c r="J351" s="15">
        <v>93</v>
      </c>
      <c r="K351" s="30">
        <v>30000</v>
      </c>
      <c r="L351" s="17">
        <v>46027</v>
      </c>
      <c r="M351" s="18">
        <v>29998.87</v>
      </c>
      <c r="N351" s="16">
        <v>46027</v>
      </c>
      <c r="O351" s="19"/>
      <c r="P351" s="20">
        <v>2801.37</v>
      </c>
      <c r="Q351" s="29">
        <v>27197.5</v>
      </c>
      <c r="R351" s="9" t="s">
        <v>180</v>
      </c>
    </row>
    <row r="352" spans="1:18" ht="12" customHeight="1" x14ac:dyDescent="0.25">
      <c r="A352" s="14"/>
      <c r="B352" s="15" t="s">
        <v>46</v>
      </c>
      <c r="C352" s="29">
        <v>80500</v>
      </c>
      <c r="D352" s="16">
        <v>45937</v>
      </c>
      <c r="E352" s="15" t="s">
        <v>2</v>
      </c>
      <c r="F352" s="29">
        <v>0</v>
      </c>
      <c r="G352" s="29">
        <v>0</v>
      </c>
      <c r="H352" s="29">
        <v>88831.75</v>
      </c>
      <c r="I352" s="15">
        <v>90</v>
      </c>
      <c r="J352" s="15">
        <v>97</v>
      </c>
      <c r="K352" s="30">
        <v>100000</v>
      </c>
      <c r="L352" s="17">
        <v>46027</v>
      </c>
      <c r="M352" s="18">
        <v>88832</v>
      </c>
      <c r="N352" s="16">
        <v>46030</v>
      </c>
      <c r="O352" s="19"/>
      <c r="P352" s="20">
        <v>8331.77</v>
      </c>
      <c r="Q352" s="29">
        <v>80500.23</v>
      </c>
      <c r="R352" s="9" t="s">
        <v>180</v>
      </c>
    </row>
    <row r="353" spans="1:19" ht="12" customHeight="1" x14ac:dyDescent="0.25">
      <c r="A353" s="14"/>
      <c r="B353" s="15" t="s">
        <v>47</v>
      </c>
      <c r="C353" s="29">
        <v>24312</v>
      </c>
      <c r="D353" s="16">
        <v>45937</v>
      </c>
      <c r="E353" s="15" t="s">
        <v>2</v>
      </c>
      <c r="F353" s="29">
        <v>0</v>
      </c>
      <c r="G353" s="29">
        <v>0</v>
      </c>
      <c r="H353" s="29">
        <v>25152.77</v>
      </c>
      <c r="I353" s="15">
        <v>30</v>
      </c>
      <c r="J353" s="15">
        <v>98</v>
      </c>
      <c r="K353" s="30">
        <v>100000</v>
      </c>
      <c r="L353" s="17">
        <v>45970</v>
      </c>
      <c r="M353" s="18">
        <v>25152</v>
      </c>
      <c r="N353" s="16">
        <v>45970</v>
      </c>
      <c r="O353" s="19"/>
      <c r="P353" s="20">
        <v>840.75</v>
      </c>
      <c r="Q353" s="29">
        <v>24311.25</v>
      </c>
      <c r="R353" s="9" t="s">
        <v>180</v>
      </c>
    </row>
    <row r="354" spans="1:19" ht="12" customHeight="1" x14ac:dyDescent="0.25">
      <c r="A354" s="14"/>
      <c r="B354" s="15" t="s">
        <v>48</v>
      </c>
      <c r="C354" s="29">
        <v>124997</v>
      </c>
      <c r="D354" s="16">
        <v>45938</v>
      </c>
      <c r="E354" s="15" t="s">
        <v>2</v>
      </c>
      <c r="F354" s="29">
        <v>0</v>
      </c>
      <c r="G354" s="29">
        <v>0</v>
      </c>
      <c r="H354" s="29">
        <v>129309.26</v>
      </c>
      <c r="I354" s="15">
        <v>30</v>
      </c>
      <c r="J354" s="15">
        <v>17</v>
      </c>
      <c r="K354" s="30">
        <v>2400000</v>
      </c>
      <c r="L354" s="17">
        <v>45970</v>
      </c>
      <c r="M354" s="18">
        <v>129308</v>
      </c>
      <c r="N354" s="16">
        <v>45971</v>
      </c>
      <c r="O354" s="19"/>
      <c r="P354" s="20">
        <v>4312.22</v>
      </c>
      <c r="Q354" s="29">
        <v>124995.78</v>
      </c>
      <c r="R354" s="9" t="s">
        <v>180</v>
      </c>
    </row>
    <row r="355" spans="1:19" ht="12" customHeight="1" x14ac:dyDescent="0.25">
      <c r="A355" s="14"/>
      <c r="B355" s="15" t="s">
        <v>49</v>
      </c>
      <c r="C355" s="29">
        <v>184992</v>
      </c>
      <c r="D355" s="16">
        <v>45938</v>
      </c>
      <c r="E355" s="15" t="s">
        <v>2</v>
      </c>
      <c r="F355" s="29">
        <v>0</v>
      </c>
      <c r="G355" s="29">
        <v>0</v>
      </c>
      <c r="H355" s="29">
        <v>191374.23</v>
      </c>
      <c r="I355" s="15">
        <v>30</v>
      </c>
      <c r="J355" s="15">
        <v>29</v>
      </c>
      <c r="K355" s="30">
        <v>1240000</v>
      </c>
      <c r="L355" s="17">
        <v>45970</v>
      </c>
      <c r="M355" s="18">
        <v>191374</v>
      </c>
      <c r="N355" s="16">
        <v>45971</v>
      </c>
      <c r="O355" s="19"/>
      <c r="P355" s="20">
        <v>6382.22</v>
      </c>
      <c r="Q355" s="29">
        <v>184991.78</v>
      </c>
      <c r="R355" s="9" t="s">
        <v>180</v>
      </c>
    </row>
    <row r="356" spans="1:19" ht="12" customHeight="1" x14ac:dyDescent="0.25">
      <c r="A356" s="14"/>
      <c r="B356" s="15" t="s">
        <v>50</v>
      </c>
      <c r="C356" s="29">
        <v>225000</v>
      </c>
      <c r="D356" s="16">
        <v>45938</v>
      </c>
      <c r="E356" s="15" t="s">
        <v>2</v>
      </c>
      <c r="F356" s="29">
        <v>0</v>
      </c>
      <c r="G356" s="29">
        <v>0</v>
      </c>
      <c r="H356" s="29">
        <v>232740.01</v>
      </c>
      <c r="I356" s="15">
        <v>30</v>
      </c>
      <c r="J356" s="15">
        <v>71</v>
      </c>
      <c r="K356" s="30">
        <v>590000</v>
      </c>
      <c r="L356" s="17">
        <v>45970</v>
      </c>
      <c r="M356" s="18">
        <v>232740</v>
      </c>
      <c r="N356" s="16">
        <v>45971</v>
      </c>
      <c r="O356" s="19"/>
      <c r="P356" s="20">
        <v>7740.01</v>
      </c>
      <c r="Q356" s="29">
        <v>224999.99</v>
      </c>
      <c r="R356" s="9" t="s">
        <v>180</v>
      </c>
    </row>
    <row r="357" spans="1:19" ht="12" customHeight="1" x14ac:dyDescent="0.25">
      <c r="A357" s="14"/>
      <c r="B357" s="15" t="s">
        <v>51</v>
      </c>
      <c r="C357" s="29">
        <v>71282</v>
      </c>
      <c r="D357" s="16">
        <v>45938</v>
      </c>
      <c r="E357" s="15" t="s">
        <v>2</v>
      </c>
      <c r="F357" s="29">
        <v>0</v>
      </c>
      <c r="G357" s="29">
        <v>0</v>
      </c>
      <c r="H357" s="29">
        <v>73743.710000000006</v>
      </c>
      <c r="I357" s="15">
        <v>30</v>
      </c>
      <c r="J357" s="15">
        <v>98</v>
      </c>
      <c r="K357" s="30">
        <v>100000</v>
      </c>
      <c r="L357" s="17">
        <v>45970</v>
      </c>
      <c r="M357" s="18">
        <v>73743.28</v>
      </c>
      <c r="N357" s="16">
        <v>45970</v>
      </c>
      <c r="O357" s="19"/>
      <c r="P357" s="20">
        <v>2461.6999999999998</v>
      </c>
      <c r="Q357" s="29">
        <v>71281.58</v>
      </c>
      <c r="R357" s="9" t="s">
        <v>180</v>
      </c>
    </row>
    <row r="358" spans="1:19" ht="12" customHeight="1" x14ac:dyDescent="0.25">
      <c r="A358" s="14"/>
      <c r="B358" s="15" t="s">
        <v>36</v>
      </c>
      <c r="C358" s="29">
        <v>0</v>
      </c>
      <c r="D358" s="16">
        <v>45939</v>
      </c>
      <c r="E358" s="15" t="s">
        <v>2</v>
      </c>
      <c r="F358" s="29">
        <v>0</v>
      </c>
      <c r="G358" s="29">
        <v>0</v>
      </c>
      <c r="H358" s="29">
        <v>2530</v>
      </c>
      <c r="I358" s="15">
        <v>0</v>
      </c>
      <c r="J358" s="15">
        <v>4</v>
      </c>
      <c r="K358" s="30">
        <v>250000</v>
      </c>
      <c r="L358" s="17">
        <v>45939</v>
      </c>
      <c r="M358" s="18">
        <v>2530</v>
      </c>
      <c r="N358" s="16">
        <v>45943</v>
      </c>
      <c r="O358" s="19"/>
      <c r="P358" s="20">
        <v>2530</v>
      </c>
      <c r="Q358" s="29">
        <v>0</v>
      </c>
      <c r="R358" s="9" t="s">
        <v>180</v>
      </c>
    </row>
    <row r="359" spans="1:19" ht="12" customHeight="1" x14ac:dyDescent="0.25">
      <c r="A359" s="14"/>
      <c r="B359" s="15" t="s">
        <v>52</v>
      </c>
      <c r="C359" s="29">
        <v>200000</v>
      </c>
      <c r="D359" s="16">
        <v>45939</v>
      </c>
      <c r="E359" s="15" t="s">
        <v>2</v>
      </c>
      <c r="F359" s="29">
        <v>0</v>
      </c>
      <c r="G359" s="29">
        <v>0</v>
      </c>
      <c r="H359" s="29">
        <v>206880.01</v>
      </c>
      <c r="I359" s="15">
        <v>30</v>
      </c>
      <c r="J359" s="15">
        <v>13</v>
      </c>
      <c r="K359" s="30">
        <v>1260000</v>
      </c>
      <c r="L359" s="17">
        <v>45970</v>
      </c>
      <c r="M359" s="18">
        <v>206880</v>
      </c>
      <c r="N359" s="16">
        <v>45971</v>
      </c>
      <c r="O359" s="19"/>
      <c r="P359" s="20">
        <v>6880.01</v>
      </c>
      <c r="Q359" s="29">
        <v>199999.99</v>
      </c>
      <c r="R359" s="9" t="s">
        <v>180</v>
      </c>
    </row>
    <row r="360" spans="1:19" ht="12" customHeight="1" x14ac:dyDescent="0.25">
      <c r="A360" s="14"/>
      <c r="B360" s="15" t="s">
        <v>22</v>
      </c>
      <c r="C360" s="29">
        <v>0</v>
      </c>
      <c r="D360" s="16">
        <v>45939</v>
      </c>
      <c r="E360" s="15" t="s">
        <v>2</v>
      </c>
      <c r="F360" s="29">
        <v>0</v>
      </c>
      <c r="G360" s="29">
        <v>0</v>
      </c>
      <c r="H360" s="29">
        <v>5300</v>
      </c>
      <c r="I360" s="15">
        <v>0</v>
      </c>
      <c r="J360" s="15">
        <v>28</v>
      </c>
      <c r="K360" s="30">
        <v>170000</v>
      </c>
      <c r="L360" s="17">
        <v>45939</v>
      </c>
      <c r="M360" s="18">
        <v>5299.17</v>
      </c>
      <c r="N360" s="16">
        <v>45959</v>
      </c>
      <c r="O360" s="19"/>
      <c r="P360" s="20">
        <v>5299.17</v>
      </c>
      <c r="Q360" s="29">
        <v>0</v>
      </c>
      <c r="R360" s="9" t="s">
        <v>180</v>
      </c>
    </row>
    <row r="361" spans="1:19" ht="12" customHeight="1" x14ac:dyDescent="0.25">
      <c r="A361" s="14"/>
      <c r="B361" s="15" t="s">
        <v>53</v>
      </c>
      <c r="C361" s="29">
        <v>100028</v>
      </c>
      <c r="D361" s="16">
        <v>45939</v>
      </c>
      <c r="E361" s="15" t="s">
        <v>2</v>
      </c>
      <c r="F361" s="29">
        <v>0</v>
      </c>
      <c r="G361" s="29">
        <v>0</v>
      </c>
      <c r="H361" s="29">
        <v>103478.97</v>
      </c>
      <c r="I361" s="15">
        <v>30</v>
      </c>
      <c r="J361" s="15">
        <v>29</v>
      </c>
      <c r="K361" s="30">
        <v>1240000</v>
      </c>
      <c r="L361" s="17">
        <v>45970</v>
      </c>
      <c r="M361" s="18">
        <v>103479.36</v>
      </c>
      <c r="N361" s="16">
        <v>45971</v>
      </c>
      <c r="O361" s="19"/>
      <c r="P361" s="20">
        <v>3450.98</v>
      </c>
      <c r="Q361" s="29">
        <v>100028.38</v>
      </c>
      <c r="R361" s="9" t="s">
        <v>180</v>
      </c>
    </row>
    <row r="362" spans="1:19" ht="12" customHeight="1" x14ac:dyDescent="0.25">
      <c r="A362" s="14"/>
      <c r="B362" s="15" t="s">
        <v>54</v>
      </c>
      <c r="C362" s="29">
        <v>136000</v>
      </c>
      <c r="D362" s="16">
        <v>45939</v>
      </c>
      <c r="E362" s="15" t="s">
        <v>4</v>
      </c>
      <c r="F362" s="29">
        <v>93787.18</v>
      </c>
      <c r="G362" s="29">
        <v>93787.18</v>
      </c>
      <c r="H362" s="29">
        <v>150000.06</v>
      </c>
      <c r="I362" s="15">
        <v>90</v>
      </c>
      <c r="J362" s="15">
        <v>103</v>
      </c>
      <c r="K362" s="30">
        <v>150000</v>
      </c>
      <c r="L362" s="17">
        <v>46029</v>
      </c>
      <c r="M362" s="18">
        <v>56212.88</v>
      </c>
      <c r="N362" s="16">
        <v>46089</v>
      </c>
      <c r="O362" s="19">
        <v>173</v>
      </c>
      <c r="P362" s="20">
        <v>5246.55</v>
      </c>
      <c r="Q362" s="29">
        <v>50966.33</v>
      </c>
      <c r="R362" s="9" t="s">
        <v>180</v>
      </c>
      <c r="S362" s="10" t="s">
        <v>641</v>
      </c>
    </row>
    <row r="363" spans="1:19" ht="12" customHeight="1" x14ac:dyDescent="0.25">
      <c r="A363" s="14"/>
      <c r="B363" s="15" t="s">
        <v>55</v>
      </c>
      <c r="C363" s="29">
        <v>124900</v>
      </c>
      <c r="D363" s="16">
        <v>45942</v>
      </c>
      <c r="E363" s="15" t="s">
        <v>2</v>
      </c>
      <c r="F363" s="29">
        <v>0</v>
      </c>
      <c r="G363" s="29">
        <v>0</v>
      </c>
      <c r="H363" s="29">
        <v>126329.99</v>
      </c>
      <c r="I363" s="15">
        <v>4</v>
      </c>
      <c r="J363" s="15">
        <v>3</v>
      </c>
      <c r="K363" s="30">
        <v>1000000</v>
      </c>
      <c r="L363" s="17">
        <v>45946</v>
      </c>
      <c r="M363" s="18">
        <v>126330</v>
      </c>
      <c r="N363" s="16">
        <v>45949</v>
      </c>
      <c r="O363" s="19"/>
      <c r="P363" s="20">
        <v>1429.99</v>
      </c>
      <c r="Q363" s="29">
        <v>124900.01</v>
      </c>
      <c r="R363" s="9" t="s">
        <v>180</v>
      </c>
    </row>
    <row r="364" spans="1:19" ht="12" customHeight="1" x14ac:dyDescent="0.25">
      <c r="A364" s="14"/>
      <c r="B364" s="15" t="s">
        <v>56</v>
      </c>
      <c r="C364" s="29">
        <v>137150</v>
      </c>
      <c r="D364" s="16">
        <v>45942</v>
      </c>
      <c r="E364" s="15" t="s">
        <v>2</v>
      </c>
      <c r="F364" s="29">
        <v>0</v>
      </c>
      <c r="G364" s="29">
        <v>0</v>
      </c>
      <c r="H364" s="29">
        <v>138700</v>
      </c>
      <c r="I364" s="15">
        <v>4</v>
      </c>
      <c r="J364" s="15">
        <v>3</v>
      </c>
      <c r="K364" s="30">
        <v>1000000</v>
      </c>
      <c r="L364" s="17">
        <v>45946</v>
      </c>
      <c r="M364" s="18">
        <v>138700</v>
      </c>
      <c r="N364" s="16">
        <v>45950</v>
      </c>
      <c r="O364" s="19"/>
      <c r="P364" s="20">
        <v>1550</v>
      </c>
      <c r="Q364" s="29">
        <v>137150</v>
      </c>
      <c r="R364" s="9" t="s">
        <v>180</v>
      </c>
    </row>
    <row r="365" spans="1:19" ht="12" customHeight="1" x14ac:dyDescent="0.25">
      <c r="A365" s="14"/>
      <c r="B365" s="15" t="s">
        <v>57</v>
      </c>
      <c r="C365" s="29">
        <v>620000</v>
      </c>
      <c r="D365" s="16">
        <v>45942</v>
      </c>
      <c r="E365" s="15" t="s">
        <v>2</v>
      </c>
      <c r="F365" s="29">
        <v>0</v>
      </c>
      <c r="G365" s="29">
        <v>0</v>
      </c>
      <c r="H365" s="29">
        <v>641328.04</v>
      </c>
      <c r="I365" s="15">
        <v>30</v>
      </c>
      <c r="J365" s="15">
        <v>5</v>
      </c>
      <c r="K365" s="30">
        <v>1600000</v>
      </c>
      <c r="L365" s="17">
        <v>45972</v>
      </c>
      <c r="M365" s="18">
        <v>641328</v>
      </c>
      <c r="N365" s="16">
        <v>45967</v>
      </c>
      <c r="O365" s="19"/>
      <c r="P365" s="20">
        <v>21328.04</v>
      </c>
      <c r="Q365" s="29">
        <v>619999.96</v>
      </c>
      <c r="R365" s="9" t="s">
        <v>180</v>
      </c>
    </row>
    <row r="366" spans="1:19" ht="12" customHeight="1" x14ac:dyDescent="0.25">
      <c r="A366" s="14"/>
      <c r="B366" s="15" t="s">
        <v>58</v>
      </c>
      <c r="C366" s="29">
        <v>173316</v>
      </c>
      <c r="D366" s="16">
        <v>45942</v>
      </c>
      <c r="E366" s="15" t="s">
        <v>2</v>
      </c>
      <c r="F366" s="29">
        <v>0</v>
      </c>
      <c r="G366" s="29">
        <v>0</v>
      </c>
      <c r="H366" s="29">
        <v>179280</v>
      </c>
      <c r="I366" s="15">
        <v>30</v>
      </c>
      <c r="J366" s="15">
        <v>10</v>
      </c>
      <c r="K366" s="30">
        <v>403000</v>
      </c>
      <c r="L366" s="17">
        <v>45972</v>
      </c>
      <c r="M366" s="18">
        <v>179295</v>
      </c>
      <c r="N366" s="16">
        <v>45973</v>
      </c>
      <c r="O366" s="19"/>
      <c r="P366" s="20">
        <v>5964.5</v>
      </c>
      <c r="Q366" s="29">
        <v>173330.5</v>
      </c>
      <c r="R366" s="9" t="s">
        <v>180</v>
      </c>
    </row>
    <row r="367" spans="1:19" ht="12" customHeight="1" x14ac:dyDescent="0.25">
      <c r="A367" s="14"/>
      <c r="B367" s="15" t="s">
        <v>59</v>
      </c>
      <c r="C367" s="29">
        <v>200000</v>
      </c>
      <c r="D367" s="16">
        <v>45942</v>
      </c>
      <c r="E367" s="15" t="s">
        <v>2</v>
      </c>
      <c r="F367" s="29">
        <v>0</v>
      </c>
      <c r="G367" s="29">
        <v>0</v>
      </c>
      <c r="H367" s="29">
        <v>213700.01</v>
      </c>
      <c r="I367" s="15">
        <v>60</v>
      </c>
      <c r="J367" s="15">
        <v>13</v>
      </c>
      <c r="K367" s="30">
        <v>1260000</v>
      </c>
      <c r="L367" s="17">
        <v>46002</v>
      </c>
      <c r="M367" s="18">
        <v>213700</v>
      </c>
      <c r="N367" s="16">
        <v>46007</v>
      </c>
      <c r="O367" s="19"/>
      <c r="P367" s="20">
        <v>13700.01</v>
      </c>
      <c r="Q367" s="29">
        <v>199999.99</v>
      </c>
      <c r="R367" s="9" t="s">
        <v>180</v>
      </c>
    </row>
    <row r="368" spans="1:19" ht="12" customHeight="1" x14ac:dyDescent="0.25">
      <c r="A368" s="14"/>
      <c r="B368" s="15" t="s">
        <v>60</v>
      </c>
      <c r="C368" s="29">
        <v>173316</v>
      </c>
      <c r="D368" s="16">
        <v>45942</v>
      </c>
      <c r="E368" s="15" t="s">
        <v>2</v>
      </c>
      <c r="F368" s="29">
        <v>0</v>
      </c>
      <c r="G368" s="29">
        <v>0</v>
      </c>
      <c r="H368" s="29">
        <v>185205.99</v>
      </c>
      <c r="I368" s="15">
        <v>60</v>
      </c>
      <c r="J368" s="15">
        <v>13</v>
      </c>
      <c r="K368" s="30">
        <v>1260000</v>
      </c>
      <c r="L368" s="17">
        <v>46002</v>
      </c>
      <c r="M368" s="18">
        <v>185206</v>
      </c>
      <c r="N368" s="16">
        <v>46002</v>
      </c>
      <c r="O368" s="19"/>
      <c r="P368" s="20">
        <v>11889.99</v>
      </c>
      <c r="Q368" s="29">
        <v>173316.01</v>
      </c>
      <c r="R368" s="9" t="s">
        <v>180</v>
      </c>
    </row>
    <row r="369" spans="1:19" ht="12" customHeight="1" x14ac:dyDescent="0.25">
      <c r="A369" s="14"/>
      <c r="B369" s="15" t="s">
        <v>61</v>
      </c>
      <c r="C369" s="29">
        <v>200000</v>
      </c>
      <c r="D369" s="16">
        <v>45942</v>
      </c>
      <c r="E369" s="15" t="s">
        <v>2</v>
      </c>
      <c r="F369" s="29">
        <v>0</v>
      </c>
      <c r="G369" s="29">
        <v>0</v>
      </c>
      <c r="H369" s="29">
        <v>206839.99</v>
      </c>
      <c r="I369" s="15">
        <v>30</v>
      </c>
      <c r="J369" s="15">
        <v>13</v>
      </c>
      <c r="K369" s="30">
        <v>1260000</v>
      </c>
      <c r="L369" s="17">
        <v>45973</v>
      </c>
      <c r="M369" s="18">
        <v>206840</v>
      </c>
      <c r="N369" s="16">
        <v>45971</v>
      </c>
      <c r="O369" s="19"/>
      <c r="P369" s="20">
        <v>6839.99</v>
      </c>
      <c r="Q369" s="29">
        <v>200000.01</v>
      </c>
      <c r="R369" s="9" t="s">
        <v>180</v>
      </c>
    </row>
    <row r="370" spans="1:19" ht="12" customHeight="1" x14ac:dyDescent="0.25">
      <c r="A370" s="14"/>
      <c r="B370" s="15" t="s">
        <v>62</v>
      </c>
      <c r="C370" s="29">
        <v>26000</v>
      </c>
      <c r="D370" s="16">
        <v>45942</v>
      </c>
      <c r="E370" s="15" t="s">
        <v>2</v>
      </c>
      <c r="F370" s="29">
        <v>0</v>
      </c>
      <c r="G370" s="29">
        <v>0</v>
      </c>
      <c r="H370" s="29">
        <v>26299</v>
      </c>
      <c r="I370" s="15">
        <v>4</v>
      </c>
      <c r="J370" s="15">
        <v>50</v>
      </c>
      <c r="K370" s="30">
        <v>84000</v>
      </c>
      <c r="L370" s="17">
        <v>45946</v>
      </c>
      <c r="M370" s="18">
        <v>26299</v>
      </c>
      <c r="N370" s="16">
        <v>45956</v>
      </c>
      <c r="O370" s="19"/>
      <c r="P370" s="20">
        <v>299</v>
      </c>
      <c r="Q370" s="29">
        <v>26000</v>
      </c>
      <c r="R370" s="9" t="s">
        <v>180</v>
      </c>
    </row>
    <row r="371" spans="1:19" ht="12" customHeight="1" x14ac:dyDescent="0.25">
      <c r="A371" s="14"/>
      <c r="B371" s="15" t="s">
        <v>63</v>
      </c>
      <c r="C371" s="29">
        <v>61957</v>
      </c>
      <c r="D371" s="16">
        <v>45942</v>
      </c>
      <c r="E371" s="15" t="s">
        <v>2</v>
      </c>
      <c r="F371" s="29">
        <v>0</v>
      </c>
      <c r="G371" s="29">
        <v>0</v>
      </c>
      <c r="H371" s="29">
        <v>64095.34</v>
      </c>
      <c r="I371" s="15">
        <v>30</v>
      </c>
      <c r="J371" s="15">
        <v>99</v>
      </c>
      <c r="K371" s="30">
        <v>100000</v>
      </c>
      <c r="L371" s="17">
        <v>45972</v>
      </c>
      <c r="M371" s="18">
        <v>64095</v>
      </c>
      <c r="N371" s="16">
        <v>45980</v>
      </c>
      <c r="O371" s="19"/>
      <c r="P371" s="20">
        <v>2138.33</v>
      </c>
      <c r="Q371" s="29">
        <v>61956.67</v>
      </c>
      <c r="R371" s="9" t="s">
        <v>180</v>
      </c>
    </row>
    <row r="372" spans="1:19" ht="12" customHeight="1" x14ac:dyDescent="0.25">
      <c r="A372" s="14"/>
      <c r="B372" s="15" t="s">
        <v>64</v>
      </c>
      <c r="C372" s="29">
        <v>41293</v>
      </c>
      <c r="D372" s="16">
        <v>45942</v>
      </c>
      <c r="E372" s="15" t="s">
        <v>2</v>
      </c>
      <c r="F372" s="29">
        <v>0</v>
      </c>
      <c r="G372" s="29">
        <v>0</v>
      </c>
      <c r="H372" s="29">
        <v>42717.48</v>
      </c>
      <c r="I372" s="15">
        <v>30</v>
      </c>
      <c r="J372" s="15">
        <v>99</v>
      </c>
      <c r="K372" s="30">
        <v>100000</v>
      </c>
      <c r="L372" s="17">
        <v>45972</v>
      </c>
      <c r="M372" s="18">
        <v>42718</v>
      </c>
      <c r="N372" s="16">
        <v>45985</v>
      </c>
      <c r="O372" s="19"/>
      <c r="P372" s="20">
        <v>1424.5</v>
      </c>
      <c r="Q372" s="29">
        <v>41293.5</v>
      </c>
      <c r="R372" s="9" t="s">
        <v>180</v>
      </c>
    </row>
    <row r="373" spans="1:19" ht="12" customHeight="1" x14ac:dyDescent="0.25">
      <c r="A373" s="14"/>
      <c r="B373" s="15" t="s">
        <v>65</v>
      </c>
      <c r="C373" s="29">
        <v>9668</v>
      </c>
      <c r="D373" s="16">
        <v>45942</v>
      </c>
      <c r="E373" s="15" t="s">
        <v>4</v>
      </c>
      <c r="F373" s="29">
        <v>10009</v>
      </c>
      <c r="G373" s="29">
        <v>10009</v>
      </c>
      <c r="H373" s="29">
        <v>10009</v>
      </c>
      <c r="I373" s="15">
        <v>30</v>
      </c>
      <c r="J373" s="15">
        <v>96</v>
      </c>
      <c r="K373" s="30">
        <v>10000</v>
      </c>
      <c r="L373" s="17">
        <v>45972</v>
      </c>
      <c r="M373" s="18">
        <v>0</v>
      </c>
      <c r="N373" s="16"/>
      <c r="O373" s="19">
        <v>170</v>
      </c>
      <c r="P373" s="20">
        <v>0</v>
      </c>
      <c r="Q373" s="29">
        <v>0</v>
      </c>
      <c r="R373" s="9" t="s">
        <v>180</v>
      </c>
      <c r="S373" s="10" t="s">
        <v>642</v>
      </c>
    </row>
    <row r="374" spans="1:19" ht="12" customHeight="1" x14ac:dyDescent="0.25">
      <c r="A374" s="14"/>
      <c r="B374" s="15" t="s">
        <v>66</v>
      </c>
      <c r="C374" s="29">
        <v>34435</v>
      </c>
      <c r="D374" s="16">
        <v>45942</v>
      </c>
      <c r="E374" s="15" t="s">
        <v>2</v>
      </c>
      <c r="F374" s="29">
        <v>0</v>
      </c>
      <c r="G374" s="29">
        <v>0</v>
      </c>
      <c r="H374" s="29">
        <v>37999.03</v>
      </c>
      <c r="I374" s="15">
        <v>90</v>
      </c>
      <c r="J374" s="15">
        <v>106</v>
      </c>
      <c r="K374" s="30">
        <v>38000</v>
      </c>
      <c r="L374" s="17">
        <v>46033</v>
      </c>
      <c r="M374" s="18">
        <v>38000</v>
      </c>
      <c r="N374" s="16">
        <v>46111</v>
      </c>
      <c r="O374" s="19"/>
      <c r="P374" s="20">
        <v>3564.12</v>
      </c>
      <c r="Q374" s="29">
        <v>34435.879999999997</v>
      </c>
      <c r="R374" s="9" t="s">
        <v>180</v>
      </c>
    </row>
    <row r="375" spans="1:19" ht="12" customHeight="1" x14ac:dyDescent="0.25">
      <c r="A375" s="14"/>
      <c r="B375" s="15" t="s">
        <v>67</v>
      </c>
      <c r="C375" s="29">
        <v>21942</v>
      </c>
      <c r="D375" s="16">
        <v>45942</v>
      </c>
      <c r="E375" s="15" t="s">
        <v>2</v>
      </c>
      <c r="F375" s="29">
        <v>0</v>
      </c>
      <c r="G375" s="29">
        <v>0</v>
      </c>
      <c r="H375" s="29">
        <v>23455.97</v>
      </c>
      <c r="I375" s="15">
        <v>60</v>
      </c>
      <c r="J375" s="15">
        <v>91</v>
      </c>
      <c r="K375" s="30">
        <v>61000</v>
      </c>
      <c r="L375" s="17">
        <v>46002</v>
      </c>
      <c r="M375" s="18">
        <v>23457</v>
      </c>
      <c r="N375" s="16">
        <v>46006</v>
      </c>
      <c r="O375" s="19"/>
      <c r="P375" s="20">
        <v>1514.04</v>
      </c>
      <c r="Q375" s="29">
        <v>21942.959999999999</v>
      </c>
      <c r="R375" s="9" t="s">
        <v>180</v>
      </c>
    </row>
    <row r="376" spans="1:19" ht="12" customHeight="1" x14ac:dyDescent="0.25">
      <c r="A376" s="14"/>
      <c r="B376" s="15" t="s">
        <v>68</v>
      </c>
      <c r="C376" s="29">
        <v>8965</v>
      </c>
      <c r="D376" s="16">
        <v>45942</v>
      </c>
      <c r="E376" s="15" t="s">
        <v>4</v>
      </c>
      <c r="F376" s="29">
        <v>10000</v>
      </c>
      <c r="G376" s="29">
        <v>10000</v>
      </c>
      <c r="H376" s="29">
        <v>10000</v>
      </c>
      <c r="I376" s="15">
        <v>90</v>
      </c>
      <c r="J376" s="15">
        <v>107</v>
      </c>
      <c r="K376" s="30">
        <v>10000</v>
      </c>
      <c r="L376" s="17">
        <v>46033</v>
      </c>
      <c r="M376" s="18">
        <v>0</v>
      </c>
      <c r="N376" s="16"/>
      <c r="O376" s="19">
        <v>170</v>
      </c>
      <c r="P376" s="20">
        <v>0</v>
      </c>
      <c r="Q376" s="29">
        <v>0</v>
      </c>
      <c r="R376" s="9" t="s">
        <v>180</v>
      </c>
      <c r="S376" s="10" t="s">
        <v>643</v>
      </c>
    </row>
    <row r="377" spans="1:19" ht="12" customHeight="1" x14ac:dyDescent="0.25">
      <c r="A377" s="14"/>
      <c r="B377" s="15" t="s">
        <v>69</v>
      </c>
      <c r="C377" s="29">
        <v>8965</v>
      </c>
      <c r="D377" s="16">
        <v>45942</v>
      </c>
      <c r="E377" s="15" t="s">
        <v>4</v>
      </c>
      <c r="F377" s="29">
        <v>9746.4500000000007</v>
      </c>
      <c r="G377" s="29">
        <v>9746.4500000000007</v>
      </c>
      <c r="H377" s="29">
        <v>10000</v>
      </c>
      <c r="I377" s="15">
        <v>90</v>
      </c>
      <c r="J377" s="15">
        <v>105</v>
      </c>
      <c r="K377" s="30">
        <v>10000</v>
      </c>
      <c r="L377" s="17">
        <v>46033</v>
      </c>
      <c r="M377" s="18">
        <v>253.55</v>
      </c>
      <c r="N377" s="16">
        <v>46111</v>
      </c>
      <c r="O377" s="19">
        <v>170</v>
      </c>
      <c r="P377" s="20">
        <v>26.24</v>
      </c>
      <c r="Q377" s="29">
        <v>227.31</v>
      </c>
      <c r="R377" s="9" t="s">
        <v>180</v>
      </c>
      <c r="S377" s="10" t="s">
        <v>644</v>
      </c>
    </row>
    <row r="378" spans="1:19" ht="12" customHeight="1" x14ac:dyDescent="0.25">
      <c r="A378" s="14"/>
      <c r="B378" s="15" t="s">
        <v>70</v>
      </c>
      <c r="C378" s="29">
        <v>8965</v>
      </c>
      <c r="D378" s="16">
        <v>45942</v>
      </c>
      <c r="E378" s="15" t="s">
        <v>4</v>
      </c>
      <c r="F378" s="29">
        <v>9992</v>
      </c>
      <c r="G378" s="29">
        <v>9992</v>
      </c>
      <c r="H378" s="29">
        <v>9992</v>
      </c>
      <c r="I378" s="15">
        <v>90</v>
      </c>
      <c r="J378" s="15">
        <v>108</v>
      </c>
      <c r="K378" s="30">
        <v>10000</v>
      </c>
      <c r="L378" s="17">
        <v>46033</v>
      </c>
      <c r="M378" s="18">
        <v>0</v>
      </c>
      <c r="N378" s="16"/>
      <c r="O378" s="19">
        <v>170</v>
      </c>
      <c r="P378" s="20">
        <v>0</v>
      </c>
      <c r="Q378" s="29">
        <v>0</v>
      </c>
      <c r="R378" s="9" t="s">
        <v>180</v>
      </c>
      <c r="S378" s="10" t="s">
        <v>969</v>
      </c>
    </row>
    <row r="379" spans="1:19" ht="12" customHeight="1" x14ac:dyDescent="0.25">
      <c r="A379" s="14"/>
      <c r="B379" s="15" t="s">
        <v>71</v>
      </c>
      <c r="C379" s="29">
        <v>66154</v>
      </c>
      <c r="D379" s="16">
        <v>45942</v>
      </c>
      <c r="E379" s="15" t="s">
        <v>4</v>
      </c>
      <c r="F379" s="29">
        <v>73000.94</v>
      </c>
      <c r="G379" s="29">
        <v>73000.94</v>
      </c>
      <c r="H379" s="29">
        <v>73000.94</v>
      </c>
      <c r="I379" s="15">
        <v>90</v>
      </c>
      <c r="J379" s="15">
        <v>110</v>
      </c>
      <c r="K379" s="30">
        <v>73000</v>
      </c>
      <c r="L379" s="17">
        <v>46033</v>
      </c>
      <c r="M379" s="18">
        <v>0</v>
      </c>
      <c r="N379" s="16"/>
      <c r="O379" s="19">
        <v>170</v>
      </c>
      <c r="P379" s="20">
        <v>0</v>
      </c>
      <c r="Q379" s="29">
        <v>0</v>
      </c>
      <c r="R379" s="9" t="s">
        <v>180</v>
      </c>
      <c r="S379" s="10" t="s">
        <v>645</v>
      </c>
    </row>
    <row r="380" spans="1:19" ht="12" customHeight="1" x14ac:dyDescent="0.25">
      <c r="A380" s="14"/>
      <c r="B380" s="15" t="s">
        <v>72</v>
      </c>
      <c r="C380" s="29">
        <v>39930</v>
      </c>
      <c r="D380" s="16">
        <v>45943</v>
      </c>
      <c r="E380" s="15" t="s">
        <v>2</v>
      </c>
      <c r="F380" s="29">
        <v>0</v>
      </c>
      <c r="G380" s="29">
        <v>0</v>
      </c>
      <c r="H380" s="29">
        <v>41306.68</v>
      </c>
      <c r="I380" s="15">
        <v>30</v>
      </c>
      <c r="J380" s="15">
        <v>6</v>
      </c>
      <c r="K380" s="30">
        <v>810000</v>
      </c>
      <c r="L380" s="17">
        <v>45973</v>
      </c>
      <c r="M380" s="18">
        <v>41307</v>
      </c>
      <c r="N380" s="16">
        <v>45980</v>
      </c>
      <c r="O380" s="19"/>
      <c r="P380" s="20">
        <v>1376.69</v>
      </c>
      <c r="Q380" s="29">
        <v>39930.31</v>
      </c>
      <c r="R380" s="9" t="s">
        <v>180</v>
      </c>
    </row>
    <row r="381" spans="1:19" ht="12" customHeight="1" x14ac:dyDescent="0.25">
      <c r="A381" s="14"/>
      <c r="B381" s="15" t="s">
        <v>73</v>
      </c>
      <c r="C381" s="29">
        <v>200000</v>
      </c>
      <c r="D381" s="16">
        <v>45943</v>
      </c>
      <c r="E381" s="15" t="s">
        <v>2</v>
      </c>
      <c r="F381" s="29">
        <v>0</v>
      </c>
      <c r="G381" s="29">
        <v>0</v>
      </c>
      <c r="H381" s="29">
        <v>206839.99</v>
      </c>
      <c r="I381" s="15">
        <v>30</v>
      </c>
      <c r="J381" s="15">
        <v>13</v>
      </c>
      <c r="K381" s="30">
        <v>1260000</v>
      </c>
      <c r="L381" s="17">
        <v>45973</v>
      </c>
      <c r="M381" s="18">
        <v>206840</v>
      </c>
      <c r="N381" s="16">
        <v>45971</v>
      </c>
      <c r="O381" s="19"/>
      <c r="P381" s="20">
        <v>6839.99</v>
      </c>
      <c r="Q381" s="29">
        <v>200000.01</v>
      </c>
      <c r="R381" s="9" t="s">
        <v>180</v>
      </c>
    </row>
    <row r="382" spans="1:19" ht="12" customHeight="1" x14ac:dyDescent="0.25">
      <c r="A382" s="14"/>
      <c r="B382" s="15" t="s">
        <v>74</v>
      </c>
      <c r="C382" s="29">
        <v>85260</v>
      </c>
      <c r="D382" s="16">
        <v>45943</v>
      </c>
      <c r="E382" s="15" t="s">
        <v>2</v>
      </c>
      <c r="F382" s="29">
        <v>0</v>
      </c>
      <c r="G382" s="29">
        <v>0</v>
      </c>
      <c r="H382" s="29">
        <v>88201.69</v>
      </c>
      <c r="I382" s="15">
        <v>30</v>
      </c>
      <c r="J382" s="15">
        <v>112</v>
      </c>
      <c r="K382" s="30">
        <v>290000</v>
      </c>
      <c r="L382" s="17">
        <v>45973</v>
      </c>
      <c r="M382" s="18">
        <v>88202</v>
      </c>
      <c r="N382" s="16">
        <v>45988</v>
      </c>
      <c r="O382" s="19"/>
      <c r="P382" s="20">
        <v>2941.7</v>
      </c>
      <c r="Q382" s="29">
        <v>85260.3</v>
      </c>
      <c r="R382" s="9" t="s">
        <v>180</v>
      </c>
    </row>
    <row r="383" spans="1:19" ht="12" customHeight="1" x14ac:dyDescent="0.25">
      <c r="A383" s="14"/>
      <c r="B383" s="15" t="s">
        <v>75</v>
      </c>
      <c r="C383" s="29">
        <v>235000</v>
      </c>
      <c r="D383" s="16">
        <v>45943</v>
      </c>
      <c r="E383" s="15" t="s">
        <v>2</v>
      </c>
      <c r="F383" s="29">
        <v>0</v>
      </c>
      <c r="G383" s="29">
        <v>0</v>
      </c>
      <c r="H383" s="29">
        <v>259323.57</v>
      </c>
      <c r="I383" s="15">
        <v>90</v>
      </c>
      <c r="J383" s="15">
        <v>104</v>
      </c>
      <c r="K383" s="30">
        <v>260000</v>
      </c>
      <c r="L383" s="17">
        <v>46033</v>
      </c>
      <c r="M383" s="18">
        <v>259323.76</v>
      </c>
      <c r="N383" s="16">
        <v>46048</v>
      </c>
      <c r="O383" s="19"/>
      <c r="P383" s="20">
        <v>24323.59</v>
      </c>
      <c r="Q383" s="29">
        <v>235000.17</v>
      </c>
      <c r="R383" s="9" t="s">
        <v>180</v>
      </c>
    </row>
    <row r="384" spans="1:19" ht="12" customHeight="1" x14ac:dyDescent="0.25">
      <c r="A384" s="14"/>
      <c r="B384" s="15" t="s">
        <v>76</v>
      </c>
      <c r="C384" s="29">
        <v>249658</v>
      </c>
      <c r="D384" s="16">
        <v>45944</v>
      </c>
      <c r="E384" s="15" t="s">
        <v>2</v>
      </c>
      <c r="F384" s="29">
        <v>0</v>
      </c>
      <c r="G384" s="29">
        <v>0</v>
      </c>
      <c r="H384" s="29">
        <v>275499.89</v>
      </c>
      <c r="I384" s="15">
        <v>90</v>
      </c>
      <c r="J384" s="15">
        <v>4</v>
      </c>
      <c r="K384" s="30">
        <v>250000</v>
      </c>
      <c r="L384" s="17">
        <v>46034</v>
      </c>
      <c r="M384" s="18">
        <v>275500</v>
      </c>
      <c r="N384" s="16">
        <v>46048</v>
      </c>
      <c r="O384" s="19"/>
      <c r="P384" s="20">
        <v>25841.9</v>
      </c>
      <c r="Q384" s="29">
        <v>249658.1</v>
      </c>
      <c r="R384" s="9" t="s">
        <v>180</v>
      </c>
    </row>
    <row r="385" spans="1:19" ht="12" customHeight="1" x14ac:dyDescent="0.25">
      <c r="A385" s="14"/>
      <c r="B385" s="15" t="s">
        <v>77</v>
      </c>
      <c r="C385" s="29">
        <v>210653</v>
      </c>
      <c r="D385" s="16">
        <v>45944</v>
      </c>
      <c r="E385" s="15" t="s">
        <v>2</v>
      </c>
      <c r="F385" s="29">
        <v>0</v>
      </c>
      <c r="G385" s="29">
        <v>0</v>
      </c>
      <c r="H385" s="29">
        <v>217898.25</v>
      </c>
      <c r="I385" s="15">
        <v>30</v>
      </c>
      <c r="J385" s="15">
        <v>13</v>
      </c>
      <c r="K385" s="30">
        <v>1260000</v>
      </c>
      <c r="L385" s="17">
        <v>45977</v>
      </c>
      <c r="M385" s="18">
        <v>217898</v>
      </c>
      <c r="N385" s="16">
        <v>45978</v>
      </c>
      <c r="O385" s="19"/>
      <c r="P385" s="20">
        <v>7245.24</v>
      </c>
      <c r="Q385" s="29">
        <v>210652.76</v>
      </c>
      <c r="R385" s="9" t="s">
        <v>180</v>
      </c>
    </row>
    <row r="386" spans="1:19" ht="12" customHeight="1" x14ac:dyDescent="0.25">
      <c r="A386" s="14"/>
      <c r="B386" s="15" t="s">
        <v>21</v>
      </c>
      <c r="C386" s="29">
        <v>0</v>
      </c>
      <c r="D386" s="16">
        <v>45944</v>
      </c>
      <c r="E386" s="15" t="s">
        <v>4</v>
      </c>
      <c r="F386" s="29">
        <v>31772</v>
      </c>
      <c r="G386" s="29">
        <v>31772</v>
      </c>
      <c r="H386" s="29">
        <v>31772</v>
      </c>
      <c r="I386" s="15">
        <v>0</v>
      </c>
      <c r="J386" s="15">
        <v>14</v>
      </c>
      <c r="K386" s="30">
        <v>620000</v>
      </c>
      <c r="L386" s="17">
        <v>45944</v>
      </c>
      <c r="M386" s="18">
        <v>0</v>
      </c>
      <c r="N386" s="16"/>
      <c r="O386" s="19">
        <v>168</v>
      </c>
      <c r="P386" s="20">
        <v>0</v>
      </c>
      <c r="Q386" s="29">
        <v>0</v>
      </c>
      <c r="R386" s="9" t="s">
        <v>180</v>
      </c>
      <c r="S386" s="10" t="s">
        <v>636</v>
      </c>
    </row>
    <row r="387" spans="1:19" ht="12" customHeight="1" x14ac:dyDescent="0.25">
      <c r="A387" s="14"/>
      <c r="B387" s="15" t="s">
        <v>78</v>
      </c>
      <c r="C387" s="29">
        <v>66660</v>
      </c>
      <c r="D387" s="16">
        <v>45944</v>
      </c>
      <c r="E387" s="15" t="s">
        <v>2</v>
      </c>
      <c r="F387" s="29">
        <v>0</v>
      </c>
      <c r="G387" s="29">
        <v>0</v>
      </c>
      <c r="H387" s="29">
        <v>68959</v>
      </c>
      <c r="I387" s="15">
        <v>30</v>
      </c>
      <c r="J387" s="15">
        <v>16</v>
      </c>
      <c r="K387" s="30">
        <v>364000</v>
      </c>
      <c r="L387" s="17">
        <v>45977</v>
      </c>
      <c r="M387" s="18">
        <v>68937</v>
      </c>
      <c r="N387" s="16">
        <v>45979</v>
      </c>
      <c r="O387" s="19"/>
      <c r="P387" s="20">
        <v>2298.27</v>
      </c>
      <c r="Q387" s="29">
        <v>66638.73</v>
      </c>
      <c r="R387" s="9" t="s">
        <v>180</v>
      </c>
    </row>
    <row r="388" spans="1:19" ht="12" customHeight="1" x14ac:dyDescent="0.25">
      <c r="A388" s="14"/>
      <c r="B388" s="15" t="s">
        <v>79</v>
      </c>
      <c r="C388" s="29">
        <v>130000</v>
      </c>
      <c r="D388" s="16">
        <v>45944</v>
      </c>
      <c r="E388" s="15" t="s">
        <v>2</v>
      </c>
      <c r="F388" s="29">
        <v>0</v>
      </c>
      <c r="G388" s="29">
        <v>0</v>
      </c>
      <c r="H388" s="29">
        <v>134485</v>
      </c>
      <c r="I388" s="15">
        <v>30</v>
      </c>
      <c r="J388" s="15">
        <v>17</v>
      </c>
      <c r="K388" s="30">
        <v>2400000</v>
      </c>
      <c r="L388" s="17">
        <v>45977</v>
      </c>
      <c r="M388" s="18">
        <v>134485</v>
      </c>
      <c r="N388" s="16">
        <v>45978</v>
      </c>
      <c r="O388" s="19"/>
      <c r="P388" s="20">
        <v>4485</v>
      </c>
      <c r="Q388" s="29">
        <v>130000</v>
      </c>
      <c r="R388" s="9" t="s">
        <v>180</v>
      </c>
    </row>
    <row r="389" spans="1:19" ht="12" customHeight="1" x14ac:dyDescent="0.25">
      <c r="A389" s="14"/>
      <c r="B389" s="15" t="s">
        <v>80</v>
      </c>
      <c r="C389" s="29">
        <v>885528</v>
      </c>
      <c r="D389" s="16">
        <v>45944</v>
      </c>
      <c r="E389" s="15" t="s">
        <v>2</v>
      </c>
      <c r="F389" s="29">
        <v>0</v>
      </c>
      <c r="G389" s="29">
        <v>0</v>
      </c>
      <c r="H389" s="29">
        <v>916221.55</v>
      </c>
      <c r="I389" s="15">
        <v>30</v>
      </c>
      <c r="J389" s="15">
        <v>12</v>
      </c>
      <c r="K389" s="30">
        <v>1196000</v>
      </c>
      <c r="L389" s="17">
        <v>45974</v>
      </c>
      <c r="M389" s="18">
        <v>916221.42</v>
      </c>
      <c r="N389" s="16">
        <v>45978</v>
      </c>
      <c r="O389" s="19"/>
      <c r="P389" s="20">
        <v>30693.55</v>
      </c>
      <c r="Q389" s="29">
        <v>885527.87</v>
      </c>
      <c r="R389" s="9" t="s">
        <v>180</v>
      </c>
    </row>
    <row r="390" spans="1:19" ht="12" customHeight="1" x14ac:dyDescent="0.25">
      <c r="A390" s="14"/>
      <c r="B390" s="15" t="s">
        <v>81</v>
      </c>
      <c r="C390" s="29">
        <v>120145</v>
      </c>
      <c r="D390" s="16">
        <v>45944</v>
      </c>
      <c r="E390" s="15" t="s">
        <v>2</v>
      </c>
      <c r="F390" s="29">
        <v>0</v>
      </c>
      <c r="G390" s="29">
        <v>0</v>
      </c>
      <c r="H390" s="29">
        <v>122535.41</v>
      </c>
      <c r="I390" s="15">
        <v>15</v>
      </c>
      <c r="J390" s="15">
        <v>18</v>
      </c>
      <c r="K390" s="30">
        <v>600000</v>
      </c>
      <c r="L390" s="17">
        <v>45959</v>
      </c>
      <c r="M390" s="18">
        <v>122535</v>
      </c>
      <c r="N390" s="16">
        <v>45963</v>
      </c>
      <c r="O390" s="19"/>
      <c r="P390" s="20">
        <v>2390.4</v>
      </c>
      <c r="Q390" s="29">
        <v>120144.6</v>
      </c>
      <c r="R390" s="9" t="s">
        <v>180</v>
      </c>
    </row>
    <row r="391" spans="1:19" ht="12" customHeight="1" x14ac:dyDescent="0.25">
      <c r="A391" s="14"/>
      <c r="B391" s="15" t="s">
        <v>82</v>
      </c>
      <c r="C391" s="29">
        <v>50090</v>
      </c>
      <c r="D391" s="16">
        <v>45944</v>
      </c>
      <c r="E391" s="15" t="s">
        <v>2</v>
      </c>
      <c r="F391" s="29">
        <v>0</v>
      </c>
      <c r="G391" s="29">
        <v>0</v>
      </c>
      <c r="H391" s="29">
        <v>51818.1</v>
      </c>
      <c r="I391" s="15">
        <v>30</v>
      </c>
      <c r="J391" s="15">
        <v>29</v>
      </c>
      <c r="K391" s="30">
        <v>1240000</v>
      </c>
      <c r="L391" s="17">
        <v>45974</v>
      </c>
      <c r="M391" s="18">
        <v>51818</v>
      </c>
      <c r="N391" s="16">
        <v>45974</v>
      </c>
      <c r="O391" s="19"/>
      <c r="P391" s="20">
        <v>1728.1</v>
      </c>
      <c r="Q391" s="29">
        <v>50089.9</v>
      </c>
      <c r="R391" s="9" t="s">
        <v>180</v>
      </c>
    </row>
    <row r="392" spans="1:19" ht="12" customHeight="1" x14ac:dyDescent="0.25">
      <c r="A392" s="14"/>
      <c r="B392" s="15" t="s">
        <v>83</v>
      </c>
      <c r="C392" s="29">
        <v>15698</v>
      </c>
      <c r="D392" s="16">
        <v>45944</v>
      </c>
      <c r="E392" s="15" t="s">
        <v>2</v>
      </c>
      <c r="F392" s="29">
        <v>0</v>
      </c>
      <c r="G392" s="29">
        <v>0</v>
      </c>
      <c r="H392" s="29">
        <v>16239.58</v>
      </c>
      <c r="I392" s="15">
        <v>30</v>
      </c>
      <c r="J392" s="15">
        <v>46</v>
      </c>
      <c r="K392" s="30">
        <v>30000</v>
      </c>
      <c r="L392" s="17">
        <v>45974</v>
      </c>
      <c r="M392" s="18">
        <v>16251.75</v>
      </c>
      <c r="N392" s="16">
        <v>45981</v>
      </c>
      <c r="O392" s="19"/>
      <c r="P392" s="20">
        <v>541.98</v>
      </c>
      <c r="Q392" s="29">
        <v>15709.77</v>
      </c>
      <c r="R392" s="9" t="s">
        <v>180</v>
      </c>
    </row>
    <row r="393" spans="1:19" ht="12" customHeight="1" x14ac:dyDescent="0.25">
      <c r="A393" s="14"/>
      <c r="B393" s="15" t="s">
        <v>84</v>
      </c>
      <c r="C393" s="29">
        <v>170000</v>
      </c>
      <c r="D393" s="16">
        <v>45944</v>
      </c>
      <c r="E393" s="15" t="s">
        <v>2</v>
      </c>
      <c r="F393" s="29">
        <v>0</v>
      </c>
      <c r="G393" s="29">
        <v>0</v>
      </c>
      <c r="H393" s="29">
        <v>175848.01</v>
      </c>
      <c r="I393" s="15">
        <v>30</v>
      </c>
      <c r="J393" s="15">
        <v>71</v>
      </c>
      <c r="K393" s="30">
        <v>590000</v>
      </c>
      <c r="L393" s="17">
        <v>45974</v>
      </c>
      <c r="M393" s="18">
        <v>175848</v>
      </c>
      <c r="N393" s="16">
        <v>45974</v>
      </c>
      <c r="O393" s="19"/>
      <c r="P393" s="20">
        <v>5848.01</v>
      </c>
      <c r="Q393" s="29">
        <v>169999.99</v>
      </c>
      <c r="R393" s="9" t="s">
        <v>180</v>
      </c>
    </row>
    <row r="394" spans="1:19" ht="12" customHeight="1" x14ac:dyDescent="0.25">
      <c r="A394" s="14"/>
      <c r="B394" s="15" t="s">
        <v>85</v>
      </c>
      <c r="C394" s="29">
        <v>13685</v>
      </c>
      <c r="D394" s="16">
        <v>45944</v>
      </c>
      <c r="E394" s="15" t="s">
        <v>2</v>
      </c>
      <c r="F394" s="29">
        <v>0</v>
      </c>
      <c r="G394" s="29">
        <v>0</v>
      </c>
      <c r="H394" s="29">
        <v>14629.27</v>
      </c>
      <c r="I394" s="15">
        <v>60</v>
      </c>
      <c r="J394" s="15">
        <v>91</v>
      </c>
      <c r="K394" s="30">
        <v>61000</v>
      </c>
      <c r="L394" s="17">
        <v>46005</v>
      </c>
      <c r="M394" s="18">
        <v>14629</v>
      </c>
      <c r="N394" s="16">
        <v>46001</v>
      </c>
      <c r="O394" s="19"/>
      <c r="P394" s="20">
        <v>944.25</v>
      </c>
      <c r="Q394" s="29">
        <v>13684.75</v>
      </c>
      <c r="R394" s="9" t="s">
        <v>180</v>
      </c>
    </row>
    <row r="395" spans="1:19" ht="12" customHeight="1" x14ac:dyDescent="0.25">
      <c r="A395" s="14"/>
      <c r="B395" s="15" t="s">
        <v>86</v>
      </c>
      <c r="C395" s="29">
        <v>117809</v>
      </c>
      <c r="D395" s="16">
        <v>45944</v>
      </c>
      <c r="E395" s="15" t="s">
        <v>2</v>
      </c>
      <c r="F395" s="29">
        <v>0</v>
      </c>
      <c r="G395" s="29">
        <v>0</v>
      </c>
      <c r="H395" s="29">
        <v>130001.18</v>
      </c>
      <c r="I395" s="15">
        <v>90</v>
      </c>
      <c r="J395" s="15">
        <v>109</v>
      </c>
      <c r="K395" s="30">
        <v>130000</v>
      </c>
      <c r="L395" s="17">
        <v>46034</v>
      </c>
      <c r="M395" s="18">
        <v>130001</v>
      </c>
      <c r="N395" s="16">
        <v>46096</v>
      </c>
      <c r="O395" s="19"/>
      <c r="P395" s="20">
        <v>12192.16</v>
      </c>
      <c r="Q395" s="29">
        <v>117808.84</v>
      </c>
      <c r="R395" s="9" t="s">
        <v>180</v>
      </c>
    </row>
    <row r="396" spans="1:19" ht="12" customHeight="1" x14ac:dyDescent="0.25">
      <c r="A396" s="14"/>
      <c r="B396" s="15" t="s">
        <v>87</v>
      </c>
      <c r="C396" s="29">
        <v>36700</v>
      </c>
      <c r="D396" s="16">
        <v>45944</v>
      </c>
      <c r="E396" s="15" t="s">
        <v>2</v>
      </c>
      <c r="F396" s="29">
        <v>0</v>
      </c>
      <c r="G396" s="29">
        <v>0</v>
      </c>
      <c r="H396" s="29">
        <v>37966.15</v>
      </c>
      <c r="I396" s="15">
        <v>30</v>
      </c>
      <c r="J396" s="15">
        <v>114</v>
      </c>
      <c r="K396" s="30">
        <v>38000</v>
      </c>
      <c r="L396" s="17">
        <v>45974</v>
      </c>
      <c r="M396" s="18">
        <v>37966.15</v>
      </c>
      <c r="N396" s="16">
        <v>45972</v>
      </c>
      <c r="O396" s="19"/>
      <c r="P396" s="20">
        <v>1266.1500000000001</v>
      </c>
      <c r="Q396" s="29">
        <v>36700</v>
      </c>
      <c r="R396" s="9" t="s">
        <v>180</v>
      </c>
    </row>
    <row r="397" spans="1:19" ht="12" customHeight="1" x14ac:dyDescent="0.25">
      <c r="A397" s="14"/>
      <c r="B397" s="15" t="s">
        <v>88</v>
      </c>
      <c r="C397" s="29">
        <v>287942</v>
      </c>
      <c r="D397" s="16">
        <v>45944</v>
      </c>
      <c r="E397" s="15" t="s">
        <v>2</v>
      </c>
      <c r="F397" s="29">
        <v>0</v>
      </c>
      <c r="G397" s="29">
        <v>0</v>
      </c>
      <c r="H397" s="29">
        <v>317743.52</v>
      </c>
      <c r="I397" s="15">
        <v>90</v>
      </c>
      <c r="J397" s="15">
        <v>115</v>
      </c>
      <c r="K397" s="30">
        <v>530000</v>
      </c>
      <c r="L397" s="17">
        <v>46034</v>
      </c>
      <c r="M397" s="18">
        <v>317744</v>
      </c>
      <c r="N397" s="16">
        <v>46061</v>
      </c>
      <c r="O397" s="19"/>
      <c r="P397" s="20">
        <v>29801.57</v>
      </c>
      <c r="Q397" s="29">
        <v>287942.43</v>
      </c>
      <c r="R397" s="9" t="s">
        <v>180</v>
      </c>
    </row>
    <row r="398" spans="1:19" ht="12" customHeight="1" x14ac:dyDescent="0.25">
      <c r="A398" s="14"/>
      <c r="B398" s="15" t="s">
        <v>89</v>
      </c>
      <c r="C398" s="29">
        <v>229713</v>
      </c>
      <c r="D398" s="16">
        <v>45945</v>
      </c>
      <c r="E398" s="15" t="s">
        <v>2</v>
      </c>
      <c r="F398" s="29">
        <v>0</v>
      </c>
      <c r="G398" s="29">
        <v>0</v>
      </c>
      <c r="H398" s="29">
        <v>237632.53</v>
      </c>
      <c r="I398" s="15">
        <v>30</v>
      </c>
      <c r="J398" s="15">
        <v>6</v>
      </c>
      <c r="K398" s="30">
        <v>810000</v>
      </c>
      <c r="L398" s="17">
        <v>45977</v>
      </c>
      <c r="M398" s="18">
        <v>237632.51</v>
      </c>
      <c r="N398" s="16">
        <v>45985</v>
      </c>
      <c r="O398" s="19"/>
      <c r="P398" s="20">
        <v>7919.53</v>
      </c>
      <c r="Q398" s="29">
        <v>229712.98</v>
      </c>
      <c r="R398" s="9" t="s">
        <v>180</v>
      </c>
    </row>
    <row r="399" spans="1:19" ht="12" customHeight="1" x14ac:dyDescent="0.25">
      <c r="A399" s="14"/>
      <c r="B399" s="15" t="s">
        <v>90</v>
      </c>
      <c r="C399" s="29">
        <v>242007</v>
      </c>
      <c r="D399" s="16">
        <v>45945</v>
      </c>
      <c r="E399" s="15" t="s">
        <v>2</v>
      </c>
      <c r="F399" s="29">
        <v>0</v>
      </c>
      <c r="G399" s="29">
        <v>0</v>
      </c>
      <c r="H399" s="29">
        <v>250356.24</v>
      </c>
      <c r="I399" s="15">
        <v>30</v>
      </c>
      <c r="J399" s="15">
        <v>92</v>
      </c>
      <c r="K399" s="30">
        <v>559000</v>
      </c>
      <c r="L399" s="17">
        <v>45977</v>
      </c>
      <c r="M399" s="18">
        <v>250356</v>
      </c>
      <c r="N399" s="16">
        <v>45980</v>
      </c>
      <c r="O399" s="19"/>
      <c r="P399" s="20">
        <v>8349.24</v>
      </c>
      <c r="Q399" s="29">
        <v>242006.76</v>
      </c>
      <c r="R399" s="9" t="s">
        <v>180</v>
      </c>
    </row>
    <row r="400" spans="1:19" ht="12" customHeight="1" x14ac:dyDescent="0.25">
      <c r="A400" s="14"/>
      <c r="B400" s="15" t="s">
        <v>91</v>
      </c>
      <c r="C400" s="29">
        <v>57500</v>
      </c>
      <c r="D400" s="16">
        <v>45945</v>
      </c>
      <c r="E400" s="15" t="s">
        <v>2</v>
      </c>
      <c r="F400" s="29">
        <v>0</v>
      </c>
      <c r="G400" s="29">
        <v>0</v>
      </c>
      <c r="H400" s="29">
        <v>63451.25</v>
      </c>
      <c r="I400" s="15">
        <v>90</v>
      </c>
      <c r="J400" s="15">
        <v>113</v>
      </c>
      <c r="K400" s="30">
        <v>130000</v>
      </c>
      <c r="L400" s="17">
        <v>46036</v>
      </c>
      <c r="M400" s="18">
        <v>63451</v>
      </c>
      <c r="N400" s="16">
        <v>45970</v>
      </c>
      <c r="O400" s="19"/>
      <c r="P400" s="20">
        <v>5951.23</v>
      </c>
      <c r="Q400" s="29">
        <v>57499.77</v>
      </c>
      <c r="R400" s="9" t="s">
        <v>180</v>
      </c>
    </row>
    <row r="401" spans="1:19" ht="12" customHeight="1" x14ac:dyDescent="0.25">
      <c r="A401" s="14"/>
      <c r="B401" s="15" t="s">
        <v>92</v>
      </c>
      <c r="C401" s="29">
        <v>39080</v>
      </c>
      <c r="D401" s="16">
        <v>45945</v>
      </c>
      <c r="E401" s="15" t="s">
        <v>2</v>
      </c>
      <c r="F401" s="29">
        <v>0</v>
      </c>
      <c r="G401" s="29">
        <v>0</v>
      </c>
      <c r="H401" s="29">
        <v>40386.129999999997</v>
      </c>
      <c r="I401" s="15">
        <v>30</v>
      </c>
      <c r="J401" s="15">
        <v>101</v>
      </c>
      <c r="K401" s="30">
        <v>100000</v>
      </c>
      <c r="L401" s="17">
        <v>45977</v>
      </c>
      <c r="M401" s="18">
        <v>40386.15</v>
      </c>
      <c r="N401" s="16">
        <v>46111</v>
      </c>
      <c r="O401" s="19"/>
      <c r="P401" s="20">
        <v>1306.1400000000001</v>
      </c>
      <c r="Q401" s="29">
        <v>39080.01</v>
      </c>
      <c r="R401" s="9" t="s">
        <v>180</v>
      </c>
    </row>
    <row r="402" spans="1:19" ht="12" customHeight="1" x14ac:dyDescent="0.25">
      <c r="A402" s="14"/>
      <c r="B402" s="15" t="s">
        <v>93</v>
      </c>
      <c r="C402" s="29">
        <v>89650</v>
      </c>
      <c r="D402" s="16">
        <v>45945</v>
      </c>
      <c r="E402" s="15" t="s">
        <v>4</v>
      </c>
      <c r="F402" s="29">
        <v>99111.17</v>
      </c>
      <c r="G402" s="29">
        <v>99111.17</v>
      </c>
      <c r="H402" s="29">
        <v>100000</v>
      </c>
      <c r="I402" s="15">
        <v>90</v>
      </c>
      <c r="J402" s="15">
        <v>117</v>
      </c>
      <c r="K402" s="30">
        <v>100000</v>
      </c>
      <c r="L402" s="17">
        <v>46036</v>
      </c>
      <c r="M402" s="18">
        <v>888.83</v>
      </c>
      <c r="N402" s="16">
        <v>46070</v>
      </c>
      <c r="O402" s="19">
        <v>167</v>
      </c>
      <c r="P402" s="20">
        <v>91.99</v>
      </c>
      <c r="Q402" s="29">
        <v>796.84</v>
      </c>
      <c r="R402" s="9" t="s">
        <v>180</v>
      </c>
      <c r="S402" s="10" t="s">
        <v>646</v>
      </c>
    </row>
    <row r="403" spans="1:19" ht="12" customHeight="1" x14ac:dyDescent="0.25">
      <c r="A403" s="14"/>
      <c r="B403" s="15" t="s">
        <v>94</v>
      </c>
      <c r="C403" s="29">
        <v>58926</v>
      </c>
      <c r="D403" s="16">
        <v>45946</v>
      </c>
      <c r="E403" s="15" t="s">
        <v>2</v>
      </c>
      <c r="F403" s="29">
        <v>0</v>
      </c>
      <c r="G403" s="29">
        <v>0</v>
      </c>
      <c r="H403" s="29">
        <v>65024.53</v>
      </c>
      <c r="I403" s="15">
        <v>90</v>
      </c>
      <c r="J403" s="15">
        <v>115</v>
      </c>
      <c r="K403" s="30">
        <v>530000</v>
      </c>
      <c r="L403" s="17">
        <v>46036</v>
      </c>
      <c r="M403" s="18">
        <v>65025</v>
      </c>
      <c r="N403" s="16">
        <v>46060</v>
      </c>
      <c r="O403" s="19"/>
      <c r="P403" s="20">
        <v>6098.57</v>
      </c>
      <c r="Q403" s="29">
        <v>58926.43</v>
      </c>
      <c r="R403" s="9" t="s">
        <v>180</v>
      </c>
    </row>
    <row r="404" spans="1:19" ht="12" customHeight="1" x14ac:dyDescent="0.25">
      <c r="A404" s="14"/>
      <c r="B404" s="15" t="s">
        <v>95</v>
      </c>
      <c r="C404" s="29">
        <v>8965</v>
      </c>
      <c r="D404" s="16">
        <v>45946</v>
      </c>
      <c r="E404" s="15" t="s">
        <v>4</v>
      </c>
      <c r="F404" s="29">
        <v>10000</v>
      </c>
      <c r="G404" s="29">
        <v>10000</v>
      </c>
      <c r="H404" s="29">
        <v>10000</v>
      </c>
      <c r="I404" s="15">
        <v>90</v>
      </c>
      <c r="J404" s="15">
        <v>118</v>
      </c>
      <c r="K404" s="30">
        <v>10000</v>
      </c>
      <c r="L404" s="17">
        <v>46036</v>
      </c>
      <c r="M404" s="18">
        <v>0</v>
      </c>
      <c r="N404" s="16"/>
      <c r="O404" s="19">
        <v>166</v>
      </c>
      <c r="P404" s="20">
        <v>0</v>
      </c>
      <c r="Q404" s="29">
        <v>0</v>
      </c>
      <c r="R404" s="9" t="s">
        <v>180</v>
      </c>
      <c r="S404" s="10" t="s">
        <v>970</v>
      </c>
    </row>
    <row r="405" spans="1:19" ht="12" customHeight="1" x14ac:dyDescent="0.25">
      <c r="A405" s="14"/>
      <c r="B405" s="15" t="s">
        <v>96</v>
      </c>
      <c r="C405" s="29">
        <v>8960</v>
      </c>
      <c r="D405" s="16">
        <v>45946</v>
      </c>
      <c r="E405" s="15" t="s">
        <v>4</v>
      </c>
      <c r="F405" s="29">
        <v>10000</v>
      </c>
      <c r="G405" s="29">
        <v>10000</v>
      </c>
      <c r="H405" s="29">
        <v>10000</v>
      </c>
      <c r="I405" s="15">
        <v>90</v>
      </c>
      <c r="J405" s="15">
        <v>120</v>
      </c>
      <c r="K405" s="30">
        <v>10000</v>
      </c>
      <c r="L405" s="17">
        <v>46036</v>
      </c>
      <c r="M405" s="18">
        <v>0</v>
      </c>
      <c r="N405" s="16"/>
      <c r="O405" s="19">
        <v>166</v>
      </c>
      <c r="P405" s="20">
        <v>0</v>
      </c>
      <c r="Q405" s="29">
        <v>0</v>
      </c>
      <c r="R405" s="9" t="s">
        <v>180</v>
      </c>
      <c r="S405" s="10" t="s">
        <v>647</v>
      </c>
    </row>
    <row r="406" spans="1:19" ht="12" customHeight="1" x14ac:dyDescent="0.25">
      <c r="A406" s="14"/>
      <c r="B406" s="15" t="s">
        <v>97</v>
      </c>
      <c r="C406" s="29">
        <v>8960</v>
      </c>
      <c r="D406" s="16">
        <v>45946</v>
      </c>
      <c r="E406" s="15" t="s">
        <v>4</v>
      </c>
      <c r="F406" s="29">
        <v>10000</v>
      </c>
      <c r="G406" s="29">
        <v>10000</v>
      </c>
      <c r="H406" s="29">
        <v>10000</v>
      </c>
      <c r="I406" s="15">
        <v>90</v>
      </c>
      <c r="J406" s="15">
        <v>119</v>
      </c>
      <c r="K406" s="30">
        <v>10000</v>
      </c>
      <c r="L406" s="17">
        <v>46036</v>
      </c>
      <c r="M406" s="18">
        <v>0</v>
      </c>
      <c r="N406" s="16"/>
      <c r="O406" s="19">
        <v>166</v>
      </c>
      <c r="P406" s="20">
        <v>0</v>
      </c>
      <c r="Q406" s="29">
        <v>0</v>
      </c>
      <c r="R406" s="9" t="s">
        <v>180</v>
      </c>
      <c r="S406" s="10" t="s">
        <v>648</v>
      </c>
    </row>
    <row r="407" spans="1:19" ht="12" customHeight="1" x14ac:dyDescent="0.25">
      <c r="A407" s="14"/>
      <c r="B407" s="15" t="s">
        <v>98</v>
      </c>
      <c r="C407" s="29">
        <v>89708</v>
      </c>
      <c r="D407" s="16">
        <v>45946</v>
      </c>
      <c r="E407" s="15" t="s">
        <v>2</v>
      </c>
      <c r="F407" s="29">
        <v>0</v>
      </c>
      <c r="G407" s="29">
        <v>0</v>
      </c>
      <c r="H407" s="29">
        <v>98993.09</v>
      </c>
      <c r="I407" s="15">
        <v>90</v>
      </c>
      <c r="J407" s="15">
        <v>121</v>
      </c>
      <c r="K407" s="30">
        <v>100000</v>
      </c>
      <c r="L407" s="17">
        <v>46036</v>
      </c>
      <c r="M407" s="18">
        <v>98993.44</v>
      </c>
      <c r="N407" s="16">
        <v>46030</v>
      </c>
      <c r="O407" s="19"/>
      <c r="P407" s="20">
        <v>9285.1200000000008</v>
      </c>
      <c r="Q407" s="29">
        <v>89708.32</v>
      </c>
      <c r="R407" s="9" t="s">
        <v>180</v>
      </c>
    </row>
    <row r="408" spans="1:19" ht="12" customHeight="1" x14ac:dyDescent="0.25">
      <c r="A408" s="14"/>
      <c r="B408" s="15" t="s">
        <v>99</v>
      </c>
      <c r="C408" s="29">
        <v>200388</v>
      </c>
      <c r="D408" s="16">
        <v>45949</v>
      </c>
      <c r="E408" s="15" t="s">
        <v>2</v>
      </c>
      <c r="F408" s="29">
        <v>0</v>
      </c>
      <c r="G408" s="29">
        <v>0</v>
      </c>
      <c r="H408" s="29">
        <v>207318.53</v>
      </c>
      <c r="I408" s="15">
        <v>30</v>
      </c>
      <c r="J408" s="15">
        <v>6</v>
      </c>
      <c r="K408" s="30">
        <v>810000</v>
      </c>
      <c r="L408" s="17">
        <v>45979</v>
      </c>
      <c r="M408" s="18">
        <v>207318.51</v>
      </c>
      <c r="N408" s="16">
        <v>45985</v>
      </c>
      <c r="O408" s="19"/>
      <c r="P408" s="20">
        <v>6930.53</v>
      </c>
      <c r="Q408" s="29">
        <v>200387.98</v>
      </c>
      <c r="R408" s="9" t="s">
        <v>180</v>
      </c>
    </row>
    <row r="409" spans="1:19" ht="12" customHeight="1" x14ac:dyDescent="0.25">
      <c r="A409" s="14"/>
      <c r="B409" s="15" t="s">
        <v>100</v>
      </c>
      <c r="C409" s="29">
        <v>48345</v>
      </c>
      <c r="D409" s="16">
        <v>45949</v>
      </c>
      <c r="E409" s="15" t="s">
        <v>2</v>
      </c>
      <c r="F409" s="29">
        <v>0</v>
      </c>
      <c r="G409" s="29">
        <v>0</v>
      </c>
      <c r="H409" s="29">
        <v>50010.16</v>
      </c>
      <c r="I409" s="15">
        <v>30</v>
      </c>
      <c r="J409" s="15">
        <v>20</v>
      </c>
      <c r="K409" s="30">
        <v>686000</v>
      </c>
      <c r="L409" s="17">
        <v>45979</v>
      </c>
      <c r="M409" s="18">
        <v>50010</v>
      </c>
      <c r="N409" s="16">
        <v>45981</v>
      </c>
      <c r="O409" s="19"/>
      <c r="P409" s="20">
        <v>1665.15</v>
      </c>
      <c r="Q409" s="29">
        <v>48344.85</v>
      </c>
      <c r="R409" s="9" t="s">
        <v>180</v>
      </c>
    </row>
    <row r="410" spans="1:19" ht="12" customHeight="1" x14ac:dyDescent="0.25">
      <c r="A410" s="14"/>
      <c r="B410" s="15" t="s">
        <v>101</v>
      </c>
      <c r="C410" s="29">
        <v>150008</v>
      </c>
      <c r="D410" s="16">
        <v>45949</v>
      </c>
      <c r="E410" s="15" t="s">
        <v>2</v>
      </c>
      <c r="F410" s="29">
        <v>0</v>
      </c>
      <c r="G410" s="29">
        <v>0</v>
      </c>
      <c r="H410" s="29">
        <v>155183.28</v>
      </c>
      <c r="I410" s="15">
        <v>30</v>
      </c>
      <c r="J410" s="15">
        <v>29</v>
      </c>
      <c r="K410" s="30">
        <v>1240000</v>
      </c>
      <c r="L410" s="17">
        <v>45979</v>
      </c>
      <c r="M410" s="18">
        <v>155182.78</v>
      </c>
      <c r="N410" s="16">
        <v>45980</v>
      </c>
      <c r="O410" s="19"/>
      <c r="P410" s="20">
        <v>5175.26</v>
      </c>
      <c r="Q410" s="29">
        <v>150007.51999999999</v>
      </c>
      <c r="R410" s="9" t="s">
        <v>180</v>
      </c>
    </row>
    <row r="411" spans="1:19" ht="12" customHeight="1" x14ac:dyDescent="0.25">
      <c r="A411" s="14"/>
      <c r="B411" s="15" t="s">
        <v>103</v>
      </c>
      <c r="C411" s="29">
        <v>45610</v>
      </c>
      <c r="D411" s="16">
        <v>45949</v>
      </c>
      <c r="E411" s="15" t="s">
        <v>2</v>
      </c>
      <c r="F411" s="29">
        <v>0</v>
      </c>
      <c r="G411" s="29">
        <v>0</v>
      </c>
      <c r="H411" s="29">
        <v>49000</v>
      </c>
      <c r="I411" s="15">
        <v>60</v>
      </c>
      <c r="J411" s="15">
        <v>59</v>
      </c>
      <c r="K411" s="30">
        <v>49000</v>
      </c>
      <c r="L411" s="17">
        <v>46009</v>
      </c>
      <c r="M411" s="18">
        <v>49000</v>
      </c>
      <c r="N411" s="16">
        <v>46026</v>
      </c>
      <c r="O411" s="19"/>
      <c r="P411" s="20">
        <v>3390</v>
      </c>
      <c r="Q411" s="29">
        <v>45610</v>
      </c>
      <c r="R411" s="9" t="s">
        <v>180</v>
      </c>
    </row>
    <row r="412" spans="1:19" ht="12" customHeight="1" x14ac:dyDescent="0.25">
      <c r="A412" s="14"/>
      <c r="B412" s="15" t="s">
        <v>104</v>
      </c>
      <c r="C412" s="29">
        <v>37325</v>
      </c>
      <c r="D412" s="16">
        <v>45949</v>
      </c>
      <c r="E412" s="15" t="s">
        <v>2</v>
      </c>
      <c r="F412" s="29">
        <v>0</v>
      </c>
      <c r="G412" s="29">
        <v>0</v>
      </c>
      <c r="H412" s="29">
        <v>38591.82</v>
      </c>
      <c r="I412" s="15">
        <v>30</v>
      </c>
      <c r="J412" s="15">
        <v>101</v>
      </c>
      <c r="K412" s="30">
        <v>100000</v>
      </c>
      <c r="L412" s="17">
        <v>45979</v>
      </c>
      <c r="M412" s="18">
        <v>38591.82</v>
      </c>
      <c r="N412" s="16">
        <v>46111</v>
      </c>
      <c r="O412" s="19"/>
      <c r="P412" s="20">
        <v>1266.82</v>
      </c>
      <c r="Q412" s="29">
        <v>37325</v>
      </c>
      <c r="R412" s="9" t="s">
        <v>180</v>
      </c>
    </row>
    <row r="413" spans="1:19" ht="12" customHeight="1" x14ac:dyDescent="0.25">
      <c r="A413" s="14"/>
      <c r="B413" s="15" t="s">
        <v>105</v>
      </c>
      <c r="C413" s="29">
        <v>10075</v>
      </c>
      <c r="D413" s="16">
        <v>45949</v>
      </c>
      <c r="E413" s="15" t="s">
        <v>2</v>
      </c>
      <c r="F413" s="29">
        <v>0</v>
      </c>
      <c r="G413" s="29">
        <v>0</v>
      </c>
      <c r="H413" s="29">
        <v>10422.58</v>
      </c>
      <c r="I413" s="15">
        <v>30</v>
      </c>
      <c r="J413" s="15">
        <v>101</v>
      </c>
      <c r="K413" s="30">
        <v>100000</v>
      </c>
      <c r="L413" s="17">
        <v>45979</v>
      </c>
      <c r="M413" s="18">
        <v>10422.59</v>
      </c>
      <c r="N413" s="16">
        <v>46111</v>
      </c>
      <c r="O413" s="19"/>
      <c r="P413" s="20">
        <v>347.58</v>
      </c>
      <c r="Q413" s="29">
        <v>10075.01</v>
      </c>
      <c r="R413" s="9" t="s">
        <v>180</v>
      </c>
    </row>
    <row r="414" spans="1:19" ht="12" customHeight="1" x14ac:dyDescent="0.25">
      <c r="A414" s="14"/>
      <c r="B414" s="15" t="s">
        <v>106</v>
      </c>
      <c r="C414" s="29">
        <v>8375</v>
      </c>
      <c r="D414" s="16">
        <v>45949</v>
      </c>
      <c r="E414" s="15" t="s">
        <v>2</v>
      </c>
      <c r="F414" s="29">
        <v>0</v>
      </c>
      <c r="G414" s="29">
        <v>0</v>
      </c>
      <c r="H414" s="29">
        <v>8663</v>
      </c>
      <c r="I414" s="15">
        <v>30</v>
      </c>
      <c r="J414" s="15">
        <v>102</v>
      </c>
      <c r="K414" s="30">
        <v>10000</v>
      </c>
      <c r="L414" s="17">
        <v>45979</v>
      </c>
      <c r="M414" s="18">
        <v>8663</v>
      </c>
      <c r="N414" s="16">
        <v>45998</v>
      </c>
      <c r="O414" s="19"/>
      <c r="P414" s="20">
        <v>288</v>
      </c>
      <c r="Q414" s="29">
        <v>8375</v>
      </c>
      <c r="R414" s="9" t="s">
        <v>180</v>
      </c>
    </row>
    <row r="415" spans="1:19" ht="12" customHeight="1" x14ac:dyDescent="0.25">
      <c r="A415" s="14"/>
      <c r="B415" s="15" t="s">
        <v>107</v>
      </c>
      <c r="C415" s="29">
        <v>144000</v>
      </c>
      <c r="D415" s="16">
        <v>45949</v>
      </c>
      <c r="E415" s="15" t="s">
        <v>2</v>
      </c>
      <c r="F415" s="29">
        <v>0</v>
      </c>
      <c r="G415" s="29">
        <v>0</v>
      </c>
      <c r="H415" s="29">
        <v>148967.99</v>
      </c>
      <c r="I415" s="15">
        <v>30</v>
      </c>
      <c r="J415" s="15">
        <v>116</v>
      </c>
      <c r="K415" s="30">
        <v>1000000</v>
      </c>
      <c r="L415" s="17">
        <v>45980</v>
      </c>
      <c r="M415" s="18">
        <v>148968</v>
      </c>
      <c r="N415" s="16">
        <v>45980</v>
      </c>
      <c r="O415" s="19"/>
      <c r="P415" s="20">
        <v>4967.99</v>
      </c>
      <c r="Q415" s="29">
        <v>144000.01</v>
      </c>
      <c r="R415" s="9" t="s">
        <v>180</v>
      </c>
    </row>
    <row r="416" spans="1:19" ht="12" customHeight="1" x14ac:dyDescent="0.25">
      <c r="A416" s="14"/>
      <c r="B416" s="15" t="s">
        <v>108</v>
      </c>
      <c r="C416" s="29">
        <v>280000</v>
      </c>
      <c r="D416" s="16">
        <v>45949</v>
      </c>
      <c r="E416" s="15" t="s">
        <v>2</v>
      </c>
      <c r="F416" s="29">
        <v>0</v>
      </c>
      <c r="G416" s="29">
        <v>0</v>
      </c>
      <c r="H416" s="29">
        <v>289660.06</v>
      </c>
      <c r="I416" s="15">
        <v>30</v>
      </c>
      <c r="J416" s="15">
        <v>116</v>
      </c>
      <c r="K416" s="30">
        <v>1000000</v>
      </c>
      <c r="L416" s="17">
        <v>45980</v>
      </c>
      <c r="M416" s="18">
        <v>289660</v>
      </c>
      <c r="N416" s="16">
        <v>45980</v>
      </c>
      <c r="O416" s="19"/>
      <c r="P416" s="20">
        <v>9660.06</v>
      </c>
      <c r="Q416" s="29">
        <v>279999.94</v>
      </c>
      <c r="R416" s="9" t="s">
        <v>180</v>
      </c>
    </row>
    <row r="417" spans="1:19" ht="12" customHeight="1" x14ac:dyDescent="0.25">
      <c r="A417" s="14"/>
      <c r="B417" s="15" t="s">
        <v>109</v>
      </c>
      <c r="C417" s="29">
        <v>108700</v>
      </c>
      <c r="D417" s="16">
        <v>45949</v>
      </c>
      <c r="E417" s="15" t="s">
        <v>4</v>
      </c>
      <c r="F417" s="29">
        <v>104955.61</v>
      </c>
      <c r="G417" s="29">
        <v>104955.61</v>
      </c>
      <c r="H417" s="29">
        <v>119951.66</v>
      </c>
      <c r="I417" s="15">
        <v>90</v>
      </c>
      <c r="J417" s="15">
        <v>124</v>
      </c>
      <c r="K417" s="30">
        <v>140000</v>
      </c>
      <c r="L417" s="17">
        <v>46040</v>
      </c>
      <c r="M417" s="18">
        <v>14996.05</v>
      </c>
      <c r="N417" s="16">
        <v>46069</v>
      </c>
      <c r="O417" s="19">
        <v>163</v>
      </c>
      <c r="P417" s="20">
        <v>1406.65</v>
      </c>
      <c r="Q417" s="29">
        <v>13589.4</v>
      </c>
      <c r="R417" s="9" t="s">
        <v>180</v>
      </c>
      <c r="S417" s="10" t="s">
        <v>649</v>
      </c>
    </row>
    <row r="418" spans="1:19" ht="12" customHeight="1" x14ac:dyDescent="0.25">
      <c r="A418" s="14"/>
      <c r="B418" s="15" t="s">
        <v>110</v>
      </c>
      <c r="C418" s="29">
        <v>8965</v>
      </c>
      <c r="D418" s="16">
        <v>45949</v>
      </c>
      <c r="E418" s="15" t="s">
        <v>4</v>
      </c>
      <c r="F418" s="29">
        <v>10000</v>
      </c>
      <c r="G418" s="29">
        <v>10000</v>
      </c>
      <c r="H418" s="29">
        <v>10000</v>
      </c>
      <c r="I418" s="15">
        <v>90</v>
      </c>
      <c r="J418" s="15">
        <v>122</v>
      </c>
      <c r="K418" s="30">
        <v>10000</v>
      </c>
      <c r="L418" s="17">
        <v>46041</v>
      </c>
      <c r="M418" s="18">
        <v>0</v>
      </c>
      <c r="N418" s="16"/>
      <c r="O418" s="19">
        <v>163</v>
      </c>
      <c r="P418" s="20">
        <v>0</v>
      </c>
      <c r="Q418" s="29">
        <v>0</v>
      </c>
      <c r="R418" s="9" t="s">
        <v>180</v>
      </c>
      <c r="S418" s="10" t="s">
        <v>650</v>
      </c>
    </row>
    <row r="419" spans="1:19" ht="12" customHeight="1" x14ac:dyDescent="0.25">
      <c r="A419" s="14"/>
      <c r="B419" s="15" t="s">
        <v>111</v>
      </c>
      <c r="C419" s="29">
        <v>20879</v>
      </c>
      <c r="D419" s="16">
        <v>45950</v>
      </c>
      <c r="E419" s="15" t="s">
        <v>2</v>
      </c>
      <c r="F419" s="29">
        <v>0</v>
      </c>
      <c r="G419" s="29">
        <v>0</v>
      </c>
      <c r="H419" s="29">
        <v>21239.16</v>
      </c>
      <c r="I419" s="15">
        <v>10</v>
      </c>
      <c r="J419" s="15">
        <v>49</v>
      </c>
      <c r="K419" s="30">
        <v>273000</v>
      </c>
      <c r="L419" s="17">
        <v>45960</v>
      </c>
      <c r="M419" s="18">
        <v>21239.16</v>
      </c>
      <c r="N419" s="16">
        <v>45960</v>
      </c>
      <c r="O419" s="19"/>
      <c r="P419" s="20">
        <v>360.16</v>
      </c>
      <c r="Q419" s="29">
        <v>20879</v>
      </c>
      <c r="R419" s="9" t="s">
        <v>180</v>
      </c>
    </row>
    <row r="420" spans="1:19" ht="12" customHeight="1" x14ac:dyDescent="0.25">
      <c r="A420" s="14"/>
      <c r="B420" s="15" t="s">
        <v>112</v>
      </c>
      <c r="C420" s="29">
        <v>15288</v>
      </c>
      <c r="D420" s="16">
        <v>45950</v>
      </c>
      <c r="E420" s="15" t="s">
        <v>2</v>
      </c>
      <c r="F420" s="29">
        <v>0</v>
      </c>
      <c r="G420" s="29">
        <v>0</v>
      </c>
      <c r="H420" s="29">
        <v>15552.09</v>
      </c>
      <c r="I420" s="15">
        <v>10</v>
      </c>
      <c r="J420" s="15">
        <v>49</v>
      </c>
      <c r="K420" s="30">
        <v>273000</v>
      </c>
      <c r="L420" s="17">
        <v>45963</v>
      </c>
      <c r="M420" s="18">
        <v>15551.72</v>
      </c>
      <c r="N420" s="16">
        <v>45960</v>
      </c>
      <c r="O420" s="19"/>
      <c r="P420" s="20">
        <v>264.08</v>
      </c>
      <c r="Q420" s="29">
        <v>15287.64</v>
      </c>
      <c r="R420" s="9" t="s">
        <v>180</v>
      </c>
    </row>
    <row r="421" spans="1:19" ht="12" customHeight="1" x14ac:dyDescent="0.25">
      <c r="A421" s="14"/>
      <c r="B421" s="15" t="s">
        <v>113</v>
      </c>
      <c r="C421" s="29">
        <v>29998</v>
      </c>
      <c r="D421" s="16">
        <v>45950</v>
      </c>
      <c r="E421" s="15" t="s">
        <v>2</v>
      </c>
      <c r="F421" s="29">
        <v>0</v>
      </c>
      <c r="G421" s="29">
        <v>0</v>
      </c>
      <c r="H421" s="29">
        <v>33115.089999999997</v>
      </c>
      <c r="I421" s="15">
        <v>90</v>
      </c>
      <c r="J421" s="15">
        <v>81</v>
      </c>
      <c r="K421" s="30">
        <v>190000</v>
      </c>
      <c r="L421" s="17">
        <v>46040</v>
      </c>
      <c r="M421" s="18">
        <v>33115</v>
      </c>
      <c r="N421" s="16">
        <v>46036</v>
      </c>
      <c r="O421" s="19"/>
      <c r="P421" s="20">
        <v>3117.08</v>
      </c>
      <c r="Q421" s="29">
        <v>29997.919999999998</v>
      </c>
      <c r="R421" s="9" t="s">
        <v>180</v>
      </c>
    </row>
    <row r="422" spans="1:19" ht="12" customHeight="1" x14ac:dyDescent="0.25">
      <c r="A422" s="14"/>
      <c r="B422" s="15" t="s">
        <v>114</v>
      </c>
      <c r="C422" s="29">
        <v>58032</v>
      </c>
      <c r="D422" s="16">
        <v>45951</v>
      </c>
      <c r="E422" s="15" t="s">
        <v>2</v>
      </c>
      <c r="F422" s="29">
        <v>0</v>
      </c>
      <c r="G422" s="29">
        <v>0</v>
      </c>
      <c r="H422" s="29">
        <v>60030.879999999997</v>
      </c>
      <c r="I422" s="15">
        <v>30</v>
      </c>
      <c r="J422" s="15">
        <v>20</v>
      </c>
      <c r="K422" s="30">
        <v>686000</v>
      </c>
      <c r="L422" s="17">
        <v>45981</v>
      </c>
      <c r="M422" s="18">
        <v>60102</v>
      </c>
      <c r="N422" s="16">
        <v>45981</v>
      </c>
      <c r="O422" s="19"/>
      <c r="P422" s="20">
        <v>2001.25</v>
      </c>
      <c r="Q422" s="29">
        <v>58100.75</v>
      </c>
      <c r="R422" s="9" t="s">
        <v>180</v>
      </c>
    </row>
    <row r="423" spans="1:19" ht="12" customHeight="1" x14ac:dyDescent="0.25">
      <c r="A423" s="14"/>
      <c r="B423" s="15" t="s">
        <v>115</v>
      </c>
      <c r="C423" s="29">
        <v>14014</v>
      </c>
      <c r="D423" s="16">
        <v>45951</v>
      </c>
      <c r="E423" s="15" t="s">
        <v>2</v>
      </c>
      <c r="F423" s="29">
        <v>0</v>
      </c>
      <c r="G423" s="29">
        <v>0</v>
      </c>
      <c r="H423" s="29">
        <v>14497.4</v>
      </c>
      <c r="I423" s="15">
        <v>30</v>
      </c>
      <c r="J423" s="15">
        <v>34</v>
      </c>
      <c r="K423" s="30">
        <v>370000</v>
      </c>
      <c r="L423" s="17">
        <v>45981</v>
      </c>
      <c r="M423" s="18">
        <v>14497.5</v>
      </c>
      <c r="N423" s="16">
        <v>45984</v>
      </c>
      <c r="O423" s="19"/>
      <c r="P423" s="20">
        <v>483.4</v>
      </c>
      <c r="Q423" s="29">
        <v>14014.1</v>
      </c>
      <c r="R423" s="9" t="s">
        <v>180</v>
      </c>
    </row>
    <row r="424" spans="1:19" ht="12" customHeight="1" x14ac:dyDescent="0.25">
      <c r="A424" s="14"/>
      <c r="B424" s="15" t="s">
        <v>116</v>
      </c>
      <c r="C424" s="29">
        <v>9655</v>
      </c>
      <c r="D424" s="16">
        <v>45951</v>
      </c>
      <c r="E424" s="15" t="s">
        <v>2</v>
      </c>
      <c r="F424" s="29">
        <v>0</v>
      </c>
      <c r="G424" s="29">
        <v>0</v>
      </c>
      <c r="H424" s="29">
        <v>9988.1</v>
      </c>
      <c r="I424" s="15">
        <v>30</v>
      </c>
      <c r="J424" s="15">
        <v>70</v>
      </c>
      <c r="K424" s="30">
        <v>10000</v>
      </c>
      <c r="L424" s="17">
        <v>45981</v>
      </c>
      <c r="M424" s="18">
        <v>9988</v>
      </c>
      <c r="N424" s="16">
        <v>45985</v>
      </c>
      <c r="O424" s="19"/>
      <c r="P424" s="20">
        <v>333.1</v>
      </c>
      <c r="Q424" s="29">
        <v>9654.9</v>
      </c>
      <c r="R424" s="9" t="s">
        <v>180</v>
      </c>
    </row>
    <row r="425" spans="1:19" ht="12" customHeight="1" x14ac:dyDescent="0.25">
      <c r="A425" s="14"/>
      <c r="B425" s="15" t="s">
        <v>117</v>
      </c>
      <c r="C425" s="29">
        <v>12245</v>
      </c>
      <c r="D425" s="16">
        <v>45951</v>
      </c>
      <c r="E425" s="15" t="s">
        <v>2</v>
      </c>
      <c r="F425" s="29">
        <v>0</v>
      </c>
      <c r="G425" s="29">
        <v>0</v>
      </c>
      <c r="H425" s="29">
        <v>13093.07</v>
      </c>
      <c r="I425" s="15">
        <v>60</v>
      </c>
      <c r="J425" s="15">
        <v>91</v>
      </c>
      <c r="K425" s="30">
        <v>61000</v>
      </c>
      <c r="L425" s="17">
        <v>46012</v>
      </c>
      <c r="M425" s="18">
        <v>13095</v>
      </c>
      <c r="N425" s="16">
        <v>46013</v>
      </c>
      <c r="O425" s="19"/>
      <c r="P425" s="20">
        <v>848.2</v>
      </c>
      <c r="Q425" s="29">
        <v>12246.8</v>
      </c>
      <c r="R425" s="9" t="s">
        <v>180</v>
      </c>
    </row>
    <row r="426" spans="1:19" ht="12" customHeight="1" x14ac:dyDescent="0.25">
      <c r="A426" s="14"/>
      <c r="B426" s="15" t="s">
        <v>118</v>
      </c>
      <c r="C426" s="29">
        <v>20340</v>
      </c>
      <c r="D426" s="16">
        <v>45951</v>
      </c>
      <c r="E426" s="15" t="s">
        <v>2</v>
      </c>
      <c r="F426" s="29">
        <v>0</v>
      </c>
      <c r="G426" s="29">
        <v>0</v>
      </c>
      <c r="H426" s="29">
        <v>20700</v>
      </c>
      <c r="I426" s="15">
        <v>10</v>
      </c>
      <c r="J426" s="15">
        <v>113</v>
      </c>
      <c r="K426" s="30">
        <v>130000</v>
      </c>
      <c r="L426" s="17">
        <v>45963</v>
      </c>
      <c r="M426" s="18">
        <v>20700</v>
      </c>
      <c r="N426" s="16">
        <v>45959</v>
      </c>
      <c r="O426" s="19"/>
      <c r="P426" s="20">
        <v>360</v>
      </c>
      <c r="Q426" s="29">
        <v>20340</v>
      </c>
      <c r="R426" s="9" t="s">
        <v>180</v>
      </c>
    </row>
    <row r="427" spans="1:19" ht="12" customHeight="1" x14ac:dyDescent="0.25">
      <c r="A427" s="14"/>
      <c r="B427" s="15" t="s">
        <v>119</v>
      </c>
      <c r="C427" s="29">
        <v>150000</v>
      </c>
      <c r="D427" s="16">
        <v>45952</v>
      </c>
      <c r="E427" s="15" t="s">
        <v>2</v>
      </c>
      <c r="F427" s="29">
        <v>0</v>
      </c>
      <c r="G427" s="29">
        <v>0</v>
      </c>
      <c r="H427" s="29">
        <v>155175</v>
      </c>
      <c r="I427" s="15">
        <v>30</v>
      </c>
      <c r="J427" s="15">
        <v>17</v>
      </c>
      <c r="K427" s="30">
        <v>2400000</v>
      </c>
      <c r="L427" s="17">
        <v>45984</v>
      </c>
      <c r="M427" s="18">
        <v>155175</v>
      </c>
      <c r="N427" s="16">
        <v>45984</v>
      </c>
      <c r="O427" s="19"/>
      <c r="P427" s="20">
        <v>5175</v>
      </c>
      <c r="Q427" s="29">
        <v>150000</v>
      </c>
      <c r="R427" s="9" t="s">
        <v>180</v>
      </c>
    </row>
    <row r="428" spans="1:19" ht="12" customHeight="1" x14ac:dyDescent="0.25">
      <c r="A428" s="14"/>
      <c r="B428" s="15" t="s">
        <v>120</v>
      </c>
      <c r="C428" s="29">
        <v>224124</v>
      </c>
      <c r="D428" s="16">
        <v>45952</v>
      </c>
      <c r="E428" s="15" t="s">
        <v>2</v>
      </c>
      <c r="F428" s="29">
        <v>0</v>
      </c>
      <c r="G428" s="29">
        <v>0</v>
      </c>
      <c r="H428" s="29">
        <v>247321.33</v>
      </c>
      <c r="I428" s="15">
        <v>90</v>
      </c>
      <c r="J428" s="15">
        <v>134</v>
      </c>
      <c r="K428" s="30">
        <v>250000</v>
      </c>
      <c r="L428" s="17">
        <v>46042</v>
      </c>
      <c r="M428" s="18">
        <v>247320.69</v>
      </c>
      <c r="N428" s="16">
        <v>46054</v>
      </c>
      <c r="O428" s="19"/>
      <c r="P428" s="20">
        <v>23197.27</v>
      </c>
      <c r="Q428" s="29">
        <v>224123.42</v>
      </c>
      <c r="R428" s="9" t="s">
        <v>180</v>
      </c>
    </row>
    <row r="429" spans="1:19" ht="12" customHeight="1" x14ac:dyDescent="0.25">
      <c r="A429" s="14"/>
      <c r="B429" s="15" t="s">
        <v>121</v>
      </c>
      <c r="C429" s="29">
        <v>140250</v>
      </c>
      <c r="D429" s="16">
        <v>45953</v>
      </c>
      <c r="E429" s="15" t="s">
        <v>2</v>
      </c>
      <c r="F429" s="29">
        <v>0</v>
      </c>
      <c r="G429" s="29">
        <v>0</v>
      </c>
      <c r="H429" s="29">
        <v>145088.60999999999</v>
      </c>
      <c r="I429" s="15">
        <v>30</v>
      </c>
      <c r="J429" s="15">
        <v>17</v>
      </c>
      <c r="K429" s="30">
        <v>2400000</v>
      </c>
      <c r="L429" s="17">
        <v>45984</v>
      </c>
      <c r="M429" s="18">
        <v>145088</v>
      </c>
      <c r="N429" s="16">
        <v>45984</v>
      </c>
      <c r="O429" s="19"/>
      <c r="P429" s="20">
        <v>4838.59</v>
      </c>
      <c r="Q429" s="29">
        <v>140249.41</v>
      </c>
      <c r="R429" s="9" t="s">
        <v>180</v>
      </c>
    </row>
    <row r="430" spans="1:19" ht="12" customHeight="1" x14ac:dyDescent="0.25">
      <c r="A430" s="14"/>
      <c r="B430" s="15" t="s">
        <v>122</v>
      </c>
      <c r="C430" s="29">
        <v>72500</v>
      </c>
      <c r="D430" s="16">
        <v>45953</v>
      </c>
      <c r="E430" s="15" t="s">
        <v>2</v>
      </c>
      <c r="F430" s="29">
        <v>0</v>
      </c>
      <c r="G430" s="29">
        <v>0</v>
      </c>
      <c r="H430" s="29">
        <v>80003.77</v>
      </c>
      <c r="I430" s="15">
        <v>90</v>
      </c>
      <c r="J430" s="15">
        <v>31</v>
      </c>
      <c r="K430" s="30">
        <v>104000</v>
      </c>
      <c r="L430" s="17">
        <v>46043</v>
      </c>
      <c r="M430" s="18">
        <v>80004</v>
      </c>
      <c r="N430" s="16">
        <v>46043</v>
      </c>
      <c r="O430" s="19"/>
      <c r="P430" s="20">
        <v>7503.79</v>
      </c>
      <c r="Q430" s="29">
        <v>72500.210000000006</v>
      </c>
      <c r="R430" s="9" t="s">
        <v>180</v>
      </c>
    </row>
    <row r="431" spans="1:19" ht="12" customHeight="1" x14ac:dyDescent="0.25">
      <c r="A431" s="14"/>
      <c r="B431" s="15" t="s">
        <v>123</v>
      </c>
      <c r="C431" s="29">
        <v>14536</v>
      </c>
      <c r="D431" s="16">
        <v>45953</v>
      </c>
      <c r="E431" s="15" t="s">
        <v>2</v>
      </c>
      <c r="F431" s="29">
        <v>0</v>
      </c>
      <c r="G431" s="29">
        <v>0</v>
      </c>
      <c r="H431" s="29">
        <v>15037.49</v>
      </c>
      <c r="I431" s="15">
        <v>30</v>
      </c>
      <c r="J431" s="15">
        <v>46</v>
      </c>
      <c r="K431" s="30">
        <v>30000</v>
      </c>
      <c r="L431" s="17">
        <v>45984</v>
      </c>
      <c r="M431" s="18">
        <v>15037</v>
      </c>
      <c r="N431" s="16">
        <v>45986</v>
      </c>
      <c r="O431" s="19"/>
      <c r="P431" s="20">
        <v>501.48</v>
      </c>
      <c r="Q431" s="29">
        <v>14535.52</v>
      </c>
      <c r="R431" s="9" t="s">
        <v>180</v>
      </c>
    </row>
    <row r="432" spans="1:19" ht="12" customHeight="1" x14ac:dyDescent="0.25">
      <c r="A432" s="14"/>
      <c r="B432" s="15" t="s">
        <v>124</v>
      </c>
      <c r="C432" s="29">
        <v>8965</v>
      </c>
      <c r="D432" s="16">
        <v>45953</v>
      </c>
      <c r="E432" s="15" t="s">
        <v>2</v>
      </c>
      <c r="F432" s="29">
        <v>0</v>
      </c>
      <c r="G432" s="29">
        <v>0</v>
      </c>
      <c r="H432" s="29">
        <v>10000</v>
      </c>
      <c r="I432" s="15">
        <v>90</v>
      </c>
      <c r="J432" s="15">
        <v>73</v>
      </c>
      <c r="K432" s="30">
        <v>10000</v>
      </c>
      <c r="L432" s="17">
        <v>46043</v>
      </c>
      <c r="M432" s="18">
        <v>10000</v>
      </c>
      <c r="N432" s="16">
        <v>46044</v>
      </c>
      <c r="O432" s="19"/>
      <c r="P432" s="20">
        <v>1035</v>
      </c>
      <c r="Q432" s="29">
        <v>8965</v>
      </c>
      <c r="R432" s="9" t="s">
        <v>180</v>
      </c>
    </row>
    <row r="433" spans="1:19" ht="12" customHeight="1" x14ac:dyDescent="0.25">
      <c r="A433" s="14"/>
      <c r="B433" s="15" t="s">
        <v>125</v>
      </c>
      <c r="C433" s="29">
        <v>6993</v>
      </c>
      <c r="D433" s="16">
        <v>45953</v>
      </c>
      <c r="E433" s="15" t="s">
        <v>4</v>
      </c>
      <c r="F433" s="29">
        <v>6916.8</v>
      </c>
      <c r="G433" s="29">
        <v>6916.8</v>
      </c>
      <c r="H433" s="29">
        <v>7716.8</v>
      </c>
      <c r="I433" s="15">
        <v>90</v>
      </c>
      <c r="J433" s="15">
        <v>137</v>
      </c>
      <c r="K433" s="30">
        <v>10000</v>
      </c>
      <c r="L433" s="17">
        <v>46043</v>
      </c>
      <c r="M433" s="18">
        <v>800</v>
      </c>
      <c r="N433" s="16">
        <v>46111</v>
      </c>
      <c r="O433" s="19">
        <v>159</v>
      </c>
      <c r="P433" s="20">
        <v>75.040000000000006</v>
      </c>
      <c r="Q433" s="29">
        <v>724.96</v>
      </c>
      <c r="R433" s="9" t="s">
        <v>180</v>
      </c>
      <c r="S433" s="10" t="s">
        <v>794</v>
      </c>
    </row>
    <row r="434" spans="1:19" ht="12" customHeight="1" x14ac:dyDescent="0.25">
      <c r="A434" s="14"/>
      <c r="B434" s="15" t="s">
        <v>126</v>
      </c>
      <c r="C434" s="29">
        <v>2050</v>
      </c>
      <c r="D434" s="16">
        <v>45953</v>
      </c>
      <c r="E434" s="15" t="s">
        <v>4</v>
      </c>
      <c r="F434" s="29">
        <v>2262.1799999999998</v>
      </c>
      <c r="G434" s="29">
        <v>2262.1799999999998</v>
      </c>
      <c r="H434" s="29">
        <v>2262.1799999999998</v>
      </c>
      <c r="I434" s="15">
        <v>90</v>
      </c>
      <c r="J434" s="15">
        <v>137</v>
      </c>
      <c r="K434" s="30">
        <v>10000</v>
      </c>
      <c r="L434" s="17">
        <v>46043</v>
      </c>
      <c r="M434" s="18">
        <v>0</v>
      </c>
      <c r="N434" s="16"/>
      <c r="O434" s="19">
        <v>159</v>
      </c>
      <c r="P434" s="20">
        <v>0</v>
      </c>
      <c r="Q434" s="29">
        <v>0</v>
      </c>
      <c r="R434" s="9" t="s">
        <v>180</v>
      </c>
      <c r="S434" s="10" t="s">
        <v>794</v>
      </c>
    </row>
    <row r="435" spans="1:19" ht="12" customHeight="1" x14ac:dyDescent="0.25">
      <c r="A435" s="14"/>
      <c r="B435" s="15" t="s">
        <v>127</v>
      </c>
      <c r="C435" s="29">
        <v>216000</v>
      </c>
      <c r="D435" s="16">
        <v>45953</v>
      </c>
      <c r="E435" s="15" t="s">
        <v>2</v>
      </c>
      <c r="F435" s="29">
        <v>0</v>
      </c>
      <c r="G435" s="29">
        <v>0</v>
      </c>
      <c r="H435" s="29">
        <v>223451.99</v>
      </c>
      <c r="I435" s="15">
        <v>30</v>
      </c>
      <c r="J435" s="15">
        <v>116</v>
      </c>
      <c r="K435" s="30">
        <v>1000000</v>
      </c>
      <c r="L435" s="17">
        <v>45984</v>
      </c>
      <c r="M435" s="18">
        <v>223452</v>
      </c>
      <c r="N435" s="16">
        <v>45985</v>
      </c>
      <c r="O435" s="19"/>
      <c r="P435" s="20">
        <v>7451.99</v>
      </c>
      <c r="Q435" s="29">
        <v>216000.01</v>
      </c>
      <c r="R435" s="9" t="s">
        <v>180</v>
      </c>
    </row>
    <row r="436" spans="1:19" ht="12" customHeight="1" x14ac:dyDescent="0.25">
      <c r="A436" s="14"/>
      <c r="B436" s="15" t="s">
        <v>128</v>
      </c>
      <c r="C436" s="29">
        <v>305511</v>
      </c>
      <c r="D436" s="16">
        <v>45953</v>
      </c>
      <c r="E436" s="15" t="s">
        <v>2</v>
      </c>
      <c r="F436" s="29">
        <v>0</v>
      </c>
      <c r="G436" s="29">
        <v>0</v>
      </c>
      <c r="H436" s="29">
        <v>337589.57</v>
      </c>
      <c r="I436" s="15">
        <v>90</v>
      </c>
      <c r="J436" s="15">
        <v>100</v>
      </c>
      <c r="K436" s="30">
        <v>460000</v>
      </c>
      <c r="L436" s="17">
        <v>46043</v>
      </c>
      <c r="M436" s="18">
        <v>337590</v>
      </c>
      <c r="N436" s="16">
        <v>46043</v>
      </c>
      <c r="O436" s="19"/>
      <c r="P436" s="20">
        <v>32078.61</v>
      </c>
      <c r="Q436" s="29">
        <v>305511.39</v>
      </c>
      <c r="R436" s="9" t="s">
        <v>180</v>
      </c>
    </row>
    <row r="437" spans="1:19" ht="12" customHeight="1" x14ac:dyDescent="0.25">
      <c r="A437" s="14"/>
      <c r="B437" s="15" t="s">
        <v>129</v>
      </c>
      <c r="C437" s="29">
        <v>167817</v>
      </c>
      <c r="D437" s="16">
        <v>45956</v>
      </c>
      <c r="E437" s="15" t="s">
        <v>2</v>
      </c>
      <c r="F437" s="29">
        <v>0</v>
      </c>
      <c r="G437" s="29">
        <v>0</v>
      </c>
      <c r="H437" s="29">
        <v>171149.8</v>
      </c>
      <c r="I437" s="15">
        <v>15</v>
      </c>
      <c r="J437" s="15">
        <v>3</v>
      </c>
      <c r="K437" s="30">
        <v>1000000</v>
      </c>
      <c r="L437" s="17">
        <v>45971</v>
      </c>
      <c r="M437" s="18">
        <v>171150</v>
      </c>
      <c r="N437" s="16">
        <v>45972</v>
      </c>
      <c r="O437" s="19"/>
      <c r="P437" s="20">
        <v>3332.8</v>
      </c>
      <c r="Q437" s="29">
        <v>167817.2</v>
      </c>
      <c r="R437" s="9" t="s">
        <v>180</v>
      </c>
    </row>
    <row r="438" spans="1:19" ht="12" customHeight="1" x14ac:dyDescent="0.25">
      <c r="A438" s="14"/>
      <c r="B438" s="15" t="s">
        <v>130</v>
      </c>
      <c r="C438" s="29">
        <v>26000</v>
      </c>
      <c r="D438" s="16">
        <v>45956</v>
      </c>
      <c r="E438" s="15" t="s">
        <v>2</v>
      </c>
      <c r="F438" s="29">
        <v>0</v>
      </c>
      <c r="G438" s="29">
        <v>0</v>
      </c>
      <c r="H438" s="29">
        <v>26897</v>
      </c>
      <c r="I438" s="15">
        <v>30</v>
      </c>
      <c r="J438" s="15">
        <v>50</v>
      </c>
      <c r="K438" s="30">
        <v>84000</v>
      </c>
      <c r="L438" s="17">
        <v>45986</v>
      </c>
      <c r="M438" s="18">
        <v>27294</v>
      </c>
      <c r="N438" s="16">
        <v>45972</v>
      </c>
      <c r="O438" s="19"/>
      <c r="P438" s="20">
        <v>910.24</v>
      </c>
      <c r="Q438" s="29">
        <v>26383.759999999998</v>
      </c>
      <c r="R438" s="9" t="s">
        <v>180</v>
      </c>
    </row>
    <row r="439" spans="1:19" ht="12" customHeight="1" x14ac:dyDescent="0.25">
      <c r="A439" s="14"/>
      <c r="B439" s="15" t="s">
        <v>131</v>
      </c>
      <c r="C439" s="29">
        <v>7590</v>
      </c>
      <c r="D439" s="16">
        <v>45956</v>
      </c>
      <c r="E439" s="15" t="s">
        <v>2</v>
      </c>
      <c r="F439" s="29">
        <v>0</v>
      </c>
      <c r="G439" s="29">
        <v>0</v>
      </c>
      <c r="H439" s="29">
        <v>8899.2800000000007</v>
      </c>
      <c r="I439" s="15">
        <v>90</v>
      </c>
      <c r="J439" s="15">
        <v>54</v>
      </c>
      <c r="K439" s="30">
        <v>117000</v>
      </c>
      <c r="L439" s="17">
        <v>46047</v>
      </c>
      <c r="M439" s="18">
        <v>8899</v>
      </c>
      <c r="N439" s="16">
        <v>46043</v>
      </c>
      <c r="O439" s="19"/>
      <c r="P439" s="20">
        <v>1309.24</v>
      </c>
      <c r="Q439" s="29">
        <v>7589.76</v>
      </c>
      <c r="R439" s="9" t="s">
        <v>180</v>
      </c>
    </row>
    <row r="440" spans="1:19" ht="12" customHeight="1" x14ac:dyDescent="0.25">
      <c r="A440" s="14"/>
      <c r="B440" s="15" t="s">
        <v>133</v>
      </c>
      <c r="C440" s="29">
        <v>6916</v>
      </c>
      <c r="D440" s="16">
        <v>45956</v>
      </c>
      <c r="E440" s="15" t="s">
        <v>2</v>
      </c>
      <c r="F440" s="29">
        <v>0</v>
      </c>
      <c r="G440" s="29">
        <v>0</v>
      </c>
      <c r="H440" s="29">
        <v>7153.99</v>
      </c>
      <c r="I440" s="15">
        <v>30</v>
      </c>
      <c r="J440" s="15">
        <v>101</v>
      </c>
      <c r="K440" s="30">
        <v>100000</v>
      </c>
      <c r="L440" s="17">
        <v>45986</v>
      </c>
      <c r="M440" s="18">
        <v>7153.99</v>
      </c>
      <c r="N440" s="16">
        <v>46111</v>
      </c>
      <c r="O440" s="19"/>
      <c r="P440" s="20">
        <v>237.99</v>
      </c>
      <c r="Q440" s="29">
        <v>6916</v>
      </c>
      <c r="R440" s="9" t="s">
        <v>180</v>
      </c>
    </row>
    <row r="441" spans="1:19" ht="12" customHeight="1" x14ac:dyDescent="0.25">
      <c r="A441" s="14"/>
      <c r="B441" s="15" t="s">
        <v>134</v>
      </c>
      <c r="C441" s="29">
        <v>90000</v>
      </c>
      <c r="D441" s="16">
        <v>45956</v>
      </c>
      <c r="E441" s="15" t="s">
        <v>2</v>
      </c>
      <c r="F441" s="29">
        <v>0</v>
      </c>
      <c r="G441" s="29">
        <v>0</v>
      </c>
      <c r="H441" s="29">
        <v>93105</v>
      </c>
      <c r="I441" s="15">
        <v>30</v>
      </c>
      <c r="J441" s="15">
        <v>139</v>
      </c>
      <c r="K441" s="30">
        <v>322000</v>
      </c>
      <c r="L441" s="17">
        <v>45986</v>
      </c>
      <c r="M441" s="18">
        <v>93105</v>
      </c>
      <c r="N441" s="16">
        <v>45992</v>
      </c>
      <c r="O441" s="19"/>
      <c r="P441" s="20">
        <v>3105</v>
      </c>
      <c r="Q441" s="29">
        <v>90000</v>
      </c>
      <c r="R441" s="9" t="s">
        <v>180</v>
      </c>
    </row>
    <row r="442" spans="1:19" ht="12" customHeight="1" x14ac:dyDescent="0.25">
      <c r="A442" s="14"/>
      <c r="B442" s="15" t="s">
        <v>135</v>
      </c>
      <c r="C442" s="29">
        <v>3328</v>
      </c>
      <c r="D442" s="16">
        <v>45956</v>
      </c>
      <c r="E442" s="15" t="s">
        <v>2</v>
      </c>
      <c r="F442" s="29">
        <v>0</v>
      </c>
      <c r="G442" s="29">
        <v>0</v>
      </c>
      <c r="H442" s="29">
        <v>3442.5</v>
      </c>
      <c r="I442" s="15">
        <v>30</v>
      </c>
      <c r="J442" s="15">
        <v>136</v>
      </c>
      <c r="K442" s="30">
        <v>300000</v>
      </c>
      <c r="L442" s="17">
        <v>45986</v>
      </c>
      <c r="M442" s="18">
        <v>3443.15</v>
      </c>
      <c r="N442" s="16">
        <v>45993</v>
      </c>
      <c r="O442" s="19"/>
      <c r="P442" s="20">
        <v>114.52</v>
      </c>
      <c r="Q442" s="29">
        <v>3328.63</v>
      </c>
      <c r="R442" s="9" t="s">
        <v>180</v>
      </c>
    </row>
    <row r="443" spans="1:19" ht="12" customHeight="1" x14ac:dyDescent="0.25">
      <c r="A443" s="14"/>
      <c r="B443" s="15" t="s">
        <v>136</v>
      </c>
      <c r="C443" s="29">
        <v>29551</v>
      </c>
      <c r="D443" s="16">
        <v>45956</v>
      </c>
      <c r="E443" s="15" t="s">
        <v>2</v>
      </c>
      <c r="F443" s="29">
        <v>0</v>
      </c>
      <c r="G443" s="29">
        <v>0</v>
      </c>
      <c r="H443" s="29">
        <v>30570.91</v>
      </c>
      <c r="I443" s="15">
        <v>30</v>
      </c>
      <c r="J443" s="15">
        <v>136</v>
      </c>
      <c r="K443" s="30">
        <v>300000</v>
      </c>
      <c r="L443" s="17">
        <v>45986</v>
      </c>
      <c r="M443" s="18">
        <v>30571</v>
      </c>
      <c r="N443" s="16">
        <v>45995</v>
      </c>
      <c r="O443" s="19"/>
      <c r="P443" s="20">
        <v>1019.92</v>
      </c>
      <c r="Q443" s="29">
        <v>29551.08</v>
      </c>
      <c r="R443" s="9" t="s">
        <v>180</v>
      </c>
    </row>
    <row r="444" spans="1:19" ht="12" customHeight="1" x14ac:dyDescent="0.25">
      <c r="A444" s="14"/>
      <c r="B444" s="15" t="s">
        <v>137</v>
      </c>
      <c r="C444" s="29">
        <v>80364</v>
      </c>
      <c r="D444" s="16">
        <v>45956</v>
      </c>
      <c r="E444" s="15" t="s">
        <v>2</v>
      </c>
      <c r="F444" s="29">
        <v>0</v>
      </c>
      <c r="G444" s="29">
        <v>0</v>
      </c>
      <c r="H444" s="29">
        <v>85956.95</v>
      </c>
      <c r="I444" s="15">
        <v>60</v>
      </c>
      <c r="J444" s="15">
        <v>138</v>
      </c>
      <c r="K444" s="30">
        <v>130000</v>
      </c>
      <c r="L444" s="17">
        <v>46016</v>
      </c>
      <c r="M444" s="18">
        <v>85957</v>
      </c>
      <c r="N444" s="16">
        <v>46021</v>
      </c>
      <c r="O444" s="19"/>
      <c r="P444" s="20">
        <v>5592.96</v>
      </c>
      <c r="Q444" s="29">
        <v>80364.039999999994</v>
      </c>
      <c r="R444" s="9" t="s">
        <v>180</v>
      </c>
    </row>
    <row r="445" spans="1:19" ht="12" customHeight="1" x14ac:dyDescent="0.25">
      <c r="A445" s="14"/>
      <c r="B445" s="15" t="s">
        <v>138</v>
      </c>
      <c r="C445" s="29">
        <v>89510</v>
      </c>
      <c r="D445" s="16">
        <v>45956</v>
      </c>
      <c r="E445" s="15" t="s">
        <v>4</v>
      </c>
      <c r="F445" s="29">
        <v>55010.45</v>
      </c>
      <c r="G445" s="29">
        <v>55010.45</v>
      </c>
      <c r="H445" s="29">
        <v>100010.45</v>
      </c>
      <c r="I445" s="15">
        <v>90</v>
      </c>
      <c r="J445" s="15">
        <v>135</v>
      </c>
      <c r="K445" s="30">
        <v>100000</v>
      </c>
      <c r="L445" s="17">
        <v>46047</v>
      </c>
      <c r="M445" s="18">
        <v>45000</v>
      </c>
      <c r="N445" s="16">
        <v>46096</v>
      </c>
      <c r="O445" s="19">
        <v>156</v>
      </c>
      <c r="P445" s="20">
        <v>4724.71</v>
      </c>
      <c r="Q445" s="29">
        <v>40275.29</v>
      </c>
      <c r="R445" s="9" t="s">
        <v>180</v>
      </c>
      <c r="S445" s="10" t="s">
        <v>971</v>
      </c>
    </row>
    <row r="446" spans="1:19" ht="12" customHeight="1" x14ac:dyDescent="0.25">
      <c r="A446" s="14"/>
      <c r="B446" s="15" t="s">
        <v>139</v>
      </c>
      <c r="C446" s="29">
        <v>137700</v>
      </c>
      <c r="D446" s="16">
        <v>45957</v>
      </c>
      <c r="E446" s="15" t="s">
        <v>2</v>
      </c>
      <c r="F446" s="29">
        <v>0</v>
      </c>
      <c r="G446" s="29">
        <v>0</v>
      </c>
      <c r="H446" s="29">
        <v>142450.64000000001</v>
      </c>
      <c r="I446" s="15">
        <v>30</v>
      </c>
      <c r="J446" s="15">
        <v>17</v>
      </c>
      <c r="K446" s="30">
        <v>2400000</v>
      </c>
      <c r="L446" s="17">
        <v>45988</v>
      </c>
      <c r="M446" s="18">
        <v>142450.65</v>
      </c>
      <c r="N446" s="16">
        <v>45991</v>
      </c>
      <c r="O446" s="19"/>
      <c r="P446" s="20">
        <v>4750.6400000000003</v>
      </c>
      <c r="Q446" s="29">
        <v>137700.01</v>
      </c>
      <c r="R446" s="9" t="s">
        <v>180</v>
      </c>
    </row>
    <row r="447" spans="1:19" ht="12" customHeight="1" x14ac:dyDescent="0.25">
      <c r="A447" s="14"/>
      <c r="B447" s="15" t="s">
        <v>140</v>
      </c>
      <c r="C447" s="29">
        <v>175001</v>
      </c>
      <c r="D447" s="16">
        <v>45957</v>
      </c>
      <c r="E447" s="15" t="s">
        <v>2</v>
      </c>
      <c r="F447" s="29">
        <v>0</v>
      </c>
      <c r="G447" s="29">
        <v>0</v>
      </c>
      <c r="H447" s="29">
        <v>181038.53</v>
      </c>
      <c r="I447" s="15">
        <v>30</v>
      </c>
      <c r="J447" s="15">
        <v>29</v>
      </c>
      <c r="K447" s="30">
        <v>1240000</v>
      </c>
      <c r="L447" s="17">
        <v>45987</v>
      </c>
      <c r="M447" s="18">
        <v>181038.78</v>
      </c>
      <c r="N447" s="16">
        <v>45984</v>
      </c>
      <c r="O447" s="19"/>
      <c r="P447" s="20">
        <v>6037.54</v>
      </c>
      <c r="Q447" s="29">
        <v>175001.24</v>
      </c>
      <c r="R447" s="9" t="s">
        <v>180</v>
      </c>
    </row>
    <row r="448" spans="1:19" ht="12" customHeight="1" x14ac:dyDescent="0.25">
      <c r="A448" s="14"/>
      <c r="B448" s="15" t="s">
        <v>141</v>
      </c>
      <c r="C448" s="29">
        <v>360000</v>
      </c>
      <c r="D448" s="16">
        <v>45957</v>
      </c>
      <c r="E448" s="15" t="s">
        <v>2</v>
      </c>
      <c r="F448" s="29">
        <v>0</v>
      </c>
      <c r="G448" s="29">
        <v>0</v>
      </c>
      <c r="H448" s="29">
        <v>372419.96</v>
      </c>
      <c r="I448" s="15">
        <v>30</v>
      </c>
      <c r="J448" s="15">
        <v>116</v>
      </c>
      <c r="K448" s="30">
        <v>1000000</v>
      </c>
      <c r="L448" s="17">
        <v>45987</v>
      </c>
      <c r="M448" s="18">
        <v>372420</v>
      </c>
      <c r="N448" s="16">
        <v>45993</v>
      </c>
      <c r="O448" s="19"/>
      <c r="P448" s="20">
        <v>12419.96</v>
      </c>
      <c r="Q448" s="29">
        <v>360000.04</v>
      </c>
      <c r="R448" s="9" t="s">
        <v>180</v>
      </c>
    </row>
    <row r="449" spans="1:19" ht="12" customHeight="1" x14ac:dyDescent="0.25">
      <c r="A449" s="14"/>
      <c r="B449" s="15" t="s">
        <v>142</v>
      </c>
      <c r="C449" s="29">
        <v>47501</v>
      </c>
      <c r="D449" s="16">
        <v>45957</v>
      </c>
      <c r="E449" s="15" t="s">
        <v>4</v>
      </c>
      <c r="F449" s="29">
        <v>52417.36</v>
      </c>
      <c r="G449" s="29">
        <v>52417.36</v>
      </c>
      <c r="H449" s="29">
        <v>52417.36</v>
      </c>
      <c r="I449" s="15">
        <v>90</v>
      </c>
      <c r="J449" s="15">
        <v>141</v>
      </c>
      <c r="K449" s="30">
        <v>53000</v>
      </c>
      <c r="L449" s="17">
        <v>46047</v>
      </c>
      <c r="M449" s="18">
        <v>0</v>
      </c>
      <c r="N449" s="16"/>
      <c r="O449" s="19">
        <v>155</v>
      </c>
      <c r="P449" s="20">
        <v>0</v>
      </c>
      <c r="Q449" s="29">
        <v>0</v>
      </c>
      <c r="R449" s="9" t="s">
        <v>180</v>
      </c>
      <c r="S449" s="10" t="s">
        <v>972</v>
      </c>
    </row>
    <row r="450" spans="1:19" ht="12" customHeight="1" x14ac:dyDescent="0.25">
      <c r="A450" s="14"/>
      <c r="B450" s="15" t="s">
        <v>143</v>
      </c>
      <c r="C450" s="29">
        <v>8965</v>
      </c>
      <c r="D450" s="16">
        <v>45957</v>
      </c>
      <c r="E450" s="15" t="s">
        <v>4</v>
      </c>
      <c r="F450" s="29">
        <v>10000</v>
      </c>
      <c r="G450" s="29">
        <v>10000</v>
      </c>
      <c r="H450" s="29">
        <v>10000</v>
      </c>
      <c r="I450" s="15">
        <v>90</v>
      </c>
      <c r="J450" s="15">
        <v>142</v>
      </c>
      <c r="K450" s="30">
        <v>10000</v>
      </c>
      <c r="L450" s="17">
        <v>46047</v>
      </c>
      <c r="M450" s="18">
        <v>0</v>
      </c>
      <c r="N450" s="16"/>
      <c r="O450" s="19">
        <v>155</v>
      </c>
      <c r="P450" s="20">
        <v>0</v>
      </c>
      <c r="Q450" s="29">
        <v>0</v>
      </c>
      <c r="R450" s="9" t="s">
        <v>180</v>
      </c>
      <c r="S450" s="10" t="s">
        <v>973</v>
      </c>
    </row>
    <row r="451" spans="1:19" ht="12" customHeight="1" x14ac:dyDescent="0.25">
      <c r="A451" s="14"/>
      <c r="B451" s="15" t="s">
        <v>144</v>
      </c>
      <c r="C451" s="29">
        <v>169374</v>
      </c>
      <c r="D451" s="16">
        <v>45958</v>
      </c>
      <c r="E451" s="15" t="s">
        <v>2</v>
      </c>
      <c r="F451" s="29">
        <v>0</v>
      </c>
      <c r="G451" s="29">
        <v>0</v>
      </c>
      <c r="H451" s="29">
        <v>172700.09</v>
      </c>
      <c r="I451" s="15">
        <v>15</v>
      </c>
      <c r="J451" s="15">
        <v>3</v>
      </c>
      <c r="K451" s="30">
        <v>1000000</v>
      </c>
      <c r="L451" s="17">
        <v>45974</v>
      </c>
      <c r="M451" s="18">
        <v>172700</v>
      </c>
      <c r="N451" s="16">
        <v>45977</v>
      </c>
      <c r="O451" s="19"/>
      <c r="P451" s="20">
        <v>3326.09</v>
      </c>
      <c r="Q451" s="29">
        <v>169373.91</v>
      </c>
      <c r="R451" s="9" t="s">
        <v>180</v>
      </c>
    </row>
    <row r="452" spans="1:19" ht="12" customHeight="1" x14ac:dyDescent="0.25">
      <c r="A452" s="14"/>
      <c r="B452" s="15" t="s">
        <v>145</v>
      </c>
      <c r="C452" s="29">
        <v>212755</v>
      </c>
      <c r="D452" s="16">
        <v>45958</v>
      </c>
      <c r="E452" s="15" t="s">
        <v>2</v>
      </c>
      <c r="F452" s="29">
        <v>0</v>
      </c>
      <c r="G452" s="29">
        <v>0</v>
      </c>
      <c r="H452" s="29">
        <v>220095.03</v>
      </c>
      <c r="I452" s="15">
        <v>30</v>
      </c>
      <c r="J452" s="15">
        <v>20</v>
      </c>
      <c r="K452" s="30">
        <v>686000</v>
      </c>
      <c r="L452" s="17">
        <v>45991</v>
      </c>
      <c r="M452" s="18">
        <v>220094.6</v>
      </c>
      <c r="N452" s="16">
        <v>45992</v>
      </c>
      <c r="O452" s="19"/>
      <c r="P452" s="20">
        <v>7340.02</v>
      </c>
      <c r="Q452" s="29">
        <v>212754.58</v>
      </c>
      <c r="R452" s="9" t="s">
        <v>180</v>
      </c>
    </row>
    <row r="453" spans="1:19" ht="12" customHeight="1" x14ac:dyDescent="0.25">
      <c r="A453" s="14"/>
      <c r="B453" s="15" t="s">
        <v>146</v>
      </c>
      <c r="C453" s="29">
        <v>55360</v>
      </c>
      <c r="D453" s="16">
        <v>45958</v>
      </c>
      <c r="E453" s="15" t="s">
        <v>2</v>
      </c>
      <c r="F453" s="29">
        <v>0</v>
      </c>
      <c r="G453" s="29">
        <v>0</v>
      </c>
      <c r="H453" s="29">
        <v>57394.06</v>
      </c>
      <c r="I453" s="15">
        <v>30</v>
      </c>
      <c r="J453" s="15">
        <v>43</v>
      </c>
      <c r="K453" s="30">
        <v>89000</v>
      </c>
      <c r="L453" s="17">
        <v>45991</v>
      </c>
      <c r="M453" s="18">
        <v>57394.06</v>
      </c>
      <c r="N453" s="16">
        <v>46014</v>
      </c>
      <c r="O453" s="19"/>
      <c r="P453" s="20">
        <v>2034.06</v>
      </c>
      <c r="Q453" s="29">
        <v>55360</v>
      </c>
      <c r="R453" s="9" t="s">
        <v>180</v>
      </c>
    </row>
    <row r="454" spans="1:19" ht="12" customHeight="1" x14ac:dyDescent="0.25">
      <c r="A454" s="14"/>
      <c r="B454" s="15" t="s">
        <v>147</v>
      </c>
      <c r="C454" s="29">
        <v>9371</v>
      </c>
      <c r="D454" s="16">
        <v>45958</v>
      </c>
      <c r="E454" s="15" t="s">
        <v>2</v>
      </c>
      <c r="F454" s="29">
        <v>0</v>
      </c>
      <c r="G454" s="29">
        <v>0</v>
      </c>
      <c r="H454" s="29">
        <v>9710.35</v>
      </c>
      <c r="I454" s="15">
        <v>30</v>
      </c>
      <c r="J454" s="15">
        <v>34</v>
      </c>
      <c r="K454" s="30">
        <v>370000</v>
      </c>
      <c r="L454" s="17">
        <v>45991</v>
      </c>
      <c r="M454" s="18">
        <v>9710.09</v>
      </c>
      <c r="N454" s="16">
        <v>45992</v>
      </c>
      <c r="O454" s="19"/>
      <c r="P454" s="20">
        <v>339.34</v>
      </c>
      <c r="Q454" s="29">
        <v>9370.75</v>
      </c>
      <c r="R454" s="9" t="s">
        <v>180</v>
      </c>
    </row>
    <row r="455" spans="1:19" ht="12" customHeight="1" x14ac:dyDescent="0.25">
      <c r="A455" s="14"/>
      <c r="B455" s="15" t="s">
        <v>148</v>
      </c>
      <c r="C455" s="29">
        <v>966438</v>
      </c>
      <c r="D455" s="16">
        <v>45958</v>
      </c>
      <c r="E455" s="15" t="s">
        <v>2</v>
      </c>
      <c r="F455" s="29">
        <v>0</v>
      </c>
      <c r="G455" s="29">
        <v>0</v>
      </c>
      <c r="H455" s="29">
        <v>999723.59</v>
      </c>
      <c r="I455" s="15">
        <v>30</v>
      </c>
      <c r="J455" s="15">
        <v>42</v>
      </c>
      <c r="K455" s="30">
        <v>2000000</v>
      </c>
      <c r="L455" s="17">
        <v>45988</v>
      </c>
      <c r="M455" s="18">
        <v>999723.6</v>
      </c>
      <c r="N455" s="16">
        <v>46079</v>
      </c>
      <c r="O455" s="19"/>
      <c r="P455" s="20">
        <v>33285.599999999999</v>
      </c>
      <c r="Q455" s="29">
        <v>966438</v>
      </c>
      <c r="R455" s="9" t="s">
        <v>180</v>
      </c>
    </row>
    <row r="456" spans="1:19" ht="12" customHeight="1" x14ac:dyDescent="0.25">
      <c r="A456" s="14"/>
      <c r="B456" s="15" t="s">
        <v>149</v>
      </c>
      <c r="C456" s="29">
        <v>966438</v>
      </c>
      <c r="D456" s="16">
        <v>45958</v>
      </c>
      <c r="E456" s="15" t="s">
        <v>2</v>
      </c>
      <c r="F456" s="29">
        <v>0</v>
      </c>
      <c r="G456" s="29">
        <v>0</v>
      </c>
      <c r="H456" s="29">
        <v>999723.59</v>
      </c>
      <c r="I456" s="15">
        <v>30</v>
      </c>
      <c r="J456" s="15">
        <v>42</v>
      </c>
      <c r="K456" s="30">
        <v>2000000</v>
      </c>
      <c r="L456" s="17">
        <v>45988</v>
      </c>
      <c r="M456" s="18">
        <v>1000276.79</v>
      </c>
      <c r="N456" s="16">
        <v>46079</v>
      </c>
      <c r="O456" s="19"/>
      <c r="P456" s="20">
        <v>33304.01</v>
      </c>
      <c r="Q456" s="29">
        <v>966972.78</v>
      </c>
      <c r="R456" s="9" t="s">
        <v>180</v>
      </c>
    </row>
    <row r="457" spans="1:19" ht="12" customHeight="1" x14ac:dyDescent="0.25">
      <c r="A457" s="14"/>
      <c r="B457" s="15" t="s">
        <v>150</v>
      </c>
      <c r="C457" s="29">
        <v>40000</v>
      </c>
      <c r="D457" s="16">
        <v>45958</v>
      </c>
      <c r="E457" s="15" t="s">
        <v>2</v>
      </c>
      <c r="F457" s="29">
        <v>0</v>
      </c>
      <c r="G457" s="29">
        <v>0</v>
      </c>
      <c r="H457" s="29">
        <v>41376</v>
      </c>
      <c r="I457" s="15">
        <v>30</v>
      </c>
      <c r="J457" s="15">
        <v>76</v>
      </c>
      <c r="K457" s="30">
        <v>221000</v>
      </c>
      <c r="L457" s="17">
        <v>45991</v>
      </c>
      <c r="M457" s="18">
        <v>41376</v>
      </c>
      <c r="N457" s="16">
        <v>45986</v>
      </c>
      <c r="O457" s="19"/>
      <c r="P457" s="20">
        <v>1376</v>
      </c>
      <c r="Q457" s="29">
        <v>40000</v>
      </c>
      <c r="R457" s="9" t="s">
        <v>180</v>
      </c>
    </row>
    <row r="458" spans="1:19" ht="12" customHeight="1" x14ac:dyDescent="0.25">
      <c r="A458" s="14"/>
      <c r="B458" s="15" t="s">
        <v>151</v>
      </c>
      <c r="C458" s="29">
        <v>33000</v>
      </c>
      <c r="D458" s="16">
        <v>45958</v>
      </c>
      <c r="E458" s="15" t="s">
        <v>2</v>
      </c>
      <c r="F458" s="29">
        <v>0</v>
      </c>
      <c r="G458" s="29">
        <v>0</v>
      </c>
      <c r="H458" s="29">
        <v>34135</v>
      </c>
      <c r="I458" s="15">
        <v>30</v>
      </c>
      <c r="J458" s="15">
        <v>76</v>
      </c>
      <c r="K458" s="30">
        <v>221000</v>
      </c>
      <c r="L458" s="17">
        <v>45991</v>
      </c>
      <c r="M458" s="18">
        <v>34135</v>
      </c>
      <c r="N458" s="16">
        <v>45986</v>
      </c>
      <c r="O458" s="19"/>
      <c r="P458" s="20">
        <v>1135</v>
      </c>
      <c r="Q458" s="29">
        <v>33000</v>
      </c>
      <c r="R458" s="9" t="s">
        <v>180</v>
      </c>
    </row>
    <row r="459" spans="1:19" ht="12" customHeight="1" x14ac:dyDescent="0.25">
      <c r="A459" s="14"/>
      <c r="B459" s="15" t="s">
        <v>152</v>
      </c>
      <c r="C459" s="29">
        <v>24000</v>
      </c>
      <c r="D459" s="16">
        <v>45958</v>
      </c>
      <c r="E459" s="15" t="s">
        <v>2</v>
      </c>
      <c r="F459" s="29">
        <v>0</v>
      </c>
      <c r="G459" s="29">
        <v>0</v>
      </c>
      <c r="H459" s="29">
        <v>24825</v>
      </c>
      <c r="I459" s="15">
        <v>30</v>
      </c>
      <c r="J459" s="15">
        <v>76</v>
      </c>
      <c r="K459" s="30">
        <v>221000</v>
      </c>
      <c r="L459" s="17">
        <v>45991</v>
      </c>
      <c r="M459" s="18">
        <v>24825</v>
      </c>
      <c r="N459" s="16">
        <v>45986</v>
      </c>
      <c r="O459" s="19"/>
      <c r="P459" s="20">
        <v>825</v>
      </c>
      <c r="Q459" s="29">
        <v>24000</v>
      </c>
      <c r="R459" s="9" t="s">
        <v>180</v>
      </c>
    </row>
    <row r="460" spans="1:19" ht="12" customHeight="1" x14ac:dyDescent="0.25">
      <c r="A460" s="14"/>
      <c r="B460" s="15" t="s">
        <v>153</v>
      </c>
      <c r="C460" s="29">
        <v>21000</v>
      </c>
      <c r="D460" s="16">
        <v>45958</v>
      </c>
      <c r="E460" s="15" t="s">
        <v>2</v>
      </c>
      <c r="F460" s="29">
        <v>0</v>
      </c>
      <c r="G460" s="29">
        <v>0</v>
      </c>
      <c r="H460" s="29">
        <v>21722</v>
      </c>
      <c r="I460" s="15">
        <v>30</v>
      </c>
      <c r="J460" s="15">
        <v>78</v>
      </c>
      <c r="K460" s="30">
        <v>208000</v>
      </c>
      <c r="L460" s="17">
        <v>45991</v>
      </c>
      <c r="M460" s="18">
        <v>21722</v>
      </c>
      <c r="N460" s="16">
        <v>45986</v>
      </c>
      <c r="O460" s="19"/>
      <c r="P460" s="20">
        <v>722</v>
      </c>
      <c r="Q460" s="29">
        <v>21000</v>
      </c>
      <c r="R460" s="9" t="s">
        <v>180</v>
      </c>
    </row>
    <row r="461" spans="1:19" ht="12" customHeight="1" x14ac:dyDescent="0.25">
      <c r="A461" s="14"/>
      <c r="B461" s="15" t="s">
        <v>154</v>
      </c>
      <c r="C461" s="29">
        <v>24500</v>
      </c>
      <c r="D461" s="16">
        <v>45958</v>
      </c>
      <c r="E461" s="15" t="s">
        <v>2</v>
      </c>
      <c r="F461" s="29">
        <v>0</v>
      </c>
      <c r="G461" s="29">
        <v>0</v>
      </c>
      <c r="H461" s="29">
        <v>25343</v>
      </c>
      <c r="I461" s="15">
        <v>30</v>
      </c>
      <c r="J461" s="15">
        <v>78</v>
      </c>
      <c r="K461" s="30">
        <v>208000</v>
      </c>
      <c r="L461" s="17">
        <v>45991</v>
      </c>
      <c r="M461" s="18">
        <v>25343</v>
      </c>
      <c r="N461" s="16">
        <v>45986</v>
      </c>
      <c r="O461" s="19"/>
      <c r="P461" s="20">
        <v>843</v>
      </c>
      <c r="Q461" s="29">
        <v>24500</v>
      </c>
      <c r="R461" s="9" t="s">
        <v>180</v>
      </c>
    </row>
    <row r="462" spans="1:19" ht="12" customHeight="1" x14ac:dyDescent="0.25">
      <c r="A462" s="14"/>
      <c r="B462" s="15" t="s">
        <v>155</v>
      </c>
      <c r="C462" s="29">
        <v>32000</v>
      </c>
      <c r="D462" s="16">
        <v>45958</v>
      </c>
      <c r="E462" s="15" t="s">
        <v>2</v>
      </c>
      <c r="F462" s="29">
        <v>0</v>
      </c>
      <c r="G462" s="29">
        <v>0</v>
      </c>
      <c r="H462" s="29">
        <v>33100</v>
      </c>
      <c r="I462" s="15">
        <v>30</v>
      </c>
      <c r="J462" s="15">
        <v>78</v>
      </c>
      <c r="K462" s="30">
        <v>208000</v>
      </c>
      <c r="L462" s="17">
        <v>45991</v>
      </c>
      <c r="M462" s="18">
        <v>33100</v>
      </c>
      <c r="N462" s="16">
        <v>45986</v>
      </c>
      <c r="O462" s="19"/>
      <c r="P462" s="20">
        <v>1100</v>
      </c>
      <c r="Q462" s="29">
        <v>32000</v>
      </c>
      <c r="R462" s="9" t="s">
        <v>180</v>
      </c>
    </row>
    <row r="463" spans="1:19" ht="12" customHeight="1" x14ac:dyDescent="0.25">
      <c r="A463" s="14"/>
      <c r="B463" s="15" t="s">
        <v>156</v>
      </c>
      <c r="C463" s="29">
        <v>15456</v>
      </c>
      <c r="D463" s="16">
        <v>45958</v>
      </c>
      <c r="E463" s="15" t="s">
        <v>2</v>
      </c>
      <c r="F463" s="29">
        <v>0</v>
      </c>
      <c r="G463" s="29">
        <v>0</v>
      </c>
      <c r="H463" s="29">
        <v>15732</v>
      </c>
      <c r="I463" s="15">
        <v>10</v>
      </c>
      <c r="J463" s="15">
        <v>113</v>
      </c>
      <c r="K463" s="30">
        <v>130000</v>
      </c>
      <c r="L463" s="17">
        <v>45970</v>
      </c>
      <c r="M463" s="18">
        <v>15732</v>
      </c>
      <c r="N463" s="16">
        <v>45967</v>
      </c>
      <c r="O463" s="19"/>
      <c r="P463" s="20">
        <v>276</v>
      </c>
      <c r="Q463" s="29">
        <v>15456</v>
      </c>
      <c r="R463" s="9" t="s">
        <v>180</v>
      </c>
    </row>
    <row r="464" spans="1:19" ht="12" customHeight="1" x14ac:dyDescent="0.25">
      <c r="A464" s="14"/>
      <c r="B464" s="15" t="s">
        <v>157</v>
      </c>
      <c r="C464" s="29">
        <v>12189</v>
      </c>
      <c r="D464" s="16">
        <v>45958</v>
      </c>
      <c r="E464" s="15" t="s">
        <v>4</v>
      </c>
      <c r="F464" s="29">
        <v>13424.84</v>
      </c>
      <c r="G464" s="29">
        <v>13424.84</v>
      </c>
      <c r="H464" s="29">
        <v>13424.84</v>
      </c>
      <c r="I464" s="15">
        <v>90</v>
      </c>
      <c r="J464" s="15">
        <v>136</v>
      </c>
      <c r="K464" s="30">
        <v>300000</v>
      </c>
      <c r="L464" s="17">
        <v>46048</v>
      </c>
      <c r="M464" s="18">
        <v>0</v>
      </c>
      <c r="N464" s="16"/>
      <c r="O464" s="19">
        <v>154</v>
      </c>
      <c r="P464" s="20">
        <v>0</v>
      </c>
      <c r="Q464" s="29">
        <v>0</v>
      </c>
      <c r="R464" s="9" t="s">
        <v>180</v>
      </c>
      <c r="S464" s="10" t="s">
        <v>980</v>
      </c>
    </row>
    <row r="465" spans="1:19" ht="12" customHeight="1" x14ac:dyDescent="0.25">
      <c r="A465" s="14"/>
      <c r="B465" s="15" t="s">
        <v>158</v>
      </c>
      <c r="C465" s="29">
        <v>57672.65</v>
      </c>
      <c r="D465" s="16">
        <v>45958</v>
      </c>
      <c r="E465" s="15" t="s">
        <v>4</v>
      </c>
      <c r="F465" s="29">
        <v>63730.14</v>
      </c>
      <c r="G465" s="29">
        <v>63730.14</v>
      </c>
      <c r="H465" s="29">
        <v>63730.14</v>
      </c>
      <c r="I465" s="15">
        <v>90</v>
      </c>
      <c r="J465" s="15">
        <v>136</v>
      </c>
      <c r="K465" s="30">
        <v>300000</v>
      </c>
      <c r="L465" s="17">
        <v>46048</v>
      </c>
      <c r="M465" s="18">
        <v>0</v>
      </c>
      <c r="N465" s="16"/>
      <c r="O465" s="19">
        <v>154</v>
      </c>
      <c r="P465" s="20">
        <v>0</v>
      </c>
      <c r="Q465" s="29">
        <v>0</v>
      </c>
      <c r="R465" s="9" t="s">
        <v>180</v>
      </c>
      <c r="S465" s="10" t="s">
        <v>980</v>
      </c>
    </row>
    <row r="466" spans="1:19" ht="12" customHeight="1" x14ac:dyDescent="0.25">
      <c r="A466" s="14"/>
      <c r="B466" s="15" t="s">
        <v>159</v>
      </c>
      <c r="C466" s="29">
        <v>98301</v>
      </c>
      <c r="D466" s="16">
        <v>45958</v>
      </c>
      <c r="E466" s="15" t="s">
        <v>2</v>
      </c>
      <c r="F466" s="29">
        <v>0</v>
      </c>
      <c r="G466" s="29">
        <v>0</v>
      </c>
      <c r="H466" s="29">
        <v>99996.7</v>
      </c>
      <c r="I466" s="15">
        <v>10</v>
      </c>
      <c r="J466" s="15">
        <v>140</v>
      </c>
      <c r="K466" s="30">
        <v>100000</v>
      </c>
      <c r="L466" s="17">
        <v>45970</v>
      </c>
      <c r="M466" s="18">
        <v>99997</v>
      </c>
      <c r="N466" s="16">
        <v>45970</v>
      </c>
      <c r="O466" s="19"/>
      <c r="P466" s="20">
        <v>1695.7</v>
      </c>
      <c r="Q466" s="29">
        <v>98301.3</v>
      </c>
      <c r="R466" s="9" t="s">
        <v>180</v>
      </c>
    </row>
    <row r="467" spans="1:19" ht="12" customHeight="1" x14ac:dyDescent="0.25">
      <c r="A467" s="14"/>
      <c r="B467" s="15" t="s">
        <v>160</v>
      </c>
      <c r="C467" s="29">
        <v>93000</v>
      </c>
      <c r="D467" s="16">
        <v>45958</v>
      </c>
      <c r="E467" s="15" t="s">
        <v>2</v>
      </c>
      <c r="F467" s="29">
        <v>0</v>
      </c>
      <c r="G467" s="29">
        <v>0</v>
      </c>
      <c r="H467" s="29">
        <v>98347.5</v>
      </c>
      <c r="I467" s="15">
        <v>30</v>
      </c>
      <c r="J467" s="15">
        <v>146</v>
      </c>
      <c r="K467" s="30">
        <v>100000</v>
      </c>
      <c r="L467" s="17">
        <v>45988</v>
      </c>
      <c r="M467" s="18">
        <v>98347.51</v>
      </c>
      <c r="N467" s="16">
        <v>45988</v>
      </c>
      <c r="O467" s="19"/>
      <c r="P467" s="20">
        <v>5347.5</v>
      </c>
      <c r="Q467" s="29">
        <v>93000.01</v>
      </c>
      <c r="R467" s="9" t="s">
        <v>180</v>
      </c>
    </row>
    <row r="468" spans="1:19" ht="12" customHeight="1" x14ac:dyDescent="0.25">
      <c r="A468" s="14"/>
      <c r="B468" s="15" t="s">
        <v>161</v>
      </c>
      <c r="C468" s="29">
        <v>108451</v>
      </c>
      <c r="D468" s="16">
        <v>45958</v>
      </c>
      <c r="E468" s="15" t="s">
        <v>2</v>
      </c>
      <c r="F468" s="29">
        <v>0</v>
      </c>
      <c r="G468" s="29">
        <v>0</v>
      </c>
      <c r="H468" s="29">
        <v>120007.67</v>
      </c>
      <c r="I468" s="15">
        <v>90</v>
      </c>
      <c r="J468" s="15">
        <v>144</v>
      </c>
      <c r="K468" s="30">
        <v>120000</v>
      </c>
      <c r="L468" s="17">
        <v>46048</v>
      </c>
      <c r="M468" s="18">
        <v>120000</v>
      </c>
      <c r="N468" s="16">
        <v>46085</v>
      </c>
      <c r="O468" s="19"/>
      <c r="P468" s="20">
        <v>11555.93</v>
      </c>
      <c r="Q468" s="29">
        <v>108444.07</v>
      </c>
      <c r="R468" s="9" t="s">
        <v>180</v>
      </c>
    </row>
    <row r="469" spans="1:19" ht="12" customHeight="1" x14ac:dyDescent="0.25">
      <c r="A469" s="14"/>
      <c r="B469" s="15" t="s">
        <v>162</v>
      </c>
      <c r="C469" s="29">
        <v>65250</v>
      </c>
      <c r="D469" s="16">
        <v>45958</v>
      </c>
      <c r="E469" s="15" t="s">
        <v>4</v>
      </c>
      <c r="F469" s="29">
        <v>37000</v>
      </c>
      <c r="G469" s="29">
        <v>37000</v>
      </c>
      <c r="H469" s="29">
        <v>72000</v>
      </c>
      <c r="I469" s="15">
        <v>90</v>
      </c>
      <c r="J469" s="15">
        <v>148</v>
      </c>
      <c r="K469" s="30">
        <v>74000</v>
      </c>
      <c r="L469" s="17">
        <v>46048</v>
      </c>
      <c r="M469" s="18">
        <v>35000</v>
      </c>
      <c r="N469" s="16">
        <v>46097</v>
      </c>
      <c r="O469" s="19">
        <v>154</v>
      </c>
      <c r="P469" s="20">
        <v>3281.25</v>
      </c>
      <c r="Q469" s="29">
        <v>31718.75</v>
      </c>
      <c r="R469" s="9" t="s">
        <v>180</v>
      </c>
      <c r="S469" s="10" t="s">
        <v>981</v>
      </c>
    </row>
    <row r="470" spans="1:19" ht="12" customHeight="1" x14ac:dyDescent="0.25">
      <c r="A470" s="14"/>
      <c r="B470" s="15" t="s">
        <v>163</v>
      </c>
      <c r="C470" s="29">
        <v>288000</v>
      </c>
      <c r="D470" s="16">
        <v>45959</v>
      </c>
      <c r="E470" s="15" t="s">
        <v>2</v>
      </c>
      <c r="F470" s="29">
        <v>0</v>
      </c>
      <c r="G470" s="29">
        <v>0</v>
      </c>
      <c r="H470" s="29">
        <v>297850</v>
      </c>
      <c r="I470" s="15">
        <v>30</v>
      </c>
      <c r="J470" s="15">
        <v>15</v>
      </c>
      <c r="K470" s="30">
        <v>2300000</v>
      </c>
      <c r="L470" s="17">
        <v>45991</v>
      </c>
      <c r="M470" s="18">
        <v>297850</v>
      </c>
      <c r="N470" s="16">
        <v>45991</v>
      </c>
      <c r="O470" s="19"/>
      <c r="P470" s="20">
        <v>9850</v>
      </c>
      <c r="Q470" s="29">
        <v>288000</v>
      </c>
      <c r="R470" s="9" t="s">
        <v>180</v>
      </c>
    </row>
    <row r="471" spans="1:19" ht="12" customHeight="1" x14ac:dyDescent="0.25">
      <c r="A471" s="14"/>
      <c r="B471" s="15" t="s">
        <v>164</v>
      </c>
      <c r="C471" s="29">
        <v>150000</v>
      </c>
      <c r="D471" s="16">
        <v>45959</v>
      </c>
      <c r="E471" s="15" t="s">
        <v>2</v>
      </c>
      <c r="F471" s="29">
        <v>0</v>
      </c>
      <c r="G471" s="29">
        <v>0</v>
      </c>
      <c r="H471" s="29">
        <v>155175</v>
      </c>
      <c r="I471" s="15">
        <v>30</v>
      </c>
      <c r="J471" s="15">
        <v>17</v>
      </c>
      <c r="K471" s="30">
        <v>2400000</v>
      </c>
      <c r="L471" s="17">
        <v>45991</v>
      </c>
      <c r="M471" s="18">
        <v>155175</v>
      </c>
      <c r="N471" s="16">
        <v>45991</v>
      </c>
      <c r="O471" s="19"/>
      <c r="P471" s="20">
        <v>5175</v>
      </c>
      <c r="Q471" s="29">
        <v>150000</v>
      </c>
      <c r="R471" s="9" t="s">
        <v>180</v>
      </c>
    </row>
    <row r="472" spans="1:19" ht="12" customHeight="1" x14ac:dyDescent="0.25">
      <c r="A472" s="14"/>
      <c r="B472" s="15" t="s">
        <v>165</v>
      </c>
      <c r="C472" s="29">
        <v>5962</v>
      </c>
      <c r="D472" s="16">
        <v>45959</v>
      </c>
      <c r="E472" s="15" t="s">
        <v>2</v>
      </c>
      <c r="F472" s="29">
        <v>0</v>
      </c>
      <c r="G472" s="29">
        <v>0</v>
      </c>
      <c r="H472" s="29">
        <v>6373.37</v>
      </c>
      <c r="I472" s="15">
        <v>60</v>
      </c>
      <c r="J472" s="15">
        <v>91</v>
      </c>
      <c r="K472" s="30">
        <v>61000</v>
      </c>
      <c r="L472" s="17">
        <v>46019</v>
      </c>
      <c r="M472" s="18">
        <v>6373</v>
      </c>
      <c r="N472" s="16">
        <v>46020</v>
      </c>
      <c r="O472" s="19"/>
      <c r="P472" s="20">
        <v>411.34</v>
      </c>
      <c r="Q472" s="29">
        <v>5961.66</v>
      </c>
      <c r="R472" s="9" t="s">
        <v>180</v>
      </c>
    </row>
    <row r="473" spans="1:19" ht="12" customHeight="1" x14ac:dyDescent="0.25">
      <c r="A473" s="14"/>
      <c r="B473" s="15" t="s">
        <v>166</v>
      </c>
      <c r="C473" s="29">
        <v>18646</v>
      </c>
      <c r="D473" s="16">
        <v>45959</v>
      </c>
      <c r="E473" s="15" t="s">
        <v>2</v>
      </c>
      <c r="F473" s="29">
        <v>0</v>
      </c>
      <c r="G473" s="29">
        <v>0</v>
      </c>
      <c r="H473" s="29">
        <v>20569.89</v>
      </c>
      <c r="I473" s="15">
        <v>90</v>
      </c>
      <c r="J473" s="15">
        <v>113</v>
      </c>
      <c r="K473" s="30">
        <v>130000</v>
      </c>
      <c r="L473" s="17">
        <v>46050</v>
      </c>
      <c r="M473" s="18">
        <v>20570</v>
      </c>
      <c r="N473" s="16">
        <v>46049</v>
      </c>
      <c r="O473" s="19"/>
      <c r="P473" s="20">
        <v>1923.9</v>
      </c>
      <c r="Q473" s="29">
        <v>18646.099999999999</v>
      </c>
      <c r="R473" s="9" t="s">
        <v>180</v>
      </c>
    </row>
    <row r="474" spans="1:19" ht="12" customHeight="1" x14ac:dyDescent="0.25">
      <c r="A474" s="14"/>
      <c r="B474" s="15" t="s">
        <v>167</v>
      </c>
      <c r="C474" s="29">
        <v>22700</v>
      </c>
      <c r="D474" s="16">
        <v>45959</v>
      </c>
      <c r="E474" s="15" t="s">
        <v>4</v>
      </c>
      <c r="F474" s="29">
        <v>25049.45</v>
      </c>
      <c r="G474" s="29">
        <v>25049.45</v>
      </c>
      <c r="H474" s="29">
        <v>25049.45</v>
      </c>
      <c r="I474" s="15">
        <v>90</v>
      </c>
      <c r="J474" s="15">
        <v>124</v>
      </c>
      <c r="K474" s="30">
        <v>140000</v>
      </c>
      <c r="L474" s="17">
        <v>46049</v>
      </c>
      <c r="M474" s="18">
        <v>0</v>
      </c>
      <c r="N474" s="16"/>
      <c r="O474" s="19">
        <v>153</v>
      </c>
      <c r="P474" s="20">
        <v>0</v>
      </c>
      <c r="Q474" s="29">
        <v>0</v>
      </c>
      <c r="R474" s="9" t="s">
        <v>180</v>
      </c>
      <c r="S474" s="10" t="s">
        <v>649</v>
      </c>
    </row>
    <row r="475" spans="1:19" ht="12" customHeight="1" x14ac:dyDescent="0.25">
      <c r="A475" s="14"/>
      <c r="B475" s="15" t="s">
        <v>168</v>
      </c>
      <c r="C475" s="29">
        <v>31184</v>
      </c>
      <c r="D475" s="16">
        <v>45959</v>
      </c>
      <c r="E475" s="15" t="s">
        <v>4</v>
      </c>
      <c r="F475" s="29">
        <v>34411</v>
      </c>
      <c r="G475" s="29">
        <v>34411</v>
      </c>
      <c r="H475" s="29">
        <v>34411</v>
      </c>
      <c r="I475" s="15">
        <v>90</v>
      </c>
      <c r="J475" s="15">
        <v>136</v>
      </c>
      <c r="K475" s="30">
        <v>300000</v>
      </c>
      <c r="L475" s="17">
        <v>46049</v>
      </c>
      <c r="M475" s="18">
        <v>0</v>
      </c>
      <c r="N475" s="16"/>
      <c r="O475" s="19">
        <v>153</v>
      </c>
      <c r="P475" s="20">
        <v>0</v>
      </c>
      <c r="Q475" s="29">
        <v>0</v>
      </c>
      <c r="R475" s="9" t="s">
        <v>180</v>
      </c>
      <c r="S475" s="10" t="s">
        <v>980</v>
      </c>
    </row>
    <row r="476" spans="1:19" ht="12" customHeight="1" x14ac:dyDescent="0.25">
      <c r="A476" s="14"/>
      <c r="B476" s="15" t="s">
        <v>169</v>
      </c>
      <c r="C476" s="29">
        <v>49876</v>
      </c>
      <c r="D476" s="16">
        <v>45959</v>
      </c>
      <c r="E476" s="15" t="s">
        <v>4</v>
      </c>
      <c r="F476" s="29">
        <v>54353.89</v>
      </c>
      <c r="G476" s="29">
        <v>54353.89</v>
      </c>
      <c r="H476" s="29">
        <v>55038.16</v>
      </c>
      <c r="I476" s="15">
        <v>90</v>
      </c>
      <c r="J476" s="15">
        <v>147</v>
      </c>
      <c r="K476" s="30">
        <v>55000</v>
      </c>
      <c r="L476" s="17">
        <v>46049</v>
      </c>
      <c r="M476" s="18">
        <v>684.27</v>
      </c>
      <c r="N476" s="16">
        <v>46093</v>
      </c>
      <c r="O476" s="19">
        <v>153</v>
      </c>
      <c r="P476" s="20">
        <v>64.180000000000007</v>
      </c>
      <c r="Q476" s="29">
        <v>620.09</v>
      </c>
      <c r="R476" s="9" t="s">
        <v>180</v>
      </c>
      <c r="S476" s="10" t="s">
        <v>974</v>
      </c>
    </row>
    <row r="477" spans="1:19" ht="12" customHeight="1" x14ac:dyDescent="0.25">
      <c r="A477" s="14"/>
      <c r="B477" s="15" t="s">
        <v>170</v>
      </c>
      <c r="C477" s="29">
        <v>355500</v>
      </c>
      <c r="D477" s="16">
        <v>45960</v>
      </c>
      <c r="E477" s="15" t="s">
        <v>2</v>
      </c>
      <c r="F477" s="29">
        <v>0</v>
      </c>
      <c r="G477" s="29">
        <v>0</v>
      </c>
      <c r="H477" s="29">
        <v>357540</v>
      </c>
      <c r="I477" s="15">
        <v>4</v>
      </c>
      <c r="J477" s="15">
        <v>5</v>
      </c>
      <c r="K477" s="30">
        <v>1600000</v>
      </c>
      <c r="L477" s="17">
        <v>45964</v>
      </c>
      <c r="M477" s="18">
        <v>357540</v>
      </c>
      <c r="N477" s="16">
        <v>45962</v>
      </c>
      <c r="O477" s="19"/>
      <c r="P477" s="20">
        <v>2040</v>
      </c>
      <c r="Q477" s="29">
        <v>355500</v>
      </c>
      <c r="R477" s="9" t="s">
        <v>180</v>
      </c>
    </row>
    <row r="478" spans="1:19" ht="12" customHeight="1" x14ac:dyDescent="0.25">
      <c r="A478" s="14"/>
      <c r="B478" s="15" t="s">
        <v>171</v>
      </c>
      <c r="C478" s="29">
        <v>644500</v>
      </c>
      <c r="D478" s="16">
        <v>45960</v>
      </c>
      <c r="E478" s="15" t="s">
        <v>2</v>
      </c>
      <c r="F478" s="29">
        <v>0</v>
      </c>
      <c r="G478" s="29">
        <v>0</v>
      </c>
      <c r="H478" s="29">
        <v>648200</v>
      </c>
      <c r="I478" s="15">
        <v>4</v>
      </c>
      <c r="J478" s="15">
        <v>5</v>
      </c>
      <c r="K478" s="30">
        <v>1600000</v>
      </c>
      <c r="L478" s="17">
        <v>45964</v>
      </c>
      <c r="M478" s="18">
        <v>648200</v>
      </c>
      <c r="N478" s="16">
        <v>45962</v>
      </c>
      <c r="O478" s="19"/>
      <c r="P478" s="20">
        <v>3700</v>
      </c>
      <c r="Q478" s="29">
        <v>644500</v>
      </c>
      <c r="R478" s="9" t="s">
        <v>180</v>
      </c>
    </row>
    <row r="479" spans="1:19" ht="12" customHeight="1" x14ac:dyDescent="0.25">
      <c r="A479" s="14"/>
      <c r="B479" s="15" t="s">
        <v>172</v>
      </c>
      <c r="C479" s="29">
        <v>170855</v>
      </c>
      <c r="D479" s="16">
        <v>45960</v>
      </c>
      <c r="E479" s="15" t="s">
        <v>2</v>
      </c>
      <c r="F479" s="29">
        <v>0</v>
      </c>
      <c r="G479" s="29">
        <v>0</v>
      </c>
      <c r="H479" s="29">
        <v>171830.03</v>
      </c>
      <c r="I479" s="15">
        <v>4</v>
      </c>
      <c r="J479" s="15">
        <v>5</v>
      </c>
      <c r="K479" s="30">
        <v>1600000</v>
      </c>
      <c r="L479" s="17">
        <v>45964</v>
      </c>
      <c r="M479" s="18">
        <v>171830.02</v>
      </c>
      <c r="N479" s="16">
        <v>45962</v>
      </c>
      <c r="O479" s="19"/>
      <c r="P479" s="20">
        <v>975.03</v>
      </c>
      <c r="Q479" s="29">
        <v>170854.99</v>
      </c>
      <c r="R479" s="9" t="s">
        <v>180</v>
      </c>
    </row>
    <row r="480" spans="1:19" ht="12" customHeight="1" x14ac:dyDescent="0.25">
      <c r="A480" s="14"/>
      <c r="B480" s="15" t="s">
        <v>173</v>
      </c>
      <c r="C480" s="29">
        <v>830000</v>
      </c>
      <c r="D480" s="16">
        <v>45960</v>
      </c>
      <c r="E480" s="15" t="s">
        <v>2</v>
      </c>
      <c r="F480" s="29">
        <v>0</v>
      </c>
      <c r="G480" s="29">
        <v>0</v>
      </c>
      <c r="H480" s="29">
        <v>834732</v>
      </c>
      <c r="I480" s="15">
        <v>4</v>
      </c>
      <c r="J480" s="15">
        <v>5</v>
      </c>
      <c r="K480" s="30">
        <v>1600000</v>
      </c>
      <c r="L480" s="17">
        <v>45967</v>
      </c>
      <c r="M480" s="18">
        <v>834732</v>
      </c>
      <c r="N480" s="16">
        <v>45962</v>
      </c>
      <c r="O480" s="19"/>
      <c r="P480" s="20">
        <v>4732</v>
      </c>
      <c r="Q480" s="29">
        <v>830000</v>
      </c>
      <c r="R480" s="9" t="s">
        <v>180</v>
      </c>
    </row>
    <row r="481" spans="1:19" ht="12" customHeight="1" x14ac:dyDescent="0.25">
      <c r="A481" s="14"/>
      <c r="B481" s="15" t="s">
        <v>102</v>
      </c>
      <c r="C481" s="29">
        <v>0</v>
      </c>
      <c r="D481" s="16">
        <v>45960</v>
      </c>
      <c r="E481" s="15" t="s">
        <v>2</v>
      </c>
      <c r="F481" s="29">
        <v>0</v>
      </c>
      <c r="G481" s="29">
        <v>0</v>
      </c>
      <c r="H481" s="29">
        <v>930</v>
      </c>
      <c r="I481" s="15">
        <v>0</v>
      </c>
      <c r="J481" s="15">
        <v>47</v>
      </c>
      <c r="K481" s="30">
        <v>50000</v>
      </c>
      <c r="L481" s="17">
        <v>45960</v>
      </c>
      <c r="M481" s="18">
        <v>931</v>
      </c>
      <c r="N481" s="16">
        <v>45966</v>
      </c>
      <c r="O481" s="19"/>
      <c r="P481" s="20">
        <v>931</v>
      </c>
      <c r="Q481" s="29">
        <v>0</v>
      </c>
      <c r="R481" s="9" t="s">
        <v>180</v>
      </c>
    </row>
    <row r="482" spans="1:19" ht="12" customHeight="1" x14ac:dyDescent="0.25">
      <c r="A482" s="14"/>
      <c r="B482" s="15" t="s">
        <v>174</v>
      </c>
      <c r="C482" s="29">
        <v>13747</v>
      </c>
      <c r="D482" s="16">
        <v>45960</v>
      </c>
      <c r="E482" s="15" t="s">
        <v>2</v>
      </c>
      <c r="F482" s="29">
        <v>0</v>
      </c>
      <c r="G482" s="29">
        <v>0</v>
      </c>
      <c r="H482" s="29">
        <v>15459.87</v>
      </c>
      <c r="I482" s="15">
        <v>65</v>
      </c>
      <c r="J482" s="15">
        <v>54</v>
      </c>
      <c r="K482" s="30">
        <v>117000</v>
      </c>
      <c r="L482" s="17">
        <v>46028</v>
      </c>
      <c r="M482" s="18">
        <v>15460.31</v>
      </c>
      <c r="N482" s="16">
        <v>46028</v>
      </c>
      <c r="O482" s="19"/>
      <c r="P482" s="20">
        <v>1712.92</v>
      </c>
      <c r="Q482" s="29">
        <v>13747.39</v>
      </c>
      <c r="R482" s="9" t="s">
        <v>180</v>
      </c>
    </row>
    <row r="483" spans="1:19" ht="12" customHeight="1" x14ac:dyDescent="0.25">
      <c r="A483" s="14"/>
      <c r="B483" s="15" t="s">
        <v>132</v>
      </c>
      <c r="C483" s="29">
        <v>0</v>
      </c>
      <c r="D483" s="16">
        <v>45960</v>
      </c>
      <c r="E483" s="15" t="s">
        <v>4</v>
      </c>
      <c r="F483" s="29">
        <v>911</v>
      </c>
      <c r="G483" s="29">
        <v>911</v>
      </c>
      <c r="H483" s="29">
        <v>911</v>
      </c>
      <c r="I483" s="15">
        <v>0</v>
      </c>
      <c r="J483" s="15">
        <v>82</v>
      </c>
      <c r="K483" s="30">
        <v>79000</v>
      </c>
      <c r="L483" s="17">
        <v>45960</v>
      </c>
      <c r="M483" s="18">
        <v>0</v>
      </c>
      <c r="N483" s="16"/>
      <c r="O483" s="19">
        <v>152</v>
      </c>
      <c r="P483" s="20">
        <v>0</v>
      </c>
      <c r="Q483" s="29">
        <v>0</v>
      </c>
      <c r="R483" s="9" t="s">
        <v>180</v>
      </c>
      <c r="S483" s="10" t="s">
        <v>978</v>
      </c>
    </row>
    <row r="484" spans="1:19" ht="12" customHeight="1" x14ac:dyDescent="0.25">
      <c r="A484" s="14"/>
      <c r="B484" s="15" t="s">
        <v>175</v>
      </c>
      <c r="C484" s="29">
        <v>100002</v>
      </c>
      <c r="D484" s="16">
        <v>45960</v>
      </c>
      <c r="E484" s="15" t="s">
        <v>2</v>
      </c>
      <c r="F484" s="29">
        <v>0</v>
      </c>
      <c r="G484" s="29">
        <v>0</v>
      </c>
      <c r="H484" s="29">
        <v>110350.08</v>
      </c>
      <c r="I484" s="15">
        <v>90</v>
      </c>
      <c r="J484" s="15">
        <v>115</v>
      </c>
      <c r="K484" s="30">
        <v>530000</v>
      </c>
      <c r="L484" s="17">
        <v>46050</v>
      </c>
      <c r="M484" s="18">
        <v>110350</v>
      </c>
      <c r="N484" s="16">
        <v>46061</v>
      </c>
      <c r="O484" s="19"/>
      <c r="P484" s="20">
        <v>10348.07</v>
      </c>
      <c r="Q484" s="29">
        <v>100001.93</v>
      </c>
      <c r="R484" s="9" t="s">
        <v>180</v>
      </c>
    </row>
    <row r="485" spans="1:19" ht="12" customHeight="1" x14ac:dyDescent="0.25">
      <c r="A485" s="14"/>
      <c r="B485" s="15" t="s">
        <v>176</v>
      </c>
      <c r="C485" s="29">
        <v>8965</v>
      </c>
      <c r="D485" s="16">
        <v>45960</v>
      </c>
      <c r="E485" s="15" t="s">
        <v>4</v>
      </c>
      <c r="F485" s="29">
        <v>10000</v>
      </c>
      <c r="G485" s="29">
        <v>10000</v>
      </c>
      <c r="H485" s="29">
        <v>10000</v>
      </c>
      <c r="I485" s="15">
        <v>90</v>
      </c>
      <c r="J485" s="15">
        <v>152</v>
      </c>
      <c r="K485" s="30">
        <v>10000</v>
      </c>
      <c r="L485" s="17">
        <v>46050</v>
      </c>
      <c r="M485" s="18">
        <v>0</v>
      </c>
      <c r="N485" s="16"/>
      <c r="O485" s="19">
        <v>152</v>
      </c>
      <c r="P485" s="20">
        <v>0</v>
      </c>
      <c r="Q485" s="29">
        <v>0</v>
      </c>
      <c r="R485" s="9" t="s">
        <v>180</v>
      </c>
      <c r="S485" s="10" t="s">
        <v>975</v>
      </c>
    </row>
    <row r="486" spans="1:19" ht="12" customHeight="1" x14ac:dyDescent="0.25">
      <c r="A486" s="14"/>
      <c r="B486" s="15" t="s">
        <v>177</v>
      </c>
      <c r="C486" s="29">
        <v>32954</v>
      </c>
      <c r="D486" s="16">
        <v>45960</v>
      </c>
      <c r="E486" s="15" t="s">
        <v>4</v>
      </c>
      <c r="F486" s="29">
        <v>36364.74</v>
      </c>
      <c r="G486" s="29">
        <v>36364.74</v>
      </c>
      <c r="H486" s="29">
        <v>36364.74</v>
      </c>
      <c r="I486" s="15">
        <v>90</v>
      </c>
      <c r="J486" s="15">
        <v>136</v>
      </c>
      <c r="K486" s="30">
        <v>300000</v>
      </c>
      <c r="L486" s="17">
        <v>46050</v>
      </c>
      <c r="M486" s="18">
        <v>0</v>
      </c>
      <c r="N486" s="16"/>
      <c r="O486" s="19">
        <v>152</v>
      </c>
      <c r="P486" s="20">
        <v>0</v>
      </c>
      <c r="Q486" s="29">
        <v>0</v>
      </c>
      <c r="R486" s="9" t="s">
        <v>180</v>
      </c>
      <c r="S486" s="10" t="s">
        <v>980</v>
      </c>
    </row>
    <row r="487" spans="1:19" ht="12" customHeight="1" x14ac:dyDescent="0.25">
      <c r="A487" s="14"/>
      <c r="B487" s="15" t="s">
        <v>178</v>
      </c>
      <c r="C487" s="29">
        <v>418600</v>
      </c>
      <c r="D487" s="16">
        <v>45960</v>
      </c>
      <c r="E487" s="15" t="s">
        <v>2</v>
      </c>
      <c r="F487" s="29">
        <v>0</v>
      </c>
      <c r="G487" s="29">
        <v>0</v>
      </c>
      <c r="H487" s="29">
        <v>461925</v>
      </c>
      <c r="I487" s="15">
        <v>90</v>
      </c>
      <c r="J487" s="15">
        <v>160</v>
      </c>
      <c r="K487" s="30">
        <v>520000</v>
      </c>
      <c r="L487" s="17">
        <v>46050</v>
      </c>
      <c r="M487" s="18">
        <v>461925</v>
      </c>
      <c r="N487" s="16">
        <v>46051</v>
      </c>
      <c r="O487" s="19"/>
      <c r="P487" s="20">
        <v>43325</v>
      </c>
      <c r="Q487" s="29">
        <v>418600</v>
      </c>
      <c r="R487" s="9" t="s">
        <v>180</v>
      </c>
    </row>
    <row r="488" spans="1:19" ht="12" customHeight="1" x14ac:dyDescent="0.25">
      <c r="A488" s="14"/>
      <c r="B488" s="15" t="s">
        <v>455</v>
      </c>
      <c r="C488" s="29">
        <v>250441</v>
      </c>
      <c r="D488" s="16">
        <v>45963</v>
      </c>
      <c r="E488" s="15" t="s">
        <v>2</v>
      </c>
      <c r="F488" s="29">
        <v>0</v>
      </c>
      <c r="G488" s="29">
        <v>0</v>
      </c>
      <c r="H488" s="29">
        <v>259080</v>
      </c>
      <c r="I488" s="15">
        <v>30</v>
      </c>
      <c r="J488" s="15">
        <v>6</v>
      </c>
      <c r="K488" s="30">
        <v>810000</v>
      </c>
      <c r="L488" s="17">
        <v>45993</v>
      </c>
      <c r="M488" s="18">
        <v>259080</v>
      </c>
      <c r="N488" s="16">
        <v>45994</v>
      </c>
      <c r="O488" s="19"/>
      <c r="P488" s="20">
        <v>8639</v>
      </c>
      <c r="Q488" s="29">
        <v>250441</v>
      </c>
      <c r="R488" s="9" t="s">
        <v>180</v>
      </c>
    </row>
    <row r="489" spans="1:19" ht="12" customHeight="1" x14ac:dyDescent="0.25">
      <c r="A489" s="14"/>
      <c r="B489" s="15" t="s">
        <v>456</v>
      </c>
      <c r="C489" s="29">
        <v>49998</v>
      </c>
      <c r="D489" s="16">
        <v>45963</v>
      </c>
      <c r="E489" s="15" t="s">
        <v>2</v>
      </c>
      <c r="F489" s="29">
        <v>0</v>
      </c>
      <c r="G489" s="29">
        <v>0</v>
      </c>
      <c r="H489" s="29">
        <v>51728</v>
      </c>
      <c r="I489" s="15">
        <v>30</v>
      </c>
      <c r="J489" s="15">
        <v>22</v>
      </c>
      <c r="K489" s="30">
        <v>200000</v>
      </c>
      <c r="L489" s="17">
        <v>45993</v>
      </c>
      <c r="M489" s="18">
        <v>51728</v>
      </c>
      <c r="N489" s="16">
        <v>45992</v>
      </c>
      <c r="O489" s="19"/>
      <c r="P489" s="20">
        <v>1730</v>
      </c>
      <c r="Q489" s="29">
        <v>49998</v>
      </c>
      <c r="R489" s="9" t="s">
        <v>180</v>
      </c>
    </row>
    <row r="490" spans="1:19" ht="12" customHeight="1" x14ac:dyDescent="0.25">
      <c r="A490" s="14"/>
      <c r="B490" s="15" t="s">
        <v>181</v>
      </c>
      <c r="C490" s="29">
        <v>30536</v>
      </c>
      <c r="D490" s="16">
        <v>45963</v>
      </c>
      <c r="E490" s="15" t="s">
        <v>2</v>
      </c>
      <c r="F490" s="29">
        <v>0</v>
      </c>
      <c r="G490" s="29">
        <v>0</v>
      </c>
      <c r="H490" s="29">
        <v>31589.49</v>
      </c>
      <c r="I490" s="15">
        <v>30</v>
      </c>
      <c r="J490" s="15">
        <v>43</v>
      </c>
      <c r="K490" s="30">
        <v>89000</v>
      </c>
      <c r="L490" s="17">
        <v>45993</v>
      </c>
      <c r="M490" s="18">
        <v>31589.49</v>
      </c>
      <c r="N490" s="16">
        <v>46014</v>
      </c>
      <c r="O490" s="19"/>
      <c r="P490" s="20">
        <v>1053.49</v>
      </c>
      <c r="Q490" s="29">
        <v>30536</v>
      </c>
      <c r="R490" s="9" t="s">
        <v>180</v>
      </c>
    </row>
    <row r="491" spans="1:19" ht="12" customHeight="1" x14ac:dyDescent="0.25">
      <c r="A491" s="14"/>
      <c r="B491" s="15" t="s">
        <v>182</v>
      </c>
      <c r="C491" s="29">
        <v>58311</v>
      </c>
      <c r="D491" s="16">
        <v>45963</v>
      </c>
      <c r="E491" s="15" t="s">
        <v>4</v>
      </c>
      <c r="F491" s="29">
        <v>64345.5</v>
      </c>
      <c r="G491" s="29">
        <v>64345.5</v>
      </c>
      <c r="H491" s="29">
        <v>64345.5</v>
      </c>
      <c r="I491" s="15">
        <v>90</v>
      </c>
      <c r="J491" s="15">
        <v>136</v>
      </c>
      <c r="K491" s="30">
        <v>300000</v>
      </c>
      <c r="L491" s="17">
        <v>46054</v>
      </c>
      <c r="M491" s="18">
        <v>0</v>
      </c>
      <c r="N491" s="16"/>
      <c r="O491" s="19">
        <v>149</v>
      </c>
      <c r="P491" s="20">
        <v>0</v>
      </c>
      <c r="Q491" s="29">
        <v>0</v>
      </c>
      <c r="R491" s="9" t="s">
        <v>180</v>
      </c>
      <c r="S491" s="10" t="s">
        <v>980</v>
      </c>
    </row>
    <row r="492" spans="1:19" ht="12" customHeight="1" x14ac:dyDescent="0.25">
      <c r="A492" s="14"/>
      <c r="B492" s="15" t="s">
        <v>183</v>
      </c>
      <c r="C492" s="29">
        <v>72000</v>
      </c>
      <c r="D492" s="16">
        <v>45963</v>
      </c>
      <c r="E492" s="15" t="s">
        <v>2</v>
      </c>
      <c r="F492" s="29">
        <v>0</v>
      </c>
      <c r="G492" s="29">
        <v>0</v>
      </c>
      <c r="H492" s="29">
        <v>79559.990000000005</v>
      </c>
      <c r="I492" s="15">
        <v>90</v>
      </c>
      <c r="J492" s="15">
        <v>154</v>
      </c>
      <c r="K492" s="30">
        <v>80000</v>
      </c>
      <c r="L492" s="17">
        <v>46054</v>
      </c>
      <c r="M492" s="18">
        <v>79560</v>
      </c>
      <c r="N492" s="16">
        <v>46040</v>
      </c>
      <c r="O492" s="19"/>
      <c r="P492" s="20">
        <v>7559.99</v>
      </c>
      <c r="Q492" s="29">
        <v>72000.009999999995</v>
      </c>
      <c r="R492" s="9" t="s">
        <v>180</v>
      </c>
    </row>
    <row r="493" spans="1:19" ht="12" customHeight="1" x14ac:dyDescent="0.25">
      <c r="A493" s="14"/>
      <c r="B493" s="15" t="s">
        <v>457</v>
      </c>
      <c r="C493" s="29">
        <v>55620</v>
      </c>
      <c r="D493" s="16">
        <v>45963</v>
      </c>
      <c r="E493" s="15" t="s">
        <v>2</v>
      </c>
      <c r="F493" s="29">
        <v>0</v>
      </c>
      <c r="G493" s="29">
        <v>0</v>
      </c>
      <c r="H493" s="29">
        <v>56587.68</v>
      </c>
      <c r="I493" s="15">
        <v>10</v>
      </c>
      <c r="J493" s="15">
        <v>149</v>
      </c>
      <c r="K493" s="30">
        <v>87000</v>
      </c>
      <c r="L493" s="17">
        <v>45973</v>
      </c>
      <c r="M493" s="18">
        <v>56588</v>
      </c>
      <c r="N493" s="16">
        <v>45973</v>
      </c>
      <c r="O493" s="19"/>
      <c r="P493" s="20">
        <v>967.69</v>
      </c>
      <c r="Q493" s="29">
        <v>55620.31</v>
      </c>
      <c r="R493" s="9" t="s">
        <v>180</v>
      </c>
    </row>
    <row r="494" spans="1:19" ht="12" customHeight="1" x14ac:dyDescent="0.25">
      <c r="A494" s="14"/>
      <c r="B494" s="15" t="s">
        <v>184</v>
      </c>
      <c r="C494" s="29">
        <v>135860</v>
      </c>
      <c r="D494" s="16">
        <v>45963</v>
      </c>
      <c r="E494" s="15" t="s">
        <v>2</v>
      </c>
      <c r="F494" s="29">
        <v>0</v>
      </c>
      <c r="G494" s="29">
        <v>0</v>
      </c>
      <c r="H494" s="29">
        <v>149919.91</v>
      </c>
      <c r="I494" s="15">
        <v>90</v>
      </c>
      <c r="J494" s="15">
        <v>157</v>
      </c>
      <c r="K494" s="30">
        <v>195000</v>
      </c>
      <c r="L494" s="17">
        <v>46054</v>
      </c>
      <c r="M494" s="18">
        <v>149920</v>
      </c>
      <c r="N494" s="16">
        <v>46049</v>
      </c>
      <c r="O494" s="19"/>
      <c r="P494" s="20">
        <v>14059.92</v>
      </c>
      <c r="Q494" s="29">
        <v>135860.07999999999</v>
      </c>
      <c r="R494" s="9" t="s">
        <v>180</v>
      </c>
    </row>
    <row r="495" spans="1:19" ht="12" customHeight="1" x14ac:dyDescent="0.25">
      <c r="A495" s="14"/>
      <c r="B495" s="15" t="s">
        <v>185</v>
      </c>
      <c r="C495" s="29">
        <v>69598</v>
      </c>
      <c r="D495" s="16">
        <v>45963</v>
      </c>
      <c r="E495" s="15" t="s">
        <v>4</v>
      </c>
      <c r="F495" s="29">
        <v>72036.23</v>
      </c>
      <c r="G495" s="29">
        <v>72036.23</v>
      </c>
      <c r="H495" s="29">
        <v>72036.23</v>
      </c>
      <c r="I495" s="15">
        <v>30</v>
      </c>
      <c r="J495" s="15">
        <v>150</v>
      </c>
      <c r="K495" s="30">
        <v>72000</v>
      </c>
      <c r="L495" s="17">
        <v>45993</v>
      </c>
      <c r="M495" s="18">
        <v>0</v>
      </c>
      <c r="N495" s="16"/>
      <c r="O495" s="19">
        <v>149</v>
      </c>
      <c r="P495" s="20">
        <v>0</v>
      </c>
      <c r="Q495" s="29">
        <v>0</v>
      </c>
      <c r="R495" s="9" t="s">
        <v>180</v>
      </c>
      <c r="S495" s="10" t="s">
        <v>651</v>
      </c>
    </row>
    <row r="496" spans="1:19" ht="12" customHeight="1" x14ac:dyDescent="0.25">
      <c r="A496" s="14"/>
      <c r="B496" s="15" t="s">
        <v>458</v>
      </c>
      <c r="C496" s="29">
        <v>152976</v>
      </c>
      <c r="D496" s="16">
        <v>45964</v>
      </c>
      <c r="E496" s="15" t="s">
        <v>2</v>
      </c>
      <c r="F496" s="29">
        <v>0</v>
      </c>
      <c r="G496" s="29">
        <v>0</v>
      </c>
      <c r="H496" s="29">
        <v>158253.67000000001</v>
      </c>
      <c r="I496" s="15">
        <v>30</v>
      </c>
      <c r="J496" s="15">
        <v>29</v>
      </c>
      <c r="K496" s="30">
        <v>1240000</v>
      </c>
      <c r="L496" s="17">
        <v>45994</v>
      </c>
      <c r="M496" s="18">
        <v>158254.14000000001</v>
      </c>
      <c r="N496" s="16">
        <v>45994</v>
      </c>
      <c r="O496" s="19"/>
      <c r="P496" s="20">
        <v>5277.69</v>
      </c>
      <c r="Q496" s="29">
        <v>152976.45000000001</v>
      </c>
      <c r="R496" s="9" t="s">
        <v>180</v>
      </c>
    </row>
    <row r="497" spans="1:19" ht="12" customHeight="1" x14ac:dyDescent="0.25">
      <c r="A497" s="14"/>
      <c r="B497" s="15" t="s">
        <v>186</v>
      </c>
      <c r="C497" s="29">
        <v>47571</v>
      </c>
      <c r="D497" s="16">
        <v>45964</v>
      </c>
      <c r="E497" s="15" t="s">
        <v>2</v>
      </c>
      <c r="F497" s="29">
        <v>0</v>
      </c>
      <c r="G497" s="29">
        <v>0</v>
      </c>
      <c r="H497" s="29">
        <v>49235.96</v>
      </c>
      <c r="I497" s="15">
        <v>30</v>
      </c>
      <c r="J497" s="15">
        <v>139</v>
      </c>
      <c r="K497" s="30">
        <v>322000</v>
      </c>
      <c r="L497" s="17">
        <v>45994</v>
      </c>
      <c r="M497" s="18">
        <v>49236</v>
      </c>
      <c r="N497" s="16">
        <v>45998</v>
      </c>
      <c r="O497" s="19"/>
      <c r="P497" s="20">
        <v>1664.96</v>
      </c>
      <c r="Q497" s="29">
        <v>47571.040000000001</v>
      </c>
      <c r="R497" s="9" t="s">
        <v>180</v>
      </c>
    </row>
    <row r="498" spans="1:19" ht="12" customHeight="1" x14ac:dyDescent="0.25">
      <c r="A498" s="14"/>
      <c r="B498" s="15" t="s">
        <v>187</v>
      </c>
      <c r="C498" s="29">
        <v>0</v>
      </c>
      <c r="D498" s="16">
        <v>45965</v>
      </c>
      <c r="E498" s="15" t="s">
        <v>2</v>
      </c>
      <c r="F498" s="29">
        <v>0</v>
      </c>
      <c r="G498" s="29">
        <v>0</v>
      </c>
      <c r="H498" s="29">
        <v>1591</v>
      </c>
      <c r="I498" s="15">
        <v>0</v>
      </c>
      <c r="J498" s="15">
        <v>32</v>
      </c>
      <c r="K498" s="30">
        <v>70000</v>
      </c>
      <c r="L498" s="17">
        <v>45965</v>
      </c>
      <c r="M498" s="18">
        <v>1591</v>
      </c>
      <c r="N498" s="16">
        <v>46050</v>
      </c>
      <c r="O498" s="19"/>
      <c r="P498" s="20">
        <v>1591</v>
      </c>
      <c r="Q498" s="29">
        <v>0</v>
      </c>
      <c r="R498" s="9" t="s">
        <v>180</v>
      </c>
    </row>
    <row r="499" spans="1:19" ht="12" customHeight="1" x14ac:dyDescent="0.25">
      <c r="A499" s="14"/>
      <c r="B499" s="15" t="s">
        <v>188</v>
      </c>
      <c r="C499" s="29">
        <v>31000</v>
      </c>
      <c r="D499" s="16">
        <v>45965</v>
      </c>
      <c r="E499" s="15" t="s">
        <v>2</v>
      </c>
      <c r="F499" s="29">
        <v>0</v>
      </c>
      <c r="G499" s="29">
        <v>0</v>
      </c>
      <c r="H499" s="29">
        <v>32705.5</v>
      </c>
      <c r="I499" s="15">
        <v>45</v>
      </c>
      <c r="J499" s="15">
        <v>145</v>
      </c>
      <c r="K499" s="30">
        <v>33000</v>
      </c>
      <c r="L499" s="17">
        <v>46012</v>
      </c>
      <c r="M499" s="18">
        <v>32706</v>
      </c>
      <c r="N499" s="16">
        <v>46026</v>
      </c>
      <c r="O499" s="19"/>
      <c r="P499" s="20">
        <v>1705.53</v>
      </c>
      <c r="Q499" s="29">
        <v>31000.47</v>
      </c>
      <c r="R499" s="9" t="s">
        <v>180</v>
      </c>
    </row>
    <row r="500" spans="1:19" ht="12" customHeight="1" x14ac:dyDescent="0.25">
      <c r="A500" s="14"/>
      <c r="B500" s="15" t="s">
        <v>459</v>
      </c>
      <c r="C500" s="29">
        <v>86578</v>
      </c>
      <c r="D500" s="16">
        <v>45965</v>
      </c>
      <c r="E500" s="15" t="s">
        <v>2</v>
      </c>
      <c r="F500" s="29">
        <v>0</v>
      </c>
      <c r="G500" s="29">
        <v>0</v>
      </c>
      <c r="H500" s="29">
        <v>89564.74</v>
      </c>
      <c r="I500" s="15">
        <v>30</v>
      </c>
      <c r="J500" s="15">
        <v>60</v>
      </c>
      <c r="K500" s="30">
        <v>450000</v>
      </c>
      <c r="L500" s="17">
        <v>45995</v>
      </c>
      <c r="M500" s="18">
        <v>89564</v>
      </c>
      <c r="N500" s="16">
        <v>45993</v>
      </c>
      <c r="O500" s="19"/>
      <c r="P500" s="20">
        <v>2986.71</v>
      </c>
      <c r="Q500" s="29">
        <v>86577.29</v>
      </c>
      <c r="R500" s="9" t="s">
        <v>180</v>
      </c>
    </row>
    <row r="501" spans="1:19" ht="12" customHeight="1" x14ac:dyDescent="0.25">
      <c r="A501" s="14"/>
      <c r="B501" s="15">
        <v>363</v>
      </c>
      <c r="C501" s="29">
        <v>96421.75</v>
      </c>
      <c r="D501" s="16">
        <v>45965</v>
      </c>
      <c r="E501" s="15" t="s">
        <v>4</v>
      </c>
      <c r="F501" s="29">
        <v>99748.75</v>
      </c>
      <c r="G501" s="29">
        <v>99748.75</v>
      </c>
      <c r="H501" s="29">
        <v>99748.75</v>
      </c>
      <c r="I501" s="15">
        <v>30</v>
      </c>
      <c r="J501" s="15">
        <v>143</v>
      </c>
      <c r="K501" s="30">
        <v>100000</v>
      </c>
      <c r="L501" s="17">
        <v>45991</v>
      </c>
      <c r="M501" s="18">
        <v>0</v>
      </c>
      <c r="N501" s="16"/>
      <c r="O501" s="19">
        <v>147</v>
      </c>
      <c r="P501" s="20">
        <v>0</v>
      </c>
      <c r="Q501" s="29">
        <v>0</v>
      </c>
      <c r="R501" s="9" t="s">
        <v>180</v>
      </c>
      <c r="S501" s="10" t="s">
        <v>982</v>
      </c>
    </row>
    <row r="502" spans="1:19" ht="12" customHeight="1" x14ac:dyDescent="0.25">
      <c r="A502" s="14"/>
      <c r="B502" s="15">
        <v>364</v>
      </c>
      <c r="C502" s="29">
        <v>9442.65</v>
      </c>
      <c r="D502" s="16">
        <v>45965</v>
      </c>
      <c r="E502" s="15" t="s">
        <v>2</v>
      </c>
      <c r="F502" s="29">
        <v>0</v>
      </c>
      <c r="G502" s="29">
        <v>0</v>
      </c>
      <c r="H502" s="29">
        <v>9768.65</v>
      </c>
      <c r="I502" s="15">
        <v>30</v>
      </c>
      <c r="J502" s="15">
        <v>151</v>
      </c>
      <c r="K502" s="30">
        <v>10000</v>
      </c>
      <c r="L502" s="17">
        <v>45991</v>
      </c>
      <c r="M502" s="18">
        <v>10000</v>
      </c>
      <c r="N502" s="16">
        <v>45994</v>
      </c>
      <c r="O502" s="19"/>
      <c r="P502" s="20">
        <v>333.72</v>
      </c>
      <c r="Q502" s="29">
        <v>9666.2800000000007</v>
      </c>
      <c r="R502" s="9" t="s">
        <v>180</v>
      </c>
    </row>
    <row r="503" spans="1:19" ht="12" customHeight="1" x14ac:dyDescent="0.25">
      <c r="A503" s="14"/>
      <c r="B503" s="15">
        <v>370</v>
      </c>
      <c r="C503" s="29">
        <v>9660</v>
      </c>
      <c r="D503" s="16">
        <v>45965</v>
      </c>
      <c r="E503" s="15" t="s">
        <v>4</v>
      </c>
      <c r="F503" s="29">
        <v>9993</v>
      </c>
      <c r="G503" s="29">
        <v>9993</v>
      </c>
      <c r="H503" s="29">
        <v>9993</v>
      </c>
      <c r="I503" s="15">
        <v>30</v>
      </c>
      <c r="J503" s="15">
        <v>155</v>
      </c>
      <c r="K503" s="30">
        <v>10000</v>
      </c>
      <c r="L503" s="17">
        <v>45993</v>
      </c>
      <c r="M503" s="18">
        <v>0</v>
      </c>
      <c r="N503" s="16"/>
      <c r="O503" s="19">
        <v>147</v>
      </c>
      <c r="P503" s="20">
        <v>0</v>
      </c>
      <c r="Q503" s="29">
        <v>0</v>
      </c>
      <c r="R503" s="9" t="s">
        <v>180</v>
      </c>
      <c r="S503" s="10" t="s">
        <v>652</v>
      </c>
    </row>
    <row r="504" spans="1:19" ht="12" customHeight="1" x14ac:dyDescent="0.25">
      <c r="A504" s="14"/>
      <c r="B504" s="15" t="s">
        <v>460</v>
      </c>
      <c r="C504" s="29">
        <v>169775</v>
      </c>
      <c r="D504" s="16">
        <v>45966</v>
      </c>
      <c r="E504" s="15" t="s">
        <v>2</v>
      </c>
      <c r="F504" s="29">
        <v>0</v>
      </c>
      <c r="G504" s="29">
        <v>0</v>
      </c>
      <c r="H504" s="29">
        <v>173124.8</v>
      </c>
      <c r="I504" s="15">
        <v>15</v>
      </c>
      <c r="J504" s="15">
        <v>3</v>
      </c>
      <c r="K504" s="30">
        <v>1000000</v>
      </c>
      <c r="L504" s="17">
        <v>45984</v>
      </c>
      <c r="M504" s="18">
        <v>172937</v>
      </c>
      <c r="N504" s="16">
        <v>45984</v>
      </c>
      <c r="O504" s="19"/>
      <c r="P504" s="20">
        <v>3346.16</v>
      </c>
      <c r="Q504" s="29">
        <v>169590.84</v>
      </c>
      <c r="R504" s="9" t="s">
        <v>180</v>
      </c>
    </row>
    <row r="505" spans="1:19" ht="12" customHeight="1" x14ac:dyDescent="0.25">
      <c r="A505" s="14"/>
      <c r="B505" s="15" t="s">
        <v>189</v>
      </c>
      <c r="C505" s="29">
        <v>3620</v>
      </c>
      <c r="D505" s="16">
        <v>45966</v>
      </c>
      <c r="E505" s="15" t="s">
        <v>2</v>
      </c>
      <c r="F505" s="29">
        <v>0</v>
      </c>
      <c r="G505" s="29">
        <v>0</v>
      </c>
      <c r="H505" s="29">
        <v>3744.89</v>
      </c>
      <c r="I505" s="15">
        <v>30</v>
      </c>
      <c r="J505" s="15">
        <v>101</v>
      </c>
      <c r="K505" s="30">
        <v>100000</v>
      </c>
      <c r="L505" s="17">
        <v>45998</v>
      </c>
      <c r="M505" s="18">
        <v>3729.63</v>
      </c>
      <c r="N505" s="16">
        <v>46111</v>
      </c>
      <c r="O505" s="19"/>
      <c r="P505" s="20">
        <v>124.38</v>
      </c>
      <c r="Q505" s="29">
        <v>3605.25</v>
      </c>
      <c r="R505" s="9" t="s">
        <v>180</v>
      </c>
    </row>
    <row r="506" spans="1:19" ht="12" customHeight="1" x14ac:dyDescent="0.25">
      <c r="A506" s="14"/>
      <c r="B506" s="15" t="s">
        <v>190</v>
      </c>
      <c r="C506" s="29">
        <v>50000</v>
      </c>
      <c r="D506" s="16">
        <v>45966</v>
      </c>
      <c r="E506" s="15" t="s">
        <v>2</v>
      </c>
      <c r="F506" s="29">
        <v>0</v>
      </c>
      <c r="G506" s="29">
        <v>0</v>
      </c>
      <c r="H506" s="29">
        <v>51725</v>
      </c>
      <c r="I506" s="15">
        <v>30</v>
      </c>
      <c r="J506" s="15">
        <v>66</v>
      </c>
      <c r="K506" s="30">
        <v>100000</v>
      </c>
      <c r="L506" s="17">
        <v>45998</v>
      </c>
      <c r="M506" s="18">
        <v>51725</v>
      </c>
      <c r="N506" s="16">
        <v>45999</v>
      </c>
      <c r="O506" s="19"/>
      <c r="P506" s="20">
        <v>1725</v>
      </c>
      <c r="Q506" s="29">
        <v>50000</v>
      </c>
      <c r="R506" s="9" t="s">
        <v>180</v>
      </c>
    </row>
    <row r="507" spans="1:19" ht="12" customHeight="1" x14ac:dyDescent="0.25">
      <c r="A507" s="14"/>
      <c r="B507" s="15" t="s">
        <v>191</v>
      </c>
      <c r="C507" s="29">
        <v>90621</v>
      </c>
      <c r="D507" s="16">
        <v>45966</v>
      </c>
      <c r="E507" s="15" t="s">
        <v>4</v>
      </c>
      <c r="F507" s="29">
        <v>100005.18</v>
      </c>
      <c r="G507" s="29">
        <v>100005.18</v>
      </c>
      <c r="H507" s="29">
        <v>100005.18</v>
      </c>
      <c r="I507" s="15">
        <v>90</v>
      </c>
      <c r="J507" s="15">
        <v>156</v>
      </c>
      <c r="K507" s="30">
        <v>100000</v>
      </c>
      <c r="L507" s="17">
        <v>46056</v>
      </c>
      <c r="M507" s="18">
        <v>0</v>
      </c>
      <c r="N507" s="16"/>
      <c r="O507" s="19">
        <v>146</v>
      </c>
      <c r="P507" s="20">
        <v>0</v>
      </c>
      <c r="Q507" s="29">
        <v>0</v>
      </c>
      <c r="R507" s="9" t="s">
        <v>180</v>
      </c>
      <c r="S507" s="10" t="s">
        <v>976</v>
      </c>
    </row>
    <row r="508" spans="1:19" ht="12" customHeight="1" x14ac:dyDescent="0.25">
      <c r="A508" s="14"/>
      <c r="B508" s="15" t="s">
        <v>192</v>
      </c>
      <c r="C508" s="29">
        <v>100683</v>
      </c>
      <c r="D508" s="16">
        <v>45967</v>
      </c>
      <c r="E508" s="15" t="s">
        <v>2</v>
      </c>
      <c r="F508" s="29">
        <v>0</v>
      </c>
      <c r="G508" s="29">
        <v>0</v>
      </c>
      <c r="H508" s="29">
        <v>104155.52</v>
      </c>
      <c r="I508" s="15">
        <v>30</v>
      </c>
      <c r="J508" s="15">
        <v>6</v>
      </c>
      <c r="K508" s="30">
        <v>810000</v>
      </c>
      <c r="L508" s="17">
        <v>46000</v>
      </c>
      <c r="M508" s="18">
        <v>104155.5</v>
      </c>
      <c r="N508" s="16">
        <v>46000</v>
      </c>
      <c r="O508" s="19"/>
      <c r="P508" s="20">
        <v>3472.52</v>
      </c>
      <c r="Q508" s="29">
        <v>100682.98</v>
      </c>
      <c r="R508" s="9" t="s">
        <v>180</v>
      </c>
    </row>
    <row r="509" spans="1:19" ht="12" customHeight="1" x14ac:dyDescent="0.25">
      <c r="A509" s="14"/>
      <c r="B509" s="15" t="s">
        <v>461</v>
      </c>
      <c r="C509" s="29">
        <v>101730</v>
      </c>
      <c r="D509" s="16">
        <v>45967</v>
      </c>
      <c r="E509" s="15" t="s">
        <v>2</v>
      </c>
      <c r="F509" s="29">
        <v>0</v>
      </c>
      <c r="G509" s="29">
        <v>0</v>
      </c>
      <c r="H509" s="29">
        <v>105239.67999999999</v>
      </c>
      <c r="I509" s="15">
        <v>30</v>
      </c>
      <c r="J509" s="15">
        <v>29</v>
      </c>
      <c r="K509" s="30">
        <v>1240000</v>
      </c>
      <c r="L509" s="17">
        <v>45998</v>
      </c>
      <c r="M509" s="18">
        <v>105239.85</v>
      </c>
      <c r="N509" s="16">
        <v>45994</v>
      </c>
      <c r="O509" s="19"/>
      <c r="P509" s="20">
        <v>3509.69</v>
      </c>
      <c r="Q509" s="29">
        <v>101730.16</v>
      </c>
      <c r="R509" s="9" t="s">
        <v>180</v>
      </c>
    </row>
    <row r="510" spans="1:19" ht="12" customHeight="1" x14ac:dyDescent="0.25">
      <c r="A510" s="14"/>
      <c r="B510" s="15" t="s">
        <v>193</v>
      </c>
      <c r="C510" s="29">
        <v>47000</v>
      </c>
      <c r="D510" s="16">
        <v>45967</v>
      </c>
      <c r="E510" s="15" t="s">
        <v>2</v>
      </c>
      <c r="F510" s="29">
        <v>0</v>
      </c>
      <c r="G510" s="29">
        <v>0</v>
      </c>
      <c r="H510" s="29">
        <v>50240.1</v>
      </c>
      <c r="I510" s="15">
        <v>60</v>
      </c>
      <c r="J510" s="15">
        <v>47</v>
      </c>
      <c r="K510" s="30">
        <v>50000</v>
      </c>
      <c r="L510" s="17">
        <v>46027</v>
      </c>
      <c r="M510" s="18">
        <v>50240</v>
      </c>
      <c r="N510" s="16">
        <v>46027</v>
      </c>
      <c r="O510" s="19"/>
      <c r="P510" s="20">
        <v>3240.09</v>
      </c>
      <c r="Q510" s="29">
        <v>46999.91</v>
      </c>
      <c r="R510" s="9" t="s">
        <v>180</v>
      </c>
    </row>
    <row r="511" spans="1:19" ht="12" customHeight="1" x14ac:dyDescent="0.25">
      <c r="A511" s="14"/>
      <c r="B511" s="15" t="s">
        <v>194</v>
      </c>
      <c r="C511" s="29">
        <v>14375</v>
      </c>
      <c r="D511" s="16">
        <v>45967</v>
      </c>
      <c r="E511" s="15" t="s">
        <v>2</v>
      </c>
      <c r="F511" s="29">
        <v>0</v>
      </c>
      <c r="G511" s="29">
        <v>0</v>
      </c>
      <c r="H511" s="29">
        <v>15862</v>
      </c>
      <c r="I511" s="15">
        <v>90</v>
      </c>
      <c r="J511" s="15">
        <v>113</v>
      </c>
      <c r="K511" s="30">
        <v>130000</v>
      </c>
      <c r="L511" s="17">
        <v>46057</v>
      </c>
      <c r="M511" s="18">
        <v>15862</v>
      </c>
      <c r="N511" s="16">
        <v>46055</v>
      </c>
      <c r="O511" s="19"/>
      <c r="P511" s="20">
        <v>1487</v>
      </c>
      <c r="Q511" s="29">
        <v>14375</v>
      </c>
      <c r="R511" s="9" t="s">
        <v>180</v>
      </c>
    </row>
    <row r="512" spans="1:19" ht="12" customHeight="1" x14ac:dyDescent="0.25">
      <c r="A512" s="14"/>
      <c r="B512" s="15" t="s">
        <v>195</v>
      </c>
      <c r="C512" s="29">
        <v>366000</v>
      </c>
      <c r="D512" s="16">
        <v>45970</v>
      </c>
      <c r="E512" s="15" t="s">
        <v>2</v>
      </c>
      <c r="F512" s="29">
        <v>0</v>
      </c>
      <c r="G512" s="29">
        <v>0</v>
      </c>
      <c r="H512" s="29">
        <v>378545.01</v>
      </c>
      <c r="I512" s="15">
        <v>30</v>
      </c>
      <c r="J512" s="15">
        <v>15</v>
      </c>
      <c r="K512" s="30">
        <v>2300000</v>
      </c>
      <c r="L512" s="17">
        <v>46001</v>
      </c>
      <c r="M512" s="18">
        <v>378545</v>
      </c>
      <c r="N512" s="16">
        <v>46001</v>
      </c>
      <c r="O512" s="19"/>
      <c r="P512" s="20">
        <v>12545.01</v>
      </c>
      <c r="Q512" s="29">
        <v>365999.99</v>
      </c>
      <c r="R512" s="9" t="s">
        <v>180</v>
      </c>
    </row>
    <row r="513" spans="1:19" ht="12" customHeight="1" x14ac:dyDescent="0.25">
      <c r="A513" s="14"/>
      <c r="B513" s="15" t="s">
        <v>196</v>
      </c>
      <c r="C513" s="29">
        <v>100000</v>
      </c>
      <c r="D513" s="16">
        <v>45970</v>
      </c>
      <c r="E513" s="15" t="s">
        <v>2</v>
      </c>
      <c r="F513" s="29">
        <v>0</v>
      </c>
      <c r="G513" s="29">
        <v>0</v>
      </c>
      <c r="H513" s="29">
        <v>103450</v>
      </c>
      <c r="I513" s="15">
        <v>30</v>
      </c>
      <c r="J513" s="15">
        <v>17</v>
      </c>
      <c r="K513" s="30">
        <v>2400000</v>
      </c>
      <c r="L513" s="17">
        <v>46000</v>
      </c>
      <c r="M513" s="18">
        <v>103450</v>
      </c>
      <c r="N513" s="16">
        <v>46001</v>
      </c>
      <c r="O513" s="19"/>
      <c r="P513" s="20">
        <v>3450</v>
      </c>
      <c r="Q513" s="29">
        <v>100000</v>
      </c>
      <c r="R513" s="9" t="s">
        <v>180</v>
      </c>
    </row>
    <row r="514" spans="1:19" ht="12" customHeight="1" x14ac:dyDescent="0.25">
      <c r="A514" s="14"/>
      <c r="B514" s="15" t="s">
        <v>197</v>
      </c>
      <c r="C514" s="29">
        <v>339532</v>
      </c>
      <c r="D514" s="16">
        <v>45970</v>
      </c>
      <c r="E514" s="15" t="s">
        <v>2</v>
      </c>
      <c r="F514" s="29">
        <v>0</v>
      </c>
      <c r="G514" s="29">
        <v>0</v>
      </c>
      <c r="H514" s="29">
        <v>351226.99</v>
      </c>
      <c r="I514" s="15">
        <v>30</v>
      </c>
      <c r="J514" s="15">
        <v>20</v>
      </c>
      <c r="K514" s="30">
        <v>686000</v>
      </c>
      <c r="L514" s="17">
        <v>46000</v>
      </c>
      <c r="M514" s="18">
        <v>351227</v>
      </c>
      <c r="N514" s="16">
        <v>46002</v>
      </c>
      <c r="O514" s="19"/>
      <c r="P514" s="20">
        <v>11694.99</v>
      </c>
      <c r="Q514" s="29">
        <v>339532.01</v>
      </c>
      <c r="R514" s="9" t="s">
        <v>180</v>
      </c>
    </row>
    <row r="515" spans="1:19" ht="12" customHeight="1" x14ac:dyDescent="0.25">
      <c r="A515" s="14"/>
      <c r="B515" s="15" t="s">
        <v>198</v>
      </c>
      <c r="C515" s="29">
        <v>155365</v>
      </c>
      <c r="D515" s="16">
        <v>45970</v>
      </c>
      <c r="E515" s="15" t="s">
        <v>2</v>
      </c>
      <c r="F515" s="29">
        <v>0</v>
      </c>
      <c r="G515" s="29">
        <v>0</v>
      </c>
      <c r="H515" s="29">
        <v>160725.1</v>
      </c>
      <c r="I515" s="15">
        <v>30</v>
      </c>
      <c r="J515" s="15">
        <v>29</v>
      </c>
      <c r="K515" s="30">
        <v>1240000</v>
      </c>
      <c r="L515" s="17">
        <v>46000</v>
      </c>
      <c r="M515" s="18">
        <v>160725.1</v>
      </c>
      <c r="N515" s="16">
        <v>45998</v>
      </c>
      <c r="O515" s="19"/>
      <c r="P515" s="20">
        <v>5360.1</v>
      </c>
      <c r="Q515" s="29">
        <v>155365</v>
      </c>
      <c r="R515" s="9" t="s">
        <v>180</v>
      </c>
    </row>
    <row r="516" spans="1:19" ht="12" customHeight="1" x14ac:dyDescent="0.25">
      <c r="A516" s="14"/>
      <c r="B516" s="15" t="s">
        <v>199</v>
      </c>
      <c r="C516" s="29">
        <v>150613</v>
      </c>
      <c r="D516" s="16">
        <v>45970</v>
      </c>
      <c r="E516" s="15" t="s">
        <v>2</v>
      </c>
      <c r="F516" s="29">
        <v>0</v>
      </c>
      <c r="G516" s="29">
        <v>0</v>
      </c>
      <c r="H516" s="29">
        <v>155809.15</v>
      </c>
      <c r="I516" s="15">
        <v>30</v>
      </c>
      <c r="J516" s="15">
        <v>29</v>
      </c>
      <c r="K516" s="30">
        <v>1240000</v>
      </c>
      <c r="L516" s="17">
        <v>46000</v>
      </c>
      <c r="M516" s="18">
        <v>155809.35999999999</v>
      </c>
      <c r="N516" s="16">
        <v>45998</v>
      </c>
      <c r="O516" s="19"/>
      <c r="P516" s="20">
        <v>5196.16</v>
      </c>
      <c r="Q516" s="29">
        <v>150613.20000000001</v>
      </c>
      <c r="R516" s="9" t="s">
        <v>180</v>
      </c>
    </row>
    <row r="517" spans="1:19" ht="12" customHeight="1" x14ac:dyDescent="0.25">
      <c r="A517" s="14"/>
      <c r="B517" s="15" t="s">
        <v>200</v>
      </c>
      <c r="C517" s="29">
        <v>18270</v>
      </c>
      <c r="D517" s="16">
        <v>45970</v>
      </c>
      <c r="E517" s="15" t="s">
        <v>2</v>
      </c>
      <c r="F517" s="29">
        <v>0</v>
      </c>
      <c r="G517" s="29">
        <v>0</v>
      </c>
      <c r="H517" s="29">
        <v>20160.939999999999</v>
      </c>
      <c r="I517" s="15">
        <v>90</v>
      </c>
      <c r="J517" s="15">
        <v>49</v>
      </c>
      <c r="K517" s="30">
        <v>273000</v>
      </c>
      <c r="L517" s="17">
        <v>46061</v>
      </c>
      <c r="M517" s="18">
        <v>20160.95</v>
      </c>
      <c r="N517" s="16">
        <v>46061</v>
      </c>
      <c r="O517" s="19"/>
      <c r="P517" s="20">
        <v>1890.94</v>
      </c>
      <c r="Q517" s="29">
        <v>18270.009999999998</v>
      </c>
      <c r="R517" s="9" t="s">
        <v>180</v>
      </c>
    </row>
    <row r="518" spans="1:19" ht="12" customHeight="1" x14ac:dyDescent="0.25">
      <c r="A518" s="14"/>
      <c r="B518" s="15" t="s">
        <v>201</v>
      </c>
      <c r="C518" s="29">
        <v>17820</v>
      </c>
      <c r="D518" s="16">
        <v>45970</v>
      </c>
      <c r="E518" s="15" t="s">
        <v>2</v>
      </c>
      <c r="F518" s="29">
        <v>0</v>
      </c>
      <c r="G518" s="29">
        <v>0</v>
      </c>
      <c r="H518" s="29">
        <v>19664.37</v>
      </c>
      <c r="I518" s="15">
        <v>90</v>
      </c>
      <c r="J518" s="15">
        <v>49</v>
      </c>
      <c r="K518" s="30">
        <v>273000</v>
      </c>
      <c r="L518" s="17">
        <v>46061</v>
      </c>
      <c r="M518" s="18">
        <v>19664.37</v>
      </c>
      <c r="N518" s="16">
        <v>46061</v>
      </c>
      <c r="O518" s="19"/>
      <c r="P518" s="20">
        <v>1844.37</v>
      </c>
      <c r="Q518" s="29">
        <v>17820</v>
      </c>
      <c r="R518" s="9" t="s">
        <v>180</v>
      </c>
    </row>
    <row r="519" spans="1:19" ht="12" customHeight="1" x14ac:dyDescent="0.25">
      <c r="A519" s="14"/>
      <c r="B519" s="15" t="s">
        <v>202</v>
      </c>
      <c r="C519" s="29">
        <v>145000</v>
      </c>
      <c r="D519" s="16">
        <v>45970</v>
      </c>
      <c r="E519" s="15" t="s">
        <v>2</v>
      </c>
      <c r="F519" s="29">
        <v>0</v>
      </c>
      <c r="G519" s="29">
        <v>0</v>
      </c>
      <c r="H519" s="29">
        <v>149990</v>
      </c>
      <c r="I519" s="15">
        <v>30</v>
      </c>
      <c r="J519" s="15">
        <v>56</v>
      </c>
      <c r="K519" s="30">
        <v>320000</v>
      </c>
      <c r="L519" s="17">
        <v>46000</v>
      </c>
      <c r="M519" s="18">
        <v>149990</v>
      </c>
      <c r="N519" s="16">
        <v>46000</v>
      </c>
      <c r="O519" s="19"/>
      <c r="P519" s="20">
        <v>4990</v>
      </c>
      <c r="Q519" s="29">
        <v>145000</v>
      </c>
      <c r="R519" s="9" t="s">
        <v>180</v>
      </c>
    </row>
    <row r="520" spans="1:19" ht="12" customHeight="1" x14ac:dyDescent="0.25">
      <c r="A520" s="14"/>
      <c r="B520" s="15" t="s">
        <v>462</v>
      </c>
      <c r="C520" s="29">
        <v>0</v>
      </c>
      <c r="D520" s="16">
        <v>45970</v>
      </c>
      <c r="E520" s="15" t="s">
        <v>2</v>
      </c>
      <c r="F520" s="29">
        <v>0</v>
      </c>
      <c r="G520" s="29">
        <v>0</v>
      </c>
      <c r="H520" s="29">
        <v>5600</v>
      </c>
      <c r="I520" s="15">
        <v>0</v>
      </c>
      <c r="J520" s="15">
        <v>74</v>
      </c>
      <c r="K520" s="30">
        <v>280000</v>
      </c>
      <c r="L520" s="17">
        <v>45970</v>
      </c>
      <c r="M520" s="18">
        <v>5600</v>
      </c>
      <c r="N520" s="16">
        <v>45984</v>
      </c>
      <c r="O520" s="19"/>
      <c r="P520" s="20">
        <v>5600</v>
      </c>
      <c r="Q520" s="29">
        <v>0</v>
      </c>
      <c r="R520" s="9" t="s">
        <v>180</v>
      </c>
    </row>
    <row r="521" spans="1:19" ht="12" customHeight="1" x14ac:dyDescent="0.25">
      <c r="A521" s="14"/>
      <c r="B521" s="15" t="s">
        <v>203</v>
      </c>
      <c r="C521" s="29">
        <v>30000</v>
      </c>
      <c r="D521" s="16">
        <v>45970</v>
      </c>
      <c r="E521" s="15" t="s">
        <v>2</v>
      </c>
      <c r="F521" s="29">
        <v>0</v>
      </c>
      <c r="G521" s="29">
        <v>0</v>
      </c>
      <c r="H521" s="29">
        <v>33115.440000000002</v>
      </c>
      <c r="I521" s="15">
        <v>90</v>
      </c>
      <c r="J521" s="15">
        <v>81</v>
      </c>
      <c r="K521" s="30">
        <v>190000</v>
      </c>
      <c r="L521" s="17">
        <v>46061</v>
      </c>
      <c r="M521" s="18">
        <v>33115</v>
      </c>
      <c r="N521" s="16">
        <v>46030</v>
      </c>
      <c r="O521" s="19"/>
      <c r="P521" s="20">
        <v>3115.4</v>
      </c>
      <c r="Q521" s="29">
        <v>29999.599999999999</v>
      </c>
      <c r="R521" s="9" t="s">
        <v>180</v>
      </c>
    </row>
    <row r="522" spans="1:19" ht="12" customHeight="1" x14ac:dyDescent="0.25">
      <c r="A522" s="14"/>
      <c r="B522" s="15" t="s">
        <v>204</v>
      </c>
      <c r="C522" s="29">
        <v>30000</v>
      </c>
      <c r="D522" s="16">
        <v>45970</v>
      </c>
      <c r="E522" s="15" t="s">
        <v>2</v>
      </c>
      <c r="F522" s="29">
        <v>0</v>
      </c>
      <c r="G522" s="29">
        <v>0</v>
      </c>
      <c r="H522" s="29">
        <v>33115.440000000002</v>
      </c>
      <c r="I522" s="15">
        <v>90</v>
      </c>
      <c r="J522" s="15">
        <v>81</v>
      </c>
      <c r="K522" s="30">
        <v>190000</v>
      </c>
      <c r="L522" s="17">
        <v>46061</v>
      </c>
      <c r="M522" s="18">
        <v>33119</v>
      </c>
      <c r="N522" s="16">
        <v>46064</v>
      </c>
      <c r="O522" s="19"/>
      <c r="P522" s="20">
        <v>3115.78</v>
      </c>
      <c r="Q522" s="29">
        <v>30003.22</v>
      </c>
      <c r="R522" s="9" t="s">
        <v>180</v>
      </c>
    </row>
    <row r="523" spans="1:19" ht="12" customHeight="1" x14ac:dyDescent="0.25">
      <c r="A523" s="14"/>
      <c r="B523" s="15" t="s">
        <v>205</v>
      </c>
      <c r="C523" s="29">
        <v>62031</v>
      </c>
      <c r="D523" s="16">
        <v>45970</v>
      </c>
      <c r="E523" s="15" t="s">
        <v>4</v>
      </c>
      <c r="F523" s="29">
        <v>68451</v>
      </c>
      <c r="G523" s="29">
        <v>68451</v>
      </c>
      <c r="H523" s="29">
        <v>68451</v>
      </c>
      <c r="I523" s="15">
        <v>90</v>
      </c>
      <c r="J523" s="15">
        <v>136</v>
      </c>
      <c r="K523" s="30">
        <v>300000</v>
      </c>
      <c r="L523" s="17">
        <v>46061</v>
      </c>
      <c r="M523" s="18">
        <v>0</v>
      </c>
      <c r="N523" s="16"/>
      <c r="O523" s="19">
        <v>142</v>
      </c>
      <c r="P523" s="20">
        <v>0</v>
      </c>
      <c r="Q523" s="29">
        <v>0</v>
      </c>
      <c r="R523" s="9" t="s">
        <v>180</v>
      </c>
    </row>
    <row r="524" spans="1:19" ht="12" customHeight="1" x14ac:dyDescent="0.25">
      <c r="A524" s="14"/>
      <c r="B524" s="15" t="s">
        <v>206</v>
      </c>
      <c r="C524" s="29">
        <v>7068</v>
      </c>
      <c r="D524" s="16">
        <v>45970</v>
      </c>
      <c r="E524" s="15" t="s">
        <v>2</v>
      </c>
      <c r="F524" s="29">
        <v>0</v>
      </c>
      <c r="G524" s="29">
        <v>0</v>
      </c>
      <c r="H524" s="29">
        <v>7556.29</v>
      </c>
      <c r="I524" s="15">
        <v>60</v>
      </c>
      <c r="J524" s="15">
        <v>138</v>
      </c>
      <c r="K524" s="30">
        <v>130000</v>
      </c>
      <c r="L524" s="17">
        <v>46030</v>
      </c>
      <c r="M524" s="18">
        <v>7556</v>
      </c>
      <c r="N524" s="16">
        <v>46034</v>
      </c>
      <c r="O524" s="19"/>
      <c r="P524" s="20">
        <v>488.27</v>
      </c>
      <c r="Q524" s="29">
        <v>7067.73</v>
      </c>
      <c r="R524" s="9" t="s">
        <v>180</v>
      </c>
    </row>
    <row r="525" spans="1:19" ht="12" customHeight="1" x14ac:dyDescent="0.25">
      <c r="A525" s="14"/>
      <c r="B525" s="15" t="s">
        <v>207</v>
      </c>
      <c r="C525" s="29">
        <v>141600</v>
      </c>
      <c r="D525" s="16">
        <v>45970</v>
      </c>
      <c r="E525" s="15" t="s">
        <v>4</v>
      </c>
      <c r="F525" s="29">
        <v>157710.94</v>
      </c>
      <c r="G525" s="29">
        <v>157710.94</v>
      </c>
      <c r="H525" s="29">
        <v>157884.01</v>
      </c>
      <c r="I525" s="15">
        <v>60</v>
      </c>
      <c r="J525" s="15">
        <v>162</v>
      </c>
      <c r="K525" s="30">
        <v>160000</v>
      </c>
      <c r="L525" s="17">
        <v>46030</v>
      </c>
      <c r="M525" s="18">
        <v>173.07</v>
      </c>
      <c r="N525" s="16">
        <v>46055</v>
      </c>
      <c r="O525" s="19">
        <v>142</v>
      </c>
      <c r="P525" s="20">
        <v>17.850000000000001</v>
      </c>
      <c r="Q525" s="29">
        <v>155.22</v>
      </c>
      <c r="R525" s="9" t="s">
        <v>180</v>
      </c>
      <c r="S525" s="10" t="s">
        <v>653</v>
      </c>
    </row>
    <row r="526" spans="1:19" ht="12" customHeight="1" x14ac:dyDescent="0.25">
      <c r="A526" s="14"/>
      <c r="B526" s="15" t="s">
        <v>208</v>
      </c>
      <c r="C526" s="29">
        <v>47025</v>
      </c>
      <c r="D526" s="16">
        <v>45970</v>
      </c>
      <c r="E526" s="15" t="s">
        <v>2</v>
      </c>
      <c r="F526" s="29">
        <v>0</v>
      </c>
      <c r="G526" s="29">
        <v>0</v>
      </c>
      <c r="H526" s="29">
        <v>48646.8</v>
      </c>
      <c r="I526" s="15">
        <v>30</v>
      </c>
      <c r="J526" s="15">
        <v>159</v>
      </c>
      <c r="K526" s="30">
        <v>129000</v>
      </c>
      <c r="L526" s="17">
        <v>46000</v>
      </c>
      <c r="M526" s="18">
        <v>48646.77</v>
      </c>
      <c r="N526" s="16">
        <v>46001</v>
      </c>
      <c r="O526" s="19"/>
      <c r="P526" s="20">
        <v>1621.8</v>
      </c>
      <c r="Q526" s="29">
        <v>47024.97</v>
      </c>
      <c r="R526" s="9" t="s">
        <v>180</v>
      </c>
    </row>
    <row r="527" spans="1:19" ht="12" customHeight="1" x14ac:dyDescent="0.25">
      <c r="A527" s="14"/>
      <c r="B527" s="15" t="s">
        <v>209</v>
      </c>
      <c r="C527" s="29">
        <v>0</v>
      </c>
      <c r="D527" s="16">
        <v>45971</v>
      </c>
      <c r="E527" s="15" t="s">
        <v>2</v>
      </c>
      <c r="F527" s="29">
        <v>0</v>
      </c>
      <c r="G527" s="29">
        <v>0</v>
      </c>
      <c r="H527" s="29">
        <v>727</v>
      </c>
      <c r="I527" s="15">
        <v>0</v>
      </c>
      <c r="J527" s="15">
        <v>43</v>
      </c>
      <c r="K527" s="30">
        <v>89000</v>
      </c>
      <c r="L527" s="17">
        <v>45971</v>
      </c>
      <c r="M527" s="18">
        <v>727</v>
      </c>
      <c r="N527" s="16">
        <v>46014</v>
      </c>
      <c r="O527" s="19"/>
      <c r="P527" s="20">
        <v>727</v>
      </c>
      <c r="Q527" s="29">
        <v>0</v>
      </c>
      <c r="R527" s="9" t="s">
        <v>180</v>
      </c>
    </row>
    <row r="528" spans="1:19" ht="12" customHeight="1" x14ac:dyDescent="0.25">
      <c r="A528" s="14"/>
      <c r="B528" s="15" t="s">
        <v>210</v>
      </c>
      <c r="C528" s="29">
        <v>15732</v>
      </c>
      <c r="D528" s="16">
        <v>45971</v>
      </c>
      <c r="E528" s="15" t="s">
        <v>2</v>
      </c>
      <c r="F528" s="29">
        <v>0</v>
      </c>
      <c r="G528" s="29">
        <v>0</v>
      </c>
      <c r="H528" s="29">
        <v>18445.77</v>
      </c>
      <c r="I528" s="15">
        <v>90</v>
      </c>
      <c r="J528" s="15">
        <v>54</v>
      </c>
      <c r="K528" s="30">
        <v>117000</v>
      </c>
      <c r="L528" s="17">
        <v>46061</v>
      </c>
      <c r="M528" s="18">
        <v>18445.77</v>
      </c>
      <c r="N528" s="16">
        <v>46062</v>
      </c>
      <c r="O528" s="19"/>
      <c r="P528" s="20">
        <v>2713.77</v>
      </c>
      <c r="Q528" s="29">
        <v>15732</v>
      </c>
      <c r="R528" s="9" t="s">
        <v>180</v>
      </c>
    </row>
    <row r="529" spans="1:19" ht="12" customHeight="1" x14ac:dyDescent="0.25">
      <c r="A529" s="14"/>
      <c r="B529" s="15" t="s">
        <v>211</v>
      </c>
      <c r="C529" s="29">
        <v>17723</v>
      </c>
      <c r="D529" s="16">
        <v>45971</v>
      </c>
      <c r="E529" s="15" t="s">
        <v>2</v>
      </c>
      <c r="F529" s="29">
        <v>0</v>
      </c>
      <c r="G529" s="29">
        <v>0</v>
      </c>
      <c r="H529" s="29">
        <v>19950.560000000001</v>
      </c>
      <c r="I529" s="15">
        <v>90</v>
      </c>
      <c r="J529" s="15">
        <v>81</v>
      </c>
      <c r="K529" s="30">
        <v>190000</v>
      </c>
      <c r="L529" s="17">
        <v>46061</v>
      </c>
      <c r="M529" s="18">
        <v>19951</v>
      </c>
      <c r="N529" s="16">
        <v>46064</v>
      </c>
      <c r="O529" s="19"/>
      <c r="P529" s="20">
        <v>2227.61</v>
      </c>
      <c r="Q529" s="29">
        <v>17723.39</v>
      </c>
      <c r="R529" s="9" t="s">
        <v>180</v>
      </c>
    </row>
    <row r="530" spans="1:19" ht="12" customHeight="1" x14ac:dyDescent="0.25">
      <c r="A530" s="14"/>
      <c r="B530" s="15" t="s">
        <v>212</v>
      </c>
      <c r="C530" s="29">
        <v>60720</v>
      </c>
      <c r="D530" s="16">
        <v>45971</v>
      </c>
      <c r="E530" s="15" t="s">
        <v>2</v>
      </c>
      <c r="F530" s="29">
        <v>0</v>
      </c>
      <c r="G530" s="29">
        <v>0</v>
      </c>
      <c r="H530" s="29">
        <v>62814.84</v>
      </c>
      <c r="I530" s="15">
        <v>30</v>
      </c>
      <c r="J530" s="15">
        <v>113</v>
      </c>
      <c r="K530" s="30">
        <v>130000</v>
      </c>
      <c r="L530" s="17">
        <v>46001</v>
      </c>
      <c r="M530" s="18">
        <v>62815</v>
      </c>
      <c r="N530" s="16">
        <v>46001</v>
      </c>
      <c r="O530" s="19"/>
      <c r="P530" s="20">
        <v>2094.85</v>
      </c>
      <c r="Q530" s="29">
        <v>60720.15</v>
      </c>
      <c r="R530" s="9" t="s">
        <v>180</v>
      </c>
    </row>
    <row r="531" spans="1:19" ht="12" customHeight="1" x14ac:dyDescent="0.25">
      <c r="A531" s="14"/>
      <c r="B531" s="15" t="s">
        <v>463</v>
      </c>
      <c r="C531" s="29">
        <v>0</v>
      </c>
      <c r="D531" s="16">
        <v>45972</v>
      </c>
      <c r="E531" s="15" t="s">
        <v>2</v>
      </c>
      <c r="F531" s="29">
        <v>0</v>
      </c>
      <c r="G531" s="29">
        <v>0</v>
      </c>
      <c r="H531" s="29">
        <v>1593</v>
      </c>
      <c r="I531" s="15">
        <v>0</v>
      </c>
      <c r="J531" s="15">
        <v>21</v>
      </c>
      <c r="K531" s="30">
        <v>140000</v>
      </c>
      <c r="L531" s="17">
        <v>45972</v>
      </c>
      <c r="M531" s="18">
        <v>1593</v>
      </c>
      <c r="N531" s="16">
        <v>45994</v>
      </c>
      <c r="O531" s="19"/>
      <c r="P531" s="20">
        <v>1593</v>
      </c>
      <c r="Q531" s="29">
        <v>0</v>
      </c>
      <c r="R531" s="9" t="s">
        <v>180</v>
      </c>
    </row>
    <row r="532" spans="1:19" ht="12" customHeight="1" x14ac:dyDescent="0.25">
      <c r="A532" s="14"/>
      <c r="B532" s="15" t="s">
        <v>213</v>
      </c>
      <c r="C532" s="29">
        <v>0</v>
      </c>
      <c r="D532" s="16">
        <v>45972</v>
      </c>
      <c r="E532" s="15" t="s">
        <v>2</v>
      </c>
      <c r="F532" s="29">
        <v>0</v>
      </c>
      <c r="G532" s="29">
        <v>0</v>
      </c>
      <c r="H532" s="29">
        <v>1168</v>
      </c>
      <c r="I532" s="15">
        <v>0</v>
      </c>
      <c r="J532" s="15">
        <v>32</v>
      </c>
      <c r="K532" s="30">
        <v>70000</v>
      </c>
      <c r="L532" s="17">
        <v>45972</v>
      </c>
      <c r="M532" s="18">
        <v>1168</v>
      </c>
      <c r="N532" s="16">
        <v>46050</v>
      </c>
      <c r="O532" s="19"/>
      <c r="P532" s="20">
        <v>1168</v>
      </c>
      <c r="Q532" s="29">
        <v>0</v>
      </c>
      <c r="R532" s="9" t="s">
        <v>180</v>
      </c>
    </row>
    <row r="533" spans="1:19" ht="12" customHeight="1" x14ac:dyDescent="0.25">
      <c r="A533" s="14"/>
      <c r="B533" s="15" t="s">
        <v>464</v>
      </c>
      <c r="C533" s="29">
        <v>0</v>
      </c>
      <c r="D533" s="16">
        <v>45973</v>
      </c>
      <c r="E533" s="15" t="s">
        <v>2</v>
      </c>
      <c r="F533" s="29">
        <v>0</v>
      </c>
      <c r="G533" s="29">
        <v>0</v>
      </c>
      <c r="H533" s="29">
        <v>1738</v>
      </c>
      <c r="I533" s="15">
        <v>0</v>
      </c>
      <c r="J533" s="15">
        <v>90</v>
      </c>
      <c r="K533" s="30">
        <v>100000</v>
      </c>
      <c r="L533" s="17">
        <v>45973</v>
      </c>
      <c r="M533" s="18">
        <v>1738</v>
      </c>
      <c r="N533" s="16">
        <v>45974</v>
      </c>
      <c r="O533" s="19"/>
      <c r="P533" s="20">
        <v>1738</v>
      </c>
      <c r="Q533" s="29">
        <v>0</v>
      </c>
      <c r="R533" s="9" t="s">
        <v>180</v>
      </c>
    </row>
    <row r="534" spans="1:19" ht="12" customHeight="1" x14ac:dyDescent="0.25">
      <c r="A534" s="14"/>
      <c r="B534" s="15" t="s">
        <v>214</v>
      </c>
      <c r="C534" s="29">
        <v>31541</v>
      </c>
      <c r="D534" s="16">
        <v>45973</v>
      </c>
      <c r="E534" s="15" t="s">
        <v>2</v>
      </c>
      <c r="F534" s="29">
        <v>0</v>
      </c>
      <c r="G534" s="29">
        <v>0</v>
      </c>
      <c r="H534" s="29">
        <v>32644.19</v>
      </c>
      <c r="I534" s="15">
        <v>30</v>
      </c>
      <c r="J534" s="15">
        <v>139</v>
      </c>
      <c r="K534" s="30">
        <v>322000</v>
      </c>
      <c r="L534" s="17">
        <v>46005</v>
      </c>
      <c r="M534" s="18">
        <v>32644</v>
      </c>
      <c r="N534" s="16">
        <v>46006</v>
      </c>
      <c r="O534" s="19"/>
      <c r="P534" s="20">
        <v>1103.18</v>
      </c>
      <c r="Q534" s="29">
        <v>31540.82</v>
      </c>
      <c r="R534" s="9" t="s">
        <v>180</v>
      </c>
    </row>
    <row r="535" spans="1:19" ht="12" customHeight="1" x14ac:dyDescent="0.25">
      <c r="A535" s="14"/>
      <c r="B535" s="15" t="s">
        <v>215</v>
      </c>
      <c r="C535" s="29">
        <v>98003</v>
      </c>
      <c r="D535" s="16">
        <v>45973</v>
      </c>
      <c r="E535" s="15" t="s">
        <v>4</v>
      </c>
      <c r="F535" s="29">
        <v>99963.06</v>
      </c>
      <c r="G535" s="29">
        <v>99963.06</v>
      </c>
      <c r="H535" s="29">
        <v>99963.06</v>
      </c>
      <c r="I535" s="15">
        <v>15</v>
      </c>
      <c r="J535" s="15">
        <v>140</v>
      </c>
      <c r="K535" s="30">
        <v>100000</v>
      </c>
      <c r="L535" s="17">
        <v>45988</v>
      </c>
      <c r="M535" s="18">
        <v>0</v>
      </c>
      <c r="N535" s="16"/>
      <c r="O535" s="19">
        <v>139</v>
      </c>
      <c r="P535" s="20">
        <v>0</v>
      </c>
      <c r="Q535" s="29">
        <v>0</v>
      </c>
      <c r="R535" s="9" t="s">
        <v>180</v>
      </c>
      <c r="S535" s="10" t="s">
        <v>654</v>
      </c>
    </row>
    <row r="536" spans="1:19" ht="12" customHeight="1" x14ac:dyDescent="0.25">
      <c r="A536" s="14"/>
      <c r="B536" s="15" t="s">
        <v>216</v>
      </c>
      <c r="C536" s="29">
        <v>8960</v>
      </c>
      <c r="D536" s="16">
        <v>45973</v>
      </c>
      <c r="E536" s="15" t="s">
        <v>4</v>
      </c>
      <c r="F536" s="29">
        <v>10000</v>
      </c>
      <c r="G536" s="29">
        <v>10000</v>
      </c>
      <c r="H536" s="29">
        <v>10000</v>
      </c>
      <c r="I536" s="15">
        <v>90</v>
      </c>
      <c r="J536" s="15">
        <v>153</v>
      </c>
      <c r="K536" s="30">
        <v>10000</v>
      </c>
      <c r="L536" s="17">
        <v>46063</v>
      </c>
      <c r="M536" s="18">
        <v>0</v>
      </c>
      <c r="N536" s="16"/>
      <c r="O536" s="19">
        <v>139</v>
      </c>
      <c r="P536" s="20">
        <v>0</v>
      </c>
      <c r="Q536" s="29">
        <v>0</v>
      </c>
      <c r="R536" s="9" t="s">
        <v>180</v>
      </c>
    </row>
    <row r="537" spans="1:19" ht="12" customHeight="1" x14ac:dyDescent="0.25">
      <c r="A537" s="14"/>
      <c r="B537" s="15" t="s">
        <v>217</v>
      </c>
      <c r="C537" s="29">
        <v>52843</v>
      </c>
      <c r="D537" s="16">
        <v>45973</v>
      </c>
      <c r="E537" s="15" t="s">
        <v>2</v>
      </c>
      <c r="F537" s="29">
        <v>0</v>
      </c>
      <c r="G537" s="29">
        <v>0</v>
      </c>
      <c r="H537" s="29">
        <v>54666.080000000002</v>
      </c>
      <c r="I537" s="15">
        <v>30</v>
      </c>
      <c r="J537" s="15">
        <v>164</v>
      </c>
      <c r="K537" s="30">
        <v>200000</v>
      </c>
      <c r="L537" s="17">
        <v>46005</v>
      </c>
      <c r="M537" s="18">
        <v>54666</v>
      </c>
      <c r="N537" s="16">
        <v>46006</v>
      </c>
      <c r="O537" s="19"/>
      <c r="P537" s="20">
        <v>1823.07</v>
      </c>
      <c r="Q537" s="29">
        <v>52842.93</v>
      </c>
      <c r="R537" s="9" t="s">
        <v>180</v>
      </c>
    </row>
    <row r="538" spans="1:19" ht="12" customHeight="1" x14ac:dyDescent="0.25">
      <c r="A538" s="14"/>
      <c r="B538" s="15" t="s">
        <v>218</v>
      </c>
      <c r="C538" s="29">
        <v>172980</v>
      </c>
      <c r="D538" s="16">
        <v>45974</v>
      </c>
      <c r="E538" s="15" t="s">
        <v>2</v>
      </c>
      <c r="F538" s="29">
        <v>0</v>
      </c>
      <c r="G538" s="29">
        <v>0</v>
      </c>
      <c r="H538" s="29">
        <v>178910</v>
      </c>
      <c r="I538" s="15">
        <v>30</v>
      </c>
      <c r="J538" s="15">
        <v>10</v>
      </c>
      <c r="K538" s="30">
        <v>403000</v>
      </c>
      <c r="L538" s="17">
        <v>46005</v>
      </c>
      <c r="M538" s="18">
        <v>178910</v>
      </c>
      <c r="N538" s="16">
        <v>46005</v>
      </c>
      <c r="O538" s="19"/>
      <c r="P538" s="20">
        <v>5930</v>
      </c>
      <c r="Q538" s="29">
        <v>172980</v>
      </c>
      <c r="R538" s="9" t="s">
        <v>180</v>
      </c>
    </row>
    <row r="539" spans="1:19" ht="12" customHeight="1" x14ac:dyDescent="0.25">
      <c r="A539" s="14"/>
      <c r="B539" s="15" t="s">
        <v>219</v>
      </c>
      <c r="C539" s="29">
        <v>625001</v>
      </c>
      <c r="D539" s="16">
        <v>45974</v>
      </c>
      <c r="E539" s="15" t="s">
        <v>2</v>
      </c>
      <c r="F539" s="29">
        <v>0</v>
      </c>
      <c r="G539" s="29">
        <v>0</v>
      </c>
      <c r="H539" s="29">
        <v>689688.62</v>
      </c>
      <c r="I539" s="15">
        <v>90</v>
      </c>
      <c r="J539" s="15">
        <v>52</v>
      </c>
      <c r="K539" s="30">
        <v>690000</v>
      </c>
      <c r="L539" s="17">
        <v>46064</v>
      </c>
      <c r="M539" s="18">
        <v>689681</v>
      </c>
      <c r="N539" s="16">
        <v>46068</v>
      </c>
      <c r="O539" s="19"/>
      <c r="P539" s="20">
        <v>64686.9</v>
      </c>
      <c r="Q539" s="29">
        <v>624994.1</v>
      </c>
      <c r="R539" s="9" t="s">
        <v>180</v>
      </c>
    </row>
    <row r="540" spans="1:19" ht="12" customHeight="1" x14ac:dyDescent="0.25">
      <c r="A540" s="14"/>
      <c r="B540" s="15" t="s">
        <v>465</v>
      </c>
      <c r="C540" s="29">
        <v>22500</v>
      </c>
      <c r="D540" s="16">
        <v>45974</v>
      </c>
      <c r="E540" s="15" t="s">
        <v>2</v>
      </c>
      <c r="F540" s="29">
        <v>0</v>
      </c>
      <c r="G540" s="29">
        <v>0</v>
      </c>
      <c r="H540" s="29">
        <v>22894.42</v>
      </c>
      <c r="I540" s="15">
        <v>10</v>
      </c>
      <c r="J540" s="15">
        <v>149</v>
      </c>
      <c r="K540" s="30">
        <v>87000</v>
      </c>
      <c r="L540" s="17">
        <v>45987</v>
      </c>
      <c r="M540" s="18">
        <v>22894</v>
      </c>
      <c r="N540" s="16">
        <v>45988</v>
      </c>
      <c r="O540" s="19"/>
      <c r="P540" s="20">
        <v>394.41</v>
      </c>
      <c r="Q540" s="29">
        <v>22499.59</v>
      </c>
      <c r="R540" s="9" t="s">
        <v>180</v>
      </c>
    </row>
    <row r="541" spans="1:19" ht="12" customHeight="1" x14ac:dyDescent="0.25">
      <c r="A541" s="14"/>
      <c r="B541" s="15" t="s">
        <v>220</v>
      </c>
      <c r="C541" s="29">
        <v>79000</v>
      </c>
      <c r="D541" s="16">
        <v>45974</v>
      </c>
      <c r="E541" s="15" t="s">
        <v>4</v>
      </c>
      <c r="F541" s="29">
        <v>87176</v>
      </c>
      <c r="G541" s="29">
        <v>87176</v>
      </c>
      <c r="H541" s="29">
        <v>87176</v>
      </c>
      <c r="I541" s="15">
        <v>90</v>
      </c>
      <c r="J541" s="15">
        <v>158</v>
      </c>
      <c r="K541" s="30">
        <v>87000</v>
      </c>
      <c r="L541" s="17">
        <v>46064</v>
      </c>
      <c r="M541" s="18">
        <v>0</v>
      </c>
      <c r="N541" s="16"/>
      <c r="O541" s="19">
        <v>138</v>
      </c>
      <c r="P541" s="20">
        <v>0</v>
      </c>
      <c r="Q541" s="29">
        <v>0</v>
      </c>
      <c r="R541" s="9" t="s">
        <v>180</v>
      </c>
    </row>
    <row r="542" spans="1:19" ht="12" customHeight="1" x14ac:dyDescent="0.25">
      <c r="A542" s="14"/>
      <c r="B542" s="15" t="s">
        <v>221</v>
      </c>
      <c r="C542" s="29">
        <v>41952</v>
      </c>
      <c r="D542" s="16">
        <v>45974</v>
      </c>
      <c r="E542" s="15" t="s">
        <v>2</v>
      </c>
      <c r="F542" s="29">
        <v>0</v>
      </c>
      <c r="G542" s="29">
        <v>0</v>
      </c>
      <c r="H542" s="29">
        <v>43399.34</v>
      </c>
      <c r="I542" s="15">
        <v>30</v>
      </c>
      <c r="J542" s="15">
        <v>164</v>
      </c>
      <c r="K542" s="30">
        <v>200000</v>
      </c>
      <c r="L542" s="17">
        <v>46005</v>
      </c>
      <c r="M542" s="18">
        <v>43399</v>
      </c>
      <c r="N542" s="16">
        <v>46006</v>
      </c>
      <c r="O542" s="19"/>
      <c r="P542" s="20">
        <v>1447.33</v>
      </c>
      <c r="Q542" s="29">
        <v>41951.67</v>
      </c>
      <c r="R542" s="9" t="s">
        <v>180</v>
      </c>
    </row>
    <row r="543" spans="1:19" ht="12" customHeight="1" x14ac:dyDescent="0.25">
      <c r="A543" s="14"/>
      <c r="B543" s="15" t="s">
        <v>222</v>
      </c>
      <c r="C543" s="29">
        <v>125231</v>
      </c>
      <c r="D543" s="16">
        <v>45977</v>
      </c>
      <c r="E543" s="15" t="s">
        <v>2</v>
      </c>
      <c r="F543" s="29">
        <v>0</v>
      </c>
      <c r="G543" s="29">
        <v>0</v>
      </c>
      <c r="H543" s="29">
        <v>129550.95</v>
      </c>
      <c r="I543" s="15">
        <v>30</v>
      </c>
      <c r="J543" s="15">
        <v>17</v>
      </c>
      <c r="K543" s="30">
        <v>2400000</v>
      </c>
      <c r="L543" s="17">
        <v>46007</v>
      </c>
      <c r="M543" s="18">
        <v>129550</v>
      </c>
      <c r="N543" s="16">
        <v>46008</v>
      </c>
      <c r="O543" s="19"/>
      <c r="P543" s="20">
        <v>4319.92</v>
      </c>
      <c r="Q543" s="29">
        <v>125230.08</v>
      </c>
      <c r="R543" s="9" t="s">
        <v>180</v>
      </c>
    </row>
    <row r="544" spans="1:19" ht="12" customHeight="1" x14ac:dyDescent="0.25">
      <c r="A544" s="14"/>
      <c r="B544" s="15" t="s">
        <v>293</v>
      </c>
      <c r="C544" s="29">
        <v>0</v>
      </c>
      <c r="D544" s="16">
        <v>45977</v>
      </c>
      <c r="E544" s="15" t="s">
        <v>2</v>
      </c>
      <c r="F544" s="29">
        <v>0</v>
      </c>
      <c r="G544" s="29">
        <v>0</v>
      </c>
      <c r="H544" s="29">
        <v>1581</v>
      </c>
      <c r="I544" s="15">
        <v>0</v>
      </c>
      <c r="J544" s="15">
        <v>26</v>
      </c>
      <c r="K544" s="30">
        <v>90000</v>
      </c>
      <c r="L544" s="17">
        <v>45977</v>
      </c>
      <c r="M544" s="18">
        <v>1581</v>
      </c>
      <c r="N544" s="16">
        <v>46005</v>
      </c>
      <c r="O544" s="19"/>
      <c r="P544" s="20">
        <v>1581</v>
      </c>
      <c r="Q544" s="29">
        <v>0</v>
      </c>
      <c r="R544" s="9" t="s">
        <v>180</v>
      </c>
    </row>
    <row r="545" spans="1:19" ht="12" customHeight="1" x14ac:dyDescent="0.25">
      <c r="A545" s="14"/>
      <c r="B545" s="15" t="s">
        <v>223</v>
      </c>
      <c r="C545" s="29">
        <v>96000</v>
      </c>
      <c r="D545" s="16">
        <v>45977</v>
      </c>
      <c r="E545" s="15" t="s">
        <v>2</v>
      </c>
      <c r="F545" s="29">
        <v>0</v>
      </c>
      <c r="G545" s="29">
        <v>0</v>
      </c>
      <c r="H545" s="29">
        <v>99360</v>
      </c>
      <c r="I545" s="15">
        <v>30</v>
      </c>
      <c r="J545" s="15">
        <v>90</v>
      </c>
      <c r="K545" s="30">
        <v>100000</v>
      </c>
      <c r="L545" s="17">
        <v>46009</v>
      </c>
      <c r="M545" s="18">
        <v>99360</v>
      </c>
      <c r="N545" s="16">
        <v>46020</v>
      </c>
      <c r="O545" s="19"/>
      <c r="P545" s="20">
        <v>3360</v>
      </c>
      <c r="Q545" s="29">
        <v>96000</v>
      </c>
      <c r="R545" s="9" t="s">
        <v>180</v>
      </c>
    </row>
    <row r="546" spans="1:19" ht="12" customHeight="1" x14ac:dyDescent="0.25">
      <c r="A546" s="14"/>
      <c r="B546" s="15" t="s">
        <v>224</v>
      </c>
      <c r="C546" s="29">
        <v>42000</v>
      </c>
      <c r="D546" s="16">
        <v>45977</v>
      </c>
      <c r="E546" s="15" t="s">
        <v>2</v>
      </c>
      <c r="F546" s="29">
        <v>0</v>
      </c>
      <c r="G546" s="29">
        <v>0</v>
      </c>
      <c r="H546" s="29">
        <v>43516</v>
      </c>
      <c r="I546" s="15">
        <v>30</v>
      </c>
      <c r="J546" s="15">
        <v>159</v>
      </c>
      <c r="K546" s="30">
        <v>129000</v>
      </c>
      <c r="L546" s="17">
        <v>46007</v>
      </c>
      <c r="M546" s="18">
        <v>43516</v>
      </c>
      <c r="N546" s="16">
        <v>46012</v>
      </c>
      <c r="O546" s="19"/>
      <c r="P546" s="20">
        <v>1516</v>
      </c>
      <c r="Q546" s="29">
        <v>42000</v>
      </c>
      <c r="R546" s="9" t="s">
        <v>180</v>
      </c>
    </row>
    <row r="547" spans="1:19" ht="12" customHeight="1" x14ac:dyDescent="0.25">
      <c r="A547" s="14"/>
      <c r="B547" s="15" t="s">
        <v>225</v>
      </c>
      <c r="C547" s="29">
        <v>76695</v>
      </c>
      <c r="D547" s="16">
        <v>45977</v>
      </c>
      <c r="E547" s="15" t="s">
        <v>2</v>
      </c>
      <c r="F547" s="29">
        <v>0</v>
      </c>
      <c r="G547" s="29">
        <v>0</v>
      </c>
      <c r="H547" s="29">
        <v>79342</v>
      </c>
      <c r="I547" s="15">
        <v>30</v>
      </c>
      <c r="J547" s="15">
        <v>163</v>
      </c>
      <c r="K547" s="30">
        <v>100000</v>
      </c>
      <c r="L547" s="17">
        <v>46007</v>
      </c>
      <c r="M547" s="18">
        <v>79341</v>
      </c>
      <c r="N547" s="16">
        <v>46052</v>
      </c>
      <c r="O547" s="19"/>
      <c r="P547" s="20">
        <v>2646.97</v>
      </c>
      <c r="Q547" s="29">
        <v>76694.03</v>
      </c>
      <c r="R547" s="9" t="s">
        <v>180</v>
      </c>
    </row>
    <row r="548" spans="1:19" ht="12" customHeight="1" x14ac:dyDescent="0.25">
      <c r="A548" s="14"/>
      <c r="B548" s="15" t="s">
        <v>226</v>
      </c>
      <c r="C548" s="29">
        <v>130050</v>
      </c>
      <c r="D548" s="16">
        <v>45978</v>
      </c>
      <c r="E548" s="15" t="s">
        <v>2</v>
      </c>
      <c r="F548" s="29">
        <v>0</v>
      </c>
      <c r="G548" s="29">
        <v>0</v>
      </c>
      <c r="H548" s="29">
        <v>134536.01</v>
      </c>
      <c r="I548" s="15">
        <v>30</v>
      </c>
      <c r="J548" s="15">
        <v>17</v>
      </c>
      <c r="K548" s="30">
        <v>2400000</v>
      </c>
      <c r="L548" s="17">
        <v>46012</v>
      </c>
      <c r="M548" s="18">
        <v>134536</v>
      </c>
      <c r="N548" s="16">
        <v>46013</v>
      </c>
      <c r="O548" s="19"/>
      <c r="P548" s="20">
        <v>4486.01</v>
      </c>
      <c r="Q548" s="29">
        <v>130049.99</v>
      </c>
      <c r="R548" s="9" t="s">
        <v>180</v>
      </c>
    </row>
    <row r="549" spans="1:19" ht="12" customHeight="1" x14ac:dyDescent="0.25">
      <c r="A549" s="14"/>
      <c r="B549" s="15" t="s">
        <v>227</v>
      </c>
      <c r="C549" s="29">
        <v>152677</v>
      </c>
      <c r="D549" s="16">
        <v>45978</v>
      </c>
      <c r="E549" s="15" t="s">
        <v>2</v>
      </c>
      <c r="F549" s="29">
        <v>0</v>
      </c>
      <c r="G549" s="29">
        <v>0</v>
      </c>
      <c r="H549" s="29">
        <v>157944.35</v>
      </c>
      <c r="I549" s="15">
        <v>30</v>
      </c>
      <c r="J549" s="15">
        <v>29</v>
      </c>
      <c r="K549" s="30">
        <v>1240000</v>
      </c>
      <c r="L549" s="17">
        <v>46009</v>
      </c>
      <c r="M549" s="18">
        <v>157944.23000000001</v>
      </c>
      <c r="N549" s="16">
        <v>46006</v>
      </c>
      <c r="O549" s="19"/>
      <c r="P549" s="20">
        <v>5267.35</v>
      </c>
      <c r="Q549" s="29">
        <v>152676.88</v>
      </c>
      <c r="R549" s="9" t="s">
        <v>180</v>
      </c>
    </row>
    <row r="550" spans="1:19" ht="12" customHeight="1" x14ac:dyDescent="0.25">
      <c r="A550" s="14"/>
      <c r="B550" s="15" t="s">
        <v>228</v>
      </c>
      <c r="C550" s="29">
        <v>64706</v>
      </c>
      <c r="D550" s="16">
        <v>45978</v>
      </c>
      <c r="E550" s="15" t="s">
        <v>2</v>
      </c>
      <c r="F550" s="29">
        <v>0</v>
      </c>
      <c r="G550" s="29">
        <v>0</v>
      </c>
      <c r="H550" s="29">
        <v>71403.08</v>
      </c>
      <c r="I550" s="15">
        <v>90</v>
      </c>
      <c r="J550" s="15">
        <v>49</v>
      </c>
      <c r="K550" s="30">
        <v>273000</v>
      </c>
      <c r="L550" s="17">
        <v>46068</v>
      </c>
      <c r="M550" s="18">
        <v>71403.09</v>
      </c>
      <c r="N550" s="16">
        <v>46061</v>
      </c>
      <c r="O550" s="19"/>
      <c r="P550" s="20">
        <v>6697.08</v>
      </c>
      <c r="Q550" s="29">
        <v>64706.01</v>
      </c>
      <c r="R550" s="9" t="s">
        <v>180</v>
      </c>
    </row>
    <row r="551" spans="1:19" ht="12" customHeight="1" x14ac:dyDescent="0.25">
      <c r="A551" s="14"/>
      <c r="B551" s="15" t="s">
        <v>229</v>
      </c>
      <c r="C551" s="29">
        <v>37030</v>
      </c>
      <c r="D551" s="16">
        <v>45978</v>
      </c>
      <c r="E551" s="15" t="s">
        <v>2</v>
      </c>
      <c r="F551" s="29">
        <v>0</v>
      </c>
      <c r="G551" s="29">
        <v>0</v>
      </c>
      <c r="H551" s="29">
        <v>39159.22</v>
      </c>
      <c r="I551" s="15">
        <v>30</v>
      </c>
      <c r="J551" s="15">
        <v>54</v>
      </c>
      <c r="K551" s="30">
        <v>117000</v>
      </c>
      <c r="L551" s="17">
        <v>46008</v>
      </c>
      <c r="M551" s="18">
        <v>39159.22</v>
      </c>
      <c r="N551" s="16">
        <v>46005</v>
      </c>
      <c r="O551" s="19"/>
      <c r="P551" s="20">
        <v>2129.2199999999998</v>
      </c>
      <c r="Q551" s="29">
        <v>37030</v>
      </c>
      <c r="R551" s="9" t="s">
        <v>180</v>
      </c>
    </row>
    <row r="552" spans="1:19" ht="12" customHeight="1" x14ac:dyDescent="0.25">
      <c r="A552" s="14"/>
      <c r="B552" s="15" t="s">
        <v>230</v>
      </c>
      <c r="C552" s="29">
        <v>0</v>
      </c>
      <c r="D552" s="16">
        <v>45978</v>
      </c>
      <c r="E552" s="15" t="s">
        <v>4</v>
      </c>
      <c r="F552" s="29">
        <v>230</v>
      </c>
      <c r="G552" s="29">
        <v>230</v>
      </c>
      <c r="H552" s="29">
        <v>230</v>
      </c>
      <c r="I552" s="15">
        <v>0</v>
      </c>
      <c r="J552" s="15">
        <v>96</v>
      </c>
      <c r="K552" s="30">
        <v>10000</v>
      </c>
      <c r="L552" s="17">
        <v>45978</v>
      </c>
      <c r="M552" s="18">
        <v>0</v>
      </c>
      <c r="N552" s="16"/>
      <c r="O552" s="19">
        <v>134</v>
      </c>
      <c r="P552" s="20">
        <v>0</v>
      </c>
      <c r="Q552" s="29">
        <v>0</v>
      </c>
      <c r="R552" s="9" t="s">
        <v>180</v>
      </c>
      <c r="S552" s="10" t="s">
        <v>642</v>
      </c>
    </row>
    <row r="553" spans="1:19" ht="12" customHeight="1" x14ac:dyDescent="0.25">
      <c r="A553" s="14"/>
      <c r="B553" s="15" t="s">
        <v>231</v>
      </c>
      <c r="C553" s="29">
        <v>172458</v>
      </c>
      <c r="D553" s="16">
        <v>45978</v>
      </c>
      <c r="E553" s="15" t="s">
        <v>2</v>
      </c>
      <c r="F553" s="29">
        <v>0</v>
      </c>
      <c r="G553" s="29">
        <v>0</v>
      </c>
      <c r="H553" s="29">
        <v>178429.67</v>
      </c>
      <c r="I553" s="15">
        <v>30</v>
      </c>
      <c r="J553" s="15">
        <v>112</v>
      </c>
      <c r="K553" s="30">
        <v>290000</v>
      </c>
      <c r="L553" s="17">
        <v>46008</v>
      </c>
      <c r="M553" s="18">
        <v>178430</v>
      </c>
      <c r="N553" s="16">
        <v>46013</v>
      </c>
      <c r="O553" s="19"/>
      <c r="P553" s="20">
        <v>5971.68</v>
      </c>
      <c r="Q553" s="29">
        <v>172458.32</v>
      </c>
      <c r="R553" s="9" t="s">
        <v>180</v>
      </c>
    </row>
    <row r="554" spans="1:19" ht="12" customHeight="1" x14ac:dyDescent="0.25">
      <c r="A554" s="14"/>
      <c r="B554" s="15" t="s">
        <v>232</v>
      </c>
      <c r="C554" s="29">
        <v>37226</v>
      </c>
      <c r="D554" s="16">
        <v>45978</v>
      </c>
      <c r="E554" s="15" t="s">
        <v>2</v>
      </c>
      <c r="F554" s="29">
        <v>0</v>
      </c>
      <c r="G554" s="29">
        <v>0</v>
      </c>
      <c r="H554" s="29">
        <v>38510.519999999997</v>
      </c>
      <c r="I554" s="15">
        <v>30</v>
      </c>
      <c r="J554" s="15">
        <v>114</v>
      </c>
      <c r="K554" s="30">
        <v>38000</v>
      </c>
      <c r="L554" s="17">
        <v>46009</v>
      </c>
      <c r="M554" s="18">
        <v>38511</v>
      </c>
      <c r="N554" s="16">
        <v>46015</v>
      </c>
      <c r="O554" s="19"/>
      <c r="P554" s="20">
        <v>1284.53</v>
      </c>
      <c r="Q554" s="29">
        <v>37226.47</v>
      </c>
      <c r="R554" s="9" t="s">
        <v>180</v>
      </c>
    </row>
    <row r="555" spans="1:19" ht="12" customHeight="1" x14ac:dyDescent="0.25">
      <c r="A555" s="14"/>
      <c r="B555" s="15" t="s">
        <v>233</v>
      </c>
      <c r="C555" s="29">
        <v>200000</v>
      </c>
      <c r="D555" s="16">
        <v>45978</v>
      </c>
      <c r="E555" s="15" t="s">
        <v>2</v>
      </c>
      <c r="F555" s="29">
        <v>0</v>
      </c>
      <c r="G555" s="29">
        <v>0</v>
      </c>
      <c r="H555" s="29">
        <v>220700</v>
      </c>
      <c r="I555" s="15">
        <v>90</v>
      </c>
      <c r="J555" s="15">
        <v>165</v>
      </c>
      <c r="K555" s="30">
        <v>450000</v>
      </c>
      <c r="L555" s="17">
        <v>46068</v>
      </c>
      <c r="M555" s="18">
        <v>220700</v>
      </c>
      <c r="N555" s="16">
        <v>46069</v>
      </c>
      <c r="O555" s="19"/>
      <c r="P555" s="20">
        <v>20700</v>
      </c>
      <c r="Q555" s="29">
        <v>200000</v>
      </c>
      <c r="R555" s="9" t="s">
        <v>180</v>
      </c>
    </row>
    <row r="556" spans="1:19" ht="12" customHeight="1" x14ac:dyDescent="0.25">
      <c r="A556" s="14"/>
      <c r="B556" s="15" t="s">
        <v>234</v>
      </c>
      <c r="C556" s="29">
        <v>94560</v>
      </c>
      <c r="D556" s="16">
        <v>45978</v>
      </c>
      <c r="E556" s="15" t="s">
        <v>4</v>
      </c>
      <c r="F556" s="29">
        <v>99997.19</v>
      </c>
      <c r="G556" s="29">
        <v>99997.19</v>
      </c>
      <c r="H556" s="29">
        <v>99997.19</v>
      </c>
      <c r="I556" s="15">
        <v>30</v>
      </c>
      <c r="J556" s="15">
        <v>168</v>
      </c>
      <c r="K556" s="30">
        <v>100000</v>
      </c>
      <c r="L556" s="17">
        <v>46008</v>
      </c>
      <c r="M556" s="18">
        <v>0</v>
      </c>
      <c r="N556" s="16"/>
      <c r="O556" s="19">
        <v>134</v>
      </c>
      <c r="P556" s="20">
        <v>0</v>
      </c>
      <c r="Q556" s="29">
        <v>0</v>
      </c>
      <c r="R556" s="9" t="s">
        <v>180</v>
      </c>
      <c r="S556" s="10" t="s">
        <v>655</v>
      </c>
    </row>
    <row r="557" spans="1:19" ht="12" customHeight="1" x14ac:dyDescent="0.25">
      <c r="A557" s="14"/>
      <c r="B557" s="15" t="s">
        <v>235</v>
      </c>
      <c r="C557" s="29">
        <v>93521</v>
      </c>
      <c r="D557" s="16">
        <v>45978</v>
      </c>
      <c r="E557" s="15" t="s">
        <v>4</v>
      </c>
      <c r="F557" s="29">
        <v>99975.41</v>
      </c>
      <c r="G557" s="29">
        <v>99975.41</v>
      </c>
      <c r="H557" s="29">
        <v>99975.41</v>
      </c>
      <c r="I557" s="15">
        <v>60</v>
      </c>
      <c r="J557" s="15">
        <v>167</v>
      </c>
      <c r="K557" s="30">
        <v>100000</v>
      </c>
      <c r="L557" s="17">
        <v>46040</v>
      </c>
      <c r="M557" s="18">
        <v>0</v>
      </c>
      <c r="N557" s="16"/>
      <c r="O557" s="19">
        <v>134</v>
      </c>
      <c r="P557" s="20">
        <v>0</v>
      </c>
      <c r="Q557" s="29">
        <v>0</v>
      </c>
      <c r="R557" s="9" t="s">
        <v>180</v>
      </c>
      <c r="S557" s="10" t="s">
        <v>656</v>
      </c>
    </row>
    <row r="558" spans="1:19" ht="12" customHeight="1" x14ac:dyDescent="0.25">
      <c r="A558" s="14"/>
      <c r="B558" s="15" t="s">
        <v>236</v>
      </c>
      <c r="C558" s="29">
        <v>46872</v>
      </c>
      <c r="D558" s="16">
        <v>45979</v>
      </c>
      <c r="E558" s="15" t="s">
        <v>2</v>
      </c>
      <c r="F558" s="29">
        <v>0</v>
      </c>
      <c r="G558" s="29">
        <v>0</v>
      </c>
      <c r="H558" s="29">
        <v>48488.59</v>
      </c>
      <c r="I558" s="15">
        <v>30</v>
      </c>
      <c r="J558" s="15">
        <v>22</v>
      </c>
      <c r="K558" s="30">
        <v>200000</v>
      </c>
      <c r="L558" s="17">
        <v>46009</v>
      </c>
      <c r="M558" s="18">
        <v>48489</v>
      </c>
      <c r="N558" s="16">
        <v>46008</v>
      </c>
      <c r="O558" s="19"/>
      <c r="P558" s="20">
        <v>1616.6</v>
      </c>
      <c r="Q558" s="29">
        <v>46872.4</v>
      </c>
      <c r="R558" s="9" t="s">
        <v>180</v>
      </c>
    </row>
    <row r="559" spans="1:19" ht="12" customHeight="1" x14ac:dyDescent="0.25">
      <c r="A559" s="14"/>
      <c r="B559" s="15" t="s">
        <v>237</v>
      </c>
      <c r="C559" s="29">
        <v>46000</v>
      </c>
      <c r="D559" s="16">
        <v>45979</v>
      </c>
      <c r="E559" s="15" t="s">
        <v>4</v>
      </c>
      <c r="F559" s="29">
        <v>47587</v>
      </c>
      <c r="G559" s="29">
        <v>47587</v>
      </c>
      <c r="H559" s="29">
        <v>47587</v>
      </c>
      <c r="I559" s="15">
        <v>30</v>
      </c>
      <c r="J559" s="15">
        <v>66</v>
      </c>
      <c r="K559" s="30">
        <v>100000</v>
      </c>
      <c r="L559" s="17">
        <v>46009</v>
      </c>
      <c r="M559" s="18">
        <v>0</v>
      </c>
      <c r="N559" s="16"/>
      <c r="O559" s="19">
        <v>133</v>
      </c>
      <c r="P559" s="20">
        <v>0</v>
      </c>
      <c r="Q559" s="29">
        <v>0</v>
      </c>
      <c r="R559" s="9" t="s">
        <v>180</v>
      </c>
      <c r="S559" s="10" t="s">
        <v>657</v>
      </c>
    </row>
    <row r="560" spans="1:19" ht="12" customHeight="1" x14ac:dyDescent="0.25">
      <c r="A560" s="14"/>
      <c r="B560" s="15" t="s">
        <v>238</v>
      </c>
      <c r="C560" s="29">
        <v>600000</v>
      </c>
      <c r="D560" s="16">
        <v>45979</v>
      </c>
      <c r="E560" s="15" t="s">
        <v>2</v>
      </c>
      <c r="F560" s="29">
        <v>0</v>
      </c>
      <c r="G560" s="29">
        <v>0</v>
      </c>
      <c r="H560" s="29">
        <v>662100</v>
      </c>
      <c r="I560" s="15">
        <v>90</v>
      </c>
      <c r="J560" s="15">
        <v>166</v>
      </c>
      <c r="K560" s="30">
        <v>1330000</v>
      </c>
      <c r="L560" s="17">
        <v>46070</v>
      </c>
      <c r="M560" s="18">
        <v>662100</v>
      </c>
      <c r="N560" s="16">
        <v>46070</v>
      </c>
      <c r="O560" s="19"/>
      <c r="P560" s="20">
        <v>62100</v>
      </c>
      <c r="Q560" s="29">
        <v>600000</v>
      </c>
      <c r="R560" s="9" t="s">
        <v>180</v>
      </c>
    </row>
    <row r="561" spans="1:19" ht="12" customHeight="1" x14ac:dyDescent="0.25">
      <c r="A561" s="14"/>
      <c r="B561" s="15" t="s">
        <v>239</v>
      </c>
      <c r="C561" s="29">
        <v>93528</v>
      </c>
      <c r="D561" s="16">
        <v>45979</v>
      </c>
      <c r="E561" s="15" t="s">
        <v>4</v>
      </c>
      <c r="F561" s="29">
        <v>99985</v>
      </c>
      <c r="G561" s="29">
        <v>99985</v>
      </c>
      <c r="H561" s="29">
        <v>99985</v>
      </c>
      <c r="I561" s="15">
        <v>60</v>
      </c>
      <c r="J561" s="15">
        <v>169</v>
      </c>
      <c r="K561" s="30">
        <v>100000</v>
      </c>
      <c r="L561" s="17">
        <v>46040</v>
      </c>
      <c r="M561" s="18">
        <v>0</v>
      </c>
      <c r="N561" s="16"/>
      <c r="O561" s="19">
        <v>133</v>
      </c>
      <c r="P561" s="20">
        <v>0</v>
      </c>
      <c r="Q561" s="29">
        <v>0</v>
      </c>
      <c r="R561" s="9" t="s">
        <v>180</v>
      </c>
      <c r="S561" s="10" t="s">
        <v>983</v>
      </c>
    </row>
    <row r="562" spans="1:19" ht="12" customHeight="1" x14ac:dyDescent="0.25">
      <c r="A562" s="14"/>
      <c r="B562" s="15" t="s">
        <v>240</v>
      </c>
      <c r="C562" s="29">
        <v>7833</v>
      </c>
      <c r="D562" s="16">
        <v>45979</v>
      </c>
      <c r="E562" s="15" t="s">
        <v>2</v>
      </c>
      <c r="F562" s="29">
        <v>0</v>
      </c>
      <c r="G562" s="29">
        <v>0</v>
      </c>
      <c r="H562" s="29">
        <v>8103.47</v>
      </c>
      <c r="I562" s="15">
        <v>30</v>
      </c>
      <c r="J562" s="15">
        <v>170</v>
      </c>
      <c r="K562" s="30">
        <v>10000</v>
      </c>
      <c r="L562" s="17">
        <v>46012</v>
      </c>
      <c r="M562" s="18">
        <v>8103</v>
      </c>
      <c r="N562" s="16">
        <v>46002</v>
      </c>
      <c r="O562" s="19"/>
      <c r="P562" s="20">
        <v>270.45999999999998</v>
      </c>
      <c r="Q562" s="29">
        <v>7832.54</v>
      </c>
      <c r="R562" s="9" t="s">
        <v>180</v>
      </c>
    </row>
    <row r="563" spans="1:19" ht="12" customHeight="1" x14ac:dyDescent="0.25">
      <c r="A563" s="14"/>
      <c r="B563" s="15" t="s">
        <v>241</v>
      </c>
      <c r="C563" s="29">
        <v>56190</v>
      </c>
      <c r="D563" s="16">
        <v>45979</v>
      </c>
      <c r="E563" s="15" t="s">
        <v>4</v>
      </c>
      <c r="F563" s="29">
        <v>62000</v>
      </c>
      <c r="G563" s="29">
        <v>62000</v>
      </c>
      <c r="H563" s="29">
        <v>62000</v>
      </c>
      <c r="I563" s="15">
        <v>90</v>
      </c>
      <c r="J563" s="15">
        <v>173</v>
      </c>
      <c r="K563" s="30">
        <v>62000</v>
      </c>
      <c r="L563" s="17">
        <v>46069</v>
      </c>
      <c r="M563" s="18">
        <v>0</v>
      </c>
      <c r="N563" s="16"/>
      <c r="O563" s="19">
        <v>133</v>
      </c>
      <c r="P563" s="20">
        <v>0</v>
      </c>
      <c r="Q563" s="29">
        <v>0</v>
      </c>
      <c r="R563" s="9" t="s">
        <v>180</v>
      </c>
    </row>
    <row r="564" spans="1:19" ht="12" customHeight="1" x14ac:dyDescent="0.25">
      <c r="A564" s="14"/>
      <c r="B564" s="15" t="s">
        <v>242</v>
      </c>
      <c r="C564" s="29">
        <v>66150</v>
      </c>
      <c r="D564" s="16">
        <v>45979</v>
      </c>
      <c r="E564" s="15" t="s">
        <v>4</v>
      </c>
      <c r="F564" s="29">
        <v>73000</v>
      </c>
      <c r="G564" s="29">
        <v>73000</v>
      </c>
      <c r="H564" s="29">
        <v>73000</v>
      </c>
      <c r="I564" s="15">
        <v>90</v>
      </c>
      <c r="J564" s="15">
        <v>176</v>
      </c>
      <c r="K564" s="30">
        <v>73000</v>
      </c>
      <c r="L564" s="17">
        <v>46069</v>
      </c>
      <c r="M564" s="18">
        <v>0</v>
      </c>
      <c r="N564" s="16"/>
      <c r="O564" s="19">
        <v>133</v>
      </c>
      <c r="P564" s="20">
        <v>0</v>
      </c>
      <c r="Q564" s="29">
        <v>0</v>
      </c>
      <c r="R564" s="9" t="s">
        <v>180</v>
      </c>
    </row>
    <row r="565" spans="1:19" ht="12" customHeight="1" x14ac:dyDescent="0.25">
      <c r="A565" s="14"/>
      <c r="B565" s="15" t="s">
        <v>243</v>
      </c>
      <c r="C565" s="29">
        <v>8625</v>
      </c>
      <c r="D565" s="16">
        <v>45980</v>
      </c>
      <c r="E565" s="15" t="s">
        <v>2</v>
      </c>
      <c r="F565" s="29">
        <v>0</v>
      </c>
      <c r="G565" s="29">
        <v>0</v>
      </c>
      <c r="H565" s="29">
        <v>8953</v>
      </c>
      <c r="I565" s="15">
        <v>30</v>
      </c>
      <c r="J565" s="15">
        <v>159</v>
      </c>
      <c r="K565" s="30">
        <v>129000</v>
      </c>
      <c r="L565" s="17">
        <v>46012</v>
      </c>
      <c r="M565" s="18">
        <v>8953</v>
      </c>
      <c r="N565" s="16">
        <v>46012</v>
      </c>
      <c r="O565" s="19"/>
      <c r="P565" s="20">
        <v>328</v>
      </c>
      <c r="Q565" s="29">
        <v>8625</v>
      </c>
      <c r="R565" s="9" t="s">
        <v>180</v>
      </c>
    </row>
    <row r="566" spans="1:19" ht="12" customHeight="1" x14ac:dyDescent="0.25">
      <c r="A566" s="14"/>
      <c r="B566" s="15" t="s">
        <v>244</v>
      </c>
      <c r="C566" s="29">
        <v>62530</v>
      </c>
      <c r="D566" s="16">
        <v>45980</v>
      </c>
      <c r="E566" s="15" t="s">
        <v>4</v>
      </c>
      <c r="F566" s="29">
        <v>69000</v>
      </c>
      <c r="G566" s="29">
        <v>69000</v>
      </c>
      <c r="H566" s="29">
        <v>69000</v>
      </c>
      <c r="I566" s="15">
        <v>90</v>
      </c>
      <c r="J566" s="15">
        <v>175</v>
      </c>
      <c r="K566" s="30">
        <v>69000</v>
      </c>
      <c r="L566" s="17">
        <v>46070</v>
      </c>
      <c r="M566" s="18">
        <v>0</v>
      </c>
      <c r="N566" s="16"/>
      <c r="O566" s="19">
        <v>132</v>
      </c>
      <c r="P566" s="20">
        <v>0</v>
      </c>
      <c r="Q566" s="29">
        <v>0</v>
      </c>
      <c r="R566" s="9" t="s">
        <v>180</v>
      </c>
    </row>
    <row r="567" spans="1:19" ht="12" customHeight="1" x14ac:dyDescent="0.25">
      <c r="A567" s="14"/>
      <c r="B567" s="15" t="s">
        <v>245</v>
      </c>
      <c r="C567" s="29">
        <v>96715</v>
      </c>
      <c r="D567" s="16">
        <v>45980</v>
      </c>
      <c r="E567" s="15" t="s">
        <v>2</v>
      </c>
      <c r="F567" s="29">
        <v>0</v>
      </c>
      <c r="G567" s="29">
        <v>0</v>
      </c>
      <c r="H567" s="29">
        <v>100052.06</v>
      </c>
      <c r="I567" s="15">
        <v>30</v>
      </c>
      <c r="J567" s="15">
        <v>178</v>
      </c>
      <c r="K567" s="30">
        <v>100000</v>
      </c>
      <c r="L567" s="17">
        <v>46012</v>
      </c>
      <c r="M567" s="18">
        <v>100052.05</v>
      </c>
      <c r="N567" s="16">
        <v>46013</v>
      </c>
      <c r="O567" s="19"/>
      <c r="P567" s="20">
        <v>3337.06</v>
      </c>
      <c r="Q567" s="29">
        <v>96714.99</v>
      </c>
      <c r="R567" s="9" t="s">
        <v>180</v>
      </c>
    </row>
    <row r="568" spans="1:19" ht="12" customHeight="1" x14ac:dyDescent="0.25">
      <c r="A568" s="14"/>
      <c r="B568" s="15" t="s">
        <v>466</v>
      </c>
      <c r="C568" s="29">
        <v>0</v>
      </c>
      <c r="D568" s="16">
        <v>45981</v>
      </c>
      <c r="E568" s="15" t="s">
        <v>2</v>
      </c>
      <c r="F568" s="29">
        <v>0</v>
      </c>
      <c r="G568" s="29">
        <v>0</v>
      </c>
      <c r="H568" s="29">
        <v>7006</v>
      </c>
      <c r="I568" s="15">
        <v>0</v>
      </c>
      <c r="J568" s="15">
        <v>21</v>
      </c>
      <c r="K568" s="30">
        <v>140000</v>
      </c>
      <c r="L568" s="17">
        <v>45981</v>
      </c>
      <c r="M568" s="18">
        <v>7035</v>
      </c>
      <c r="N568" s="16">
        <v>45994</v>
      </c>
      <c r="O568" s="19"/>
      <c r="P568" s="20">
        <v>7035</v>
      </c>
      <c r="Q568" s="29">
        <v>0</v>
      </c>
      <c r="R568" s="9" t="s">
        <v>180</v>
      </c>
    </row>
    <row r="569" spans="1:19" ht="12" customHeight="1" x14ac:dyDescent="0.25">
      <c r="A569" s="14"/>
      <c r="B569" s="15" t="s">
        <v>246</v>
      </c>
      <c r="C569" s="29">
        <v>122207</v>
      </c>
      <c r="D569" s="16">
        <v>45981</v>
      </c>
      <c r="E569" s="15" t="s">
        <v>2</v>
      </c>
      <c r="F569" s="29">
        <v>0</v>
      </c>
      <c r="G569" s="29">
        <v>0</v>
      </c>
      <c r="H569" s="29">
        <v>126423.14</v>
      </c>
      <c r="I569" s="15">
        <v>30</v>
      </c>
      <c r="J569" s="15">
        <v>29</v>
      </c>
      <c r="K569" s="30">
        <v>1240000</v>
      </c>
      <c r="L569" s="17">
        <v>46012</v>
      </c>
      <c r="M569" s="18">
        <v>126423.19</v>
      </c>
      <c r="N569" s="16">
        <v>46007</v>
      </c>
      <c r="O569" s="19"/>
      <c r="P569" s="20">
        <v>4216.1400000000003</v>
      </c>
      <c r="Q569" s="29">
        <v>122207.05</v>
      </c>
      <c r="R569" s="9" t="s">
        <v>180</v>
      </c>
    </row>
    <row r="570" spans="1:19" ht="12" customHeight="1" x14ac:dyDescent="0.25">
      <c r="A570" s="14"/>
      <c r="B570" s="15" t="s">
        <v>247</v>
      </c>
      <c r="C570" s="29">
        <v>180884</v>
      </c>
      <c r="D570" s="16">
        <v>45981</v>
      </c>
      <c r="E570" s="15" t="s">
        <v>2</v>
      </c>
      <c r="F570" s="29">
        <v>0</v>
      </c>
      <c r="G570" s="29">
        <v>0</v>
      </c>
      <c r="H570" s="29">
        <v>187124.5</v>
      </c>
      <c r="I570" s="15">
        <v>30</v>
      </c>
      <c r="J570" s="15">
        <v>29</v>
      </c>
      <c r="K570" s="30">
        <v>1240000</v>
      </c>
      <c r="L570" s="17">
        <v>46012</v>
      </c>
      <c r="M570" s="18">
        <v>187124</v>
      </c>
      <c r="N570" s="16">
        <v>46006</v>
      </c>
      <c r="O570" s="19"/>
      <c r="P570" s="20">
        <v>6240.48</v>
      </c>
      <c r="Q570" s="29">
        <v>180883.52</v>
      </c>
      <c r="R570" s="9" t="s">
        <v>180</v>
      </c>
    </row>
    <row r="571" spans="1:19" ht="12" customHeight="1" x14ac:dyDescent="0.25">
      <c r="A571" s="14"/>
      <c r="B571" s="15" t="s">
        <v>248</v>
      </c>
      <c r="C571" s="29">
        <v>20000</v>
      </c>
      <c r="D571" s="16">
        <v>45981</v>
      </c>
      <c r="E571" s="15" t="s">
        <v>2</v>
      </c>
      <c r="F571" s="29">
        <v>0</v>
      </c>
      <c r="G571" s="29">
        <v>0</v>
      </c>
      <c r="H571" s="29">
        <v>22070</v>
      </c>
      <c r="I571" s="15">
        <v>90</v>
      </c>
      <c r="J571" s="15">
        <v>171</v>
      </c>
      <c r="K571" s="30">
        <v>100000</v>
      </c>
      <c r="L571" s="17">
        <v>46071</v>
      </c>
      <c r="M571" s="18">
        <v>22070</v>
      </c>
      <c r="N571" s="16">
        <v>46076</v>
      </c>
      <c r="O571" s="19"/>
      <c r="P571" s="20">
        <v>2070</v>
      </c>
      <c r="Q571" s="29">
        <v>20000</v>
      </c>
      <c r="R571" s="9" t="s">
        <v>180</v>
      </c>
    </row>
    <row r="572" spans="1:19" ht="12" customHeight="1" x14ac:dyDescent="0.25">
      <c r="A572" s="14"/>
      <c r="B572" s="15" t="s">
        <v>249</v>
      </c>
      <c r="C572" s="29">
        <v>400001</v>
      </c>
      <c r="D572" s="16">
        <v>45981</v>
      </c>
      <c r="E572" s="15" t="s">
        <v>2</v>
      </c>
      <c r="F572" s="29">
        <v>0</v>
      </c>
      <c r="G572" s="29">
        <v>0</v>
      </c>
      <c r="H572" s="29">
        <v>408011.4</v>
      </c>
      <c r="I572" s="15">
        <v>15</v>
      </c>
      <c r="J572" s="15">
        <v>179</v>
      </c>
      <c r="K572" s="30">
        <v>410000</v>
      </c>
      <c r="L572" s="17">
        <v>45998</v>
      </c>
      <c r="M572" s="18">
        <v>408000</v>
      </c>
      <c r="N572" s="16">
        <v>45998</v>
      </c>
      <c r="O572" s="19"/>
      <c r="P572" s="20">
        <v>8010.18</v>
      </c>
      <c r="Q572" s="29">
        <v>399989.82</v>
      </c>
      <c r="R572" s="9" t="s">
        <v>180</v>
      </c>
    </row>
    <row r="573" spans="1:19" ht="12" customHeight="1" x14ac:dyDescent="0.25">
      <c r="A573" s="14"/>
      <c r="B573" s="15" t="s">
        <v>250</v>
      </c>
      <c r="C573" s="29">
        <v>125000</v>
      </c>
      <c r="D573" s="16">
        <v>45984</v>
      </c>
      <c r="E573" s="15" t="s">
        <v>2</v>
      </c>
      <c r="F573" s="29">
        <v>0</v>
      </c>
      <c r="G573" s="29">
        <v>0</v>
      </c>
      <c r="H573" s="29">
        <v>129312.5</v>
      </c>
      <c r="I573" s="15">
        <v>30</v>
      </c>
      <c r="J573" s="15">
        <v>17</v>
      </c>
      <c r="K573" s="30">
        <v>2400000</v>
      </c>
      <c r="L573" s="17">
        <v>46014</v>
      </c>
      <c r="M573" s="18">
        <v>129312</v>
      </c>
      <c r="N573" s="16">
        <v>46015</v>
      </c>
      <c r="O573" s="19"/>
      <c r="P573" s="20">
        <v>4312.4799999999996</v>
      </c>
      <c r="Q573" s="29">
        <v>124999.52</v>
      </c>
      <c r="R573" s="9" t="s">
        <v>180</v>
      </c>
    </row>
    <row r="574" spans="1:19" ht="12" customHeight="1" x14ac:dyDescent="0.25">
      <c r="A574" s="14"/>
      <c r="B574" s="15" t="s">
        <v>251</v>
      </c>
      <c r="C574" s="29">
        <v>130000</v>
      </c>
      <c r="D574" s="16">
        <v>45984</v>
      </c>
      <c r="E574" s="15" t="s">
        <v>2</v>
      </c>
      <c r="F574" s="29">
        <v>0</v>
      </c>
      <c r="G574" s="29">
        <v>0</v>
      </c>
      <c r="H574" s="29">
        <v>134485</v>
      </c>
      <c r="I574" s="15">
        <v>30</v>
      </c>
      <c r="J574" s="15">
        <v>17</v>
      </c>
      <c r="K574" s="30">
        <v>2400000</v>
      </c>
      <c r="L574" s="17">
        <v>46014</v>
      </c>
      <c r="M574" s="18">
        <v>134485</v>
      </c>
      <c r="N574" s="16">
        <v>46015</v>
      </c>
      <c r="O574" s="19"/>
      <c r="P574" s="20">
        <v>4485</v>
      </c>
      <c r="Q574" s="29">
        <v>130000</v>
      </c>
      <c r="R574" s="9" t="s">
        <v>180</v>
      </c>
    </row>
    <row r="575" spans="1:19" ht="12" customHeight="1" x14ac:dyDescent="0.25">
      <c r="A575" s="14"/>
      <c r="B575" s="15" t="s">
        <v>252</v>
      </c>
      <c r="C575" s="29">
        <v>106377</v>
      </c>
      <c r="D575" s="16">
        <v>45984</v>
      </c>
      <c r="E575" s="15" t="s">
        <v>2</v>
      </c>
      <c r="F575" s="29">
        <v>0</v>
      </c>
      <c r="G575" s="29">
        <v>0</v>
      </c>
      <c r="H575" s="29">
        <v>110046.69</v>
      </c>
      <c r="I575" s="15">
        <v>30</v>
      </c>
      <c r="J575" s="15">
        <v>20</v>
      </c>
      <c r="K575" s="30">
        <v>686000</v>
      </c>
      <c r="L575" s="17">
        <v>46014</v>
      </c>
      <c r="M575" s="18">
        <v>110047</v>
      </c>
      <c r="N575" s="16">
        <v>46015</v>
      </c>
      <c r="O575" s="19"/>
      <c r="P575" s="20">
        <v>3669.7</v>
      </c>
      <c r="Q575" s="29">
        <v>106377.3</v>
      </c>
      <c r="R575" s="9" t="s">
        <v>180</v>
      </c>
    </row>
    <row r="576" spans="1:19" ht="12" customHeight="1" x14ac:dyDescent="0.25">
      <c r="A576" s="14"/>
      <c r="B576" s="15" t="s">
        <v>253</v>
      </c>
      <c r="C576" s="29">
        <v>0</v>
      </c>
      <c r="D576" s="16">
        <v>45984</v>
      </c>
      <c r="E576" s="15" t="s">
        <v>2</v>
      </c>
      <c r="F576" s="29">
        <v>0</v>
      </c>
      <c r="G576" s="29">
        <v>0</v>
      </c>
      <c r="H576" s="29">
        <v>1792</v>
      </c>
      <c r="I576" s="15">
        <v>0</v>
      </c>
      <c r="J576" s="15">
        <v>32</v>
      </c>
      <c r="K576" s="30">
        <v>70000</v>
      </c>
      <c r="L576" s="17">
        <v>45984</v>
      </c>
      <c r="M576" s="18">
        <v>1792</v>
      </c>
      <c r="N576" s="16">
        <v>46065</v>
      </c>
      <c r="O576" s="19"/>
      <c r="P576" s="20">
        <v>1792</v>
      </c>
      <c r="Q576" s="29">
        <v>0</v>
      </c>
      <c r="R576" s="9" t="s">
        <v>180</v>
      </c>
    </row>
    <row r="577" spans="1:18" ht="12" customHeight="1" x14ac:dyDescent="0.25">
      <c r="A577" s="14"/>
      <c r="B577" s="15" t="s">
        <v>254</v>
      </c>
      <c r="C577" s="29">
        <v>54234</v>
      </c>
      <c r="D577" s="16">
        <v>45984</v>
      </c>
      <c r="E577" s="15" t="s">
        <v>2</v>
      </c>
      <c r="F577" s="29">
        <v>0</v>
      </c>
      <c r="G577" s="29">
        <v>0</v>
      </c>
      <c r="H577" s="29">
        <v>59847.22</v>
      </c>
      <c r="I577" s="15">
        <v>90</v>
      </c>
      <c r="J577" s="15">
        <v>55</v>
      </c>
      <c r="K577" s="30">
        <v>210000</v>
      </c>
      <c r="L577" s="17">
        <v>46075</v>
      </c>
      <c r="M577" s="18">
        <v>59847.22</v>
      </c>
      <c r="N577" s="16">
        <v>46021</v>
      </c>
      <c r="O577" s="19"/>
      <c r="P577" s="20">
        <v>5613.22</v>
      </c>
      <c r="Q577" s="29">
        <v>54234</v>
      </c>
      <c r="R577" s="9" t="s">
        <v>180</v>
      </c>
    </row>
    <row r="578" spans="1:18" ht="12" customHeight="1" x14ac:dyDescent="0.25">
      <c r="A578" s="14"/>
      <c r="B578" s="15" t="s">
        <v>255</v>
      </c>
      <c r="C578" s="29">
        <v>23000</v>
      </c>
      <c r="D578" s="16">
        <v>45984</v>
      </c>
      <c r="E578" s="15" t="s">
        <v>2</v>
      </c>
      <c r="F578" s="29">
        <v>0</v>
      </c>
      <c r="G578" s="29">
        <v>0</v>
      </c>
      <c r="H578" s="29">
        <v>23800</v>
      </c>
      <c r="I578" s="15">
        <v>30</v>
      </c>
      <c r="J578" s="15">
        <v>139</v>
      </c>
      <c r="K578" s="30">
        <v>322000</v>
      </c>
      <c r="L578" s="17">
        <v>46014</v>
      </c>
      <c r="M578" s="18">
        <v>23800</v>
      </c>
      <c r="N578" s="16">
        <v>46014</v>
      </c>
      <c r="O578" s="19"/>
      <c r="P578" s="20">
        <v>800</v>
      </c>
      <c r="Q578" s="29">
        <v>23000</v>
      </c>
      <c r="R578" s="9" t="s">
        <v>180</v>
      </c>
    </row>
    <row r="579" spans="1:18" ht="12" customHeight="1" x14ac:dyDescent="0.25">
      <c r="A579" s="14"/>
      <c r="B579" s="15" t="s">
        <v>256</v>
      </c>
      <c r="C579" s="29">
        <v>48001</v>
      </c>
      <c r="D579" s="16">
        <v>45984</v>
      </c>
      <c r="E579" s="15" t="s">
        <v>2</v>
      </c>
      <c r="F579" s="29">
        <v>0</v>
      </c>
      <c r="G579" s="29">
        <v>0</v>
      </c>
      <c r="H579" s="29">
        <v>52969</v>
      </c>
      <c r="I579" s="15">
        <v>90</v>
      </c>
      <c r="J579" s="15">
        <v>171</v>
      </c>
      <c r="K579" s="30">
        <v>100000</v>
      </c>
      <c r="L579" s="17">
        <v>46075</v>
      </c>
      <c r="M579" s="18">
        <v>52969</v>
      </c>
      <c r="N579" s="16">
        <v>46078</v>
      </c>
      <c r="O579" s="19"/>
      <c r="P579" s="20">
        <v>4968</v>
      </c>
      <c r="Q579" s="29">
        <v>48001</v>
      </c>
      <c r="R579" s="9" t="s">
        <v>180</v>
      </c>
    </row>
    <row r="580" spans="1:18" ht="12" customHeight="1" x14ac:dyDescent="0.25">
      <c r="A580" s="14"/>
      <c r="B580" s="15" t="s">
        <v>257</v>
      </c>
      <c r="C580" s="29">
        <v>8487</v>
      </c>
      <c r="D580" s="16">
        <v>45984</v>
      </c>
      <c r="E580" s="15" t="s">
        <v>2</v>
      </c>
      <c r="F580" s="29">
        <v>0</v>
      </c>
      <c r="G580" s="29">
        <v>0</v>
      </c>
      <c r="H580" s="29">
        <v>8779.7999999999993</v>
      </c>
      <c r="I580" s="15">
        <v>30</v>
      </c>
      <c r="J580" s="15">
        <v>177</v>
      </c>
      <c r="K580" s="30">
        <v>100000</v>
      </c>
      <c r="L580" s="17">
        <v>46014</v>
      </c>
      <c r="M580" s="18">
        <v>8780</v>
      </c>
      <c r="N580" s="16">
        <v>46027</v>
      </c>
      <c r="O580" s="19"/>
      <c r="P580" s="20">
        <v>292.81</v>
      </c>
      <c r="Q580" s="29">
        <v>8487.19</v>
      </c>
      <c r="R580" s="9" t="s">
        <v>180</v>
      </c>
    </row>
    <row r="581" spans="1:18" ht="12" customHeight="1" x14ac:dyDescent="0.25">
      <c r="A581" s="14"/>
      <c r="B581" s="15" t="s">
        <v>258</v>
      </c>
      <c r="C581" s="29">
        <v>8420</v>
      </c>
      <c r="D581" s="16">
        <v>45984</v>
      </c>
      <c r="E581" s="15" t="s">
        <v>2</v>
      </c>
      <c r="F581" s="29">
        <v>0</v>
      </c>
      <c r="G581" s="29">
        <v>0</v>
      </c>
      <c r="H581" s="29">
        <v>8710.49</v>
      </c>
      <c r="I581" s="15">
        <v>30</v>
      </c>
      <c r="J581" s="15">
        <v>177</v>
      </c>
      <c r="K581" s="30">
        <v>100000</v>
      </c>
      <c r="L581" s="17">
        <v>46014</v>
      </c>
      <c r="M581" s="18">
        <v>8708.8700000000008</v>
      </c>
      <c r="N581" s="16">
        <v>46030</v>
      </c>
      <c r="O581" s="19"/>
      <c r="P581" s="20">
        <v>290.44</v>
      </c>
      <c r="Q581" s="29">
        <v>8418.43</v>
      </c>
      <c r="R581" s="9" t="s">
        <v>180</v>
      </c>
    </row>
    <row r="582" spans="1:18" ht="12" customHeight="1" x14ac:dyDescent="0.25">
      <c r="A582" s="14"/>
      <c r="B582" s="15" t="s">
        <v>259</v>
      </c>
      <c r="C582" s="29">
        <v>290950</v>
      </c>
      <c r="D582" s="16">
        <v>45984</v>
      </c>
      <c r="E582" s="15" t="s">
        <v>2</v>
      </c>
      <c r="F582" s="29">
        <v>0</v>
      </c>
      <c r="G582" s="29">
        <v>0</v>
      </c>
      <c r="H582" s="29">
        <v>300987.75</v>
      </c>
      <c r="I582" s="15">
        <v>30</v>
      </c>
      <c r="J582" s="15">
        <v>172</v>
      </c>
      <c r="K582" s="30">
        <v>2000000</v>
      </c>
      <c r="L582" s="17">
        <v>46014</v>
      </c>
      <c r="M582" s="18">
        <v>300987.75</v>
      </c>
      <c r="N582" s="16">
        <v>45999</v>
      </c>
      <c r="O582" s="19"/>
      <c r="P582" s="20">
        <v>10037.75</v>
      </c>
      <c r="Q582" s="29">
        <v>290950</v>
      </c>
      <c r="R582" s="9" t="s">
        <v>180</v>
      </c>
    </row>
    <row r="583" spans="1:18" ht="12" customHeight="1" x14ac:dyDescent="0.25">
      <c r="A583" s="14"/>
      <c r="B583" s="15" t="s">
        <v>260</v>
      </c>
      <c r="C583" s="29">
        <v>155220</v>
      </c>
      <c r="D583" s="16">
        <v>45985</v>
      </c>
      <c r="E583" s="15" t="s">
        <v>2</v>
      </c>
      <c r="F583" s="29">
        <v>0</v>
      </c>
      <c r="G583" s="29">
        <v>0</v>
      </c>
      <c r="H583" s="29">
        <v>160586.41</v>
      </c>
      <c r="I583" s="15">
        <v>30</v>
      </c>
      <c r="J583" s="15">
        <v>12</v>
      </c>
      <c r="K583" s="30">
        <v>1196000</v>
      </c>
      <c r="L583" s="17">
        <v>46015</v>
      </c>
      <c r="M583" s="18">
        <v>160586.4</v>
      </c>
      <c r="N583" s="16">
        <v>46016</v>
      </c>
      <c r="O583" s="19"/>
      <c r="P583" s="20">
        <v>5366.41</v>
      </c>
      <c r="Q583" s="29">
        <v>155219.99</v>
      </c>
      <c r="R583" s="9" t="s">
        <v>180</v>
      </c>
    </row>
    <row r="584" spans="1:18" ht="12" customHeight="1" x14ac:dyDescent="0.25">
      <c r="A584" s="14"/>
      <c r="B584" s="15" t="s">
        <v>261</v>
      </c>
      <c r="C584" s="29">
        <v>74520</v>
      </c>
      <c r="D584" s="16">
        <v>45985</v>
      </c>
      <c r="E584" s="15" t="s">
        <v>2</v>
      </c>
      <c r="F584" s="29">
        <v>0</v>
      </c>
      <c r="G584" s="29">
        <v>0</v>
      </c>
      <c r="H584" s="29">
        <v>77090</v>
      </c>
      <c r="I584" s="15">
        <v>30</v>
      </c>
      <c r="J584" s="15">
        <v>20</v>
      </c>
      <c r="K584" s="30">
        <v>686000</v>
      </c>
      <c r="L584" s="17">
        <v>46015</v>
      </c>
      <c r="M584" s="18">
        <v>77090</v>
      </c>
      <c r="N584" s="16">
        <v>46015</v>
      </c>
      <c r="O584" s="19"/>
      <c r="P584" s="20">
        <v>2570</v>
      </c>
      <c r="Q584" s="29">
        <v>74520</v>
      </c>
      <c r="R584" s="9" t="s">
        <v>180</v>
      </c>
    </row>
    <row r="585" spans="1:18" ht="12" customHeight="1" x14ac:dyDescent="0.25">
      <c r="A585" s="14"/>
      <c r="B585" s="15" t="s">
        <v>262</v>
      </c>
      <c r="C585" s="29">
        <v>180642</v>
      </c>
      <c r="D585" s="16">
        <v>45985</v>
      </c>
      <c r="E585" s="15" t="s">
        <v>2</v>
      </c>
      <c r="F585" s="29">
        <v>0</v>
      </c>
      <c r="G585" s="29">
        <v>0</v>
      </c>
      <c r="H585" s="29">
        <v>186874.15</v>
      </c>
      <c r="I585" s="15">
        <v>30</v>
      </c>
      <c r="J585" s="15">
        <v>29</v>
      </c>
      <c r="K585" s="30">
        <v>1240000</v>
      </c>
      <c r="L585" s="17">
        <v>46015</v>
      </c>
      <c r="M585" s="18">
        <v>186874.15</v>
      </c>
      <c r="N585" s="16">
        <v>46006</v>
      </c>
      <c r="O585" s="19"/>
      <c r="P585" s="20">
        <v>6232.15</v>
      </c>
      <c r="Q585" s="29">
        <v>180642</v>
      </c>
      <c r="R585" s="9" t="s">
        <v>180</v>
      </c>
    </row>
    <row r="586" spans="1:18" ht="12" customHeight="1" x14ac:dyDescent="0.25">
      <c r="A586" s="14"/>
      <c r="B586" s="15" t="s">
        <v>263</v>
      </c>
      <c r="C586" s="29">
        <v>13809</v>
      </c>
      <c r="D586" s="16">
        <v>45985</v>
      </c>
      <c r="E586" s="15" t="s">
        <v>2</v>
      </c>
      <c r="F586" s="29">
        <v>0</v>
      </c>
      <c r="G586" s="29">
        <v>0</v>
      </c>
      <c r="H586" s="29">
        <v>14285.41</v>
      </c>
      <c r="I586" s="15">
        <v>30</v>
      </c>
      <c r="J586" s="15">
        <v>46</v>
      </c>
      <c r="K586" s="30">
        <v>30000</v>
      </c>
      <c r="L586" s="17">
        <v>46015</v>
      </c>
      <c r="M586" s="18">
        <v>14285</v>
      </c>
      <c r="N586" s="16">
        <v>46016</v>
      </c>
      <c r="O586" s="19"/>
      <c r="P586" s="20">
        <v>476.4</v>
      </c>
      <c r="Q586" s="29">
        <v>13808.6</v>
      </c>
      <c r="R586" s="9" t="s">
        <v>180</v>
      </c>
    </row>
    <row r="587" spans="1:18" ht="12" customHeight="1" x14ac:dyDescent="0.25">
      <c r="A587" s="14"/>
      <c r="B587" s="15" t="s">
        <v>264</v>
      </c>
      <c r="C587" s="29">
        <v>89334</v>
      </c>
      <c r="D587" s="16">
        <v>45985</v>
      </c>
      <c r="E587" s="15" t="s">
        <v>2</v>
      </c>
      <c r="F587" s="29">
        <v>0</v>
      </c>
      <c r="G587" s="29">
        <v>0</v>
      </c>
      <c r="H587" s="29">
        <v>98580.07</v>
      </c>
      <c r="I587" s="15">
        <v>90</v>
      </c>
      <c r="J587" s="15">
        <v>49</v>
      </c>
      <c r="K587" s="30">
        <v>273000</v>
      </c>
      <c r="L587" s="17">
        <v>46075</v>
      </c>
      <c r="M587" s="18">
        <v>98580.07</v>
      </c>
      <c r="N587" s="16">
        <v>46076</v>
      </c>
      <c r="O587" s="19"/>
      <c r="P587" s="20">
        <v>9246.07</v>
      </c>
      <c r="Q587" s="29">
        <v>89334</v>
      </c>
      <c r="R587" s="9" t="s">
        <v>180</v>
      </c>
    </row>
    <row r="588" spans="1:18" ht="12" customHeight="1" x14ac:dyDescent="0.25">
      <c r="A588" s="14"/>
      <c r="B588" s="15" t="s">
        <v>265</v>
      </c>
      <c r="C588" s="29">
        <v>220156</v>
      </c>
      <c r="D588" s="16">
        <v>45985</v>
      </c>
      <c r="E588" s="15" t="s">
        <v>2</v>
      </c>
      <c r="F588" s="29">
        <v>0</v>
      </c>
      <c r="G588" s="29">
        <v>0</v>
      </c>
      <c r="H588" s="29">
        <v>227751.4</v>
      </c>
      <c r="I588" s="15">
        <v>30</v>
      </c>
      <c r="J588" s="15">
        <v>24</v>
      </c>
      <c r="K588" s="30">
        <v>230000</v>
      </c>
      <c r="L588" s="17">
        <v>46015</v>
      </c>
      <c r="M588" s="18">
        <v>227751.4</v>
      </c>
      <c r="N588" s="16">
        <v>46079</v>
      </c>
      <c r="O588" s="19"/>
      <c r="P588" s="20">
        <v>7595.4</v>
      </c>
      <c r="Q588" s="29">
        <v>220156</v>
      </c>
      <c r="R588" s="9" t="s">
        <v>180</v>
      </c>
    </row>
    <row r="589" spans="1:18" ht="12" customHeight="1" x14ac:dyDescent="0.25">
      <c r="A589" s="14"/>
      <c r="B589" s="15" t="s">
        <v>266</v>
      </c>
      <c r="C589" s="29">
        <v>31000</v>
      </c>
      <c r="D589" s="16">
        <v>45985</v>
      </c>
      <c r="E589" s="15" t="s">
        <v>2</v>
      </c>
      <c r="F589" s="29">
        <v>0</v>
      </c>
      <c r="G589" s="29">
        <v>0</v>
      </c>
      <c r="H589" s="29">
        <v>34207.9</v>
      </c>
      <c r="I589" s="15">
        <v>90</v>
      </c>
      <c r="J589" s="15">
        <v>81</v>
      </c>
      <c r="K589" s="30">
        <v>190000</v>
      </c>
      <c r="L589" s="17">
        <v>46075</v>
      </c>
      <c r="M589" s="18">
        <v>34208</v>
      </c>
      <c r="N589" s="16">
        <v>46086</v>
      </c>
      <c r="O589" s="19"/>
      <c r="P589" s="20">
        <v>3207.91</v>
      </c>
      <c r="Q589" s="29">
        <v>31000.09</v>
      </c>
      <c r="R589" s="9" t="s">
        <v>180</v>
      </c>
    </row>
    <row r="590" spans="1:18" ht="12" customHeight="1" x14ac:dyDescent="0.25">
      <c r="A590" s="14"/>
      <c r="B590" s="15" t="s">
        <v>267</v>
      </c>
      <c r="C590" s="29">
        <v>42042</v>
      </c>
      <c r="D590" s="16">
        <v>45985</v>
      </c>
      <c r="E590" s="15" t="s">
        <v>2</v>
      </c>
      <c r="F590" s="29">
        <v>0</v>
      </c>
      <c r="G590" s="29">
        <v>0</v>
      </c>
      <c r="H590" s="29">
        <v>43491.839999999997</v>
      </c>
      <c r="I590" s="15">
        <v>30</v>
      </c>
      <c r="J590" s="15">
        <v>99</v>
      </c>
      <c r="K590" s="30">
        <v>100000</v>
      </c>
      <c r="L590" s="17">
        <v>46015</v>
      </c>
      <c r="M590" s="18">
        <v>43491</v>
      </c>
      <c r="N590" s="16">
        <v>46006</v>
      </c>
      <c r="O590" s="19"/>
      <c r="P590" s="20">
        <v>1449.81</v>
      </c>
      <c r="Q590" s="29">
        <v>42041.19</v>
      </c>
      <c r="R590" s="9" t="s">
        <v>180</v>
      </c>
    </row>
    <row r="591" spans="1:18" ht="12" customHeight="1" x14ac:dyDescent="0.25">
      <c r="A591" s="14"/>
      <c r="B591" s="15" t="s">
        <v>268</v>
      </c>
      <c r="C591" s="29">
        <v>600000</v>
      </c>
      <c r="D591" s="16">
        <v>45985</v>
      </c>
      <c r="E591" s="15" t="s">
        <v>2</v>
      </c>
      <c r="F591" s="29">
        <v>0</v>
      </c>
      <c r="G591" s="29">
        <v>0</v>
      </c>
      <c r="H591" s="29">
        <v>662100</v>
      </c>
      <c r="I591" s="15">
        <v>90</v>
      </c>
      <c r="J591" s="15">
        <v>166</v>
      </c>
      <c r="K591" s="30">
        <v>1330000</v>
      </c>
      <c r="L591" s="17">
        <v>46075</v>
      </c>
      <c r="M591" s="18">
        <v>662100</v>
      </c>
      <c r="N591" s="16">
        <v>46071</v>
      </c>
      <c r="O591" s="19"/>
      <c r="P591" s="20">
        <v>62100</v>
      </c>
      <c r="Q591" s="29">
        <v>600000</v>
      </c>
      <c r="R591" s="9" t="s">
        <v>180</v>
      </c>
    </row>
    <row r="592" spans="1:18" ht="12" customHeight="1" x14ac:dyDescent="0.25">
      <c r="A592" s="14"/>
      <c r="B592" s="15" t="s">
        <v>269</v>
      </c>
      <c r="C592" s="29">
        <v>354430</v>
      </c>
      <c r="D592" s="16">
        <v>45985</v>
      </c>
      <c r="E592" s="15" t="s">
        <v>2</v>
      </c>
      <c r="F592" s="29">
        <v>0</v>
      </c>
      <c r="G592" s="29">
        <v>0</v>
      </c>
      <c r="H592" s="29">
        <v>366657.81</v>
      </c>
      <c r="I592" s="15">
        <v>30</v>
      </c>
      <c r="J592" s="15">
        <v>172</v>
      </c>
      <c r="K592" s="30">
        <v>2000000</v>
      </c>
      <c r="L592" s="17">
        <v>46015</v>
      </c>
      <c r="M592" s="18">
        <v>366658</v>
      </c>
      <c r="N592" s="16">
        <v>46015</v>
      </c>
      <c r="O592" s="19"/>
      <c r="P592" s="20">
        <v>12227.82</v>
      </c>
      <c r="Q592" s="29">
        <v>354430.18</v>
      </c>
      <c r="R592" s="9" t="s">
        <v>180</v>
      </c>
    </row>
    <row r="593" spans="1:18" ht="12" customHeight="1" x14ac:dyDescent="0.25">
      <c r="A593" s="14"/>
      <c r="B593" s="15" t="s">
        <v>270</v>
      </c>
      <c r="C593" s="29">
        <v>698800</v>
      </c>
      <c r="D593" s="16">
        <v>45985</v>
      </c>
      <c r="E593" s="15" t="s">
        <v>2</v>
      </c>
      <c r="F593" s="29">
        <v>0</v>
      </c>
      <c r="G593" s="29">
        <v>0</v>
      </c>
      <c r="H593" s="29">
        <v>722908.6</v>
      </c>
      <c r="I593" s="15">
        <v>30</v>
      </c>
      <c r="J593" s="15">
        <v>172</v>
      </c>
      <c r="K593" s="30">
        <v>2000000</v>
      </c>
      <c r="L593" s="17">
        <v>46015</v>
      </c>
      <c r="M593" s="18">
        <v>722908.6</v>
      </c>
      <c r="N593" s="16">
        <v>46001</v>
      </c>
      <c r="O593" s="19"/>
      <c r="P593" s="20">
        <v>24108.6</v>
      </c>
      <c r="Q593" s="29">
        <v>698800</v>
      </c>
      <c r="R593" s="9" t="s">
        <v>180</v>
      </c>
    </row>
    <row r="594" spans="1:18" ht="12" customHeight="1" x14ac:dyDescent="0.25">
      <c r="A594" s="14"/>
      <c r="B594" s="15" t="s">
        <v>271</v>
      </c>
      <c r="C594" s="29">
        <v>85000</v>
      </c>
      <c r="D594" s="16">
        <v>45985</v>
      </c>
      <c r="E594" s="15" t="s">
        <v>4</v>
      </c>
      <c r="F594" s="29">
        <v>93797.5</v>
      </c>
      <c r="G594" s="29">
        <v>93797.5</v>
      </c>
      <c r="H594" s="29">
        <v>93797.5</v>
      </c>
      <c r="I594" s="15">
        <v>90</v>
      </c>
      <c r="J594" s="15">
        <v>181</v>
      </c>
      <c r="K594" s="30">
        <v>95000</v>
      </c>
      <c r="L594" s="17">
        <v>46075</v>
      </c>
      <c r="M594" s="18">
        <v>0</v>
      </c>
      <c r="N594" s="16"/>
      <c r="O594" s="19">
        <v>127</v>
      </c>
      <c r="P594" s="20">
        <v>0</v>
      </c>
      <c r="Q594" s="29">
        <v>0</v>
      </c>
      <c r="R594" s="9" t="s">
        <v>180</v>
      </c>
    </row>
    <row r="595" spans="1:18" ht="12" customHeight="1" x14ac:dyDescent="0.25">
      <c r="A595" s="14"/>
      <c r="B595" s="15">
        <v>472</v>
      </c>
      <c r="C595" s="29">
        <v>69777</v>
      </c>
      <c r="D595" s="16">
        <v>45985</v>
      </c>
      <c r="E595" s="15" t="s">
        <v>4</v>
      </c>
      <c r="F595" s="29">
        <v>76999.11</v>
      </c>
      <c r="G595" s="29">
        <v>76999.11</v>
      </c>
      <c r="H595" s="29">
        <v>76999.11</v>
      </c>
      <c r="I595" s="15">
        <v>90</v>
      </c>
      <c r="J595" s="15">
        <v>174</v>
      </c>
      <c r="K595" s="30">
        <v>77000</v>
      </c>
      <c r="L595" s="17">
        <v>46070</v>
      </c>
      <c r="M595" s="18">
        <v>0</v>
      </c>
      <c r="N595" s="16"/>
      <c r="O595" s="19">
        <v>127</v>
      </c>
      <c r="P595" s="20">
        <v>0</v>
      </c>
      <c r="Q595" s="29">
        <v>0</v>
      </c>
      <c r="R595" s="9" t="s">
        <v>180</v>
      </c>
    </row>
    <row r="596" spans="1:18" ht="12" customHeight="1" x14ac:dyDescent="0.25">
      <c r="A596" s="14"/>
      <c r="B596" s="15" t="s">
        <v>467</v>
      </c>
      <c r="C596" s="29">
        <v>170566</v>
      </c>
      <c r="D596" s="16">
        <v>45986</v>
      </c>
      <c r="E596" s="15" t="s">
        <v>2</v>
      </c>
      <c r="F596" s="29">
        <v>0</v>
      </c>
      <c r="G596" s="29">
        <v>0</v>
      </c>
      <c r="H596" s="29">
        <v>172494.99</v>
      </c>
      <c r="I596" s="15">
        <v>4</v>
      </c>
      <c r="J596" s="15">
        <v>3</v>
      </c>
      <c r="K596" s="30">
        <v>1000000</v>
      </c>
      <c r="L596" s="17">
        <v>45991</v>
      </c>
      <c r="M596" s="18">
        <v>172580</v>
      </c>
      <c r="N596" s="16">
        <v>45993</v>
      </c>
      <c r="O596" s="19"/>
      <c r="P596" s="20">
        <v>1929.94</v>
      </c>
      <c r="Q596" s="29">
        <v>170650.06</v>
      </c>
      <c r="R596" s="9" t="s">
        <v>180</v>
      </c>
    </row>
    <row r="597" spans="1:18" ht="12" customHeight="1" x14ac:dyDescent="0.25">
      <c r="A597" s="14"/>
      <c r="B597" s="15" t="s">
        <v>272</v>
      </c>
      <c r="C597" s="29">
        <v>654000</v>
      </c>
      <c r="D597" s="16">
        <v>45986</v>
      </c>
      <c r="E597" s="15" t="s">
        <v>2</v>
      </c>
      <c r="F597" s="29">
        <v>0</v>
      </c>
      <c r="G597" s="29">
        <v>0</v>
      </c>
      <c r="H597" s="29">
        <v>676494.99</v>
      </c>
      <c r="I597" s="15">
        <v>30</v>
      </c>
      <c r="J597" s="15">
        <v>15</v>
      </c>
      <c r="K597" s="30">
        <v>2300000</v>
      </c>
      <c r="L597" s="17">
        <v>46019</v>
      </c>
      <c r="M597" s="18">
        <v>676495</v>
      </c>
      <c r="N597" s="16">
        <v>46022</v>
      </c>
      <c r="O597" s="19"/>
      <c r="P597" s="20">
        <v>22494.99</v>
      </c>
      <c r="Q597" s="29">
        <v>654000.01</v>
      </c>
      <c r="R597" s="9" t="s">
        <v>180</v>
      </c>
    </row>
    <row r="598" spans="1:18" ht="12" customHeight="1" x14ac:dyDescent="0.25">
      <c r="A598" s="14"/>
      <c r="B598" s="15" t="s">
        <v>273</v>
      </c>
      <c r="C598" s="29">
        <v>79250</v>
      </c>
      <c r="D598" s="16">
        <v>45986</v>
      </c>
      <c r="E598" s="15" t="s">
        <v>2</v>
      </c>
      <c r="F598" s="29">
        <v>0</v>
      </c>
      <c r="G598" s="29">
        <v>0</v>
      </c>
      <c r="H598" s="29">
        <v>84715</v>
      </c>
      <c r="I598" s="15">
        <v>60</v>
      </c>
      <c r="J598" s="15">
        <v>76</v>
      </c>
      <c r="K598" s="30">
        <v>221000</v>
      </c>
      <c r="L598" s="17">
        <v>46047</v>
      </c>
      <c r="M598" s="18">
        <v>84715</v>
      </c>
      <c r="N598" s="16">
        <v>46043</v>
      </c>
      <c r="O598" s="19"/>
      <c r="P598" s="20">
        <v>5465</v>
      </c>
      <c r="Q598" s="29">
        <v>79250</v>
      </c>
      <c r="R598" s="9" t="s">
        <v>180</v>
      </c>
    </row>
    <row r="599" spans="1:18" ht="12" customHeight="1" x14ac:dyDescent="0.25">
      <c r="A599" s="14"/>
      <c r="B599" s="15" t="s">
        <v>274</v>
      </c>
      <c r="C599" s="29">
        <v>79900</v>
      </c>
      <c r="D599" s="16">
        <v>45986</v>
      </c>
      <c r="E599" s="15" t="s">
        <v>2</v>
      </c>
      <c r="F599" s="29">
        <v>0</v>
      </c>
      <c r="G599" s="29">
        <v>0</v>
      </c>
      <c r="H599" s="29">
        <v>85405</v>
      </c>
      <c r="I599" s="15">
        <v>60</v>
      </c>
      <c r="J599" s="15">
        <v>76</v>
      </c>
      <c r="K599" s="30">
        <v>221000</v>
      </c>
      <c r="L599" s="17">
        <v>46047</v>
      </c>
      <c r="M599" s="18">
        <v>85404.99</v>
      </c>
      <c r="N599" s="16">
        <v>46043</v>
      </c>
      <c r="O599" s="19"/>
      <c r="P599" s="20">
        <v>5505</v>
      </c>
      <c r="Q599" s="29">
        <v>79899.990000000005</v>
      </c>
      <c r="R599" s="9" t="s">
        <v>180</v>
      </c>
    </row>
    <row r="600" spans="1:18" ht="12" customHeight="1" x14ac:dyDescent="0.25">
      <c r="A600" s="14"/>
      <c r="B600" s="15" t="s">
        <v>275</v>
      </c>
      <c r="C600" s="29">
        <v>74500</v>
      </c>
      <c r="D600" s="16">
        <v>45986</v>
      </c>
      <c r="E600" s="15" t="s">
        <v>2</v>
      </c>
      <c r="F600" s="29">
        <v>0</v>
      </c>
      <c r="G600" s="29">
        <v>0</v>
      </c>
      <c r="H600" s="29">
        <v>79640</v>
      </c>
      <c r="I600" s="15">
        <v>60</v>
      </c>
      <c r="J600" s="15">
        <v>78</v>
      </c>
      <c r="K600" s="30">
        <v>208000</v>
      </c>
      <c r="L600" s="17">
        <v>46047</v>
      </c>
      <c r="M600" s="18">
        <v>79640</v>
      </c>
      <c r="N600" s="16">
        <v>46048</v>
      </c>
      <c r="O600" s="19"/>
      <c r="P600" s="20">
        <v>5140</v>
      </c>
      <c r="Q600" s="29">
        <v>74500</v>
      </c>
      <c r="R600" s="9" t="s">
        <v>180</v>
      </c>
    </row>
    <row r="601" spans="1:18" ht="12" customHeight="1" x14ac:dyDescent="0.25">
      <c r="A601" s="14"/>
      <c r="B601" s="15" t="s">
        <v>276</v>
      </c>
      <c r="C601" s="29">
        <v>75250</v>
      </c>
      <c r="D601" s="16">
        <v>45986</v>
      </c>
      <c r="E601" s="15" t="s">
        <v>2</v>
      </c>
      <c r="F601" s="29">
        <v>0</v>
      </c>
      <c r="G601" s="29">
        <v>0</v>
      </c>
      <c r="H601" s="29">
        <v>80440</v>
      </c>
      <c r="I601" s="15">
        <v>60</v>
      </c>
      <c r="J601" s="15">
        <v>78</v>
      </c>
      <c r="K601" s="30">
        <v>208000</v>
      </c>
      <c r="L601" s="17">
        <v>46047</v>
      </c>
      <c r="M601" s="18">
        <v>80440</v>
      </c>
      <c r="N601" s="16">
        <v>46048</v>
      </c>
      <c r="O601" s="19"/>
      <c r="P601" s="20">
        <v>5190</v>
      </c>
      <c r="Q601" s="29">
        <v>75250</v>
      </c>
      <c r="R601" s="9" t="s">
        <v>180</v>
      </c>
    </row>
    <row r="602" spans="1:18" ht="12" customHeight="1" x14ac:dyDescent="0.25">
      <c r="A602" s="14"/>
      <c r="B602" s="15" t="s">
        <v>277</v>
      </c>
      <c r="C602" s="29">
        <v>34251</v>
      </c>
      <c r="D602" s="16">
        <v>45986</v>
      </c>
      <c r="E602" s="15" t="s">
        <v>2</v>
      </c>
      <c r="F602" s="29">
        <v>0</v>
      </c>
      <c r="G602" s="29">
        <v>0</v>
      </c>
      <c r="H602" s="29">
        <v>35433.57</v>
      </c>
      <c r="I602" s="15">
        <v>30</v>
      </c>
      <c r="J602" s="15">
        <v>99</v>
      </c>
      <c r="K602" s="30">
        <v>100000</v>
      </c>
      <c r="L602" s="17">
        <v>46016</v>
      </c>
      <c r="M602" s="18">
        <v>35434</v>
      </c>
      <c r="N602" s="16">
        <v>46012</v>
      </c>
      <c r="O602" s="19"/>
      <c r="P602" s="20">
        <v>1182.58</v>
      </c>
      <c r="Q602" s="29">
        <v>34251.42</v>
      </c>
      <c r="R602" s="9" t="s">
        <v>180</v>
      </c>
    </row>
    <row r="603" spans="1:18" ht="12" customHeight="1" x14ac:dyDescent="0.25">
      <c r="A603" s="14"/>
      <c r="B603" s="15" t="s">
        <v>278</v>
      </c>
      <c r="C603" s="29">
        <v>90800</v>
      </c>
      <c r="D603" s="16">
        <v>45986</v>
      </c>
      <c r="E603" s="15" t="s">
        <v>2</v>
      </c>
      <c r="F603" s="29">
        <v>0</v>
      </c>
      <c r="G603" s="29">
        <v>0</v>
      </c>
      <c r="H603" s="29">
        <v>100197.8</v>
      </c>
      <c r="I603" s="15">
        <v>90</v>
      </c>
      <c r="J603" s="15">
        <v>180</v>
      </c>
      <c r="K603" s="30">
        <v>100000</v>
      </c>
      <c r="L603" s="17">
        <v>46076</v>
      </c>
      <c r="M603" s="18">
        <v>100198</v>
      </c>
      <c r="N603" s="16">
        <v>46085</v>
      </c>
      <c r="O603" s="19"/>
      <c r="P603" s="20">
        <v>9397.82</v>
      </c>
      <c r="Q603" s="29">
        <v>90800.18</v>
      </c>
      <c r="R603" s="9" t="s">
        <v>180</v>
      </c>
    </row>
    <row r="604" spans="1:18" ht="12" customHeight="1" x14ac:dyDescent="0.25">
      <c r="A604" s="14"/>
      <c r="B604" s="15" t="s">
        <v>279</v>
      </c>
      <c r="C604" s="29">
        <v>32085</v>
      </c>
      <c r="D604" s="16">
        <v>45986</v>
      </c>
      <c r="E604" s="15" t="s">
        <v>2</v>
      </c>
      <c r="F604" s="29">
        <v>0</v>
      </c>
      <c r="G604" s="29">
        <v>0</v>
      </c>
      <c r="H604" s="29">
        <v>35405.9</v>
      </c>
      <c r="I604" s="15">
        <v>90</v>
      </c>
      <c r="J604" s="15">
        <v>184</v>
      </c>
      <c r="K604" s="30">
        <v>100000</v>
      </c>
      <c r="L604" s="17">
        <v>46076</v>
      </c>
      <c r="M604" s="18">
        <v>35405.9</v>
      </c>
      <c r="N604" s="16">
        <v>46078</v>
      </c>
      <c r="O604" s="19"/>
      <c r="P604" s="20">
        <v>3320.9</v>
      </c>
      <c r="Q604" s="29">
        <v>32085</v>
      </c>
      <c r="R604" s="9" t="s">
        <v>180</v>
      </c>
    </row>
    <row r="605" spans="1:18" ht="12" customHeight="1" x14ac:dyDescent="0.25">
      <c r="A605" s="14"/>
      <c r="B605" s="15" t="s">
        <v>280</v>
      </c>
      <c r="C605" s="29">
        <v>15594</v>
      </c>
      <c r="D605" s="16">
        <v>45986</v>
      </c>
      <c r="E605" s="15" t="s">
        <v>2</v>
      </c>
      <c r="F605" s="29">
        <v>0</v>
      </c>
      <c r="G605" s="29">
        <v>0</v>
      </c>
      <c r="H605" s="29">
        <v>17208.2</v>
      </c>
      <c r="I605" s="15">
        <v>90</v>
      </c>
      <c r="J605" s="15">
        <v>184</v>
      </c>
      <c r="K605" s="30">
        <v>100000</v>
      </c>
      <c r="L605" s="17">
        <v>46076</v>
      </c>
      <c r="M605" s="18">
        <v>17208.2</v>
      </c>
      <c r="N605" s="16">
        <v>46078</v>
      </c>
      <c r="O605" s="19"/>
      <c r="P605" s="20">
        <v>1614.2</v>
      </c>
      <c r="Q605" s="29">
        <v>15594</v>
      </c>
      <c r="R605" s="9" t="s">
        <v>180</v>
      </c>
    </row>
    <row r="606" spans="1:18" ht="12" customHeight="1" x14ac:dyDescent="0.25">
      <c r="A606" s="14"/>
      <c r="B606" s="15" t="s">
        <v>281</v>
      </c>
      <c r="C606" s="29">
        <v>9775</v>
      </c>
      <c r="D606" s="16">
        <v>45986</v>
      </c>
      <c r="E606" s="15" t="s">
        <v>2</v>
      </c>
      <c r="F606" s="29">
        <v>0</v>
      </c>
      <c r="G606" s="29">
        <v>0</v>
      </c>
      <c r="H606" s="29">
        <v>10786.75</v>
      </c>
      <c r="I606" s="15">
        <v>90</v>
      </c>
      <c r="J606" s="15">
        <v>184</v>
      </c>
      <c r="K606" s="30">
        <v>100000</v>
      </c>
      <c r="L606" s="17">
        <v>46076</v>
      </c>
      <c r="M606" s="18">
        <v>10787</v>
      </c>
      <c r="N606" s="16">
        <v>46078</v>
      </c>
      <c r="O606" s="19"/>
      <c r="P606" s="20">
        <v>1011.77</v>
      </c>
      <c r="Q606" s="29">
        <v>9775.23</v>
      </c>
      <c r="R606" s="9" t="s">
        <v>180</v>
      </c>
    </row>
    <row r="607" spans="1:18" ht="12" customHeight="1" x14ac:dyDescent="0.25">
      <c r="A607" s="14"/>
      <c r="B607" s="15" t="s">
        <v>282</v>
      </c>
      <c r="C607" s="29">
        <v>3293</v>
      </c>
      <c r="D607" s="16">
        <v>45986</v>
      </c>
      <c r="E607" s="15" t="s">
        <v>2</v>
      </c>
      <c r="F607" s="29">
        <v>0</v>
      </c>
      <c r="G607" s="29">
        <v>0</v>
      </c>
      <c r="H607" s="29">
        <v>3634.08</v>
      </c>
      <c r="I607" s="15">
        <v>90</v>
      </c>
      <c r="J607" s="15">
        <v>184</v>
      </c>
      <c r="K607" s="30">
        <v>100000</v>
      </c>
      <c r="L607" s="17">
        <v>46076</v>
      </c>
      <c r="M607" s="18">
        <v>3634.08</v>
      </c>
      <c r="N607" s="16">
        <v>46078</v>
      </c>
      <c r="O607" s="19"/>
      <c r="P607" s="20">
        <v>341.08</v>
      </c>
      <c r="Q607" s="29">
        <v>3293</v>
      </c>
      <c r="R607" s="9" t="s">
        <v>180</v>
      </c>
    </row>
    <row r="608" spans="1:18" ht="12" customHeight="1" x14ac:dyDescent="0.25">
      <c r="A608" s="14"/>
      <c r="B608" s="15" t="s">
        <v>283</v>
      </c>
      <c r="C608" s="29">
        <v>130000</v>
      </c>
      <c r="D608" s="16">
        <v>45987</v>
      </c>
      <c r="E608" s="15" t="s">
        <v>2</v>
      </c>
      <c r="F608" s="29">
        <v>0</v>
      </c>
      <c r="G608" s="29">
        <v>0</v>
      </c>
      <c r="H608" s="29">
        <v>134485</v>
      </c>
      <c r="I608" s="15">
        <v>30</v>
      </c>
      <c r="J608" s="15">
        <v>17</v>
      </c>
      <c r="K608" s="30">
        <v>2400000</v>
      </c>
      <c r="L608" s="17">
        <v>46019</v>
      </c>
      <c r="M608" s="18">
        <v>134485</v>
      </c>
      <c r="N608" s="16">
        <v>46020</v>
      </c>
      <c r="O608" s="19"/>
      <c r="P608" s="20">
        <v>4485</v>
      </c>
      <c r="Q608" s="29">
        <v>130000</v>
      </c>
      <c r="R608" s="9" t="s">
        <v>180</v>
      </c>
    </row>
    <row r="609" spans="1:19" ht="12" customHeight="1" x14ac:dyDescent="0.25">
      <c r="A609" s="14"/>
      <c r="B609" s="15" t="s">
        <v>284</v>
      </c>
      <c r="C609" s="29">
        <v>75452</v>
      </c>
      <c r="D609" s="16">
        <v>45987</v>
      </c>
      <c r="E609" s="15" t="s">
        <v>2</v>
      </c>
      <c r="F609" s="29">
        <v>0</v>
      </c>
      <c r="G609" s="29">
        <v>0</v>
      </c>
      <c r="H609" s="29">
        <v>78054.52</v>
      </c>
      <c r="I609" s="15">
        <v>30</v>
      </c>
      <c r="J609" s="15">
        <v>20</v>
      </c>
      <c r="K609" s="30">
        <v>686000</v>
      </c>
      <c r="L609" s="17">
        <v>46019</v>
      </c>
      <c r="M609" s="18">
        <v>78055.95</v>
      </c>
      <c r="N609" s="16">
        <v>46015</v>
      </c>
      <c r="O609" s="19"/>
      <c r="P609" s="20">
        <v>2602.5700000000002</v>
      </c>
      <c r="Q609" s="29">
        <v>75453.38</v>
      </c>
      <c r="R609" s="9" t="s">
        <v>180</v>
      </c>
    </row>
    <row r="610" spans="1:19" ht="12" customHeight="1" x14ac:dyDescent="0.25">
      <c r="A610" s="14"/>
      <c r="B610" s="15" t="s">
        <v>285</v>
      </c>
      <c r="C610" s="29">
        <v>250001</v>
      </c>
      <c r="D610" s="16">
        <v>45987</v>
      </c>
      <c r="E610" s="15" t="s">
        <v>4</v>
      </c>
      <c r="F610" s="29">
        <v>215644.87</v>
      </c>
      <c r="G610" s="29">
        <v>215644.87</v>
      </c>
      <c r="H610" s="29">
        <v>275644.87</v>
      </c>
      <c r="I610" s="15">
        <v>90</v>
      </c>
      <c r="J610" s="15">
        <v>40</v>
      </c>
      <c r="K610" s="30">
        <v>420000</v>
      </c>
      <c r="L610" s="17">
        <v>46077</v>
      </c>
      <c r="M610" s="18">
        <v>60000</v>
      </c>
      <c r="N610" s="16">
        <v>46093</v>
      </c>
      <c r="O610" s="19">
        <v>125</v>
      </c>
      <c r="P610" s="20">
        <v>5581.94</v>
      </c>
      <c r="Q610" s="29">
        <v>54418.06</v>
      </c>
      <c r="R610" s="9" t="s">
        <v>180</v>
      </c>
    </row>
    <row r="611" spans="1:19" ht="12" customHeight="1" x14ac:dyDescent="0.25">
      <c r="A611" s="14"/>
      <c r="B611" s="15" t="s">
        <v>286</v>
      </c>
      <c r="C611" s="29">
        <v>48600</v>
      </c>
      <c r="D611" s="16">
        <v>45987</v>
      </c>
      <c r="E611" s="15" t="s">
        <v>2</v>
      </c>
      <c r="F611" s="29">
        <v>0</v>
      </c>
      <c r="G611" s="29">
        <v>0</v>
      </c>
      <c r="H611" s="29">
        <v>50276.6</v>
      </c>
      <c r="I611" s="15">
        <v>30</v>
      </c>
      <c r="J611" s="15">
        <v>139</v>
      </c>
      <c r="K611" s="30">
        <v>322000</v>
      </c>
      <c r="L611" s="17">
        <v>46019</v>
      </c>
      <c r="M611" s="18">
        <v>50277</v>
      </c>
      <c r="N611" s="16">
        <v>46020</v>
      </c>
      <c r="O611" s="19"/>
      <c r="P611" s="20">
        <v>1676.61</v>
      </c>
      <c r="Q611" s="29">
        <v>48600.39</v>
      </c>
      <c r="R611" s="9" t="s">
        <v>180</v>
      </c>
    </row>
    <row r="612" spans="1:19" ht="12" customHeight="1" x14ac:dyDescent="0.25">
      <c r="A612" s="14"/>
      <c r="B612" s="15" t="s">
        <v>287</v>
      </c>
      <c r="C612" s="29">
        <v>6448</v>
      </c>
      <c r="D612" s="16">
        <v>45987</v>
      </c>
      <c r="E612" s="15" t="s">
        <v>2</v>
      </c>
      <c r="F612" s="29">
        <v>0</v>
      </c>
      <c r="G612" s="29">
        <v>0</v>
      </c>
      <c r="H612" s="29">
        <v>6892.89</v>
      </c>
      <c r="I612" s="15">
        <v>60</v>
      </c>
      <c r="J612" s="15">
        <v>138</v>
      </c>
      <c r="K612" s="30">
        <v>130000</v>
      </c>
      <c r="L612" s="17">
        <v>46047</v>
      </c>
      <c r="M612" s="18">
        <v>6893</v>
      </c>
      <c r="N612" s="16">
        <v>46054</v>
      </c>
      <c r="O612" s="19"/>
      <c r="P612" s="20">
        <v>444.9</v>
      </c>
      <c r="Q612" s="29">
        <v>6448.1</v>
      </c>
      <c r="R612" s="9" t="s">
        <v>180</v>
      </c>
    </row>
    <row r="613" spans="1:19" ht="12" customHeight="1" x14ac:dyDescent="0.25">
      <c r="A613" s="14"/>
      <c r="B613" s="15" t="s">
        <v>288</v>
      </c>
      <c r="C613" s="29">
        <v>22001</v>
      </c>
      <c r="D613" s="16">
        <v>45987</v>
      </c>
      <c r="E613" s="15" t="s">
        <v>2</v>
      </c>
      <c r="F613" s="29">
        <v>0</v>
      </c>
      <c r="G613" s="29">
        <v>0</v>
      </c>
      <c r="H613" s="29">
        <v>24277.72</v>
      </c>
      <c r="I613" s="15">
        <v>90</v>
      </c>
      <c r="J613" s="15">
        <v>171</v>
      </c>
      <c r="K613" s="30">
        <v>100000</v>
      </c>
      <c r="L613" s="17">
        <v>46077</v>
      </c>
      <c r="M613" s="18">
        <v>24277.65</v>
      </c>
      <c r="N613" s="16">
        <v>46078</v>
      </c>
      <c r="O613" s="19"/>
      <c r="P613" s="20">
        <v>2276.71</v>
      </c>
      <c r="Q613" s="29">
        <v>22000.94</v>
      </c>
      <c r="R613" s="9" t="s">
        <v>180</v>
      </c>
    </row>
    <row r="614" spans="1:19" ht="12" customHeight="1" x14ac:dyDescent="0.25">
      <c r="A614" s="14"/>
      <c r="B614" s="15" t="s">
        <v>289</v>
      </c>
      <c r="C614" s="29">
        <v>65080</v>
      </c>
      <c r="D614" s="16">
        <v>45987</v>
      </c>
      <c r="E614" s="15" t="s">
        <v>2</v>
      </c>
      <c r="F614" s="29">
        <v>0</v>
      </c>
      <c r="G614" s="29">
        <v>0</v>
      </c>
      <c r="H614" s="29">
        <v>67325.259999999995</v>
      </c>
      <c r="I614" s="15">
        <v>30</v>
      </c>
      <c r="J614" s="15">
        <v>189</v>
      </c>
      <c r="K614" s="30">
        <v>99000</v>
      </c>
      <c r="L614" s="17">
        <v>46019</v>
      </c>
      <c r="M614" s="18">
        <v>67325.259999999995</v>
      </c>
      <c r="N614" s="16">
        <v>46026</v>
      </c>
      <c r="O614" s="19"/>
      <c r="P614" s="20">
        <v>2245.2600000000002</v>
      </c>
      <c r="Q614" s="29">
        <v>65080</v>
      </c>
      <c r="R614" s="9" t="s">
        <v>180</v>
      </c>
    </row>
    <row r="615" spans="1:19" ht="12" customHeight="1" x14ac:dyDescent="0.25">
      <c r="A615" s="14"/>
      <c r="B615" s="15" t="s">
        <v>290</v>
      </c>
      <c r="C615" s="29">
        <v>57000</v>
      </c>
      <c r="D615" s="16">
        <v>45987</v>
      </c>
      <c r="E615" s="15" t="s">
        <v>4</v>
      </c>
      <c r="F615" s="29">
        <v>52899.5</v>
      </c>
      <c r="G615" s="29">
        <v>52899.5</v>
      </c>
      <c r="H615" s="29">
        <v>62899.5</v>
      </c>
      <c r="I615" s="15">
        <v>90</v>
      </c>
      <c r="J615" s="15">
        <v>185</v>
      </c>
      <c r="K615" s="30">
        <v>63000</v>
      </c>
      <c r="L615" s="17">
        <v>46077</v>
      </c>
      <c r="M615" s="18">
        <v>10000</v>
      </c>
      <c r="N615" s="16">
        <v>46111</v>
      </c>
      <c r="O615" s="19">
        <v>125</v>
      </c>
      <c r="P615" s="20">
        <v>937.92</v>
      </c>
      <c r="Q615" s="29">
        <v>9062.08</v>
      </c>
      <c r="R615" s="9" t="s">
        <v>180</v>
      </c>
    </row>
    <row r="616" spans="1:19" ht="12" customHeight="1" x14ac:dyDescent="0.25">
      <c r="A616" s="14"/>
      <c r="B616" s="15" t="s">
        <v>291</v>
      </c>
      <c r="C616" s="29">
        <v>353047</v>
      </c>
      <c r="D616" s="16">
        <v>45988</v>
      </c>
      <c r="E616" s="15" t="s">
        <v>2</v>
      </c>
      <c r="F616" s="29">
        <v>0</v>
      </c>
      <c r="G616" s="29">
        <v>0</v>
      </c>
      <c r="H616" s="29">
        <v>365613.41</v>
      </c>
      <c r="I616" s="15">
        <v>30</v>
      </c>
      <c r="J616" s="15">
        <v>6</v>
      </c>
      <c r="K616" s="30">
        <v>810000</v>
      </c>
      <c r="L616" s="17">
        <v>46019</v>
      </c>
      <c r="M616" s="18">
        <v>365613</v>
      </c>
      <c r="N616" s="16">
        <v>46026</v>
      </c>
      <c r="O616" s="19"/>
      <c r="P616" s="20">
        <v>12566.4</v>
      </c>
      <c r="Q616" s="29">
        <v>353046.6</v>
      </c>
      <c r="R616" s="9" t="s">
        <v>180</v>
      </c>
    </row>
    <row r="617" spans="1:19" ht="12" customHeight="1" x14ac:dyDescent="0.25">
      <c r="A617" s="14"/>
      <c r="B617" s="15" t="s">
        <v>292</v>
      </c>
      <c r="C617" s="29">
        <v>150075</v>
      </c>
      <c r="D617" s="16">
        <v>45988</v>
      </c>
      <c r="E617" s="15" t="s">
        <v>2</v>
      </c>
      <c r="F617" s="29">
        <v>0</v>
      </c>
      <c r="G617" s="29">
        <v>0</v>
      </c>
      <c r="H617" s="29">
        <v>160425</v>
      </c>
      <c r="I617" s="15">
        <v>60</v>
      </c>
      <c r="J617" s="15">
        <v>23</v>
      </c>
      <c r="K617" s="30">
        <v>310000</v>
      </c>
      <c r="L617" s="17">
        <v>46048</v>
      </c>
      <c r="M617" s="18">
        <v>160425</v>
      </c>
      <c r="N617" s="16">
        <v>46063</v>
      </c>
      <c r="O617" s="19"/>
      <c r="P617" s="20">
        <v>10350</v>
      </c>
      <c r="Q617" s="29">
        <v>150075</v>
      </c>
      <c r="R617" s="9" t="s">
        <v>180</v>
      </c>
    </row>
    <row r="618" spans="1:19" ht="12" customHeight="1" x14ac:dyDescent="0.25">
      <c r="A618" s="14"/>
      <c r="B618" s="15" t="s">
        <v>468</v>
      </c>
      <c r="C618" s="29">
        <v>0</v>
      </c>
      <c r="D618" s="16">
        <v>45988</v>
      </c>
      <c r="E618" s="15" t="s">
        <v>2</v>
      </c>
      <c r="F618" s="29">
        <v>0</v>
      </c>
      <c r="G618" s="29">
        <v>0</v>
      </c>
      <c r="H618" s="29">
        <v>20551</v>
      </c>
      <c r="I618" s="15">
        <v>0</v>
      </c>
      <c r="J618" s="15">
        <v>37</v>
      </c>
      <c r="K618" s="30">
        <v>1500000</v>
      </c>
      <c r="L618" s="17">
        <v>45988</v>
      </c>
      <c r="M618" s="18">
        <v>20551</v>
      </c>
      <c r="N618" s="16">
        <v>45994</v>
      </c>
      <c r="O618" s="19"/>
      <c r="P618" s="20">
        <v>20551</v>
      </c>
      <c r="Q618" s="29">
        <v>0</v>
      </c>
      <c r="R618" s="9" t="s">
        <v>180</v>
      </c>
    </row>
    <row r="619" spans="1:19" ht="12" customHeight="1" x14ac:dyDescent="0.25">
      <c r="A619" s="14"/>
      <c r="B619" s="15" t="s">
        <v>469</v>
      </c>
      <c r="C619" s="29">
        <v>0</v>
      </c>
      <c r="D619" s="16">
        <v>45988</v>
      </c>
      <c r="E619" s="15" t="s">
        <v>2</v>
      </c>
      <c r="F619" s="29">
        <v>0</v>
      </c>
      <c r="G619" s="29">
        <v>0</v>
      </c>
      <c r="H619" s="29">
        <v>4442</v>
      </c>
      <c r="I619" s="15">
        <v>0</v>
      </c>
      <c r="J619" s="15">
        <v>37</v>
      </c>
      <c r="K619" s="30">
        <v>1500000</v>
      </c>
      <c r="L619" s="17">
        <v>45988</v>
      </c>
      <c r="M619" s="18">
        <v>4442</v>
      </c>
      <c r="N619" s="16">
        <v>45994</v>
      </c>
      <c r="O619" s="19"/>
      <c r="P619" s="20">
        <v>4442</v>
      </c>
      <c r="Q619" s="29">
        <v>0</v>
      </c>
      <c r="R619" s="9" t="s">
        <v>180</v>
      </c>
    </row>
    <row r="620" spans="1:19" ht="12" customHeight="1" x14ac:dyDescent="0.25">
      <c r="A620" s="14"/>
      <c r="B620" s="15" t="s">
        <v>294</v>
      </c>
      <c r="C620" s="29">
        <v>235500</v>
      </c>
      <c r="D620" s="16">
        <v>45988</v>
      </c>
      <c r="E620" s="15" t="s">
        <v>2</v>
      </c>
      <c r="F620" s="29">
        <v>0</v>
      </c>
      <c r="G620" s="29">
        <v>0</v>
      </c>
      <c r="H620" s="29">
        <v>259874.23</v>
      </c>
      <c r="I620" s="15">
        <v>90</v>
      </c>
      <c r="J620" s="15">
        <v>58</v>
      </c>
      <c r="K620" s="30">
        <v>260000</v>
      </c>
      <c r="L620" s="17">
        <v>46078</v>
      </c>
      <c r="M620" s="18">
        <v>259874</v>
      </c>
      <c r="N620" s="16">
        <v>46082</v>
      </c>
      <c r="O620" s="19"/>
      <c r="P620" s="20">
        <v>24374.21</v>
      </c>
      <c r="Q620" s="29">
        <v>235499.79</v>
      </c>
      <c r="R620" s="9" t="s">
        <v>180</v>
      </c>
    </row>
    <row r="621" spans="1:19" ht="12" customHeight="1" x14ac:dyDescent="0.25">
      <c r="A621" s="14"/>
      <c r="B621" s="15" t="s">
        <v>295</v>
      </c>
      <c r="C621" s="29">
        <v>9293</v>
      </c>
      <c r="D621" s="16">
        <v>45988</v>
      </c>
      <c r="E621" s="15" t="s">
        <v>2</v>
      </c>
      <c r="F621" s="29">
        <v>0</v>
      </c>
      <c r="G621" s="29">
        <v>0</v>
      </c>
      <c r="H621" s="29">
        <v>9610.52</v>
      </c>
      <c r="I621" s="15">
        <v>30</v>
      </c>
      <c r="J621" s="15">
        <v>70</v>
      </c>
      <c r="K621" s="30">
        <v>10000</v>
      </c>
      <c r="L621" s="17">
        <v>46019</v>
      </c>
      <c r="M621" s="18">
        <v>9610</v>
      </c>
      <c r="N621" s="16">
        <v>46023</v>
      </c>
      <c r="O621" s="19"/>
      <c r="P621" s="20">
        <v>317.5</v>
      </c>
      <c r="Q621" s="29">
        <v>9292.5</v>
      </c>
      <c r="R621" s="9" t="s">
        <v>180</v>
      </c>
    </row>
    <row r="622" spans="1:19" ht="12" customHeight="1" x14ac:dyDescent="0.25">
      <c r="A622" s="14"/>
      <c r="B622" s="15" t="s">
        <v>296</v>
      </c>
      <c r="C622" s="29">
        <v>0</v>
      </c>
      <c r="D622" s="16">
        <v>45988</v>
      </c>
      <c r="E622" s="15" t="s">
        <v>2</v>
      </c>
      <c r="F622" s="29">
        <v>0</v>
      </c>
      <c r="G622" s="29">
        <v>0</v>
      </c>
      <c r="H622" s="29">
        <v>287.37</v>
      </c>
      <c r="I622" s="15">
        <v>0</v>
      </c>
      <c r="J622" s="15">
        <v>83</v>
      </c>
      <c r="K622" s="30">
        <v>25000</v>
      </c>
      <c r="L622" s="17">
        <v>45988</v>
      </c>
      <c r="M622" s="18">
        <v>287.37</v>
      </c>
      <c r="N622" s="16">
        <v>46047</v>
      </c>
      <c r="O622" s="19"/>
      <c r="P622" s="20">
        <v>287.37</v>
      </c>
      <c r="Q622" s="29">
        <v>0</v>
      </c>
      <c r="R622" s="9" t="s">
        <v>180</v>
      </c>
    </row>
    <row r="623" spans="1:19" ht="12" customHeight="1" x14ac:dyDescent="0.25">
      <c r="A623" s="14"/>
      <c r="B623" s="15" t="s">
        <v>297</v>
      </c>
      <c r="C623" s="29">
        <v>97113</v>
      </c>
      <c r="D623" s="16">
        <v>45988</v>
      </c>
      <c r="E623" s="15" t="s">
        <v>2</v>
      </c>
      <c r="F623" s="29">
        <v>0</v>
      </c>
      <c r="G623" s="29">
        <v>0</v>
      </c>
      <c r="H623" s="29">
        <v>100464</v>
      </c>
      <c r="I623" s="15">
        <v>30</v>
      </c>
      <c r="J623" s="15">
        <v>188</v>
      </c>
      <c r="K623" s="30">
        <v>100000</v>
      </c>
      <c r="L623" s="17">
        <v>46019</v>
      </c>
      <c r="M623" s="18">
        <v>100545</v>
      </c>
      <c r="N623" s="16">
        <v>46030</v>
      </c>
      <c r="O623" s="19"/>
      <c r="P623" s="20">
        <v>3353.7</v>
      </c>
      <c r="Q623" s="29">
        <v>97191.3</v>
      </c>
      <c r="R623" s="9" t="s">
        <v>180</v>
      </c>
    </row>
    <row r="624" spans="1:19" ht="12" customHeight="1" x14ac:dyDescent="0.25">
      <c r="A624" s="14"/>
      <c r="B624" s="15" t="s">
        <v>298</v>
      </c>
      <c r="C624" s="29">
        <v>95685</v>
      </c>
      <c r="D624" s="16">
        <v>45988</v>
      </c>
      <c r="E624" s="15" t="s">
        <v>4</v>
      </c>
      <c r="F624" s="29">
        <v>98985.41</v>
      </c>
      <c r="G624" s="29">
        <v>98985.41</v>
      </c>
      <c r="H624" s="29">
        <v>98985.41</v>
      </c>
      <c r="I624" s="15">
        <v>30</v>
      </c>
      <c r="J624" s="15">
        <v>191</v>
      </c>
      <c r="K624" s="30">
        <v>99000</v>
      </c>
      <c r="L624" s="17">
        <v>46019</v>
      </c>
      <c r="M624" s="18">
        <v>0</v>
      </c>
      <c r="N624" s="16"/>
      <c r="O624" s="19">
        <v>124</v>
      </c>
      <c r="P624" s="20">
        <v>0</v>
      </c>
      <c r="Q624" s="29">
        <v>0</v>
      </c>
      <c r="R624" s="9" t="s">
        <v>180</v>
      </c>
      <c r="S624" s="10" t="s">
        <v>658</v>
      </c>
    </row>
    <row r="625" spans="1:18" ht="12" customHeight="1" x14ac:dyDescent="0.25">
      <c r="A625" s="14"/>
      <c r="B625" s="15" t="s">
        <v>299</v>
      </c>
      <c r="C625" s="29">
        <v>130008</v>
      </c>
      <c r="D625" s="16">
        <v>45991</v>
      </c>
      <c r="E625" s="15" t="s">
        <v>2</v>
      </c>
      <c r="F625" s="29">
        <v>0</v>
      </c>
      <c r="G625" s="29">
        <v>0</v>
      </c>
      <c r="H625" s="29">
        <v>143455.54999999999</v>
      </c>
      <c r="I625" s="15">
        <v>90</v>
      </c>
      <c r="J625" s="15">
        <v>6</v>
      </c>
      <c r="K625" s="30">
        <v>810000</v>
      </c>
      <c r="L625" s="17">
        <v>46082</v>
      </c>
      <c r="M625" s="18">
        <v>143456</v>
      </c>
      <c r="N625" s="16">
        <v>46089</v>
      </c>
      <c r="O625" s="19"/>
      <c r="P625" s="20">
        <v>13447.59</v>
      </c>
      <c r="Q625" s="29">
        <v>130008.41</v>
      </c>
      <c r="R625" s="9" t="s">
        <v>180</v>
      </c>
    </row>
    <row r="626" spans="1:18" ht="12" customHeight="1" x14ac:dyDescent="0.25">
      <c r="A626" s="14"/>
      <c r="B626" s="15" t="s">
        <v>300</v>
      </c>
      <c r="C626" s="29">
        <v>300000</v>
      </c>
      <c r="D626" s="16">
        <v>45991</v>
      </c>
      <c r="E626" s="15" t="s">
        <v>2</v>
      </c>
      <c r="F626" s="29">
        <v>0</v>
      </c>
      <c r="G626" s="29">
        <v>0</v>
      </c>
      <c r="H626" s="29">
        <v>310350.01</v>
      </c>
      <c r="I626" s="15">
        <v>30</v>
      </c>
      <c r="J626" s="15">
        <v>17</v>
      </c>
      <c r="K626" s="30">
        <v>2400000</v>
      </c>
      <c r="L626" s="17">
        <v>46021</v>
      </c>
      <c r="M626" s="18">
        <v>310350</v>
      </c>
      <c r="N626" s="16">
        <v>46022</v>
      </c>
      <c r="O626" s="19"/>
      <c r="P626" s="20">
        <v>10350.01</v>
      </c>
      <c r="Q626" s="29">
        <v>299999.99</v>
      </c>
      <c r="R626" s="9" t="s">
        <v>180</v>
      </c>
    </row>
    <row r="627" spans="1:18" ht="12" customHeight="1" x14ac:dyDescent="0.25">
      <c r="A627" s="14"/>
      <c r="B627" s="15" t="s">
        <v>301</v>
      </c>
      <c r="C627" s="29">
        <v>150075</v>
      </c>
      <c r="D627" s="16">
        <v>45991</v>
      </c>
      <c r="E627" s="15" t="s">
        <v>2</v>
      </c>
      <c r="F627" s="29">
        <v>0</v>
      </c>
      <c r="G627" s="29">
        <v>0</v>
      </c>
      <c r="H627" s="29">
        <v>160430.18</v>
      </c>
      <c r="I627" s="15">
        <v>60</v>
      </c>
      <c r="J627" s="15">
        <v>23</v>
      </c>
      <c r="K627" s="30">
        <v>310000</v>
      </c>
      <c r="L627" s="17">
        <v>46051</v>
      </c>
      <c r="M627" s="18">
        <v>160430</v>
      </c>
      <c r="N627" s="16">
        <v>46065</v>
      </c>
      <c r="O627" s="19"/>
      <c r="P627" s="20">
        <v>10355.17</v>
      </c>
      <c r="Q627" s="29">
        <v>150074.82999999999</v>
      </c>
      <c r="R627" s="9" t="s">
        <v>180</v>
      </c>
    </row>
    <row r="628" spans="1:18" ht="12" customHeight="1" x14ac:dyDescent="0.25">
      <c r="A628" s="14"/>
      <c r="B628" s="15" t="s">
        <v>302</v>
      </c>
      <c r="C628" s="29">
        <v>14214</v>
      </c>
      <c r="D628" s="16">
        <v>45991</v>
      </c>
      <c r="E628" s="15" t="s">
        <v>2</v>
      </c>
      <c r="F628" s="29">
        <v>0</v>
      </c>
      <c r="G628" s="29">
        <v>0</v>
      </c>
      <c r="H628" s="29">
        <v>14710.8</v>
      </c>
      <c r="I628" s="15">
        <v>30</v>
      </c>
      <c r="J628" s="15">
        <v>46</v>
      </c>
      <c r="K628" s="30">
        <v>30000</v>
      </c>
      <c r="L628" s="17">
        <v>46021</v>
      </c>
      <c r="M628" s="18">
        <v>14711</v>
      </c>
      <c r="N628" s="16">
        <v>46026</v>
      </c>
      <c r="O628" s="19"/>
      <c r="P628" s="20">
        <v>496.81</v>
      </c>
      <c r="Q628" s="29">
        <v>14214.19</v>
      </c>
      <c r="R628" s="9" t="s">
        <v>180</v>
      </c>
    </row>
    <row r="629" spans="1:18" ht="12" customHeight="1" x14ac:dyDescent="0.25">
      <c r="A629" s="14"/>
      <c r="B629" s="15" t="s">
        <v>303</v>
      </c>
      <c r="C629" s="29">
        <v>429001</v>
      </c>
      <c r="D629" s="16">
        <v>45991</v>
      </c>
      <c r="E629" s="15" t="s">
        <v>2</v>
      </c>
      <c r="F629" s="29">
        <v>0</v>
      </c>
      <c r="G629" s="29">
        <v>0</v>
      </c>
      <c r="H629" s="29">
        <v>450448.46</v>
      </c>
      <c r="I629" s="15">
        <v>30</v>
      </c>
      <c r="J629" s="15">
        <v>53</v>
      </c>
      <c r="K629" s="30">
        <v>630000</v>
      </c>
      <c r="L629" s="17">
        <v>46021</v>
      </c>
      <c r="M629" s="18">
        <v>450448</v>
      </c>
      <c r="N629" s="16">
        <v>46034</v>
      </c>
      <c r="O629" s="19"/>
      <c r="P629" s="20">
        <v>21447.439999999999</v>
      </c>
      <c r="Q629" s="29">
        <v>429000.56</v>
      </c>
      <c r="R629" s="9" t="s">
        <v>180</v>
      </c>
    </row>
    <row r="630" spans="1:18" ht="12" customHeight="1" x14ac:dyDescent="0.25">
      <c r="A630" s="14"/>
      <c r="B630" s="15" t="s">
        <v>304</v>
      </c>
      <c r="C630" s="29">
        <v>420096</v>
      </c>
      <c r="D630" s="16">
        <v>45991</v>
      </c>
      <c r="E630" s="15" t="s">
        <v>2</v>
      </c>
      <c r="F630" s="29">
        <v>0</v>
      </c>
      <c r="G630" s="29">
        <v>0</v>
      </c>
      <c r="H630" s="29">
        <v>434590</v>
      </c>
      <c r="I630" s="15">
        <v>30</v>
      </c>
      <c r="J630" s="15">
        <v>92</v>
      </c>
      <c r="K630" s="30">
        <v>559000</v>
      </c>
      <c r="L630" s="17">
        <v>46021</v>
      </c>
      <c r="M630" s="18">
        <v>434590</v>
      </c>
      <c r="N630" s="16">
        <v>46027</v>
      </c>
      <c r="O630" s="19"/>
      <c r="P630" s="20">
        <v>14494</v>
      </c>
      <c r="Q630" s="29">
        <v>420096</v>
      </c>
      <c r="R630" s="9" t="s">
        <v>180</v>
      </c>
    </row>
    <row r="631" spans="1:18" ht="12" customHeight="1" x14ac:dyDescent="0.25">
      <c r="A631" s="14"/>
      <c r="B631" s="15" t="s">
        <v>305</v>
      </c>
      <c r="C631" s="29">
        <v>31500</v>
      </c>
      <c r="D631" s="16">
        <v>45991</v>
      </c>
      <c r="E631" s="15" t="s">
        <v>2</v>
      </c>
      <c r="F631" s="29">
        <v>0</v>
      </c>
      <c r="G631" s="29">
        <v>0</v>
      </c>
      <c r="H631" s="29">
        <v>32586.75</v>
      </c>
      <c r="I631" s="15">
        <v>30</v>
      </c>
      <c r="J631" s="15">
        <v>189</v>
      </c>
      <c r="K631" s="30">
        <v>99000</v>
      </c>
      <c r="L631" s="17">
        <v>46021</v>
      </c>
      <c r="M631" s="18">
        <v>32587</v>
      </c>
      <c r="N631" s="16">
        <v>46026</v>
      </c>
      <c r="O631" s="19"/>
      <c r="P631" s="20">
        <v>1086.76</v>
      </c>
      <c r="Q631" s="29">
        <v>31500.240000000002</v>
      </c>
      <c r="R631" s="9" t="s">
        <v>180</v>
      </c>
    </row>
    <row r="632" spans="1:18" ht="12" customHeight="1" x14ac:dyDescent="0.25">
      <c r="A632" s="14"/>
      <c r="B632" s="15" t="s">
        <v>306</v>
      </c>
      <c r="C632" s="29">
        <v>165150</v>
      </c>
      <c r="D632" s="16">
        <v>45992</v>
      </c>
      <c r="E632" s="15" t="s">
        <v>2</v>
      </c>
      <c r="F632" s="29">
        <v>0</v>
      </c>
      <c r="G632" s="29">
        <v>0</v>
      </c>
      <c r="H632" s="29">
        <v>167032.99</v>
      </c>
      <c r="I632" s="15">
        <v>4</v>
      </c>
      <c r="J632" s="15">
        <v>3</v>
      </c>
      <c r="K632" s="30">
        <v>1000000</v>
      </c>
      <c r="L632" s="17">
        <v>45998</v>
      </c>
      <c r="M632" s="18">
        <v>167100</v>
      </c>
      <c r="N632" s="16">
        <v>45998</v>
      </c>
      <c r="O632" s="19"/>
      <c r="P632" s="20">
        <v>1883.75</v>
      </c>
      <c r="Q632" s="29">
        <v>165216.25</v>
      </c>
      <c r="R632" s="9" t="s">
        <v>180</v>
      </c>
    </row>
    <row r="633" spans="1:18" ht="12" customHeight="1" x14ac:dyDescent="0.25">
      <c r="A633" s="14"/>
      <c r="B633" s="15" t="s">
        <v>307</v>
      </c>
      <c r="C633" s="29">
        <v>60182</v>
      </c>
      <c r="D633" s="16">
        <v>45992</v>
      </c>
      <c r="E633" s="15" t="s">
        <v>2</v>
      </c>
      <c r="F633" s="29">
        <v>0</v>
      </c>
      <c r="G633" s="29">
        <v>0</v>
      </c>
      <c r="H633" s="29">
        <v>66409.95</v>
      </c>
      <c r="I633" s="15">
        <v>90</v>
      </c>
      <c r="J633" s="15">
        <v>6</v>
      </c>
      <c r="K633" s="30">
        <v>810000</v>
      </c>
      <c r="L633" s="17">
        <v>46082</v>
      </c>
      <c r="M633" s="18">
        <v>66410</v>
      </c>
      <c r="N633" s="16">
        <v>46089</v>
      </c>
      <c r="O633" s="19"/>
      <c r="P633" s="20">
        <v>6227.96</v>
      </c>
      <c r="Q633" s="29">
        <v>60182.04</v>
      </c>
      <c r="R633" s="9" t="s">
        <v>180</v>
      </c>
    </row>
    <row r="634" spans="1:18" ht="12" customHeight="1" x14ac:dyDescent="0.25">
      <c r="A634" s="14"/>
      <c r="B634" s="15" t="s">
        <v>308</v>
      </c>
      <c r="C634" s="29">
        <v>288000</v>
      </c>
      <c r="D634" s="16">
        <v>45992</v>
      </c>
      <c r="E634" s="15" t="s">
        <v>2</v>
      </c>
      <c r="F634" s="29">
        <v>0</v>
      </c>
      <c r="G634" s="29">
        <v>0</v>
      </c>
      <c r="H634" s="29">
        <v>297899.98</v>
      </c>
      <c r="I634" s="15">
        <v>30</v>
      </c>
      <c r="J634" s="15">
        <v>15</v>
      </c>
      <c r="K634" s="30">
        <v>2300000</v>
      </c>
      <c r="L634" s="17">
        <v>46022</v>
      </c>
      <c r="M634" s="18">
        <v>297900</v>
      </c>
      <c r="N634" s="16">
        <v>46027</v>
      </c>
      <c r="O634" s="19"/>
      <c r="P634" s="20">
        <v>9899.98</v>
      </c>
      <c r="Q634" s="29">
        <v>288000.02</v>
      </c>
      <c r="R634" s="9" t="s">
        <v>180</v>
      </c>
    </row>
    <row r="635" spans="1:18" ht="12" customHeight="1" x14ac:dyDescent="0.25">
      <c r="A635" s="14"/>
      <c r="B635" s="15" t="s">
        <v>309</v>
      </c>
      <c r="C635" s="29">
        <v>343200</v>
      </c>
      <c r="D635" s="16">
        <v>45992</v>
      </c>
      <c r="E635" s="15" t="s">
        <v>2</v>
      </c>
      <c r="F635" s="29">
        <v>0</v>
      </c>
      <c r="G635" s="29">
        <v>0</v>
      </c>
      <c r="H635" s="29">
        <v>355074.71</v>
      </c>
      <c r="I635" s="15">
        <v>30</v>
      </c>
      <c r="J635" s="15">
        <v>12</v>
      </c>
      <c r="K635" s="30">
        <v>1196000</v>
      </c>
      <c r="L635" s="17">
        <v>46022</v>
      </c>
      <c r="M635" s="18">
        <v>355074.72</v>
      </c>
      <c r="N635" s="16">
        <v>46026</v>
      </c>
      <c r="O635" s="19"/>
      <c r="P635" s="20">
        <v>11874.71</v>
      </c>
      <c r="Q635" s="29">
        <v>343200.01</v>
      </c>
      <c r="R635" s="9" t="s">
        <v>180</v>
      </c>
    </row>
    <row r="636" spans="1:18" ht="12" customHeight="1" x14ac:dyDescent="0.25">
      <c r="A636" s="14"/>
      <c r="B636" s="15" t="s">
        <v>310</v>
      </c>
      <c r="C636" s="29">
        <v>131918</v>
      </c>
      <c r="D636" s="16">
        <v>45992</v>
      </c>
      <c r="E636" s="15" t="s">
        <v>2</v>
      </c>
      <c r="F636" s="29">
        <v>0</v>
      </c>
      <c r="G636" s="29">
        <v>0</v>
      </c>
      <c r="H636" s="29">
        <v>133429.97</v>
      </c>
      <c r="I636" s="15">
        <v>4</v>
      </c>
      <c r="J636" s="15">
        <v>18</v>
      </c>
      <c r="K636" s="30">
        <v>600000</v>
      </c>
      <c r="L636" s="17">
        <v>45998</v>
      </c>
      <c r="M636" s="18">
        <v>133430</v>
      </c>
      <c r="N636" s="16">
        <v>46001</v>
      </c>
      <c r="O636" s="19"/>
      <c r="P636" s="20">
        <v>1511.97</v>
      </c>
      <c r="Q636" s="29">
        <v>131918.03</v>
      </c>
      <c r="R636" s="9" t="s">
        <v>180</v>
      </c>
    </row>
    <row r="637" spans="1:18" ht="12" customHeight="1" x14ac:dyDescent="0.25">
      <c r="A637" s="14"/>
      <c r="B637" s="15" t="s">
        <v>311</v>
      </c>
      <c r="C637" s="29">
        <v>253738</v>
      </c>
      <c r="D637" s="16">
        <v>45992</v>
      </c>
      <c r="E637" s="15" t="s">
        <v>4</v>
      </c>
      <c r="F637" s="29">
        <v>280000</v>
      </c>
      <c r="G637" s="29">
        <v>280000</v>
      </c>
      <c r="H637" s="29">
        <v>280000</v>
      </c>
      <c r="I637" s="15">
        <v>90</v>
      </c>
      <c r="J637" s="15">
        <v>74</v>
      </c>
      <c r="K637" s="30">
        <v>280000</v>
      </c>
      <c r="L637" s="17">
        <v>46082</v>
      </c>
      <c r="M637" s="18">
        <v>0</v>
      </c>
      <c r="N637" s="16"/>
      <c r="O637" s="19">
        <v>120</v>
      </c>
      <c r="P637" s="20">
        <v>0</v>
      </c>
      <c r="Q637" s="29">
        <v>0</v>
      </c>
      <c r="R637" s="9" t="s">
        <v>180</v>
      </c>
    </row>
    <row r="638" spans="1:18" ht="12" customHeight="1" x14ac:dyDescent="0.25">
      <c r="A638" s="14"/>
      <c r="B638" s="15" t="s">
        <v>312</v>
      </c>
      <c r="C638" s="29">
        <v>17408</v>
      </c>
      <c r="D638" s="16">
        <v>45992</v>
      </c>
      <c r="E638" s="15" t="s">
        <v>2</v>
      </c>
      <c r="F638" s="29">
        <v>0</v>
      </c>
      <c r="G638" s="29">
        <v>0</v>
      </c>
      <c r="H638" s="29">
        <v>18020</v>
      </c>
      <c r="I638" s="15">
        <v>30</v>
      </c>
      <c r="J638" s="15">
        <v>139</v>
      </c>
      <c r="K638" s="30">
        <v>322000</v>
      </c>
      <c r="L638" s="17">
        <v>46022</v>
      </c>
      <c r="M638" s="18">
        <v>18020</v>
      </c>
      <c r="N638" s="16">
        <v>46023</v>
      </c>
      <c r="O638" s="19"/>
      <c r="P638" s="20">
        <v>612</v>
      </c>
      <c r="Q638" s="29">
        <v>17408</v>
      </c>
      <c r="R638" s="9" t="s">
        <v>180</v>
      </c>
    </row>
    <row r="639" spans="1:18" ht="12" customHeight="1" x14ac:dyDescent="0.25">
      <c r="A639" s="14"/>
      <c r="B639" s="15" t="s">
        <v>313</v>
      </c>
      <c r="C639" s="29">
        <v>61420</v>
      </c>
      <c r="D639" s="16">
        <v>45992</v>
      </c>
      <c r="E639" s="15" t="s">
        <v>2</v>
      </c>
      <c r="F639" s="29">
        <v>0</v>
      </c>
      <c r="G639" s="29">
        <v>0</v>
      </c>
      <c r="H639" s="29">
        <v>65657.98</v>
      </c>
      <c r="I639" s="15">
        <v>60</v>
      </c>
      <c r="J639" s="15">
        <v>60</v>
      </c>
      <c r="K639" s="30">
        <v>450000</v>
      </c>
      <c r="L639" s="17">
        <v>46054</v>
      </c>
      <c r="M639" s="18">
        <v>65657.84</v>
      </c>
      <c r="N639" s="16">
        <v>46055</v>
      </c>
      <c r="O639" s="19"/>
      <c r="P639" s="20">
        <v>4237.97</v>
      </c>
      <c r="Q639" s="29">
        <v>61419.87</v>
      </c>
      <c r="R639" s="9" t="s">
        <v>180</v>
      </c>
    </row>
    <row r="640" spans="1:18" ht="12" customHeight="1" x14ac:dyDescent="0.25">
      <c r="A640" s="14"/>
      <c r="B640" s="15" t="s">
        <v>314</v>
      </c>
      <c r="C640" s="29">
        <v>2803</v>
      </c>
      <c r="D640" s="16">
        <v>45992</v>
      </c>
      <c r="E640" s="15" t="s">
        <v>2</v>
      </c>
      <c r="F640" s="29">
        <v>0</v>
      </c>
      <c r="G640" s="29">
        <v>0</v>
      </c>
      <c r="H640" s="29">
        <v>2899.57</v>
      </c>
      <c r="I640" s="15">
        <v>30</v>
      </c>
      <c r="J640" s="15">
        <v>177</v>
      </c>
      <c r="K640" s="30">
        <v>100000</v>
      </c>
      <c r="L640" s="17">
        <v>46022</v>
      </c>
      <c r="M640" s="18">
        <v>2900</v>
      </c>
      <c r="N640" s="16">
        <v>46033</v>
      </c>
      <c r="O640" s="19"/>
      <c r="P640" s="20">
        <v>96.58</v>
      </c>
      <c r="Q640" s="29">
        <v>2803.42</v>
      </c>
      <c r="R640" s="9" t="s">
        <v>180</v>
      </c>
    </row>
    <row r="641" spans="1:18" ht="12" customHeight="1" x14ac:dyDescent="0.25">
      <c r="A641" s="14"/>
      <c r="B641" s="15">
        <v>601</v>
      </c>
      <c r="C641" s="29">
        <v>77703.199999999997</v>
      </c>
      <c r="D641" s="16">
        <v>45992</v>
      </c>
      <c r="E641" s="15" t="s">
        <v>4</v>
      </c>
      <c r="F641" s="29">
        <v>85745.2</v>
      </c>
      <c r="G641" s="29">
        <v>85745.2</v>
      </c>
      <c r="H641" s="29">
        <v>85745.2</v>
      </c>
      <c r="I641" s="15">
        <v>90</v>
      </c>
      <c r="J641" s="15">
        <v>186</v>
      </c>
      <c r="K641" s="30">
        <v>86000</v>
      </c>
      <c r="L641" s="17">
        <v>46078</v>
      </c>
      <c r="M641" s="18">
        <v>0</v>
      </c>
      <c r="N641" s="16"/>
      <c r="O641" s="19">
        <v>120</v>
      </c>
      <c r="P641" s="20">
        <v>0</v>
      </c>
      <c r="Q641" s="29">
        <v>0</v>
      </c>
      <c r="R641" s="9" t="s">
        <v>180</v>
      </c>
    </row>
    <row r="642" spans="1:18" ht="12" customHeight="1" x14ac:dyDescent="0.25">
      <c r="A642" s="14"/>
      <c r="B642" s="15">
        <v>602</v>
      </c>
      <c r="C642" s="29">
        <v>80107.850000000006</v>
      </c>
      <c r="D642" s="16">
        <v>45992</v>
      </c>
      <c r="E642" s="15" t="s">
        <v>4</v>
      </c>
      <c r="F642" s="29">
        <v>88398.85</v>
      </c>
      <c r="G642" s="29">
        <v>88398.85</v>
      </c>
      <c r="H642" s="29">
        <v>88398.85</v>
      </c>
      <c r="I642" s="15">
        <v>90</v>
      </c>
      <c r="J642" s="15">
        <v>187</v>
      </c>
      <c r="K642" s="30">
        <v>90000</v>
      </c>
      <c r="L642" s="17">
        <v>46079</v>
      </c>
      <c r="M642" s="18">
        <v>0</v>
      </c>
      <c r="N642" s="16"/>
      <c r="O642" s="19">
        <v>120</v>
      </c>
      <c r="P642" s="20">
        <v>0</v>
      </c>
      <c r="Q642" s="29">
        <v>0</v>
      </c>
      <c r="R642" s="9" t="s">
        <v>180</v>
      </c>
    </row>
    <row r="643" spans="1:18" ht="12" customHeight="1" x14ac:dyDescent="0.25">
      <c r="A643" s="14"/>
      <c r="B643" s="15">
        <v>603</v>
      </c>
      <c r="C643" s="29">
        <v>74290</v>
      </c>
      <c r="D643" s="16">
        <v>45992</v>
      </c>
      <c r="E643" s="15" t="s">
        <v>4</v>
      </c>
      <c r="F643" s="29">
        <v>81979</v>
      </c>
      <c r="G643" s="29">
        <v>81979</v>
      </c>
      <c r="H643" s="29">
        <v>81979</v>
      </c>
      <c r="I643" s="15">
        <v>90</v>
      </c>
      <c r="J643" s="15">
        <v>192</v>
      </c>
      <c r="K643" s="30">
        <v>82000</v>
      </c>
      <c r="L643" s="17">
        <v>46082</v>
      </c>
      <c r="M643" s="18">
        <v>0</v>
      </c>
      <c r="N643" s="16"/>
      <c r="O643" s="19">
        <v>120</v>
      </c>
      <c r="P643" s="20">
        <v>0</v>
      </c>
      <c r="Q643" s="29">
        <v>0</v>
      </c>
      <c r="R643" s="9" t="s">
        <v>180</v>
      </c>
    </row>
    <row r="644" spans="1:18" ht="12" customHeight="1" x14ac:dyDescent="0.25">
      <c r="A644" s="14"/>
      <c r="B644" s="15" t="s">
        <v>315</v>
      </c>
      <c r="C644" s="29">
        <v>16422</v>
      </c>
      <c r="D644" s="16">
        <v>45993</v>
      </c>
      <c r="E644" s="15" t="s">
        <v>2</v>
      </c>
      <c r="F644" s="29">
        <v>0</v>
      </c>
      <c r="G644" s="29">
        <v>0</v>
      </c>
      <c r="H644" s="29">
        <v>19254.8</v>
      </c>
      <c r="I644" s="15">
        <v>90</v>
      </c>
      <c r="J644" s="15">
        <v>54</v>
      </c>
      <c r="K644" s="30">
        <v>117000</v>
      </c>
      <c r="L644" s="17">
        <v>46083</v>
      </c>
      <c r="M644" s="18">
        <v>19254.8</v>
      </c>
      <c r="N644" s="16">
        <v>46084</v>
      </c>
      <c r="O644" s="19"/>
      <c r="P644" s="20">
        <v>2832.8</v>
      </c>
      <c r="Q644" s="29">
        <v>16422</v>
      </c>
      <c r="R644" s="9" t="s">
        <v>180</v>
      </c>
    </row>
    <row r="645" spans="1:18" ht="12" customHeight="1" x14ac:dyDescent="0.25">
      <c r="A645" s="14"/>
      <c r="B645" s="15" t="s">
        <v>316</v>
      </c>
      <c r="C645" s="29">
        <v>91965</v>
      </c>
      <c r="D645" s="16">
        <v>45993</v>
      </c>
      <c r="E645" s="15" t="s">
        <v>2</v>
      </c>
      <c r="F645" s="29">
        <v>0</v>
      </c>
      <c r="G645" s="29">
        <v>0</v>
      </c>
      <c r="H645" s="29">
        <v>95129.21</v>
      </c>
      <c r="I645" s="15">
        <v>30</v>
      </c>
      <c r="J645" s="15">
        <v>56</v>
      </c>
      <c r="K645" s="30">
        <v>320000</v>
      </c>
      <c r="L645" s="17">
        <v>46023</v>
      </c>
      <c r="M645" s="18">
        <v>95130</v>
      </c>
      <c r="N645" s="16">
        <v>46027</v>
      </c>
      <c r="O645" s="19"/>
      <c r="P645" s="20">
        <v>3164.23</v>
      </c>
      <c r="Q645" s="29">
        <v>91965.77</v>
      </c>
      <c r="R645" s="9" t="s">
        <v>180</v>
      </c>
    </row>
    <row r="646" spans="1:18" ht="12" customHeight="1" x14ac:dyDescent="0.25">
      <c r="A646" s="14"/>
      <c r="B646" s="15" t="s">
        <v>317</v>
      </c>
      <c r="C646" s="29">
        <v>18539</v>
      </c>
      <c r="D646" s="16">
        <v>45993</v>
      </c>
      <c r="E646" s="15" t="s">
        <v>2</v>
      </c>
      <c r="F646" s="29">
        <v>0</v>
      </c>
      <c r="G646" s="29">
        <v>0</v>
      </c>
      <c r="H646" s="29">
        <v>19179.060000000001</v>
      </c>
      <c r="I646" s="15">
        <v>30</v>
      </c>
      <c r="J646" s="15">
        <v>99</v>
      </c>
      <c r="K646" s="30">
        <v>100000</v>
      </c>
      <c r="L646" s="17">
        <v>46023</v>
      </c>
      <c r="M646" s="18">
        <v>19178</v>
      </c>
      <c r="N646" s="16">
        <v>46029</v>
      </c>
      <c r="O646" s="19"/>
      <c r="P646" s="20">
        <v>640.02</v>
      </c>
      <c r="Q646" s="29">
        <v>18537.98</v>
      </c>
      <c r="R646" s="9" t="s">
        <v>180</v>
      </c>
    </row>
    <row r="647" spans="1:18" ht="12" customHeight="1" x14ac:dyDescent="0.25">
      <c r="A647" s="14"/>
      <c r="B647" s="15" t="s">
        <v>318</v>
      </c>
      <c r="C647" s="29">
        <v>0</v>
      </c>
      <c r="D647" s="16">
        <v>45994</v>
      </c>
      <c r="E647" s="15" t="s">
        <v>2</v>
      </c>
      <c r="F647" s="29">
        <v>0</v>
      </c>
      <c r="G647" s="29">
        <v>0</v>
      </c>
      <c r="H647" s="29">
        <v>498</v>
      </c>
      <c r="I647" s="15">
        <v>0</v>
      </c>
      <c r="J647" s="15">
        <v>102</v>
      </c>
      <c r="K647" s="30">
        <v>10000</v>
      </c>
      <c r="L647" s="17">
        <v>45994</v>
      </c>
      <c r="M647" s="18">
        <v>498</v>
      </c>
      <c r="N647" s="16">
        <v>45998</v>
      </c>
      <c r="O647" s="19"/>
      <c r="P647" s="20">
        <v>498</v>
      </c>
      <c r="Q647" s="29">
        <v>0</v>
      </c>
      <c r="R647" s="9" t="s">
        <v>180</v>
      </c>
    </row>
    <row r="648" spans="1:18" ht="12" customHeight="1" x14ac:dyDescent="0.25">
      <c r="A648" s="14"/>
      <c r="B648" s="15" t="s">
        <v>319</v>
      </c>
      <c r="C648" s="29">
        <v>49724</v>
      </c>
      <c r="D648" s="16">
        <v>45995</v>
      </c>
      <c r="E648" s="15" t="s">
        <v>2</v>
      </c>
      <c r="F648" s="29">
        <v>0</v>
      </c>
      <c r="G648" s="29">
        <v>0</v>
      </c>
      <c r="H648" s="29">
        <v>51500.12</v>
      </c>
      <c r="I648" s="15">
        <v>30</v>
      </c>
      <c r="J648" s="15">
        <v>22</v>
      </c>
      <c r="K648" s="30">
        <v>200000</v>
      </c>
      <c r="L648" s="17">
        <v>46026</v>
      </c>
      <c r="M648" s="18">
        <v>51500</v>
      </c>
      <c r="N648" s="16">
        <v>46026</v>
      </c>
      <c r="O648" s="19"/>
      <c r="P648" s="20">
        <v>1776.12</v>
      </c>
      <c r="Q648" s="29">
        <v>49723.88</v>
      </c>
      <c r="R648" s="9" t="s">
        <v>180</v>
      </c>
    </row>
    <row r="649" spans="1:18" ht="12" customHeight="1" x14ac:dyDescent="0.25">
      <c r="A649" s="14"/>
      <c r="B649" s="15" t="s">
        <v>320</v>
      </c>
      <c r="C649" s="29">
        <v>146780</v>
      </c>
      <c r="D649" s="16">
        <v>45995</v>
      </c>
      <c r="E649" s="15" t="s">
        <v>2</v>
      </c>
      <c r="F649" s="29">
        <v>0</v>
      </c>
      <c r="G649" s="29">
        <v>0</v>
      </c>
      <c r="H649" s="29">
        <v>151843.91</v>
      </c>
      <c r="I649" s="15">
        <v>30</v>
      </c>
      <c r="J649" s="15">
        <v>29</v>
      </c>
      <c r="K649" s="30">
        <v>1240000</v>
      </c>
      <c r="L649" s="17">
        <v>46026</v>
      </c>
      <c r="M649" s="18">
        <v>151844</v>
      </c>
      <c r="N649" s="16">
        <v>46033</v>
      </c>
      <c r="O649" s="19"/>
      <c r="P649" s="20">
        <v>5063.91</v>
      </c>
      <c r="Q649" s="29">
        <v>146780.09</v>
      </c>
      <c r="R649" s="9" t="s">
        <v>180</v>
      </c>
    </row>
    <row r="650" spans="1:18" ht="12" customHeight="1" x14ac:dyDescent="0.25">
      <c r="A650" s="14"/>
      <c r="B650" s="15" t="s">
        <v>321</v>
      </c>
      <c r="C650" s="29">
        <v>0</v>
      </c>
      <c r="D650" s="16">
        <v>45995</v>
      </c>
      <c r="E650" s="15" t="s">
        <v>2</v>
      </c>
      <c r="F650" s="29">
        <v>0</v>
      </c>
      <c r="G650" s="29">
        <v>0</v>
      </c>
      <c r="H650" s="29">
        <v>660</v>
      </c>
      <c r="I650" s="15">
        <v>0</v>
      </c>
      <c r="J650" s="15">
        <v>43</v>
      </c>
      <c r="K650" s="30">
        <v>89000</v>
      </c>
      <c r="L650" s="17">
        <v>45995</v>
      </c>
      <c r="M650" s="18">
        <v>660</v>
      </c>
      <c r="N650" s="16">
        <v>46014</v>
      </c>
      <c r="O650" s="19"/>
      <c r="P650" s="20">
        <v>660</v>
      </c>
      <c r="Q650" s="29">
        <v>0</v>
      </c>
      <c r="R650" s="9" t="s">
        <v>180</v>
      </c>
    </row>
    <row r="651" spans="1:18" ht="12" customHeight="1" x14ac:dyDescent="0.25">
      <c r="A651" s="14"/>
      <c r="B651" s="15" t="s">
        <v>322</v>
      </c>
      <c r="C651" s="29">
        <v>45023</v>
      </c>
      <c r="D651" s="16">
        <v>45995</v>
      </c>
      <c r="E651" s="15" t="s">
        <v>2</v>
      </c>
      <c r="F651" s="29">
        <v>0</v>
      </c>
      <c r="G651" s="29">
        <v>0</v>
      </c>
      <c r="H651" s="29">
        <v>46584.52</v>
      </c>
      <c r="I651" s="15">
        <v>30</v>
      </c>
      <c r="J651" s="15">
        <v>139</v>
      </c>
      <c r="K651" s="30">
        <v>322000</v>
      </c>
      <c r="L651" s="17">
        <v>46026</v>
      </c>
      <c r="M651" s="18">
        <v>46584</v>
      </c>
      <c r="N651" s="16">
        <v>46029</v>
      </c>
      <c r="O651" s="19"/>
      <c r="P651" s="20">
        <v>1561.5</v>
      </c>
      <c r="Q651" s="29">
        <v>45022.5</v>
      </c>
      <c r="R651" s="9" t="s">
        <v>180</v>
      </c>
    </row>
    <row r="652" spans="1:18" ht="12" customHeight="1" x14ac:dyDescent="0.25">
      <c r="A652" s="14"/>
      <c r="B652" s="15" t="s">
        <v>323</v>
      </c>
      <c r="C652" s="29">
        <v>148523</v>
      </c>
      <c r="D652" s="16">
        <v>45998</v>
      </c>
      <c r="E652" s="15" t="s">
        <v>2</v>
      </c>
      <c r="F652" s="29">
        <v>0</v>
      </c>
      <c r="G652" s="29">
        <v>0</v>
      </c>
      <c r="H652" s="29">
        <v>153647.04999999999</v>
      </c>
      <c r="I652" s="15">
        <v>30</v>
      </c>
      <c r="J652" s="15">
        <v>29</v>
      </c>
      <c r="K652" s="30">
        <v>1240000</v>
      </c>
      <c r="L652" s="17">
        <v>46028</v>
      </c>
      <c r="M652" s="18">
        <v>153647.03</v>
      </c>
      <c r="N652" s="16">
        <v>46030</v>
      </c>
      <c r="O652" s="19"/>
      <c r="P652" s="20">
        <v>5124.05</v>
      </c>
      <c r="Q652" s="29">
        <v>148522.98000000001</v>
      </c>
      <c r="R652" s="9" t="s">
        <v>180</v>
      </c>
    </row>
    <row r="653" spans="1:18" ht="12" customHeight="1" x14ac:dyDescent="0.25">
      <c r="A653" s="14"/>
      <c r="B653" s="15" t="s">
        <v>324</v>
      </c>
      <c r="C653" s="29">
        <v>156078</v>
      </c>
      <c r="D653" s="16">
        <v>45998</v>
      </c>
      <c r="E653" s="15" t="s">
        <v>2</v>
      </c>
      <c r="F653" s="29">
        <v>0</v>
      </c>
      <c r="G653" s="29">
        <v>0</v>
      </c>
      <c r="H653" s="29">
        <v>161462.69</v>
      </c>
      <c r="I653" s="15">
        <v>30</v>
      </c>
      <c r="J653" s="15">
        <v>29</v>
      </c>
      <c r="K653" s="30">
        <v>1240000</v>
      </c>
      <c r="L653" s="17">
        <v>46028</v>
      </c>
      <c r="M653" s="18">
        <v>161462.69</v>
      </c>
      <c r="N653" s="16">
        <v>46030</v>
      </c>
      <c r="O653" s="19"/>
      <c r="P653" s="20">
        <v>5384.69</v>
      </c>
      <c r="Q653" s="29">
        <v>156078</v>
      </c>
      <c r="R653" s="9" t="s">
        <v>180</v>
      </c>
    </row>
    <row r="654" spans="1:18" ht="12" customHeight="1" x14ac:dyDescent="0.25">
      <c r="A654" s="14"/>
      <c r="B654" s="15" t="s">
        <v>325</v>
      </c>
      <c r="C654" s="29">
        <v>150748</v>
      </c>
      <c r="D654" s="16">
        <v>45998</v>
      </c>
      <c r="E654" s="15" t="s">
        <v>2</v>
      </c>
      <c r="F654" s="29">
        <v>0</v>
      </c>
      <c r="G654" s="29">
        <v>0</v>
      </c>
      <c r="H654" s="29">
        <v>155948.81</v>
      </c>
      <c r="I654" s="15">
        <v>30</v>
      </c>
      <c r="J654" s="15">
        <v>29</v>
      </c>
      <c r="K654" s="30">
        <v>1240000</v>
      </c>
      <c r="L654" s="17">
        <v>46028</v>
      </c>
      <c r="M654" s="18">
        <v>155948.79999999999</v>
      </c>
      <c r="N654" s="16">
        <v>46030</v>
      </c>
      <c r="O654" s="19"/>
      <c r="P654" s="20">
        <v>5200.8100000000004</v>
      </c>
      <c r="Q654" s="29">
        <v>150747.99</v>
      </c>
      <c r="R654" s="9" t="s">
        <v>180</v>
      </c>
    </row>
    <row r="655" spans="1:18" ht="12" customHeight="1" x14ac:dyDescent="0.25">
      <c r="A655" s="14"/>
      <c r="B655" s="15" t="s">
        <v>326</v>
      </c>
      <c r="C655" s="29">
        <v>0</v>
      </c>
      <c r="D655" s="16">
        <v>45998</v>
      </c>
      <c r="E655" s="15" t="s">
        <v>2</v>
      </c>
      <c r="F655" s="29">
        <v>0</v>
      </c>
      <c r="G655" s="29">
        <v>0</v>
      </c>
      <c r="H655" s="29">
        <v>668</v>
      </c>
      <c r="I655" s="15">
        <v>0</v>
      </c>
      <c r="J655" s="15">
        <v>43</v>
      </c>
      <c r="K655" s="30">
        <v>89000</v>
      </c>
      <c r="L655" s="17">
        <v>45998</v>
      </c>
      <c r="M655" s="18">
        <v>668</v>
      </c>
      <c r="N655" s="16">
        <v>46014</v>
      </c>
      <c r="O655" s="19"/>
      <c r="P655" s="20">
        <v>668</v>
      </c>
      <c r="Q655" s="29">
        <v>0</v>
      </c>
      <c r="R655" s="9" t="s">
        <v>180</v>
      </c>
    </row>
    <row r="656" spans="1:18" ht="12" customHeight="1" x14ac:dyDescent="0.25">
      <c r="A656" s="14"/>
      <c r="B656" s="15" t="s">
        <v>327</v>
      </c>
      <c r="C656" s="29">
        <v>0</v>
      </c>
      <c r="D656" s="16">
        <v>45998</v>
      </c>
      <c r="E656" s="15" t="s">
        <v>2</v>
      </c>
      <c r="F656" s="29">
        <v>0</v>
      </c>
      <c r="G656" s="29">
        <v>0</v>
      </c>
      <c r="H656" s="29">
        <v>1198</v>
      </c>
      <c r="I656" s="15">
        <v>0</v>
      </c>
      <c r="J656" s="15">
        <v>87</v>
      </c>
      <c r="K656" s="30">
        <v>60000</v>
      </c>
      <c r="L656" s="17">
        <v>45998</v>
      </c>
      <c r="M656" s="18">
        <v>1198</v>
      </c>
      <c r="N656" s="16">
        <v>46021</v>
      </c>
      <c r="O656" s="19"/>
      <c r="P656" s="20">
        <v>1198</v>
      </c>
      <c r="Q656" s="29">
        <v>0</v>
      </c>
      <c r="R656" s="9" t="s">
        <v>180</v>
      </c>
    </row>
    <row r="657" spans="1:19" ht="12" customHeight="1" x14ac:dyDescent="0.25">
      <c r="A657" s="14"/>
      <c r="B657" s="15" t="s">
        <v>328</v>
      </c>
      <c r="C657" s="29">
        <v>20002</v>
      </c>
      <c r="D657" s="16">
        <v>45998</v>
      </c>
      <c r="E657" s="15" t="s">
        <v>4</v>
      </c>
      <c r="F657" s="29">
        <v>20691.41</v>
      </c>
      <c r="G657" s="29">
        <v>20691.41</v>
      </c>
      <c r="H657" s="29">
        <v>20691.41</v>
      </c>
      <c r="I657" s="15">
        <v>30</v>
      </c>
      <c r="J657" s="15">
        <v>66</v>
      </c>
      <c r="K657" s="30">
        <v>100000</v>
      </c>
      <c r="L657" s="17">
        <v>46028</v>
      </c>
      <c r="M657" s="18">
        <v>0</v>
      </c>
      <c r="N657" s="16"/>
      <c r="O657" s="19">
        <v>114</v>
      </c>
      <c r="P657" s="20">
        <v>0</v>
      </c>
      <c r="Q657" s="29">
        <v>0</v>
      </c>
      <c r="R657" s="9" t="s">
        <v>180</v>
      </c>
      <c r="S657" s="10" t="s">
        <v>657</v>
      </c>
    </row>
    <row r="658" spans="1:19" ht="12" customHeight="1" x14ac:dyDescent="0.25">
      <c r="A658" s="14"/>
      <c r="B658" s="15" t="s">
        <v>329</v>
      </c>
      <c r="C658" s="29">
        <v>9189</v>
      </c>
      <c r="D658" s="16">
        <v>45998</v>
      </c>
      <c r="E658" s="15" t="s">
        <v>4</v>
      </c>
      <c r="F658" s="29">
        <v>9823.07</v>
      </c>
      <c r="G658" s="29">
        <v>9823.07</v>
      </c>
      <c r="H658" s="29">
        <v>9823.07</v>
      </c>
      <c r="I658" s="15">
        <v>60</v>
      </c>
      <c r="J658" s="15">
        <v>214</v>
      </c>
      <c r="K658" s="30">
        <v>10000</v>
      </c>
      <c r="L658" s="17">
        <v>46058</v>
      </c>
      <c r="M658" s="18">
        <v>0</v>
      </c>
      <c r="N658" s="16"/>
      <c r="O658" s="19">
        <v>114</v>
      </c>
      <c r="P658" s="20">
        <v>0</v>
      </c>
      <c r="Q658" s="29">
        <v>0</v>
      </c>
      <c r="R658" s="9" t="s">
        <v>180</v>
      </c>
      <c r="S658" s="10" t="s">
        <v>984</v>
      </c>
    </row>
    <row r="659" spans="1:19" ht="12" customHeight="1" x14ac:dyDescent="0.25">
      <c r="A659" s="14"/>
      <c r="B659" s="15" t="s">
        <v>330</v>
      </c>
      <c r="C659" s="29">
        <v>260998</v>
      </c>
      <c r="D659" s="16">
        <v>45998</v>
      </c>
      <c r="E659" s="15" t="s">
        <v>2</v>
      </c>
      <c r="F659" s="29">
        <v>0</v>
      </c>
      <c r="G659" s="29">
        <v>0</v>
      </c>
      <c r="H659" s="29">
        <v>270002.43</v>
      </c>
      <c r="I659" s="15">
        <v>30</v>
      </c>
      <c r="J659" s="15">
        <v>199</v>
      </c>
      <c r="K659" s="30">
        <v>270000</v>
      </c>
      <c r="L659" s="17">
        <v>46028</v>
      </c>
      <c r="M659" s="18">
        <v>270002.69</v>
      </c>
      <c r="N659" s="16">
        <v>46033</v>
      </c>
      <c r="O659" s="19"/>
      <c r="P659" s="20">
        <v>9004.44</v>
      </c>
      <c r="Q659" s="29">
        <v>260998.25</v>
      </c>
      <c r="R659" s="9" t="s">
        <v>180</v>
      </c>
    </row>
    <row r="660" spans="1:19" ht="12" customHeight="1" x14ac:dyDescent="0.25">
      <c r="A660" s="14"/>
      <c r="B660" s="15" t="s">
        <v>331</v>
      </c>
      <c r="C660" s="29">
        <v>0</v>
      </c>
      <c r="D660" s="16">
        <v>45999</v>
      </c>
      <c r="E660" s="15" t="s">
        <v>4</v>
      </c>
      <c r="F660" s="29">
        <v>51606</v>
      </c>
      <c r="G660" s="29">
        <v>51606</v>
      </c>
      <c r="H660" s="29">
        <v>51606</v>
      </c>
      <c r="I660" s="15">
        <v>0</v>
      </c>
      <c r="J660" s="15">
        <v>14</v>
      </c>
      <c r="K660" s="30">
        <v>620000</v>
      </c>
      <c r="L660" s="17">
        <v>45999</v>
      </c>
      <c r="M660" s="18">
        <v>0</v>
      </c>
      <c r="N660" s="16"/>
      <c r="O660" s="19">
        <v>113</v>
      </c>
      <c r="P660" s="20">
        <v>0</v>
      </c>
      <c r="Q660" s="29">
        <v>0</v>
      </c>
      <c r="R660" s="9" t="s">
        <v>180</v>
      </c>
      <c r="S660" s="10" t="s">
        <v>636</v>
      </c>
    </row>
    <row r="661" spans="1:19" ht="12" customHeight="1" x14ac:dyDescent="0.25">
      <c r="A661" s="14"/>
      <c r="B661" s="15" t="s">
        <v>332</v>
      </c>
      <c r="C661" s="29">
        <v>6376</v>
      </c>
      <c r="D661" s="16">
        <v>45999</v>
      </c>
      <c r="E661" s="15" t="s">
        <v>2</v>
      </c>
      <c r="F661" s="29">
        <v>0</v>
      </c>
      <c r="G661" s="29">
        <v>0</v>
      </c>
      <c r="H661" s="29">
        <v>6595.96</v>
      </c>
      <c r="I661" s="15">
        <v>30</v>
      </c>
      <c r="J661" s="15">
        <v>34</v>
      </c>
      <c r="K661" s="30">
        <v>370000</v>
      </c>
      <c r="L661" s="17">
        <v>46029</v>
      </c>
      <c r="M661" s="18">
        <v>6595.95</v>
      </c>
      <c r="N661" s="16">
        <v>46043</v>
      </c>
      <c r="O661" s="19"/>
      <c r="P661" s="20">
        <v>219.96</v>
      </c>
      <c r="Q661" s="29">
        <v>6375.99</v>
      </c>
      <c r="R661" s="9" t="s">
        <v>180</v>
      </c>
    </row>
    <row r="662" spans="1:19" ht="12" customHeight="1" x14ac:dyDescent="0.25">
      <c r="A662" s="14"/>
      <c r="B662" s="15" t="s">
        <v>333</v>
      </c>
      <c r="C662" s="29">
        <v>3000</v>
      </c>
      <c r="D662" s="16">
        <v>45999</v>
      </c>
      <c r="E662" s="15" t="s">
        <v>2</v>
      </c>
      <c r="F662" s="29">
        <v>0</v>
      </c>
      <c r="G662" s="29">
        <v>0</v>
      </c>
      <c r="H662" s="29">
        <v>3103.5</v>
      </c>
      <c r="I662" s="15">
        <v>30</v>
      </c>
      <c r="J662" s="15">
        <v>34</v>
      </c>
      <c r="K662" s="30">
        <v>370000</v>
      </c>
      <c r="L662" s="17">
        <v>46029</v>
      </c>
      <c r="M662" s="18">
        <v>3103.5</v>
      </c>
      <c r="N662" s="16">
        <v>46043</v>
      </c>
      <c r="O662" s="19"/>
      <c r="P662" s="20">
        <v>103.5</v>
      </c>
      <c r="Q662" s="29">
        <v>3000</v>
      </c>
      <c r="R662" s="9" t="s">
        <v>180</v>
      </c>
    </row>
    <row r="663" spans="1:19" ht="12" customHeight="1" x14ac:dyDescent="0.25">
      <c r="A663" s="14"/>
      <c r="B663" s="15" t="s">
        <v>334</v>
      </c>
      <c r="C663" s="29">
        <v>87900</v>
      </c>
      <c r="D663" s="16">
        <v>45999</v>
      </c>
      <c r="E663" s="15" t="s">
        <v>2</v>
      </c>
      <c r="F663" s="29">
        <v>0</v>
      </c>
      <c r="G663" s="29">
        <v>0</v>
      </c>
      <c r="H663" s="29">
        <v>96997.65</v>
      </c>
      <c r="I663" s="15">
        <v>90</v>
      </c>
      <c r="J663" s="15">
        <v>48</v>
      </c>
      <c r="K663" s="30">
        <v>120000</v>
      </c>
      <c r="L663" s="17">
        <v>46089</v>
      </c>
      <c r="M663" s="18">
        <v>96997.65</v>
      </c>
      <c r="N663" s="16">
        <v>46089</v>
      </c>
      <c r="O663" s="19"/>
      <c r="P663" s="20">
        <v>9097.65</v>
      </c>
      <c r="Q663" s="29">
        <v>87900</v>
      </c>
      <c r="R663" s="9" t="s">
        <v>180</v>
      </c>
    </row>
    <row r="664" spans="1:19" ht="12" customHeight="1" x14ac:dyDescent="0.25">
      <c r="A664" s="14"/>
      <c r="B664" s="15" t="s">
        <v>335</v>
      </c>
      <c r="C664" s="29">
        <v>100338</v>
      </c>
      <c r="D664" s="16">
        <v>45999</v>
      </c>
      <c r="E664" s="15" t="s">
        <v>2</v>
      </c>
      <c r="F664" s="29">
        <v>0</v>
      </c>
      <c r="G664" s="29">
        <v>0</v>
      </c>
      <c r="H664" s="29">
        <v>107261.32</v>
      </c>
      <c r="I664" s="15">
        <v>60</v>
      </c>
      <c r="J664" s="15">
        <v>60</v>
      </c>
      <c r="K664" s="30">
        <v>450000</v>
      </c>
      <c r="L664" s="17">
        <v>46061</v>
      </c>
      <c r="M664" s="18">
        <v>107260.79</v>
      </c>
      <c r="N664" s="16">
        <v>46062</v>
      </c>
      <c r="O664" s="19"/>
      <c r="P664" s="20">
        <v>6923.29</v>
      </c>
      <c r="Q664" s="29">
        <v>100337.5</v>
      </c>
      <c r="R664" s="9" t="s">
        <v>180</v>
      </c>
    </row>
    <row r="665" spans="1:19" ht="12" customHeight="1" x14ac:dyDescent="0.25">
      <c r="A665" s="14"/>
      <c r="B665" s="15" t="s">
        <v>336</v>
      </c>
      <c r="C665" s="29">
        <v>421659</v>
      </c>
      <c r="D665" s="16">
        <v>45999</v>
      </c>
      <c r="E665" s="15" t="s">
        <v>2</v>
      </c>
      <c r="F665" s="29">
        <v>0</v>
      </c>
      <c r="G665" s="29">
        <v>0</v>
      </c>
      <c r="H665" s="29">
        <v>430092.18</v>
      </c>
      <c r="I665" s="15">
        <v>15</v>
      </c>
      <c r="J665" s="15">
        <v>179</v>
      </c>
      <c r="K665" s="30">
        <v>410000</v>
      </c>
      <c r="L665" s="17">
        <v>46014</v>
      </c>
      <c r="M665" s="18">
        <v>430092</v>
      </c>
      <c r="N665" s="16">
        <v>46015</v>
      </c>
      <c r="O665" s="19"/>
      <c r="P665" s="20">
        <v>8433.18</v>
      </c>
      <c r="Q665" s="29">
        <v>421658.82</v>
      </c>
      <c r="R665" s="9" t="s">
        <v>180</v>
      </c>
    </row>
    <row r="666" spans="1:19" ht="12" customHeight="1" x14ac:dyDescent="0.25">
      <c r="A666" s="14"/>
      <c r="B666" s="15" t="s">
        <v>337</v>
      </c>
      <c r="C666" s="29">
        <v>6624</v>
      </c>
      <c r="D666" s="16">
        <v>45999</v>
      </c>
      <c r="E666" s="15" t="s">
        <v>2</v>
      </c>
      <c r="F666" s="29">
        <v>0</v>
      </c>
      <c r="G666" s="29">
        <v>0</v>
      </c>
      <c r="H666" s="29">
        <v>7310.4</v>
      </c>
      <c r="I666" s="15">
        <v>90</v>
      </c>
      <c r="J666" s="15">
        <v>184</v>
      </c>
      <c r="K666" s="30">
        <v>100000</v>
      </c>
      <c r="L666" s="17">
        <v>46089</v>
      </c>
      <c r="M666" s="18">
        <v>7310</v>
      </c>
      <c r="N666" s="16">
        <v>46089</v>
      </c>
      <c r="O666" s="19"/>
      <c r="P666" s="20">
        <v>686.36</v>
      </c>
      <c r="Q666" s="29">
        <v>6623.64</v>
      </c>
      <c r="R666" s="9" t="s">
        <v>180</v>
      </c>
    </row>
    <row r="667" spans="1:19" ht="12" customHeight="1" x14ac:dyDescent="0.25">
      <c r="A667" s="14"/>
      <c r="B667" s="15" t="s">
        <v>338</v>
      </c>
      <c r="C667" s="29">
        <v>156120</v>
      </c>
      <c r="D667" s="16">
        <v>46000</v>
      </c>
      <c r="E667" s="15" t="s">
        <v>2</v>
      </c>
      <c r="F667" s="29">
        <v>0</v>
      </c>
      <c r="G667" s="29">
        <v>0</v>
      </c>
      <c r="H667" s="29">
        <v>157899.09</v>
      </c>
      <c r="I667" s="15">
        <v>4</v>
      </c>
      <c r="J667" s="15">
        <v>3</v>
      </c>
      <c r="K667" s="30">
        <v>1000000</v>
      </c>
      <c r="L667" s="17">
        <v>46005</v>
      </c>
      <c r="M667" s="18">
        <v>157899</v>
      </c>
      <c r="N667" s="16">
        <v>46007</v>
      </c>
      <c r="O667" s="19"/>
      <c r="P667" s="20">
        <v>1779.09</v>
      </c>
      <c r="Q667" s="29">
        <v>156119.91</v>
      </c>
      <c r="R667" s="9" t="s">
        <v>180</v>
      </c>
    </row>
    <row r="668" spans="1:19" ht="12" customHeight="1" x14ac:dyDescent="0.25">
      <c r="A668" s="14"/>
      <c r="B668" s="15" t="s">
        <v>339</v>
      </c>
      <c r="C668" s="29">
        <v>200000</v>
      </c>
      <c r="D668" s="16">
        <v>46000</v>
      </c>
      <c r="E668" s="15" t="s">
        <v>2</v>
      </c>
      <c r="F668" s="29">
        <v>0</v>
      </c>
      <c r="G668" s="29">
        <v>0</v>
      </c>
      <c r="H668" s="29">
        <v>206875</v>
      </c>
      <c r="I668" s="15">
        <v>30</v>
      </c>
      <c r="J668" s="15">
        <v>15</v>
      </c>
      <c r="K668" s="30">
        <v>2300000</v>
      </c>
      <c r="L668" s="17">
        <v>46033</v>
      </c>
      <c r="M668" s="18">
        <v>206875</v>
      </c>
      <c r="N668" s="16">
        <v>46035</v>
      </c>
      <c r="O668" s="19"/>
      <c r="P668" s="20">
        <v>6875</v>
      </c>
      <c r="Q668" s="29">
        <v>200000</v>
      </c>
      <c r="R668" s="9" t="s">
        <v>180</v>
      </c>
    </row>
    <row r="669" spans="1:19" ht="12" customHeight="1" x14ac:dyDescent="0.25">
      <c r="A669" s="14"/>
      <c r="B669" s="15" t="s">
        <v>340</v>
      </c>
      <c r="C669" s="29">
        <v>80000</v>
      </c>
      <c r="D669" s="16">
        <v>46000</v>
      </c>
      <c r="E669" s="15" t="s">
        <v>2</v>
      </c>
      <c r="F669" s="29">
        <v>0</v>
      </c>
      <c r="G669" s="29">
        <v>0</v>
      </c>
      <c r="H669" s="29">
        <v>82760</v>
      </c>
      <c r="I669" s="15">
        <v>30</v>
      </c>
      <c r="J669" s="15">
        <v>17</v>
      </c>
      <c r="K669" s="30">
        <v>2400000</v>
      </c>
      <c r="L669" s="17">
        <v>46030</v>
      </c>
      <c r="M669" s="18">
        <v>82760</v>
      </c>
      <c r="N669" s="16">
        <v>46033</v>
      </c>
      <c r="O669" s="19"/>
      <c r="P669" s="20">
        <v>2760</v>
      </c>
      <c r="Q669" s="29">
        <v>80000</v>
      </c>
      <c r="R669" s="9" t="s">
        <v>180</v>
      </c>
    </row>
    <row r="670" spans="1:19" ht="12" customHeight="1" x14ac:dyDescent="0.25">
      <c r="A670" s="14"/>
      <c r="B670" s="15" t="s">
        <v>341</v>
      </c>
      <c r="C670" s="29">
        <v>0</v>
      </c>
      <c r="D670" s="16">
        <v>46000</v>
      </c>
      <c r="E670" s="15" t="s">
        <v>2</v>
      </c>
      <c r="F670" s="29">
        <v>0</v>
      </c>
      <c r="G670" s="29">
        <v>0</v>
      </c>
      <c r="H670" s="29">
        <v>581</v>
      </c>
      <c r="I670" s="15">
        <v>0</v>
      </c>
      <c r="J670" s="15">
        <v>83</v>
      </c>
      <c r="K670" s="30">
        <v>25000</v>
      </c>
      <c r="L670" s="17">
        <v>46000</v>
      </c>
      <c r="M670" s="18">
        <v>581</v>
      </c>
      <c r="N670" s="16">
        <v>46047</v>
      </c>
      <c r="O670" s="19"/>
      <c r="P670" s="20">
        <v>581</v>
      </c>
      <c r="Q670" s="29">
        <v>0</v>
      </c>
      <c r="R670" s="9" t="s">
        <v>180</v>
      </c>
    </row>
    <row r="671" spans="1:19" ht="12" customHeight="1" x14ac:dyDescent="0.25">
      <c r="A671" s="14"/>
      <c r="B671" s="15" t="s">
        <v>342</v>
      </c>
      <c r="C671" s="29">
        <v>26738</v>
      </c>
      <c r="D671" s="16">
        <v>46000</v>
      </c>
      <c r="E671" s="15" t="s">
        <v>2</v>
      </c>
      <c r="F671" s="29">
        <v>0</v>
      </c>
      <c r="G671" s="29">
        <v>0</v>
      </c>
      <c r="H671" s="29">
        <v>29900.560000000001</v>
      </c>
      <c r="I671" s="15">
        <v>90</v>
      </c>
      <c r="J671" s="15">
        <v>113</v>
      </c>
      <c r="K671" s="30">
        <v>130000</v>
      </c>
      <c r="L671" s="17">
        <v>46090</v>
      </c>
      <c r="M671" s="18">
        <v>29900.5</v>
      </c>
      <c r="N671" s="16">
        <v>46089</v>
      </c>
      <c r="O671" s="19"/>
      <c r="P671" s="20">
        <v>3162.55</v>
      </c>
      <c r="Q671" s="29">
        <v>26737.95</v>
      </c>
      <c r="R671" s="9" t="s">
        <v>180</v>
      </c>
    </row>
    <row r="672" spans="1:19" ht="12" customHeight="1" x14ac:dyDescent="0.25">
      <c r="A672" s="14"/>
      <c r="B672" s="15" t="s">
        <v>343</v>
      </c>
      <c r="C672" s="29">
        <v>23200</v>
      </c>
      <c r="D672" s="16">
        <v>46000</v>
      </c>
      <c r="E672" s="15" t="s">
        <v>2</v>
      </c>
      <c r="F672" s="29">
        <v>0</v>
      </c>
      <c r="G672" s="29">
        <v>0</v>
      </c>
      <c r="H672" s="29">
        <v>24008</v>
      </c>
      <c r="I672" s="15">
        <v>30</v>
      </c>
      <c r="J672" s="15">
        <v>139</v>
      </c>
      <c r="K672" s="30">
        <v>322000</v>
      </c>
      <c r="L672" s="17">
        <v>46030</v>
      </c>
      <c r="M672" s="18">
        <v>24008</v>
      </c>
      <c r="N672" s="16">
        <v>46036</v>
      </c>
      <c r="O672" s="19"/>
      <c r="P672" s="20">
        <v>808</v>
      </c>
      <c r="Q672" s="29">
        <v>23200</v>
      </c>
      <c r="R672" s="9" t="s">
        <v>180</v>
      </c>
    </row>
    <row r="673" spans="1:19" ht="12" customHeight="1" x14ac:dyDescent="0.25">
      <c r="A673" s="14"/>
      <c r="B673" s="15" t="s">
        <v>344</v>
      </c>
      <c r="C673" s="29">
        <v>0</v>
      </c>
      <c r="D673" s="16">
        <v>46000</v>
      </c>
      <c r="E673" s="15" t="s">
        <v>4</v>
      </c>
      <c r="F673" s="29">
        <v>2299</v>
      </c>
      <c r="G673" s="29">
        <v>2299</v>
      </c>
      <c r="H673" s="29">
        <v>2299</v>
      </c>
      <c r="I673" s="15">
        <v>0</v>
      </c>
      <c r="J673" s="15">
        <v>140</v>
      </c>
      <c r="K673" s="30">
        <v>100000</v>
      </c>
      <c r="L673" s="17">
        <v>46000</v>
      </c>
      <c r="M673" s="18">
        <v>0</v>
      </c>
      <c r="N673" s="16"/>
      <c r="O673" s="19">
        <v>112</v>
      </c>
      <c r="P673" s="20">
        <v>0</v>
      </c>
      <c r="Q673" s="29">
        <v>0</v>
      </c>
      <c r="R673" s="9" t="s">
        <v>180</v>
      </c>
      <c r="S673" s="10" t="s">
        <v>654</v>
      </c>
    </row>
    <row r="674" spans="1:19" ht="12" customHeight="1" x14ac:dyDescent="0.25">
      <c r="A674" s="14"/>
      <c r="B674" s="15" t="s">
        <v>345</v>
      </c>
      <c r="C674" s="29">
        <v>0</v>
      </c>
      <c r="D674" s="16">
        <v>46000</v>
      </c>
      <c r="E674" s="15" t="s">
        <v>4</v>
      </c>
      <c r="F674" s="29">
        <v>4140</v>
      </c>
      <c r="G674" s="29">
        <v>4140</v>
      </c>
      <c r="H674" s="29">
        <v>4140</v>
      </c>
      <c r="I674" s="15">
        <v>0</v>
      </c>
      <c r="J674" s="15">
        <v>150</v>
      </c>
      <c r="K674" s="30">
        <v>72000</v>
      </c>
      <c r="L674" s="17">
        <v>46000</v>
      </c>
      <c r="M674" s="18">
        <v>0</v>
      </c>
      <c r="N674" s="16"/>
      <c r="O674" s="19">
        <v>112</v>
      </c>
      <c r="P674" s="20">
        <v>0</v>
      </c>
      <c r="Q674" s="29">
        <v>0</v>
      </c>
      <c r="R674" s="9" t="s">
        <v>180</v>
      </c>
      <c r="S674" s="10" t="s">
        <v>651</v>
      </c>
    </row>
    <row r="675" spans="1:19" ht="12" customHeight="1" x14ac:dyDescent="0.25">
      <c r="A675" s="14"/>
      <c r="B675" s="15" t="s">
        <v>346</v>
      </c>
      <c r="C675" s="29">
        <v>294727</v>
      </c>
      <c r="D675" s="16">
        <v>46000</v>
      </c>
      <c r="E675" s="15" t="s">
        <v>2</v>
      </c>
      <c r="F675" s="29">
        <v>0</v>
      </c>
      <c r="G675" s="29">
        <v>0</v>
      </c>
      <c r="H675" s="29">
        <v>300945.74</v>
      </c>
      <c r="I675" s="15">
        <v>30</v>
      </c>
      <c r="J675" s="15">
        <v>172</v>
      </c>
      <c r="K675" s="30">
        <v>2000000</v>
      </c>
      <c r="L675" s="17">
        <v>46030</v>
      </c>
      <c r="M675" s="18">
        <v>300945.33</v>
      </c>
      <c r="N675" s="16">
        <v>46030</v>
      </c>
      <c r="O675" s="19"/>
      <c r="P675" s="20">
        <v>6218.73</v>
      </c>
      <c r="Q675" s="29">
        <v>294726.59999999998</v>
      </c>
      <c r="R675" s="9" t="s">
        <v>180</v>
      </c>
    </row>
    <row r="676" spans="1:19" ht="12" customHeight="1" x14ac:dyDescent="0.25">
      <c r="A676" s="14"/>
      <c r="B676" s="15" t="s">
        <v>347</v>
      </c>
      <c r="C676" s="29">
        <v>41372</v>
      </c>
      <c r="D676" s="16">
        <v>46000</v>
      </c>
      <c r="E676" s="15" t="s">
        <v>4</v>
      </c>
      <c r="F676" s="29">
        <v>45654</v>
      </c>
      <c r="G676" s="29">
        <v>45654</v>
      </c>
      <c r="H676" s="29">
        <v>45654</v>
      </c>
      <c r="I676" s="15">
        <v>90</v>
      </c>
      <c r="J676" s="15">
        <v>201</v>
      </c>
      <c r="K676" s="30">
        <v>82000</v>
      </c>
      <c r="L676" s="17">
        <v>46090</v>
      </c>
      <c r="M676" s="18">
        <v>0</v>
      </c>
      <c r="N676" s="16"/>
      <c r="O676" s="19">
        <v>112</v>
      </c>
      <c r="P676" s="20">
        <v>0</v>
      </c>
      <c r="Q676" s="29">
        <v>0</v>
      </c>
      <c r="R676" s="9" t="s">
        <v>180</v>
      </c>
    </row>
    <row r="677" spans="1:19" ht="12" customHeight="1" x14ac:dyDescent="0.25">
      <c r="A677" s="14"/>
      <c r="B677" s="15" t="s">
        <v>348</v>
      </c>
      <c r="C677" s="29">
        <v>2185</v>
      </c>
      <c r="D677" s="16">
        <v>46000</v>
      </c>
      <c r="E677" s="15" t="s">
        <v>2</v>
      </c>
      <c r="F677" s="29">
        <v>0</v>
      </c>
      <c r="G677" s="29">
        <v>0</v>
      </c>
      <c r="H677" s="29">
        <v>2260</v>
      </c>
      <c r="I677" s="15">
        <v>30</v>
      </c>
      <c r="J677" s="15">
        <v>45</v>
      </c>
      <c r="K677" s="30">
        <v>10000</v>
      </c>
      <c r="L677" s="17">
        <v>46030</v>
      </c>
      <c r="M677" s="18">
        <v>2260</v>
      </c>
      <c r="N677" s="16">
        <v>46028</v>
      </c>
      <c r="O677" s="19"/>
      <c r="P677" s="20">
        <v>75</v>
      </c>
      <c r="Q677" s="29">
        <v>2185</v>
      </c>
      <c r="R677" s="9" t="s">
        <v>180</v>
      </c>
    </row>
    <row r="678" spans="1:19" ht="12" customHeight="1" x14ac:dyDescent="0.25">
      <c r="A678" s="14"/>
      <c r="B678" s="15" t="s">
        <v>349</v>
      </c>
      <c r="C678" s="29">
        <v>1900</v>
      </c>
      <c r="D678" s="16">
        <v>46000</v>
      </c>
      <c r="E678" s="15" t="s">
        <v>2</v>
      </c>
      <c r="F678" s="29">
        <v>0</v>
      </c>
      <c r="G678" s="29">
        <v>0</v>
      </c>
      <c r="H678" s="29">
        <v>1965.55</v>
      </c>
      <c r="I678" s="15">
        <v>30</v>
      </c>
      <c r="J678" s="15">
        <v>45</v>
      </c>
      <c r="K678" s="30">
        <v>10000</v>
      </c>
      <c r="L678" s="17">
        <v>46030</v>
      </c>
      <c r="M678" s="18">
        <v>1965</v>
      </c>
      <c r="N678" s="16">
        <v>46030</v>
      </c>
      <c r="O678" s="19"/>
      <c r="P678" s="20">
        <v>65.53</v>
      </c>
      <c r="Q678" s="29">
        <v>1899.47</v>
      </c>
      <c r="R678" s="9" t="s">
        <v>180</v>
      </c>
    </row>
    <row r="679" spans="1:19" ht="12" customHeight="1" x14ac:dyDescent="0.25">
      <c r="A679" s="14"/>
      <c r="B679" s="15" t="s">
        <v>350</v>
      </c>
      <c r="C679" s="29">
        <v>5200</v>
      </c>
      <c r="D679" s="16">
        <v>46000</v>
      </c>
      <c r="E679" s="15" t="s">
        <v>4</v>
      </c>
      <c r="F679" s="29">
        <v>5379.4</v>
      </c>
      <c r="G679" s="29">
        <v>5379.4</v>
      </c>
      <c r="H679" s="29">
        <v>5379.4</v>
      </c>
      <c r="I679" s="15">
        <v>30</v>
      </c>
      <c r="J679" s="15">
        <v>203</v>
      </c>
      <c r="K679" s="30">
        <v>10000</v>
      </c>
      <c r="L679" s="17">
        <v>46030</v>
      </c>
      <c r="M679" s="18">
        <v>0</v>
      </c>
      <c r="N679" s="16"/>
      <c r="O679" s="19">
        <v>112</v>
      </c>
      <c r="P679" s="20">
        <v>0</v>
      </c>
      <c r="Q679" s="29">
        <v>0</v>
      </c>
      <c r="R679" s="9" t="s">
        <v>180</v>
      </c>
      <c r="S679" s="10" t="s">
        <v>659</v>
      </c>
    </row>
    <row r="680" spans="1:19" ht="12" customHeight="1" x14ac:dyDescent="0.25">
      <c r="A680" s="14"/>
      <c r="B680" s="15" t="s">
        <v>351</v>
      </c>
      <c r="C680" s="29">
        <v>102120</v>
      </c>
      <c r="D680" s="16">
        <v>46001</v>
      </c>
      <c r="E680" s="15" t="s">
        <v>2</v>
      </c>
      <c r="F680" s="29">
        <v>0</v>
      </c>
      <c r="G680" s="29">
        <v>0</v>
      </c>
      <c r="H680" s="29">
        <v>105643</v>
      </c>
      <c r="I680" s="15">
        <v>30</v>
      </c>
      <c r="J680" s="15">
        <v>6</v>
      </c>
      <c r="K680" s="30">
        <v>810000</v>
      </c>
      <c r="L680" s="17">
        <v>46033</v>
      </c>
      <c r="M680" s="18">
        <v>105643</v>
      </c>
      <c r="N680" s="16">
        <v>46035</v>
      </c>
      <c r="O680" s="19"/>
      <c r="P680" s="20">
        <v>3523</v>
      </c>
      <c r="Q680" s="29">
        <v>102120</v>
      </c>
      <c r="R680" s="9" t="s">
        <v>180</v>
      </c>
    </row>
    <row r="681" spans="1:19" ht="12" customHeight="1" x14ac:dyDescent="0.25">
      <c r="A681" s="14"/>
      <c r="B681" s="15" t="s">
        <v>352</v>
      </c>
      <c r="C681" s="29">
        <v>166000</v>
      </c>
      <c r="D681" s="16">
        <v>46001</v>
      </c>
      <c r="E681" s="15" t="s">
        <v>2</v>
      </c>
      <c r="F681" s="29">
        <v>0</v>
      </c>
      <c r="G681" s="29">
        <v>0</v>
      </c>
      <c r="H681" s="29">
        <v>171700.01</v>
      </c>
      <c r="I681" s="15">
        <v>30</v>
      </c>
      <c r="J681" s="15">
        <v>15</v>
      </c>
      <c r="K681" s="30">
        <v>2300000</v>
      </c>
      <c r="L681" s="17">
        <v>46033</v>
      </c>
      <c r="M681" s="18">
        <v>171700</v>
      </c>
      <c r="N681" s="16">
        <v>46037</v>
      </c>
      <c r="O681" s="19"/>
      <c r="P681" s="20">
        <v>5700.01</v>
      </c>
      <c r="Q681" s="29">
        <v>165999.99</v>
      </c>
      <c r="R681" s="9" t="s">
        <v>180</v>
      </c>
    </row>
    <row r="682" spans="1:19" ht="12" customHeight="1" x14ac:dyDescent="0.25">
      <c r="A682" s="14"/>
      <c r="B682" s="15" t="s">
        <v>353</v>
      </c>
      <c r="C682" s="29">
        <v>29784</v>
      </c>
      <c r="D682" s="16">
        <v>46001</v>
      </c>
      <c r="E682" s="15" t="s">
        <v>2</v>
      </c>
      <c r="F682" s="29">
        <v>0</v>
      </c>
      <c r="G682" s="29">
        <v>0</v>
      </c>
      <c r="H682" s="29">
        <v>32872.92</v>
      </c>
      <c r="I682" s="15">
        <v>90</v>
      </c>
      <c r="J682" s="15">
        <v>113</v>
      </c>
      <c r="K682" s="30">
        <v>130000</v>
      </c>
      <c r="L682" s="17">
        <v>46091</v>
      </c>
      <c r="M682" s="18">
        <v>32872.5</v>
      </c>
      <c r="N682" s="16">
        <v>46091</v>
      </c>
      <c r="O682" s="19"/>
      <c r="P682" s="20">
        <v>3088.88</v>
      </c>
      <c r="Q682" s="29">
        <v>29783.62</v>
      </c>
      <c r="R682" s="9" t="s">
        <v>180</v>
      </c>
    </row>
    <row r="683" spans="1:19" ht="12" customHeight="1" x14ac:dyDescent="0.25">
      <c r="A683" s="14"/>
      <c r="B683" s="15" t="s">
        <v>354</v>
      </c>
      <c r="C683" s="29">
        <v>707940</v>
      </c>
      <c r="D683" s="16">
        <v>46001</v>
      </c>
      <c r="E683" s="15" t="s">
        <v>2</v>
      </c>
      <c r="F683" s="29">
        <v>0</v>
      </c>
      <c r="G683" s="29">
        <v>0</v>
      </c>
      <c r="H683" s="29">
        <v>722098.8</v>
      </c>
      <c r="I683" s="15">
        <v>30</v>
      </c>
      <c r="J683" s="15">
        <v>172</v>
      </c>
      <c r="K683" s="30">
        <v>2000000</v>
      </c>
      <c r="L683" s="17">
        <v>46033</v>
      </c>
      <c r="M683" s="18">
        <v>722098</v>
      </c>
      <c r="N683" s="16">
        <v>46034</v>
      </c>
      <c r="O683" s="19"/>
      <c r="P683" s="20">
        <v>14158.78</v>
      </c>
      <c r="Q683" s="29">
        <v>707939.22</v>
      </c>
      <c r="R683" s="9" t="s">
        <v>180</v>
      </c>
    </row>
    <row r="684" spans="1:19" ht="12" customHeight="1" x14ac:dyDescent="0.25">
      <c r="A684" s="14"/>
      <c r="B684" s="15" t="s">
        <v>355</v>
      </c>
      <c r="C684" s="29">
        <v>206144</v>
      </c>
      <c r="D684" s="16">
        <v>46002</v>
      </c>
      <c r="E684" s="15" t="s">
        <v>2</v>
      </c>
      <c r="F684" s="29">
        <v>0</v>
      </c>
      <c r="G684" s="29">
        <v>0</v>
      </c>
      <c r="H684" s="29">
        <v>227479.89</v>
      </c>
      <c r="I684" s="15">
        <v>90</v>
      </c>
      <c r="J684" s="15">
        <v>68</v>
      </c>
      <c r="K684" s="30">
        <v>230000</v>
      </c>
      <c r="L684" s="17">
        <v>46092</v>
      </c>
      <c r="M684" s="18">
        <v>227480</v>
      </c>
      <c r="N684" s="16">
        <v>46097</v>
      </c>
      <c r="O684" s="19"/>
      <c r="P684" s="20">
        <v>21335.9</v>
      </c>
      <c r="Q684" s="29">
        <v>206144.1</v>
      </c>
      <c r="R684" s="9" t="s">
        <v>180</v>
      </c>
    </row>
    <row r="685" spans="1:19" ht="12" customHeight="1" x14ac:dyDescent="0.25">
      <c r="A685" s="14"/>
      <c r="B685" s="15" t="s">
        <v>356</v>
      </c>
      <c r="C685" s="29">
        <v>3800</v>
      </c>
      <c r="D685" s="16">
        <v>46002</v>
      </c>
      <c r="E685" s="15" t="s">
        <v>2</v>
      </c>
      <c r="F685" s="29">
        <v>0</v>
      </c>
      <c r="G685" s="29">
        <v>0</v>
      </c>
      <c r="H685" s="29">
        <v>3931.1</v>
      </c>
      <c r="I685" s="15">
        <v>30</v>
      </c>
      <c r="J685" s="15">
        <v>45</v>
      </c>
      <c r="K685" s="30">
        <v>10000</v>
      </c>
      <c r="L685" s="17">
        <v>46033</v>
      </c>
      <c r="M685" s="18">
        <v>3931</v>
      </c>
      <c r="N685" s="16">
        <v>46033</v>
      </c>
      <c r="O685" s="19"/>
      <c r="P685" s="20">
        <v>131.1</v>
      </c>
      <c r="Q685" s="29">
        <v>3799.9</v>
      </c>
      <c r="R685" s="9" t="s">
        <v>180</v>
      </c>
    </row>
    <row r="686" spans="1:19" ht="12" customHeight="1" x14ac:dyDescent="0.25">
      <c r="A686" s="14"/>
      <c r="B686" s="15" t="s">
        <v>357</v>
      </c>
      <c r="C686" s="29">
        <v>4305</v>
      </c>
      <c r="D686" s="16">
        <v>46002</v>
      </c>
      <c r="E686" s="15" t="s">
        <v>4</v>
      </c>
      <c r="F686" s="29">
        <v>4453.5200000000004</v>
      </c>
      <c r="G686" s="29">
        <v>4453.5200000000004</v>
      </c>
      <c r="H686" s="29">
        <v>4453.5200000000004</v>
      </c>
      <c r="I686" s="15">
        <v>30</v>
      </c>
      <c r="J686" s="15">
        <v>203</v>
      </c>
      <c r="K686" s="30">
        <v>10000</v>
      </c>
      <c r="L686" s="17">
        <v>46035</v>
      </c>
      <c r="M686" s="18">
        <v>0</v>
      </c>
      <c r="N686" s="16"/>
      <c r="O686" s="19">
        <v>110</v>
      </c>
      <c r="P686" s="20">
        <v>0</v>
      </c>
      <c r="Q686" s="29">
        <v>0</v>
      </c>
      <c r="R686" s="9" t="s">
        <v>180</v>
      </c>
      <c r="S686" s="10" t="s">
        <v>659</v>
      </c>
    </row>
    <row r="687" spans="1:19" ht="12" customHeight="1" x14ac:dyDescent="0.25">
      <c r="A687" s="14"/>
      <c r="B687" s="15" t="s">
        <v>358</v>
      </c>
      <c r="C687" s="29">
        <v>5840</v>
      </c>
      <c r="D687" s="16">
        <v>46002</v>
      </c>
      <c r="E687" s="15" t="s">
        <v>4</v>
      </c>
      <c r="F687" s="29">
        <v>6444.44</v>
      </c>
      <c r="G687" s="29">
        <v>6444.44</v>
      </c>
      <c r="H687" s="29">
        <v>6444.44</v>
      </c>
      <c r="I687" s="15">
        <v>90</v>
      </c>
      <c r="J687" s="15">
        <v>205</v>
      </c>
      <c r="K687" s="30">
        <v>20000</v>
      </c>
      <c r="L687" s="17">
        <v>46092</v>
      </c>
      <c r="M687" s="18">
        <v>0</v>
      </c>
      <c r="N687" s="16"/>
      <c r="O687" s="19">
        <v>110</v>
      </c>
      <c r="P687" s="20">
        <v>0</v>
      </c>
      <c r="Q687" s="29">
        <v>0</v>
      </c>
      <c r="R687" s="9" t="s">
        <v>180</v>
      </c>
    </row>
    <row r="688" spans="1:19" ht="12" customHeight="1" x14ac:dyDescent="0.25">
      <c r="A688" s="14"/>
      <c r="B688" s="15" t="s">
        <v>359</v>
      </c>
      <c r="C688" s="29">
        <v>7120</v>
      </c>
      <c r="D688" s="16">
        <v>46002</v>
      </c>
      <c r="E688" s="15" t="s">
        <v>4</v>
      </c>
      <c r="F688" s="29">
        <v>6856.92</v>
      </c>
      <c r="G688" s="29">
        <v>6856.92</v>
      </c>
      <c r="H688" s="29">
        <v>7856.92</v>
      </c>
      <c r="I688" s="15">
        <v>90</v>
      </c>
      <c r="J688" s="15">
        <v>205</v>
      </c>
      <c r="K688" s="30">
        <v>20000</v>
      </c>
      <c r="L688" s="17">
        <v>46092</v>
      </c>
      <c r="M688" s="18">
        <v>1000</v>
      </c>
      <c r="N688" s="16">
        <v>46099</v>
      </c>
      <c r="O688" s="19">
        <v>110</v>
      </c>
      <c r="P688" s="20">
        <v>93.79</v>
      </c>
      <c r="Q688" s="29">
        <v>906.21</v>
      </c>
      <c r="R688" s="9" t="s">
        <v>180</v>
      </c>
    </row>
    <row r="689" spans="1:18" ht="12" customHeight="1" x14ac:dyDescent="0.25">
      <c r="A689" s="14"/>
      <c r="B689" s="15" t="s">
        <v>360</v>
      </c>
      <c r="C689" s="29">
        <v>45133</v>
      </c>
      <c r="D689" s="16">
        <v>46002</v>
      </c>
      <c r="E689" s="15" t="s">
        <v>4</v>
      </c>
      <c r="F689" s="29">
        <v>49804.2</v>
      </c>
      <c r="G689" s="29">
        <v>49804.2</v>
      </c>
      <c r="H689" s="29">
        <v>49804.2</v>
      </c>
      <c r="I689" s="15">
        <v>90</v>
      </c>
      <c r="J689" s="15">
        <v>208</v>
      </c>
      <c r="K689" s="30">
        <v>50000</v>
      </c>
      <c r="L689" s="17">
        <v>46092</v>
      </c>
      <c r="M689" s="18">
        <v>0</v>
      </c>
      <c r="N689" s="16"/>
      <c r="O689" s="19">
        <v>110</v>
      </c>
      <c r="P689" s="20">
        <v>0</v>
      </c>
      <c r="Q689" s="29">
        <v>0</v>
      </c>
      <c r="R689" s="9" t="s">
        <v>180</v>
      </c>
    </row>
    <row r="690" spans="1:18" ht="12" customHeight="1" x14ac:dyDescent="0.25">
      <c r="A690" s="14"/>
      <c r="B690" s="15">
        <v>1209</v>
      </c>
      <c r="C690" s="29">
        <v>45247.9</v>
      </c>
      <c r="D690" s="16">
        <v>46002</v>
      </c>
      <c r="E690" s="15" t="s">
        <v>4</v>
      </c>
      <c r="F690" s="29">
        <v>49930.9</v>
      </c>
      <c r="G690" s="29">
        <v>49930.9</v>
      </c>
      <c r="H690" s="29">
        <v>49930.9</v>
      </c>
      <c r="I690" s="15">
        <v>90</v>
      </c>
      <c r="J690" s="15">
        <v>194</v>
      </c>
      <c r="K690" s="30">
        <v>50000</v>
      </c>
      <c r="L690" s="17">
        <v>46089</v>
      </c>
      <c r="M690" s="18">
        <v>0</v>
      </c>
      <c r="N690" s="16"/>
      <c r="O690" s="19">
        <v>110</v>
      </c>
      <c r="P690" s="20">
        <v>0</v>
      </c>
      <c r="Q690" s="29">
        <v>0</v>
      </c>
      <c r="R690" s="9" t="s">
        <v>180</v>
      </c>
    </row>
    <row r="691" spans="1:18" ht="12" customHeight="1" x14ac:dyDescent="0.25">
      <c r="A691" s="14"/>
      <c r="B691" s="15">
        <v>1212</v>
      </c>
      <c r="C691" s="29">
        <v>59580.35</v>
      </c>
      <c r="D691" s="16">
        <v>46002</v>
      </c>
      <c r="E691" s="15" t="s">
        <v>4</v>
      </c>
      <c r="F691" s="29">
        <v>65747.350000000006</v>
      </c>
      <c r="G691" s="29">
        <v>65747.350000000006</v>
      </c>
      <c r="H691" s="29">
        <v>65747.350000000006</v>
      </c>
      <c r="I691" s="15">
        <v>90</v>
      </c>
      <c r="J691" s="15">
        <v>193</v>
      </c>
      <c r="K691" s="30">
        <v>66000</v>
      </c>
      <c r="L691" s="17">
        <v>46089</v>
      </c>
      <c r="M691" s="18">
        <v>0</v>
      </c>
      <c r="N691" s="16"/>
      <c r="O691" s="19">
        <v>110</v>
      </c>
      <c r="P691" s="20">
        <v>0</v>
      </c>
      <c r="Q691" s="29">
        <v>0</v>
      </c>
      <c r="R691" s="9" t="s">
        <v>180</v>
      </c>
    </row>
    <row r="692" spans="1:18" ht="12" customHeight="1" x14ac:dyDescent="0.25">
      <c r="A692" s="14"/>
      <c r="B692" s="15">
        <v>1211</v>
      </c>
      <c r="C692" s="29">
        <v>52354.9</v>
      </c>
      <c r="D692" s="16">
        <v>46002</v>
      </c>
      <c r="E692" s="15" t="s">
        <v>4</v>
      </c>
      <c r="F692" s="29">
        <v>57773.9</v>
      </c>
      <c r="G692" s="29">
        <v>57773.9</v>
      </c>
      <c r="H692" s="29">
        <v>57773.9</v>
      </c>
      <c r="I692" s="15">
        <v>90</v>
      </c>
      <c r="J692" s="15">
        <v>196</v>
      </c>
      <c r="K692" s="30">
        <v>58000</v>
      </c>
      <c r="L692" s="17">
        <v>46089</v>
      </c>
      <c r="M692" s="18">
        <v>0</v>
      </c>
      <c r="N692" s="16"/>
      <c r="O692" s="19">
        <v>110</v>
      </c>
      <c r="P692" s="20">
        <v>0</v>
      </c>
      <c r="Q692" s="29">
        <v>0</v>
      </c>
      <c r="R692" s="9" t="s">
        <v>180</v>
      </c>
    </row>
    <row r="693" spans="1:18" ht="12" customHeight="1" x14ac:dyDescent="0.25">
      <c r="A693" s="14"/>
      <c r="B693" s="15">
        <v>1208</v>
      </c>
      <c r="C693" s="29">
        <v>3987.05</v>
      </c>
      <c r="D693" s="16">
        <v>46002</v>
      </c>
      <c r="E693" s="15" t="s">
        <v>2</v>
      </c>
      <c r="F693" s="29">
        <v>0</v>
      </c>
      <c r="G693" s="29">
        <v>0</v>
      </c>
      <c r="H693" s="29">
        <v>4125.05</v>
      </c>
      <c r="I693" s="15">
        <v>30</v>
      </c>
      <c r="J693" s="15">
        <v>177</v>
      </c>
      <c r="K693" s="30">
        <v>100000</v>
      </c>
      <c r="L693" s="17">
        <v>46029</v>
      </c>
      <c r="M693" s="18">
        <v>4125</v>
      </c>
      <c r="N693" s="16">
        <v>46034</v>
      </c>
      <c r="O693" s="19"/>
      <c r="P693" s="20">
        <v>138</v>
      </c>
      <c r="Q693" s="29">
        <v>3987</v>
      </c>
      <c r="R693" s="9" t="s">
        <v>180</v>
      </c>
    </row>
    <row r="694" spans="1:18" ht="12" customHeight="1" x14ac:dyDescent="0.25">
      <c r="A694" s="14"/>
      <c r="B694" s="15">
        <v>1219</v>
      </c>
      <c r="C694" s="29">
        <v>704.95</v>
      </c>
      <c r="D694" s="16">
        <v>46002</v>
      </c>
      <c r="E694" s="15" t="s">
        <v>2</v>
      </c>
      <c r="F694" s="29">
        <v>0</v>
      </c>
      <c r="G694" s="29">
        <v>0</v>
      </c>
      <c r="H694" s="29">
        <v>728.95</v>
      </c>
      <c r="I694" s="15">
        <v>30</v>
      </c>
      <c r="J694" s="15">
        <v>177</v>
      </c>
      <c r="K694" s="30">
        <v>100000</v>
      </c>
      <c r="L694" s="17">
        <v>46030</v>
      </c>
      <c r="M694" s="18">
        <v>728</v>
      </c>
      <c r="N694" s="16">
        <v>46034</v>
      </c>
      <c r="O694" s="19"/>
      <c r="P694" s="20">
        <v>23.97</v>
      </c>
      <c r="Q694" s="29">
        <v>704.03</v>
      </c>
      <c r="R694" s="9" t="s">
        <v>180</v>
      </c>
    </row>
    <row r="695" spans="1:18" ht="12" customHeight="1" x14ac:dyDescent="0.25">
      <c r="A695" s="14"/>
      <c r="B695" s="15" t="s">
        <v>361</v>
      </c>
      <c r="C695" s="29">
        <v>96810</v>
      </c>
      <c r="D695" s="16">
        <v>46005</v>
      </c>
      <c r="E695" s="15" t="s">
        <v>2</v>
      </c>
      <c r="F695" s="29">
        <v>0</v>
      </c>
      <c r="G695" s="29">
        <v>0</v>
      </c>
      <c r="H695" s="29">
        <v>100149.95</v>
      </c>
      <c r="I695" s="15">
        <v>30</v>
      </c>
      <c r="J695" s="15">
        <v>29</v>
      </c>
      <c r="K695" s="30">
        <v>1240000</v>
      </c>
      <c r="L695" s="17">
        <v>46035</v>
      </c>
      <c r="M695" s="18">
        <v>100038.56</v>
      </c>
      <c r="N695" s="16">
        <v>46044</v>
      </c>
      <c r="O695" s="19"/>
      <c r="P695" s="20">
        <v>3336.24</v>
      </c>
      <c r="Q695" s="29">
        <v>96702.32</v>
      </c>
      <c r="R695" s="9" t="s">
        <v>180</v>
      </c>
    </row>
    <row r="696" spans="1:18" ht="12" customHeight="1" x14ac:dyDescent="0.25">
      <c r="A696" s="14"/>
      <c r="B696" s="15" t="s">
        <v>362</v>
      </c>
      <c r="C696" s="29">
        <v>96000</v>
      </c>
      <c r="D696" s="16">
        <v>46005</v>
      </c>
      <c r="E696" s="15" t="s">
        <v>2</v>
      </c>
      <c r="F696" s="29">
        <v>0</v>
      </c>
      <c r="G696" s="29">
        <v>0</v>
      </c>
      <c r="H696" s="29">
        <v>99299.99</v>
      </c>
      <c r="I696" s="15">
        <v>30</v>
      </c>
      <c r="J696" s="15">
        <v>56</v>
      </c>
      <c r="K696" s="30">
        <v>320000</v>
      </c>
      <c r="L696" s="17">
        <v>46035</v>
      </c>
      <c r="M696" s="18">
        <v>99300</v>
      </c>
      <c r="N696" s="16">
        <v>46035</v>
      </c>
      <c r="O696" s="19"/>
      <c r="P696" s="20">
        <v>3299.99</v>
      </c>
      <c r="Q696" s="29">
        <v>96000.01</v>
      </c>
      <c r="R696" s="9" t="s">
        <v>180</v>
      </c>
    </row>
    <row r="697" spans="1:18" ht="12" customHeight="1" x14ac:dyDescent="0.25">
      <c r="A697" s="14"/>
      <c r="B697" s="15" t="s">
        <v>363</v>
      </c>
      <c r="C697" s="29">
        <v>0</v>
      </c>
      <c r="D697" s="16">
        <v>46005</v>
      </c>
      <c r="E697" s="15" t="s">
        <v>2</v>
      </c>
      <c r="F697" s="29">
        <v>0</v>
      </c>
      <c r="G697" s="29">
        <v>0</v>
      </c>
      <c r="H697" s="29">
        <v>2470</v>
      </c>
      <c r="I697" s="15">
        <v>0</v>
      </c>
      <c r="J697" s="15">
        <v>62</v>
      </c>
      <c r="K697" s="30">
        <v>360000</v>
      </c>
      <c r="L697" s="17">
        <v>46005</v>
      </c>
      <c r="M697" s="18">
        <v>2470</v>
      </c>
      <c r="N697" s="16">
        <v>46019</v>
      </c>
      <c r="O697" s="19"/>
      <c r="P697" s="20">
        <v>2470</v>
      </c>
      <c r="Q697" s="29">
        <v>0</v>
      </c>
      <c r="R697" s="9" t="s">
        <v>180</v>
      </c>
    </row>
    <row r="698" spans="1:18" ht="12" customHeight="1" x14ac:dyDescent="0.25">
      <c r="A698" s="14"/>
      <c r="B698" s="15" t="s">
        <v>364</v>
      </c>
      <c r="C698" s="29">
        <v>0</v>
      </c>
      <c r="D698" s="16">
        <v>46005</v>
      </c>
      <c r="E698" s="15" t="s">
        <v>2</v>
      </c>
      <c r="F698" s="29">
        <v>0</v>
      </c>
      <c r="G698" s="29">
        <v>0</v>
      </c>
      <c r="H698" s="29">
        <v>946</v>
      </c>
      <c r="I698" s="15">
        <v>0</v>
      </c>
      <c r="J698" s="15">
        <v>62</v>
      </c>
      <c r="K698" s="30">
        <v>360000</v>
      </c>
      <c r="L698" s="17">
        <v>46005</v>
      </c>
      <c r="M698" s="18">
        <v>946</v>
      </c>
      <c r="N698" s="16">
        <v>46019</v>
      </c>
      <c r="O698" s="19"/>
      <c r="P698" s="20">
        <v>946</v>
      </c>
      <c r="Q698" s="29">
        <v>0</v>
      </c>
      <c r="R698" s="9" t="s">
        <v>180</v>
      </c>
    </row>
    <row r="699" spans="1:18" ht="12" customHeight="1" x14ac:dyDescent="0.25">
      <c r="A699" s="14"/>
      <c r="B699" s="15" t="s">
        <v>365</v>
      </c>
      <c r="C699" s="29">
        <v>27000</v>
      </c>
      <c r="D699" s="16">
        <v>46005</v>
      </c>
      <c r="E699" s="15" t="s">
        <v>2</v>
      </c>
      <c r="F699" s="29">
        <v>0</v>
      </c>
      <c r="G699" s="29">
        <v>0</v>
      </c>
      <c r="H699" s="29">
        <v>27933</v>
      </c>
      <c r="I699" s="15">
        <v>30</v>
      </c>
      <c r="J699" s="15">
        <v>139</v>
      </c>
      <c r="K699" s="30">
        <v>322000</v>
      </c>
      <c r="L699" s="17">
        <v>46035</v>
      </c>
      <c r="M699" s="18">
        <v>27933</v>
      </c>
      <c r="N699" s="16">
        <v>46036</v>
      </c>
      <c r="O699" s="19"/>
      <c r="P699" s="20">
        <v>933</v>
      </c>
      <c r="Q699" s="29">
        <v>27000</v>
      </c>
      <c r="R699" s="9" t="s">
        <v>180</v>
      </c>
    </row>
    <row r="700" spans="1:18" ht="12" customHeight="1" x14ac:dyDescent="0.25">
      <c r="A700" s="14"/>
      <c r="B700" s="15" t="s">
        <v>366</v>
      </c>
      <c r="C700" s="29">
        <v>32585</v>
      </c>
      <c r="D700" s="16">
        <v>46005</v>
      </c>
      <c r="E700" s="15" t="s">
        <v>4</v>
      </c>
      <c r="F700" s="29">
        <v>35957.22</v>
      </c>
      <c r="G700" s="29">
        <v>35957.22</v>
      </c>
      <c r="H700" s="29">
        <v>35957.22</v>
      </c>
      <c r="I700" s="15">
        <v>90</v>
      </c>
      <c r="J700" s="15">
        <v>201</v>
      </c>
      <c r="K700" s="30">
        <v>82000</v>
      </c>
      <c r="L700" s="17">
        <v>46096</v>
      </c>
      <c r="M700" s="18">
        <v>0</v>
      </c>
      <c r="N700" s="16"/>
      <c r="O700" s="19">
        <v>107</v>
      </c>
      <c r="P700" s="20">
        <v>0</v>
      </c>
      <c r="Q700" s="29">
        <v>0</v>
      </c>
      <c r="R700" s="9" t="s">
        <v>180</v>
      </c>
    </row>
    <row r="701" spans="1:18" ht="12" customHeight="1" x14ac:dyDescent="0.25">
      <c r="A701" s="14"/>
      <c r="B701" s="15" t="s">
        <v>367</v>
      </c>
      <c r="C701" s="29">
        <v>111456</v>
      </c>
      <c r="D701" s="16">
        <v>46006</v>
      </c>
      <c r="E701" s="15" t="s">
        <v>2</v>
      </c>
      <c r="F701" s="29">
        <v>0</v>
      </c>
      <c r="G701" s="29">
        <v>0</v>
      </c>
      <c r="H701" s="29">
        <v>115318</v>
      </c>
      <c r="I701" s="15">
        <v>30</v>
      </c>
      <c r="J701" s="15">
        <v>12</v>
      </c>
      <c r="K701" s="30">
        <v>1196000</v>
      </c>
      <c r="L701" s="17">
        <v>46036</v>
      </c>
      <c r="M701" s="18">
        <v>115318</v>
      </c>
      <c r="N701" s="16">
        <v>46040</v>
      </c>
      <c r="O701" s="19"/>
      <c r="P701" s="20">
        <v>3862</v>
      </c>
      <c r="Q701" s="29">
        <v>111456</v>
      </c>
      <c r="R701" s="9" t="s">
        <v>180</v>
      </c>
    </row>
    <row r="702" spans="1:18" ht="12" customHeight="1" x14ac:dyDescent="0.25">
      <c r="A702" s="14"/>
      <c r="B702" s="15" t="s">
        <v>368</v>
      </c>
      <c r="C702" s="29">
        <v>64165</v>
      </c>
      <c r="D702" s="16">
        <v>46006</v>
      </c>
      <c r="E702" s="15" t="s">
        <v>2</v>
      </c>
      <c r="F702" s="29">
        <v>0</v>
      </c>
      <c r="G702" s="29">
        <v>0</v>
      </c>
      <c r="H702" s="29">
        <v>66378.69</v>
      </c>
      <c r="I702" s="15">
        <v>30</v>
      </c>
      <c r="J702" s="15">
        <v>29</v>
      </c>
      <c r="K702" s="30">
        <v>1240000</v>
      </c>
      <c r="L702" s="17">
        <v>46036</v>
      </c>
      <c r="M702" s="18">
        <v>66304.87</v>
      </c>
      <c r="N702" s="16">
        <v>46044</v>
      </c>
      <c r="O702" s="19"/>
      <c r="P702" s="20">
        <v>2211.23</v>
      </c>
      <c r="Q702" s="29">
        <v>64093.64</v>
      </c>
      <c r="R702" s="9" t="s">
        <v>180</v>
      </c>
    </row>
    <row r="703" spans="1:18" ht="12" customHeight="1" x14ac:dyDescent="0.25">
      <c r="A703" s="14"/>
      <c r="B703" s="15" t="s">
        <v>369</v>
      </c>
      <c r="C703" s="29">
        <v>119658</v>
      </c>
      <c r="D703" s="16">
        <v>46006</v>
      </c>
      <c r="E703" s="15" t="s">
        <v>2</v>
      </c>
      <c r="F703" s="29">
        <v>0</v>
      </c>
      <c r="G703" s="29">
        <v>0</v>
      </c>
      <c r="H703" s="29">
        <v>123786.2</v>
      </c>
      <c r="I703" s="15">
        <v>30</v>
      </c>
      <c r="J703" s="15">
        <v>29</v>
      </c>
      <c r="K703" s="30">
        <v>1240000</v>
      </c>
      <c r="L703" s="17">
        <v>46036</v>
      </c>
      <c r="M703" s="18">
        <v>123786.18</v>
      </c>
      <c r="N703" s="16">
        <v>46044</v>
      </c>
      <c r="O703" s="19"/>
      <c r="P703" s="20">
        <v>4128.2</v>
      </c>
      <c r="Q703" s="29">
        <v>119657.98</v>
      </c>
      <c r="R703" s="9" t="s">
        <v>180</v>
      </c>
    </row>
    <row r="704" spans="1:18" ht="12" customHeight="1" x14ac:dyDescent="0.25">
      <c r="A704" s="14"/>
      <c r="B704" s="15" t="s">
        <v>370</v>
      </c>
      <c r="C704" s="29">
        <v>120578</v>
      </c>
      <c r="D704" s="16">
        <v>46006</v>
      </c>
      <c r="E704" s="15" t="s">
        <v>2</v>
      </c>
      <c r="F704" s="29">
        <v>0</v>
      </c>
      <c r="G704" s="29">
        <v>0</v>
      </c>
      <c r="H704" s="29">
        <v>124195.35</v>
      </c>
      <c r="I704" s="15">
        <v>30</v>
      </c>
      <c r="J704" s="15">
        <v>29</v>
      </c>
      <c r="K704" s="30">
        <v>1240000</v>
      </c>
      <c r="L704" s="17">
        <v>46036</v>
      </c>
      <c r="M704" s="18">
        <v>124195.33</v>
      </c>
      <c r="N704" s="16">
        <v>46044</v>
      </c>
      <c r="O704" s="19"/>
      <c r="P704" s="20">
        <v>3617.34</v>
      </c>
      <c r="Q704" s="29">
        <v>120577.99</v>
      </c>
      <c r="R704" s="9" t="s">
        <v>180</v>
      </c>
    </row>
    <row r="705" spans="1:19" ht="12" customHeight="1" x14ac:dyDescent="0.25">
      <c r="A705" s="14"/>
      <c r="B705" s="15" t="s">
        <v>371</v>
      </c>
      <c r="C705" s="29">
        <v>119600</v>
      </c>
      <c r="D705" s="16">
        <v>46006</v>
      </c>
      <c r="E705" s="15" t="s">
        <v>2</v>
      </c>
      <c r="F705" s="29">
        <v>0</v>
      </c>
      <c r="G705" s="29">
        <v>0</v>
      </c>
      <c r="H705" s="29">
        <v>122793.32</v>
      </c>
      <c r="I705" s="15">
        <v>30</v>
      </c>
      <c r="J705" s="15">
        <v>29</v>
      </c>
      <c r="K705" s="30">
        <v>1240000</v>
      </c>
      <c r="L705" s="17">
        <v>46036</v>
      </c>
      <c r="M705" s="18">
        <v>122793.32</v>
      </c>
      <c r="N705" s="16">
        <v>46044</v>
      </c>
      <c r="O705" s="19"/>
      <c r="P705" s="20">
        <v>3193.32</v>
      </c>
      <c r="Q705" s="29">
        <v>119600</v>
      </c>
      <c r="R705" s="9" t="s">
        <v>180</v>
      </c>
    </row>
    <row r="706" spans="1:19" ht="12" customHeight="1" x14ac:dyDescent="0.25">
      <c r="A706" s="14"/>
      <c r="B706" s="15" t="s">
        <v>372</v>
      </c>
      <c r="C706" s="29">
        <v>854565</v>
      </c>
      <c r="D706" s="16">
        <v>46006</v>
      </c>
      <c r="E706" s="15" t="s">
        <v>4</v>
      </c>
      <c r="F706" s="29">
        <v>743012.48</v>
      </c>
      <c r="G706" s="29">
        <v>743012.48</v>
      </c>
      <c r="H706" s="29">
        <v>943012.48</v>
      </c>
      <c r="I706" s="15">
        <v>90</v>
      </c>
      <c r="J706" s="15">
        <v>37</v>
      </c>
      <c r="K706" s="30">
        <v>1500000</v>
      </c>
      <c r="L706" s="17">
        <v>46096</v>
      </c>
      <c r="M706" s="18">
        <v>200000</v>
      </c>
      <c r="N706" s="16">
        <v>46098</v>
      </c>
      <c r="O706" s="19">
        <v>106</v>
      </c>
      <c r="P706" s="20">
        <v>18758.5</v>
      </c>
      <c r="Q706" s="29">
        <v>181241.5</v>
      </c>
      <c r="R706" s="9" t="s">
        <v>180</v>
      </c>
    </row>
    <row r="707" spans="1:19" ht="12" customHeight="1" x14ac:dyDescent="0.25">
      <c r="A707" s="14"/>
      <c r="B707" s="15" t="s">
        <v>373</v>
      </c>
      <c r="C707" s="29">
        <v>6578</v>
      </c>
      <c r="D707" s="16">
        <v>46006</v>
      </c>
      <c r="E707" s="15" t="s">
        <v>2</v>
      </c>
      <c r="F707" s="29">
        <v>0</v>
      </c>
      <c r="G707" s="29">
        <v>0</v>
      </c>
      <c r="H707" s="29">
        <v>7258.82</v>
      </c>
      <c r="I707" s="15">
        <v>90</v>
      </c>
      <c r="J707" s="15">
        <v>54</v>
      </c>
      <c r="K707" s="30">
        <v>117000</v>
      </c>
      <c r="L707" s="17">
        <v>46097</v>
      </c>
      <c r="M707" s="18">
        <v>7258.82</v>
      </c>
      <c r="N707" s="16">
        <v>46098</v>
      </c>
      <c r="O707" s="19"/>
      <c r="P707" s="20">
        <v>680.82</v>
      </c>
      <c r="Q707" s="29">
        <v>6578</v>
      </c>
      <c r="R707" s="9" t="s">
        <v>180</v>
      </c>
    </row>
    <row r="708" spans="1:19" ht="12" customHeight="1" x14ac:dyDescent="0.25">
      <c r="A708" s="14"/>
      <c r="B708" s="15" t="s">
        <v>374</v>
      </c>
      <c r="C708" s="29">
        <v>55000</v>
      </c>
      <c r="D708" s="16">
        <v>46006</v>
      </c>
      <c r="E708" s="15" t="s">
        <v>2</v>
      </c>
      <c r="F708" s="29">
        <v>0</v>
      </c>
      <c r="G708" s="29">
        <v>0</v>
      </c>
      <c r="H708" s="29">
        <v>56100</v>
      </c>
      <c r="I708" s="15">
        <v>15</v>
      </c>
      <c r="J708" s="15">
        <v>149</v>
      </c>
      <c r="K708" s="30">
        <v>87000</v>
      </c>
      <c r="L708" s="17">
        <v>46021</v>
      </c>
      <c r="M708" s="18">
        <v>56100</v>
      </c>
      <c r="N708" s="16">
        <v>46026</v>
      </c>
      <c r="O708" s="19"/>
      <c r="P708" s="20">
        <v>1100</v>
      </c>
      <c r="Q708" s="29">
        <v>55000</v>
      </c>
      <c r="R708" s="9" t="s">
        <v>180</v>
      </c>
    </row>
    <row r="709" spans="1:19" ht="12" customHeight="1" x14ac:dyDescent="0.25">
      <c r="A709" s="14"/>
      <c r="B709" s="15" t="s">
        <v>375</v>
      </c>
      <c r="C709" s="29">
        <v>2905</v>
      </c>
      <c r="D709" s="16">
        <v>46006</v>
      </c>
      <c r="E709" s="15" t="s">
        <v>4</v>
      </c>
      <c r="F709" s="29">
        <v>3205.67</v>
      </c>
      <c r="G709" s="29">
        <v>3205.67</v>
      </c>
      <c r="H709" s="29">
        <v>3205.67</v>
      </c>
      <c r="I709" s="15">
        <v>90</v>
      </c>
      <c r="J709" s="15">
        <v>205</v>
      </c>
      <c r="K709" s="30">
        <v>20000</v>
      </c>
      <c r="L709" s="17">
        <v>46096</v>
      </c>
      <c r="M709" s="18">
        <v>0</v>
      </c>
      <c r="N709" s="16"/>
      <c r="O709" s="19">
        <v>106</v>
      </c>
      <c r="P709" s="20">
        <v>0</v>
      </c>
      <c r="Q709" s="29">
        <v>0</v>
      </c>
      <c r="R709" s="9" t="s">
        <v>180</v>
      </c>
    </row>
    <row r="710" spans="1:19" ht="12" customHeight="1" x14ac:dyDescent="0.25">
      <c r="A710" s="14"/>
      <c r="B710" s="15" t="s">
        <v>376</v>
      </c>
      <c r="C710" s="29">
        <v>300</v>
      </c>
      <c r="D710" s="16">
        <v>46006</v>
      </c>
      <c r="E710" s="15" t="s">
        <v>4</v>
      </c>
      <c r="F710" s="29">
        <v>331.05</v>
      </c>
      <c r="G710" s="29">
        <v>331.05</v>
      </c>
      <c r="H710" s="29">
        <v>331.05</v>
      </c>
      <c r="I710" s="15">
        <v>90</v>
      </c>
      <c r="J710" s="15">
        <v>205</v>
      </c>
      <c r="K710" s="30">
        <v>20000</v>
      </c>
      <c r="L710" s="17">
        <v>46096</v>
      </c>
      <c r="M710" s="18">
        <v>0</v>
      </c>
      <c r="N710" s="16"/>
      <c r="O710" s="19">
        <v>106</v>
      </c>
      <c r="P710" s="20">
        <v>0</v>
      </c>
      <c r="Q710" s="29">
        <v>0</v>
      </c>
      <c r="R710" s="9" t="s">
        <v>180</v>
      </c>
    </row>
    <row r="711" spans="1:19" ht="12" customHeight="1" x14ac:dyDescent="0.25">
      <c r="A711" s="14"/>
      <c r="B711" s="15" t="s">
        <v>377</v>
      </c>
      <c r="C711" s="29">
        <v>110000</v>
      </c>
      <c r="D711" s="16">
        <v>46007</v>
      </c>
      <c r="E711" s="15" t="s">
        <v>2</v>
      </c>
      <c r="F711" s="29">
        <v>0</v>
      </c>
      <c r="G711" s="29">
        <v>0</v>
      </c>
      <c r="H711" s="29">
        <v>113795</v>
      </c>
      <c r="I711" s="15">
        <v>30</v>
      </c>
      <c r="J711" s="15">
        <v>17</v>
      </c>
      <c r="K711" s="30">
        <v>2400000</v>
      </c>
      <c r="L711" s="17">
        <v>46037</v>
      </c>
      <c r="M711" s="18">
        <v>113795</v>
      </c>
      <c r="N711" s="16">
        <v>46040</v>
      </c>
      <c r="O711" s="19"/>
      <c r="P711" s="20">
        <v>3795</v>
      </c>
      <c r="Q711" s="29">
        <v>110000</v>
      </c>
      <c r="R711" s="9" t="s">
        <v>180</v>
      </c>
    </row>
    <row r="712" spans="1:19" ht="12" customHeight="1" x14ac:dyDescent="0.25">
      <c r="A712" s="14"/>
      <c r="B712" s="15" t="s">
        <v>378</v>
      </c>
      <c r="C712" s="29">
        <v>120583</v>
      </c>
      <c r="D712" s="16">
        <v>46007</v>
      </c>
      <c r="E712" s="15" t="s">
        <v>2</v>
      </c>
      <c r="F712" s="29">
        <v>0</v>
      </c>
      <c r="G712" s="29">
        <v>0</v>
      </c>
      <c r="H712" s="29">
        <v>124743.11</v>
      </c>
      <c r="I712" s="15">
        <v>30</v>
      </c>
      <c r="J712" s="15">
        <v>29</v>
      </c>
      <c r="K712" s="30">
        <v>1240000</v>
      </c>
      <c r="L712" s="17">
        <v>46037</v>
      </c>
      <c r="M712" s="18">
        <v>124743.12</v>
      </c>
      <c r="N712" s="16">
        <v>46044</v>
      </c>
      <c r="O712" s="19"/>
      <c r="P712" s="20">
        <v>4160.1099999999997</v>
      </c>
      <c r="Q712" s="29">
        <v>120583.01</v>
      </c>
      <c r="R712" s="9" t="s">
        <v>180</v>
      </c>
    </row>
    <row r="713" spans="1:19" ht="12" customHeight="1" x14ac:dyDescent="0.25">
      <c r="A713" s="14"/>
      <c r="B713" s="15" t="s">
        <v>379</v>
      </c>
      <c r="C713" s="29">
        <v>0</v>
      </c>
      <c r="D713" s="16">
        <v>46007</v>
      </c>
      <c r="E713" s="15" t="s">
        <v>2</v>
      </c>
      <c r="F713" s="29">
        <v>0</v>
      </c>
      <c r="G713" s="29">
        <v>0</v>
      </c>
      <c r="H713" s="29">
        <v>11496</v>
      </c>
      <c r="I713" s="15">
        <v>0</v>
      </c>
      <c r="J713" s="15">
        <v>69</v>
      </c>
      <c r="K713" s="30">
        <v>500000</v>
      </c>
      <c r="L713" s="17">
        <v>46007</v>
      </c>
      <c r="M713" s="18">
        <v>11496</v>
      </c>
      <c r="N713" s="16">
        <v>46023</v>
      </c>
      <c r="O713" s="19"/>
      <c r="P713" s="20">
        <v>11496</v>
      </c>
      <c r="Q713" s="29">
        <v>0</v>
      </c>
      <c r="R713" s="9" t="s">
        <v>180</v>
      </c>
    </row>
    <row r="714" spans="1:19" ht="12" customHeight="1" x14ac:dyDescent="0.25">
      <c r="A714" s="14"/>
      <c r="B714" s="15" t="s">
        <v>380</v>
      </c>
      <c r="C714" s="29">
        <v>14030</v>
      </c>
      <c r="D714" s="16">
        <v>46007</v>
      </c>
      <c r="E714" s="15" t="s">
        <v>2</v>
      </c>
      <c r="F714" s="29">
        <v>0</v>
      </c>
      <c r="G714" s="29">
        <v>0</v>
      </c>
      <c r="H714" s="29">
        <v>14515</v>
      </c>
      <c r="I714" s="15">
        <v>30</v>
      </c>
      <c r="J714" s="15">
        <v>139</v>
      </c>
      <c r="K714" s="30">
        <v>322000</v>
      </c>
      <c r="L714" s="17">
        <v>46037</v>
      </c>
      <c r="M714" s="18">
        <v>14515</v>
      </c>
      <c r="N714" s="16">
        <v>46040</v>
      </c>
      <c r="O714" s="19"/>
      <c r="P714" s="20">
        <v>485</v>
      </c>
      <c r="Q714" s="29">
        <v>14030</v>
      </c>
      <c r="R714" s="9" t="s">
        <v>180</v>
      </c>
    </row>
    <row r="715" spans="1:19" ht="12" customHeight="1" x14ac:dyDescent="0.25">
      <c r="A715" s="14"/>
      <c r="B715" s="15" t="s">
        <v>381</v>
      </c>
      <c r="C715" s="29">
        <v>74244</v>
      </c>
      <c r="D715" s="16">
        <v>46007</v>
      </c>
      <c r="E715" s="15" t="s">
        <v>2</v>
      </c>
      <c r="F715" s="29">
        <v>0</v>
      </c>
      <c r="G715" s="29">
        <v>0</v>
      </c>
      <c r="H715" s="29">
        <v>76805.42</v>
      </c>
      <c r="I715" s="15">
        <v>30</v>
      </c>
      <c r="J715" s="15">
        <v>164</v>
      </c>
      <c r="K715" s="30">
        <v>200000</v>
      </c>
      <c r="L715" s="17">
        <v>46040</v>
      </c>
      <c r="M715" s="18">
        <v>76805.399999999994</v>
      </c>
      <c r="N715" s="16">
        <v>46041</v>
      </c>
      <c r="O715" s="19"/>
      <c r="P715" s="20">
        <v>2561.42</v>
      </c>
      <c r="Q715" s="29">
        <v>74243.98</v>
      </c>
      <c r="R715" s="9" t="s">
        <v>180</v>
      </c>
    </row>
    <row r="716" spans="1:19" ht="12" customHeight="1" x14ac:dyDescent="0.25">
      <c r="A716" s="14"/>
      <c r="B716" s="15" t="s">
        <v>382</v>
      </c>
      <c r="C716" s="29">
        <v>29835</v>
      </c>
      <c r="D716" s="16">
        <v>46007</v>
      </c>
      <c r="E716" s="15" t="s">
        <v>4</v>
      </c>
      <c r="F716" s="29">
        <v>32922.93</v>
      </c>
      <c r="G716" s="29">
        <v>32922.93</v>
      </c>
      <c r="H716" s="29">
        <v>32922.93</v>
      </c>
      <c r="I716" s="15">
        <v>90</v>
      </c>
      <c r="J716" s="15">
        <v>202</v>
      </c>
      <c r="K716" s="30">
        <v>67000</v>
      </c>
      <c r="L716" s="17">
        <v>46097</v>
      </c>
      <c r="M716" s="18">
        <v>0</v>
      </c>
      <c r="N716" s="16"/>
      <c r="O716" s="19">
        <v>105</v>
      </c>
      <c r="P716" s="20">
        <v>0</v>
      </c>
      <c r="Q716" s="29">
        <v>0</v>
      </c>
      <c r="R716" s="9" t="s">
        <v>180</v>
      </c>
    </row>
    <row r="717" spans="1:19" ht="12" customHeight="1" x14ac:dyDescent="0.25">
      <c r="A717" s="14"/>
      <c r="B717" s="15" t="s">
        <v>383</v>
      </c>
      <c r="C717" s="29">
        <v>338002</v>
      </c>
      <c r="D717" s="16">
        <v>46007</v>
      </c>
      <c r="E717" s="15" t="s">
        <v>2</v>
      </c>
      <c r="F717" s="29">
        <v>0</v>
      </c>
      <c r="G717" s="29">
        <v>0</v>
      </c>
      <c r="H717" s="29">
        <v>349665.32</v>
      </c>
      <c r="I717" s="15">
        <v>30</v>
      </c>
      <c r="J717" s="15">
        <v>207</v>
      </c>
      <c r="K717" s="30">
        <v>350000</v>
      </c>
      <c r="L717" s="17">
        <v>46037</v>
      </c>
      <c r="M717" s="18">
        <v>349665</v>
      </c>
      <c r="N717" s="16">
        <v>46040</v>
      </c>
      <c r="O717" s="19"/>
      <c r="P717" s="20">
        <v>11663.31</v>
      </c>
      <c r="Q717" s="29">
        <v>338001.69</v>
      </c>
      <c r="R717" s="9" t="s">
        <v>180</v>
      </c>
    </row>
    <row r="718" spans="1:19" ht="12" customHeight="1" x14ac:dyDescent="0.25">
      <c r="A718" s="14"/>
      <c r="B718" s="15" t="s">
        <v>384</v>
      </c>
      <c r="C718" s="29">
        <v>200008</v>
      </c>
      <c r="D718" s="16">
        <v>46007</v>
      </c>
      <c r="E718" s="15" t="s">
        <v>4</v>
      </c>
      <c r="F718" s="29">
        <v>120699.8</v>
      </c>
      <c r="G718" s="29">
        <v>120699.8</v>
      </c>
      <c r="H718" s="29">
        <v>220699.8</v>
      </c>
      <c r="I718" s="15">
        <v>90</v>
      </c>
      <c r="J718" s="15">
        <v>212</v>
      </c>
      <c r="K718" s="30">
        <v>230000</v>
      </c>
      <c r="L718" s="17">
        <v>46097</v>
      </c>
      <c r="M718" s="18">
        <v>100000</v>
      </c>
      <c r="N718" s="16">
        <v>46098</v>
      </c>
      <c r="O718" s="19">
        <v>105</v>
      </c>
      <c r="P718" s="20">
        <v>9375.5400000000009</v>
      </c>
      <c r="Q718" s="29">
        <v>90624.46</v>
      </c>
      <c r="R718" s="9" t="s">
        <v>180</v>
      </c>
    </row>
    <row r="719" spans="1:19" ht="12" customHeight="1" x14ac:dyDescent="0.25">
      <c r="A719" s="14"/>
      <c r="B719" s="15" t="s">
        <v>385</v>
      </c>
      <c r="C719" s="29">
        <v>0</v>
      </c>
      <c r="D719" s="16">
        <v>46008</v>
      </c>
      <c r="E719" s="15" t="s">
        <v>4</v>
      </c>
      <c r="F719" s="29">
        <v>1594</v>
      </c>
      <c r="G719" s="29">
        <v>1594</v>
      </c>
      <c r="H719" s="29">
        <v>1594</v>
      </c>
      <c r="I719" s="15">
        <v>0</v>
      </c>
      <c r="J719" s="15">
        <v>63</v>
      </c>
      <c r="K719" s="30">
        <v>60000</v>
      </c>
      <c r="L719" s="17">
        <v>46008</v>
      </c>
      <c r="M719" s="18">
        <v>0</v>
      </c>
      <c r="N719" s="16"/>
      <c r="O719" s="19">
        <v>104</v>
      </c>
      <c r="P719" s="20">
        <v>0</v>
      </c>
      <c r="Q719" s="29">
        <v>0</v>
      </c>
      <c r="R719" s="9" t="s">
        <v>180</v>
      </c>
      <c r="S719" s="10" t="s">
        <v>639</v>
      </c>
    </row>
    <row r="720" spans="1:19" ht="12" customHeight="1" x14ac:dyDescent="0.25">
      <c r="A720" s="14"/>
      <c r="B720" s="15" t="s">
        <v>386</v>
      </c>
      <c r="C720" s="29">
        <v>125500</v>
      </c>
      <c r="D720" s="16">
        <v>46008</v>
      </c>
      <c r="E720" s="15" t="s">
        <v>2</v>
      </c>
      <c r="F720" s="29">
        <v>0</v>
      </c>
      <c r="G720" s="29">
        <v>0</v>
      </c>
      <c r="H720" s="29">
        <v>129829.64</v>
      </c>
      <c r="I720" s="15">
        <v>30</v>
      </c>
      <c r="J720" s="15">
        <v>211</v>
      </c>
      <c r="K720" s="30">
        <v>130000</v>
      </c>
      <c r="L720" s="17">
        <v>46040</v>
      </c>
      <c r="M720" s="18">
        <v>129830</v>
      </c>
      <c r="N720" s="16">
        <v>46040</v>
      </c>
      <c r="O720" s="19"/>
      <c r="P720" s="20">
        <v>4329.6499999999996</v>
      </c>
      <c r="Q720" s="29">
        <v>125500.35</v>
      </c>
      <c r="R720" s="9" t="s">
        <v>180</v>
      </c>
    </row>
    <row r="721" spans="1:19" ht="12" customHeight="1" x14ac:dyDescent="0.25">
      <c r="A721" s="14"/>
      <c r="B721" s="15" t="s">
        <v>387</v>
      </c>
      <c r="C721" s="29">
        <v>24254</v>
      </c>
      <c r="D721" s="16">
        <v>46008</v>
      </c>
      <c r="E721" s="15" t="s">
        <v>4</v>
      </c>
      <c r="F721" s="29">
        <v>26764.29</v>
      </c>
      <c r="G721" s="29">
        <v>26764.29</v>
      </c>
      <c r="H721" s="29">
        <v>26764.29</v>
      </c>
      <c r="I721" s="15">
        <v>90</v>
      </c>
      <c r="J721" s="15">
        <v>183</v>
      </c>
      <c r="K721" s="30">
        <v>30000</v>
      </c>
      <c r="L721" s="17">
        <v>46098</v>
      </c>
      <c r="M721" s="18">
        <v>0</v>
      </c>
      <c r="N721" s="16"/>
      <c r="O721" s="19">
        <v>104</v>
      </c>
      <c r="P721" s="20">
        <v>0</v>
      </c>
      <c r="Q721" s="29">
        <v>0</v>
      </c>
      <c r="R721" s="9" t="s">
        <v>180</v>
      </c>
    </row>
    <row r="722" spans="1:19" ht="12" customHeight="1" x14ac:dyDescent="0.25">
      <c r="A722" s="14"/>
      <c r="B722" s="15" t="s">
        <v>388</v>
      </c>
      <c r="C722" s="29">
        <v>1024000</v>
      </c>
      <c r="D722" s="16">
        <v>46008</v>
      </c>
      <c r="E722" s="15" t="s">
        <v>4</v>
      </c>
      <c r="F722" s="29">
        <v>429984</v>
      </c>
      <c r="G722" s="29">
        <v>429984</v>
      </c>
      <c r="H722" s="29">
        <v>1129984</v>
      </c>
      <c r="I722" s="15">
        <v>90</v>
      </c>
      <c r="J722" s="15">
        <v>41</v>
      </c>
      <c r="K722" s="30">
        <v>1130000</v>
      </c>
      <c r="L722" s="17">
        <v>46099</v>
      </c>
      <c r="M722" s="18">
        <v>700000</v>
      </c>
      <c r="N722" s="16">
        <v>46110</v>
      </c>
      <c r="O722" s="19">
        <v>104</v>
      </c>
      <c r="P722" s="20">
        <v>65654.73</v>
      </c>
      <c r="Q722" s="29">
        <v>634345.27</v>
      </c>
      <c r="R722" s="9" t="s">
        <v>180</v>
      </c>
    </row>
    <row r="723" spans="1:19" ht="12" customHeight="1" x14ac:dyDescent="0.25">
      <c r="A723" s="14"/>
      <c r="B723" s="15" t="s">
        <v>389</v>
      </c>
      <c r="C723" s="29">
        <v>173040</v>
      </c>
      <c r="D723" s="16">
        <v>46009</v>
      </c>
      <c r="E723" s="15" t="s">
        <v>2</v>
      </c>
      <c r="F723" s="29">
        <v>0</v>
      </c>
      <c r="G723" s="29">
        <v>0</v>
      </c>
      <c r="H723" s="29">
        <v>178985</v>
      </c>
      <c r="I723" s="15">
        <v>30</v>
      </c>
      <c r="J723" s="15">
        <v>10</v>
      </c>
      <c r="K723" s="30">
        <v>403000</v>
      </c>
      <c r="L723" s="17">
        <v>46040</v>
      </c>
      <c r="M723" s="18">
        <v>178985</v>
      </c>
      <c r="N723" s="16">
        <v>46042</v>
      </c>
      <c r="O723" s="19"/>
      <c r="P723" s="20">
        <v>5945</v>
      </c>
      <c r="Q723" s="29">
        <v>173040</v>
      </c>
      <c r="R723" s="9" t="s">
        <v>180</v>
      </c>
    </row>
    <row r="724" spans="1:19" ht="12" customHeight="1" x14ac:dyDescent="0.25">
      <c r="A724" s="14"/>
      <c r="B724" s="15" t="s">
        <v>390</v>
      </c>
      <c r="C724" s="29">
        <v>520000</v>
      </c>
      <c r="D724" s="16">
        <v>46009</v>
      </c>
      <c r="E724" s="15" t="s">
        <v>4</v>
      </c>
      <c r="F724" s="29">
        <v>573820</v>
      </c>
      <c r="G724" s="29">
        <v>573820</v>
      </c>
      <c r="H724" s="29">
        <v>573820</v>
      </c>
      <c r="I724" s="15">
        <v>90</v>
      </c>
      <c r="J724" s="15">
        <v>37</v>
      </c>
      <c r="K724" s="30">
        <v>1500000</v>
      </c>
      <c r="L724" s="17">
        <v>46099</v>
      </c>
      <c r="M724" s="18">
        <v>0</v>
      </c>
      <c r="N724" s="16"/>
      <c r="O724" s="19">
        <v>103</v>
      </c>
      <c r="P724" s="20">
        <v>0</v>
      </c>
      <c r="Q724" s="29">
        <v>0</v>
      </c>
      <c r="R724" s="9" t="s">
        <v>180</v>
      </c>
    </row>
    <row r="725" spans="1:19" ht="12" customHeight="1" x14ac:dyDescent="0.25">
      <c r="A725" s="14"/>
      <c r="B725" s="15" t="s">
        <v>391</v>
      </c>
      <c r="C725" s="29">
        <v>13747</v>
      </c>
      <c r="D725" s="16">
        <v>46009</v>
      </c>
      <c r="E725" s="15" t="s">
        <v>2</v>
      </c>
      <c r="F725" s="29">
        <v>0</v>
      </c>
      <c r="G725" s="29">
        <v>0</v>
      </c>
      <c r="H725" s="29">
        <v>14695.54</v>
      </c>
      <c r="I725" s="15">
        <v>60</v>
      </c>
      <c r="J725" s="15">
        <v>54</v>
      </c>
      <c r="K725" s="30">
        <v>117000</v>
      </c>
      <c r="L725" s="17">
        <v>46069</v>
      </c>
      <c r="M725" s="18">
        <v>14695.95</v>
      </c>
      <c r="N725" s="16">
        <v>46070</v>
      </c>
      <c r="O725" s="19"/>
      <c r="P725" s="20">
        <v>948.57</v>
      </c>
      <c r="Q725" s="29">
        <v>13747.38</v>
      </c>
      <c r="R725" s="9" t="s">
        <v>180</v>
      </c>
    </row>
    <row r="726" spans="1:19" ht="12" customHeight="1" x14ac:dyDescent="0.25">
      <c r="A726" s="14"/>
      <c r="B726" s="15" t="s">
        <v>392</v>
      </c>
      <c r="C726" s="29">
        <v>0</v>
      </c>
      <c r="D726" s="16">
        <v>46009</v>
      </c>
      <c r="E726" s="15" t="s">
        <v>4</v>
      </c>
      <c r="F726" s="29">
        <v>230</v>
      </c>
      <c r="G726" s="29">
        <v>230</v>
      </c>
      <c r="H726" s="29">
        <v>230</v>
      </c>
      <c r="I726" s="15">
        <v>0</v>
      </c>
      <c r="J726" s="15">
        <v>65</v>
      </c>
      <c r="K726" s="30">
        <v>10000</v>
      </c>
      <c r="L726" s="17">
        <v>46009</v>
      </c>
      <c r="M726" s="18">
        <v>0</v>
      </c>
      <c r="N726" s="16"/>
      <c r="O726" s="19">
        <v>103</v>
      </c>
      <c r="P726" s="20">
        <v>0</v>
      </c>
      <c r="Q726" s="29">
        <v>0</v>
      </c>
      <c r="R726" s="9" t="s">
        <v>180</v>
      </c>
      <c r="S726" s="10" t="s">
        <v>638</v>
      </c>
    </row>
    <row r="727" spans="1:19" ht="12" customHeight="1" x14ac:dyDescent="0.25">
      <c r="A727" s="14"/>
      <c r="B727" s="15" t="s">
        <v>393</v>
      </c>
      <c r="C727" s="29">
        <v>83696.7</v>
      </c>
      <c r="D727" s="16">
        <v>46009</v>
      </c>
      <c r="E727" s="15" t="s">
        <v>2</v>
      </c>
      <c r="F727" s="29">
        <v>0</v>
      </c>
      <c r="G727" s="29">
        <v>0</v>
      </c>
      <c r="H727" s="29">
        <v>85370.63</v>
      </c>
      <c r="I727" s="15">
        <v>30</v>
      </c>
      <c r="J727" s="15">
        <v>99</v>
      </c>
      <c r="K727" s="30">
        <v>100000</v>
      </c>
      <c r="L727" s="17">
        <v>46040</v>
      </c>
      <c r="M727" s="18">
        <v>85370</v>
      </c>
      <c r="N727" s="16">
        <v>46048</v>
      </c>
      <c r="O727" s="19"/>
      <c r="P727" s="20">
        <v>1673.92</v>
      </c>
      <c r="Q727" s="29">
        <v>83696.08</v>
      </c>
      <c r="R727" s="9" t="s">
        <v>180</v>
      </c>
    </row>
    <row r="728" spans="1:19" ht="12" customHeight="1" x14ac:dyDescent="0.25">
      <c r="A728" s="14"/>
      <c r="B728" s="15" t="s">
        <v>394</v>
      </c>
      <c r="C728" s="29">
        <v>0</v>
      </c>
      <c r="D728" s="16">
        <v>46009</v>
      </c>
      <c r="E728" s="15" t="s">
        <v>4</v>
      </c>
      <c r="F728" s="29">
        <v>2352</v>
      </c>
      <c r="G728" s="29">
        <v>2352</v>
      </c>
      <c r="H728" s="29">
        <v>2352</v>
      </c>
      <c r="I728" s="15">
        <v>0</v>
      </c>
      <c r="J728" s="15">
        <v>140</v>
      </c>
      <c r="K728" s="30">
        <v>100000</v>
      </c>
      <c r="L728" s="17">
        <v>46009</v>
      </c>
      <c r="M728" s="18">
        <v>0</v>
      </c>
      <c r="N728" s="16"/>
      <c r="O728" s="19">
        <v>103</v>
      </c>
      <c r="P728" s="20">
        <v>0</v>
      </c>
      <c r="Q728" s="29">
        <v>0</v>
      </c>
      <c r="R728" s="9" t="s">
        <v>180</v>
      </c>
      <c r="S728" s="10" t="s">
        <v>654</v>
      </c>
    </row>
    <row r="729" spans="1:19" ht="12" customHeight="1" x14ac:dyDescent="0.25">
      <c r="A729" s="14"/>
      <c r="B729" s="15" t="s">
        <v>395</v>
      </c>
      <c r="C729" s="29">
        <v>21850</v>
      </c>
      <c r="D729" s="16">
        <v>46009</v>
      </c>
      <c r="E729" s="15" t="s">
        <v>2</v>
      </c>
      <c r="F729" s="29">
        <v>0</v>
      </c>
      <c r="G729" s="29">
        <v>0</v>
      </c>
      <c r="H729" s="29">
        <v>22603</v>
      </c>
      <c r="I729" s="15">
        <v>30</v>
      </c>
      <c r="J729" s="15">
        <v>159</v>
      </c>
      <c r="K729" s="30">
        <v>129000</v>
      </c>
      <c r="L729" s="17">
        <v>46040</v>
      </c>
      <c r="M729" s="18">
        <v>22603</v>
      </c>
      <c r="N729" s="16">
        <v>46037</v>
      </c>
      <c r="O729" s="19"/>
      <c r="P729" s="20">
        <v>753</v>
      </c>
      <c r="Q729" s="29">
        <v>21850</v>
      </c>
      <c r="R729" s="9" t="s">
        <v>180</v>
      </c>
    </row>
    <row r="730" spans="1:19" ht="12" customHeight="1" x14ac:dyDescent="0.25">
      <c r="A730" s="14"/>
      <c r="B730" s="15" t="s">
        <v>396</v>
      </c>
      <c r="C730" s="29">
        <v>120000</v>
      </c>
      <c r="D730" s="16">
        <v>46012</v>
      </c>
      <c r="E730" s="15" t="s">
        <v>2</v>
      </c>
      <c r="F730" s="29">
        <v>0</v>
      </c>
      <c r="G730" s="29">
        <v>0</v>
      </c>
      <c r="H730" s="29">
        <v>124140</v>
      </c>
      <c r="I730" s="15">
        <v>30</v>
      </c>
      <c r="J730" s="15">
        <v>17</v>
      </c>
      <c r="K730" s="30">
        <v>2400000</v>
      </c>
      <c r="L730" s="17">
        <v>46042</v>
      </c>
      <c r="M730" s="18">
        <v>124140</v>
      </c>
      <c r="N730" s="16">
        <v>46043</v>
      </c>
      <c r="O730" s="19"/>
      <c r="P730" s="20">
        <v>4140</v>
      </c>
      <c r="Q730" s="29">
        <v>120000</v>
      </c>
      <c r="R730" s="9" t="s">
        <v>180</v>
      </c>
    </row>
    <row r="731" spans="1:19" ht="12" customHeight="1" x14ac:dyDescent="0.25">
      <c r="A731" s="14"/>
      <c r="B731" s="15" t="s">
        <v>397</v>
      </c>
      <c r="C731" s="29">
        <v>8798</v>
      </c>
      <c r="D731" s="16">
        <v>46012</v>
      </c>
      <c r="E731" s="15" t="s">
        <v>2</v>
      </c>
      <c r="F731" s="29">
        <v>0</v>
      </c>
      <c r="G731" s="29">
        <v>0</v>
      </c>
      <c r="H731" s="29">
        <v>9405.5300000000007</v>
      </c>
      <c r="I731" s="15">
        <v>60</v>
      </c>
      <c r="J731" s="15">
        <v>91</v>
      </c>
      <c r="K731" s="30">
        <v>61000</v>
      </c>
      <c r="L731" s="17">
        <v>46072</v>
      </c>
      <c r="M731" s="18">
        <v>9405</v>
      </c>
      <c r="N731" s="16">
        <v>46079</v>
      </c>
      <c r="O731" s="19"/>
      <c r="P731" s="20">
        <v>607.5</v>
      </c>
      <c r="Q731" s="29">
        <v>8797.5</v>
      </c>
      <c r="R731" s="9" t="s">
        <v>180</v>
      </c>
    </row>
    <row r="732" spans="1:19" ht="12" customHeight="1" x14ac:dyDescent="0.25">
      <c r="A732" s="14"/>
      <c r="B732" s="15" t="s">
        <v>398</v>
      </c>
      <c r="C732" s="29">
        <v>0</v>
      </c>
      <c r="D732" s="16">
        <v>46012</v>
      </c>
      <c r="E732" s="15" t="s">
        <v>4</v>
      </c>
      <c r="F732" s="29">
        <v>1150</v>
      </c>
      <c r="G732" s="29">
        <v>1150</v>
      </c>
      <c r="H732" s="29">
        <v>1150</v>
      </c>
      <c r="I732" s="15">
        <v>0</v>
      </c>
      <c r="J732" s="15">
        <v>168</v>
      </c>
      <c r="K732" s="30">
        <v>100000</v>
      </c>
      <c r="L732" s="17">
        <v>46012</v>
      </c>
      <c r="M732" s="18">
        <v>0</v>
      </c>
      <c r="N732" s="16"/>
      <c r="O732" s="19">
        <v>100</v>
      </c>
      <c r="P732" s="20">
        <v>0</v>
      </c>
      <c r="Q732" s="29">
        <v>0</v>
      </c>
      <c r="R732" s="9" t="s">
        <v>180</v>
      </c>
      <c r="S732" s="10" t="s">
        <v>655</v>
      </c>
    </row>
    <row r="733" spans="1:19" ht="12" customHeight="1" x14ac:dyDescent="0.25">
      <c r="A733" s="14"/>
      <c r="B733" s="15" t="s">
        <v>399</v>
      </c>
      <c r="C733" s="29">
        <v>91025</v>
      </c>
      <c r="D733" s="16">
        <v>46012</v>
      </c>
      <c r="E733" s="15" t="s">
        <v>2</v>
      </c>
      <c r="F733" s="29">
        <v>0</v>
      </c>
      <c r="G733" s="29">
        <v>0</v>
      </c>
      <c r="H733" s="29">
        <v>100280</v>
      </c>
      <c r="I733" s="15">
        <v>90</v>
      </c>
      <c r="J733" s="15">
        <v>210</v>
      </c>
      <c r="K733" s="30">
        <v>100000</v>
      </c>
      <c r="L733" s="17">
        <v>46103</v>
      </c>
      <c r="M733" s="18">
        <v>100280</v>
      </c>
      <c r="N733" s="16">
        <v>46105</v>
      </c>
      <c r="O733" s="19"/>
      <c r="P733" s="20">
        <v>9255</v>
      </c>
      <c r="Q733" s="29">
        <v>91025</v>
      </c>
      <c r="R733" s="9" t="s">
        <v>180</v>
      </c>
    </row>
    <row r="734" spans="1:19" ht="12" customHeight="1" x14ac:dyDescent="0.25">
      <c r="A734" s="14"/>
      <c r="B734" s="15" t="s">
        <v>400</v>
      </c>
      <c r="C734" s="29">
        <v>159192</v>
      </c>
      <c r="D734" s="16">
        <v>46013</v>
      </c>
      <c r="E734" s="15" t="s">
        <v>2</v>
      </c>
      <c r="F734" s="29">
        <v>0</v>
      </c>
      <c r="G734" s="29">
        <v>0</v>
      </c>
      <c r="H734" s="29">
        <v>164672.64000000001</v>
      </c>
      <c r="I734" s="15">
        <v>30</v>
      </c>
      <c r="J734" s="15">
        <v>12</v>
      </c>
      <c r="K734" s="30">
        <v>1196000</v>
      </c>
      <c r="L734" s="17">
        <v>46043</v>
      </c>
      <c r="M734" s="18">
        <v>164672</v>
      </c>
      <c r="N734" s="16">
        <v>46047</v>
      </c>
      <c r="O734" s="19"/>
      <c r="P734" s="20">
        <v>5480.62</v>
      </c>
      <c r="Q734" s="29">
        <v>159191.38</v>
      </c>
      <c r="R734" s="9" t="s">
        <v>180</v>
      </c>
    </row>
    <row r="735" spans="1:19" ht="12" customHeight="1" x14ac:dyDescent="0.25">
      <c r="A735" s="14"/>
      <c r="B735" s="15" t="s">
        <v>401</v>
      </c>
      <c r="C735" s="29">
        <v>61305</v>
      </c>
      <c r="D735" s="16">
        <v>46013</v>
      </c>
      <c r="E735" s="15" t="s">
        <v>2</v>
      </c>
      <c r="F735" s="29">
        <v>0</v>
      </c>
      <c r="G735" s="29">
        <v>0</v>
      </c>
      <c r="H735" s="29">
        <v>64584.82</v>
      </c>
      <c r="I735" s="15">
        <v>45</v>
      </c>
      <c r="J735" s="15">
        <v>88</v>
      </c>
      <c r="K735" s="30">
        <v>64000</v>
      </c>
      <c r="L735" s="17">
        <v>46058</v>
      </c>
      <c r="M735" s="18">
        <v>64524.82</v>
      </c>
      <c r="N735" s="16">
        <v>46064</v>
      </c>
      <c r="O735" s="19"/>
      <c r="P735" s="20">
        <v>3276.77</v>
      </c>
      <c r="Q735" s="29">
        <v>61248.05</v>
      </c>
      <c r="R735" s="9" t="s">
        <v>180</v>
      </c>
    </row>
    <row r="736" spans="1:19" ht="12" customHeight="1" x14ac:dyDescent="0.25">
      <c r="A736" s="14"/>
      <c r="B736" s="15" t="s">
        <v>402</v>
      </c>
      <c r="C736" s="29">
        <v>0</v>
      </c>
      <c r="D736" s="16">
        <v>46013</v>
      </c>
      <c r="E736" s="15" t="s">
        <v>2</v>
      </c>
      <c r="F736" s="29">
        <v>0</v>
      </c>
      <c r="G736" s="29">
        <v>0</v>
      </c>
      <c r="H736" s="29">
        <v>2285</v>
      </c>
      <c r="I736" s="15">
        <v>0</v>
      </c>
      <c r="J736" s="15">
        <v>90</v>
      </c>
      <c r="K736" s="30">
        <v>100000</v>
      </c>
      <c r="L736" s="17">
        <v>46013</v>
      </c>
      <c r="M736" s="18">
        <v>2285</v>
      </c>
      <c r="N736" s="16">
        <v>46020</v>
      </c>
      <c r="O736" s="19"/>
      <c r="P736" s="20">
        <v>2285</v>
      </c>
      <c r="Q736" s="29">
        <v>0</v>
      </c>
      <c r="R736" s="9" t="s">
        <v>180</v>
      </c>
    </row>
    <row r="737" spans="1:19" ht="12" customHeight="1" x14ac:dyDescent="0.25">
      <c r="A737" s="14"/>
      <c r="B737" s="15" t="s">
        <v>403</v>
      </c>
      <c r="C737" s="29">
        <v>159350</v>
      </c>
      <c r="D737" s="16">
        <v>46013</v>
      </c>
      <c r="E737" s="15" t="s">
        <v>2</v>
      </c>
      <c r="F737" s="29">
        <v>0</v>
      </c>
      <c r="G737" s="29">
        <v>0</v>
      </c>
      <c r="H737" s="29">
        <v>164830.63</v>
      </c>
      <c r="I737" s="15">
        <v>30</v>
      </c>
      <c r="J737" s="15">
        <v>112</v>
      </c>
      <c r="K737" s="30">
        <v>290000</v>
      </c>
      <c r="L737" s="17">
        <v>46043</v>
      </c>
      <c r="M737" s="18">
        <v>164831</v>
      </c>
      <c r="N737" s="16">
        <v>46047</v>
      </c>
      <c r="O737" s="19"/>
      <c r="P737" s="20">
        <v>5480.64</v>
      </c>
      <c r="Q737" s="29">
        <v>159350.35999999999</v>
      </c>
      <c r="R737" s="9" t="s">
        <v>180</v>
      </c>
    </row>
    <row r="738" spans="1:19" ht="12" customHeight="1" x14ac:dyDescent="0.25">
      <c r="A738" s="14"/>
      <c r="B738" s="15" t="s">
        <v>404</v>
      </c>
      <c r="C738" s="29">
        <v>22080</v>
      </c>
      <c r="D738" s="16">
        <v>46013</v>
      </c>
      <c r="E738" s="15" t="s">
        <v>2</v>
      </c>
      <c r="F738" s="29">
        <v>0</v>
      </c>
      <c r="G738" s="29">
        <v>0</v>
      </c>
      <c r="H738" s="29">
        <v>22841.759999999998</v>
      </c>
      <c r="I738" s="15">
        <v>30</v>
      </c>
      <c r="J738" s="15">
        <v>164</v>
      </c>
      <c r="K738" s="30">
        <v>200000</v>
      </c>
      <c r="L738" s="17">
        <v>46043</v>
      </c>
      <c r="M738" s="18">
        <v>22841.759999999998</v>
      </c>
      <c r="N738" s="16">
        <v>46048</v>
      </c>
      <c r="O738" s="19"/>
      <c r="P738" s="20">
        <v>761.76</v>
      </c>
      <c r="Q738" s="29">
        <v>22080</v>
      </c>
      <c r="R738" s="9" t="s">
        <v>180</v>
      </c>
    </row>
    <row r="739" spans="1:19" ht="12" customHeight="1" x14ac:dyDescent="0.25">
      <c r="A739" s="14"/>
      <c r="B739" s="15" t="s">
        <v>405</v>
      </c>
      <c r="C739" s="29">
        <v>126800</v>
      </c>
      <c r="D739" s="16">
        <v>46013</v>
      </c>
      <c r="E739" s="15" t="s">
        <v>2</v>
      </c>
      <c r="F739" s="29">
        <v>0</v>
      </c>
      <c r="G739" s="29">
        <v>0</v>
      </c>
      <c r="H739" s="29">
        <v>139923.79999999999</v>
      </c>
      <c r="I739" s="15">
        <v>90</v>
      </c>
      <c r="J739" s="15">
        <v>219</v>
      </c>
      <c r="K739" s="30">
        <v>140000</v>
      </c>
      <c r="L739" s="17">
        <v>46103</v>
      </c>
      <c r="M739" s="18">
        <v>139924</v>
      </c>
      <c r="N739" s="16">
        <v>46106</v>
      </c>
      <c r="O739" s="19"/>
      <c r="P739" s="20">
        <v>13123.82</v>
      </c>
      <c r="Q739" s="29">
        <v>126800.18</v>
      </c>
      <c r="R739" s="9" t="s">
        <v>180</v>
      </c>
    </row>
    <row r="740" spans="1:19" ht="12" customHeight="1" x14ac:dyDescent="0.25">
      <c r="A740" s="14"/>
      <c r="B740" s="15" t="s">
        <v>406</v>
      </c>
      <c r="C740" s="29">
        <v>167200</v>
      </c>
      <c r="D740" s="16">
        <v>46014</v>
      </c>
      <c r="E740" s="15" t="s">
        <v>2</v>
      </c>
      <c r="F740" s="29">
        <v>0</v>
      </c>
      <c r="G740" s="29">
        <v>0</v>
      </c>
      <c r="H740" s="29">
        <v>169119.99</v>
      </c>
      <c r="I740" s="15">
        <v>4</v>
      </c>
      <c r="J740" s="15">
        <v>3</v>
      </c>
      <c r="K740" s="30">
        <v>1000000</v>
      </c>
      <c r="L740" s="17">
        <v>46019</v>
      </c>
      <c r="M740" s="18">
        <v>169120</v>
      </c>
      <c r="N740" s="16">
        <v>46021</v>
      </c>
      <c r="O740" s="19"/>
      <c r="P740" s="20">
        <v>1919.99</v>
      </c>
      <c r="Q740" s="29">
        <v>167200.01</v>
      </c>
      <c r="R740" s="9" t="s">
        <v>180</v>
      </c>
    </row>
    <row r="741" spans="1:19" ht="12" customHeight="1" x14ac:dyDescent="0.25">
      <c r="A741" s="14"/>
      <c r="B741" s="15" t="s">
        <v>407</v>
      </c>
      <c r="C741" s="29">
        <v>245000</v>
      </c>
      <c r="D741" s="16">
        <v>46014</v>
      </c>
      <c r="E741" s="15" t="s">
        <v>2</v>
      </c>
      <c r="F741" s="29">
        <v>0</v>
      </c>
      <c r="G741" s="29">
        <v>0</v>
      </c>
      <c r="H741" s="29">
        <v>253452.5</v>
      </c>
      <c r="I741" s="15">
        <v>30</v>
      </c>
      <c r="J741" s="15">
        <v>17</v>
      </c>
      <c r="K741" s="30">
        <v>2400000</v>
      </c>
      <c r="L741" s="17">
        <v>46044</v>
      </c>
      <c r="M741" s="18">
        <v>253452</v>
      </c>
      <c r="N741" s="16">
        <v>46047</v>
      </c>
      <c r="O741" s="19"/>
      <c r="P741" s="20">
        <v>8452.48</v>
      </c>
      <c r="Q741" s="29">
        <v>244999.52</v>
      </c>
      <c r="R741" s="9" t="s">
        <v>180</v>
      </c>
    </row>
    <row r="742" spans="1:19" ht="12" customHeight="1" x14ac:dyDescent="0.25">
      <c r="A742" s="14"/>
      <c r="B742" s="15" t="s">
        <v>408</v>
      </c>
      <c r="C742" s="29">
        <v>91039</v>
      </c>
      <c r="D742" s="16">
        <v>46014</v>
      </c>
      <c r="E742" s="15" t="s">
        <v>4</v>
      </c>
      <c r="F742" s="29">
        <v>89170.85</v>
      </c>
      <c r="G742" s="29">
        <v>89170.85</v>
      </c>
      <c r="H742" s="29">
        <v>94179.85</v>
      </c>
      <c r="I742" s="15">
        <v>30</v>
      </c>
      <c r="J742" s="15">
        <v>43</v>
      </c>
      <c r="K742" s="30">
        <v>89000</v>
      </c>
      <c r="L742" s="17">
        <v>46044</v>
      </c>
      <c r="M742" s="18">
        <v>5009</v>
      </c>
      <c r="N742" s="16">
        <v>46054</v>
      </c>
      <c r="O742" s="19">
        <v>98</v>
      </c>
      <c r="P742" s="20">
        <v>167.05</v>
      </c>
      <c r="Q742" s="29">
        <v>4841.95</v>
      </c>
      <c r="R742" s="9" t="s">
        <v>180</v>
      </c>
      <c r="S742" s="10" t="s">
        <v>795</v>
      </c>
    </row>
    <row r="743" spans="1:19" ht="12" customHeight="1" x14ac:dyDescent="0.25">
      <c r="A743" s="14"/>
      <c r="B743" s="15" t="s">
        <v>409</v>
      </c>
      <c r="C743" s="29">
        <v>83000</v>
      </c>
      <c r="D743" s="16">
        <v>46014</v>
      </c>
      <c r="E743" s="15" t="s">
        <v>2</v>
      </c>
      <c r="F743" s="29">
        <v>0</v>
      </c>
      <c r="G743" s="29">
        <v>0</v>
      </c>
      <c r="H743" s="29">
        <v>91591.82</v>
      </c>
      <c r="I743" s="15">
        <v>90</v>
      </c>
      <c r="J743" s="15">
        <v>79</v>
      </c>
      <c r="K743" s="30">
        <v>92000</v>
      </c>
      <c r="L743" s="17">
        <v>46104</v>
      </c>
      <c r="M743" s="18">
        <v>91581.86</v>
      </c>
      <c r="N743" s="16">
        <v>46096</v>
      </c>
      <c r="O743" s="19"/>
      <c r="P743" s="20">
        <v>8590.8799999999992</v>
      </c>
      <c r="Q743" s="29">
        <v>82990.98</v>
      </c>
      <c r="R743" s="9" t="s">
        <v>180</v>
      </c>
    </row>
    <row r="744" spans="1:19" ht="12" customHeight="1" x14ac:dyDescent="0.25">
      <c r="A744" s="14"/>
      <c r="B744" s="15" t="s">
        <v>410</v>
      </c>
      <c r="C744" s="29">
        <v>5962</v>
      </c>
      <c r="D744" s="16">
        <v>46014</v>
      </c>
      <c r="E744" s="15" t="s">
        <v>2</v>
      </c>
      <c r="F744" s="29">
        <v>0</v>
      </c>
      <c r="G744" s="29">
        <v>0</v>
      </c>
      <c r="H744" s="29">
        <v>6372.43</v>
      </c>
      <c r="I744" s="15">
        <v>60</v>
      </c>
      <c r="J744" s="15">
        <v>91</v>
      </c>
      <c r="K744" s="30">
        <v>61000</v>
      </c>
      <c r="L744" s="17">
        <v>46075</v>
      </c>
      <c r="M744" s="18">
        <v>6373</v>
      </c>
      <c r="N744" s="16">
        <v>46079</v>
      </c>
      <c r="O744" s="19"/>
      <c r="P744" s="20">
        <v>410.46</v>
      </c>
      <c r="Q744" s="29">
        <v>5962.54</v>
      </c>
      <c r="R744" s="9" t="s">
        <v>180</v>
      </c>
    </row>
    <row r="745" spans="1:19" ht="12" customHeight="1" x14ac:dyDescent="0.25">
      <c r="A745" s="14"/>
      <c r="B745" s="15" t="s">
        <v>411</v>
      </c>
      <c r="C745" s="29">
        <v>28000</v>
      </c>
      <c r="D745" s="16">
        <v>46014</v>
      </c>
      <c r="E745" s="15" t="s">
        <v>2</v>
      </c>
      <c r="F745" s="29">
        <v>0</v>
      </c>
      <c r="G745" s="29">
        <v>0</v>
      </c>
      <c r="H745" s="29">
        <v>28966</v>
      </c>
      <c r="I745" s="15">
        <v>30</v>
      </c>
      <c r="J745" s="15">
        <v>139</v>
      </c>
      <c r="K745" s="30">
        <v>322000</v>
      </c>
      <c r="L745" s="17">
        <v>46044</v>
      </c>
      <c r="M745" s="18">
        <v>28966</v>
      </c>
      <c r="N745" s="16">
        <v>46042</v>
      </c>
      <c r="O745" s="19"/>
      <c r="P745" s="20">
        <v>966</v>
      </c>
      <c r="Q745" s="29">
        <v>28000</v>
      </c>
      <c r="R745" s="9" t="s">
        <v>180</v>
      </c>
    </row>
    <row r="746" spans="1:19" ht="12" customHeight="1" x14ac:dyDescent="0.25">
      <c r="A746" s="14"/>
      <c r="B746" s="15" t="s">
        <v>412</v>
      </c>
      <c r="C746" s="29">
        <v>6486</v>
      </c>
      <c r="D746" s="16">
        <v>46014</v>
      </c>
      <c r="E746" s="15" t="s">
        <v>2</v>
      </c>
      <c r="F746" s="29">
        <v>0</v>
      </c>
      <c r="G746" s="29">
        <v>0</v>
      </c>
      <c r="H746" s="29">
        <v>6709.77</v>
      </c>
      <c r="I746" s="15">
        <v>30</v>
      </c>
      <c r="J746" s="15">
        <v>236</v>
      </c>
      <c r="K746" s="30">
        <v>43478</v>
      </c>
      <c r="L746" s="17">
        <v>46044</v>
      </c>
      <c r="M746" s="18">
        <v>6710</v>
      </c>
      <c r="N746" s="16">
        <v>46029</v>
      </c>
      <c r="O746" s="19"/>
      <c r="P746" s="20">
        <v>223.78</v>
      </c>
      <c r="Q746" s="29">
        <v>6486.22</v>
      </c>
      <c r="R746" s="9" t="s">
        <v>180</v>
      </c>
    </row>
    <row r="747" spans="1:19" ht="12" customHeight="1" x14ac:dyDescent="0.25">
      <c r="A747" s="14"/>
      <c r="B747" s="15" t="s">
        <v>413</v>
      </c>
      <c r="C747" s="29">
        <v>90620</v>
      </c>
      <c r="D747" s="16">
        <v>46014</v>
      </c>
      <c r="E747" s="15" t="s">
        <v>2</v>
      </c>
      <c r="F747" s="29">
        <v>0</v>
      </c>
      <c r="G747" s="29">
        <v>0</v>
      </c>
      <c r="H747" s="29">
        <v>99999.17</v>
      </c>
      <c r="I747" s="15">
        <v>90</v>
      </c>
      <c r="J747" s="15">
        <v>218</v>
      </c>
      <c r="K747" s="30">
        <v>100000</v>
      </c>
      <c r="L747" s="17">
        <v>46104</v>
      </c>
      <c r="M747" s="18">
        <v>100000</v>
      </c>
      <c r="N747" s="16">
        <v>46110</v>
      </c>
      <c r="O747" s="19"/>
      <c r="P747" s="20">
        <v>9379.25</v>
      </c>
      <c r="Q747" s="29">
        <v>90620.75</v>
      </c>
      <c r="R747" s="9" t="s">
        <v>180</v>
      </c>
    </row>
    <row r="748" spans="1:19" ht="12" customHeight="1" x14ac:dyDescent="0.25">
      <c r="A748" s="14"/>
      <c r="B748" s="15" t="s">
        <v>414</v>
      </c>
      <c r="C748" s="29">
        <v>40135</v>
      </c>
      <c r="D748" s="16">
        <v>46014</v>
      </c>
      <c r="E748" s="15" t="s">
        <v>3</v>
      </c>
      <c r="F748" s="29">
        <v>44288.94</v>
      </c>
      <c r="G748" s="29">
        <v>0</v>
      </c>
      <c r="H748" s="29">
        <v>44288.94</v>
      </c>
      <c r="I748" s="15">
        <v>90</v>
      </c>
      <c r="J748" s="15">
        <v>216</v>
      </c>
      <c r="K748" s="30">
        <v>87000</v>
      </c>
      <c r="L748" s="17">
        <v>46105</v>
      </c>
      <c r="M748" s="18">
        <v>0</v>
      </c>
      <c r="N748" s="16"/>
      <c r="O748" s="19">
        <v>98</v>
      </c>
      <c r="P748" s="20">
        <v>0</v>
      </c>
      <c r="Q748" s="29">
        <v>0</v>
      </c>
      <c r="R748" s="9" t="s">
        <v>180</v>
      </c>
    </row>
    <row r="749" spans="1:19" ht="12" customHeight="1" x14ac:dyDescent="0.25">
      <c r="A749" s="14"/>
      <c r="B749" s="15">
        <v>1210</v>
      </c>
      <c r="C749" s="29">
        <v>39680.75</v>
      </c>
      <c r="D749" s="16">
        <v>46014</v>
      </c>
      <c r="E749" s="15" t="s">
        <v>4</v>
      </c>
      <c r="F749" s="29">
        <v>43787.75</v>
      </c>
      <c r="G749" s="29">
        <v>43787.75</v>
      </c>
      <c r="H749" s="29">
        <v>43787.75</v>
      </c>
      <c r="I749" s="15">
        <v>90</v>
      </c>
      <c r="J749" s="15">
        <v>195</v>
      </c>
      <c r="K749" s="30">
        <v>44000</v>
      </c>
      <c r="L749" s="17">
        <v>46090</v>
      </c>
      <c r="M749" s="18">
        <v>0</v>
      </c>
      <c r="N749" s="16"/>
      <c r="O749" s="19">
        <v>98</v>
      </c>
      <c r="P749" s="20">
        <v>0</v>
      </c>
      <c r="Q749" s="29">
        <v>0</v>
      </c>
      <c r="R749" s="9" t="s">
        <v>180</v>
      </c>
    </row>
    <row r="750" spans="1:19" ht="12" customHeight="1" x14ac:dyDescent="0.25">
      <c r="A750" s="14"/>
      <c r="B750" s="15" t="s">
        <v>415</v>
      </c>
      <c r="C750" s="29">
        <v>160000</v>
      </c>
      <c r="D750" s="16">
        <v>46015</v>
      </c>
      <c r="E750" s="15" t="s">
        <v>2</v>
      </c>
      <c r="F750" s="29">
        <v>0</v>
      </c>
      <c r="G750" s="29">
        <v>0</v>
      </c>
      <c r="H750" s="29">
        <v>171039.96</v>
      </c>
      <c r="I750" s="15">
        <v>60</v>
      </c>
      <c r="J750" s="15">
        <v>6</v>
      </c>
      <c r="K750" s="30">
        <v>810000</v>
      </c>
      <c r="L750" s="17">
        <v>46075</v>
      </c>
      <c r="M750" s="18">
        <v>171040.33</v>
      </c>
      <c r="N750" s="16">
        <v>46086</v>
      </c>
      <c r="O750" s="19"/>
      <c r="P750" s="20">
        <v>11039.99</v>
      </c>
      <c r="Q750" s="29">
        <v>160000.34</v>
      </c>
      <c r="R750" s="9" t="s">
        <v>180</v>
      </c>
    </row>
    <row r="751" spans="1:19" ht="12" customHeight="1" x14ac:dyDescent="0.25">
      <c r="A751" s="14"/>
      <c r="B751" s="15" t="s">
        <v>416</v>
      </c>
      <c r="C751" s="29">
        <v>46891</v>
      </c>
      <c r="D751" s="16">
        <v>46015</v>
      </c>
      <c r="E751" s="15" t="s">
        <v>2</v>
      </c>
      <c r="F751" s="29">
        <v>0</v>
      </c>
      <c r="G751" s="29">
        <v>0</v>
      </c>
      <c r="H751" s="29">
        <v>48489.31</v>
      </c>
      <c r="I751" s="15">
        <v>30</v>
      </c>
      <c r="J751" s="15">
        <v>22</v>
      </c>
      <c r="K751" s="30">
        <v>200000</v>
      </c>
      <c r="L751" s="17">
        <v>46047</v>
      </c>
      <c r="M751" s="18">
        <v>48489</v>
      </c>
      <c r="N751" s="16">
        <v>46047</v>
      </c>
      <c r="O751" s="19"/>
      <c r="P751" s="20">
        <v>1598.3</v>
      </c>
      <c r="Q751" s="29">
        <v>46890.7</v>
      </c>
      <c r="R751" s="9" t="s">
        <v>180</v>
      </c>
    </row>
    <row r="752" spans="1:19" ht="12" customHeight="1" x14ac:dyDescent="0.25">
      <c r="A752" s="14"/>
      <c r="B752" s="15" t="s">
        <v>417</v>
      </c>
      <c r="C752" s="29">
        <v>0</v>
      </c>
      <c r="D752" s="16">
        <v>46015</v>
      </c>
      <c r="E752" s="15" t="s">
        <v>2</v>
      </c>
      <c r="F752" s="29">
        <v>0</v>
      </c>
      <c r="G752" s="29">
        <v>0</v>
      </c>
      <c r="H752" s="29">
        <v>986</v>
      </c>
      <c r="I752" s="15">
        <v>0</v>
      </c>
      <c r="J752" s="15">
        <v>59</v>
      </c>
      <c r="K752" s="30">
        <v>49000</v>
      </c>
      <c r="L752" s="17">
        <v>46015</v>
      </c>
      <c r="M752" s="18">
        <v>980</v>
      </c>
      <c r="N752" s="16">
        <v>46026</v>
      </c>
      <c r="O752" s="19"/>
      <c r="P752" s="20">
        <v>980</v>
      </c>
      <c r="Q752" s="29">
        <v>0</v>
      </c>
      <c r="R752" s="9" t="s">
        <v>180</v>
      </c>
    </row>
    <row r="753" spans="1:19" ht="12" customHeight="1" x14ac:dyDescent="0.25">
      <c r="A753" s="14"/>
      <c r="B753" s="15" t="s">
        <v>418</v>
      </c>
      <c r="C753" s="29">
        <v>38000</v>
      </c>
      <c r="D753" s="16">
        <v>46015</v>
      </c>
      <c r="E753" s="15" t="s">
        <v>2</v>
      </c>
      <c r="F753" s="29">
        <v>0</v>
      </c>
      <c r="G753" s="29">
        <v>0</v>
      </c>
      <c r="H753" s="29">
        <v>39312.550000000003</v>
      </c>
      <c r="I753" s="15">
        <v>30</v>
      </c>
      <c r="J753" s="15">
        <v>114</v>
      </c>
      <c r="K753" s="30">
        <v>38000</v>
      </c>
      <c r="L753" s="17">
        <v>46047</v>
      </c>
      <c r="M753" s="18">
        <v>39312</v>
      </c>
      <c r="N753" s="16">
        <v>46064</v>
      </c>
      <c r="O753" s="19"/>
      <c r="P753" s="20">
        <v>1312.53</v>
      </c>
      <c r="Q753" s="29">
        <v>37999.47</v>
      </c>
      <c r="R753" s="9" t="s">
        <v>180</v>
      </c>
    </row>
    <row r="754" spans="1:19" ht="12" customHeight="1" x14ac:dyDescent="0.25">
      <c r="A754" s="14"/>
      <c r="B754" s="15" t="s">
        <v>419</v>
      </c>
      <c r="C754" s="29">
        <v>89660</v>
      </c>
      <c r="D754" s="16">
        <v>46015</v>
      </c>
      <c r="E754" s="15" t="s">
        <v>3</v>
      </c>
      <c r="F754" s="29">
        <v>98939.8</v>
      </c>
      <c r="G754" s="29">
        <v>0</v>
      </c>
      <c r="H754" s="29">
        <v>98939.8</v>
      </c>
      <c r="I754" s="15">
        <v>90</v>
      </c>
      <c r="J754" s="15">
        <v>217</v>
      </c>
      <c r="K754" s="30">
        <v>100000</v>
      </c>
      <c r="L754" s="17">
        <v>46105</v>
      </c>
      <c r="M754" s="18">
        <v>0</v>
      </c>
      <c r="N754" s="16"/>
      <c r="O754" s="19">
        <v>97</v>
      </c>
      <c r="P754" s="20">
        <v>0</v>
      </c>
      <c r="Q754" s="29">
        <v>0</v>
      </c>
      <c r="R754" s="9" t="s">
        <v>180</v>
      </c>
    </row>
    <row r="755" spans="1:19" ht="12" customHeight="1" x14ac:dyDescent="0.25">
      <c r="A755" s="14"/>
      <c r="B755" s="15" t="s">
        <v>420</v>
      </c>
      <c r="C755" s="29">
        <v>167200</v>
      </c>
      <c r="D755" s="16">
        <v>46016</v>
      </c>
      <c r="E755" s="15" t="s">
        <v>2</v>
      </c>
      <c r="F755" s="29">
        <v>0</v>
      </c>
      <c r="G755" s="29">
        <v>0</v>
      </c>
      <c r="H755" s="29">
        <v>169120.01</v>
      </c>
      <c r="I755" s="15">
        <v>4</v>
      </c>
      <c r="J755" s="15">
        <v>3</v>
      </c>
      <c r="K755" s="30">
        <v>1000000</v>
      </c>
      <c r="L755" s="17">
        <v>46023</v>
      </c>
      <c r="M755" s="18">
        <v>169120</v>
      </c>
      <c r="N755" s="16">
        <v>46026</v>
      </c>
      <c r="O755" s="19"/>
      <c r="P755" s="20">
        <v>1920.01</v>
      </c>
      <c r="Q755" s="29">
        <v>167199.99</v>
      </c>
      <c r="R755" s="9" t="s">
        <v>180</v>
      </c>
    </row>
    <row r="756" spans="1:19" ht="12" customHeight="1" x14ac:dyDescent="0.25">
      <c r="A756" s="14"/>
      <c r="B756" s="15" t="s">
        <v>421</v>
      </c>
      <c r="C756" s="29">
        <v>200000</v>
      </c>
      <c r="D756" s="16">
        <v>46016</v>
      </c>
      <c r="E756" s="15" t="s">
        <v>2</v>
      </c>
      <c r="F756" s="29">
        <v>0</v>
      </c>
      <c r="G756" s="29">
        <v>0</v>
      </c>
      <c r="H756" s="29">
        <v>206900</v>
      </c>
      <c r="I756" s="15">
        <v>30</v>
      </c>
      <c r="J756" s="15">
        <v>17</v>
      </c>
      <c r="K756" s="30">
        <v>2400000</v>
      </c>
      <c r="L756" s="17">
        <v>46047</v>
      </c>
      <c r="M756" s="18">
        <v>206900</v>
      </c>
      <c r="N756" s="16">
        <v>46048</v>
      </c>
      <c r="O756" s="19"/>
      <c r="P756" s="20">
        <v>6900</v>
      </c>
      <c r="Q756" s="29">
        <v>200000</v>
      </c>
      <c r="R756" s="9" t="s">
        <v>180</v>
      </c>
    </row>
    <row r="757" spans="1:19" ht="12" customHeight="1" x14ac:dyDescent="0.25">
      <c r="A757" s="14"/>
      <c r="B757" s="15" t="s">
        <v>422</v>
      </c>
      <c r="C757" s="29">
        <v>10832</v>
      </c>
      <c r="D757" s="16">
        <v>46016</v>
      </c>
      <c r="E757" s="15" t="s">
        <v>2</v>
      </c>
      <c r="F757" s="29">
        <v>0</v>
      </c>
      <c r="G757" s="29">
        <v>0</v>
      </c>
      <c r="H757" s="29">
        <v>11205.97</v>
      </c>
      <c r="I757" s="15">
        <v>30</v>
      </c>
      <c r="J757" s="15">
        <v>46</v>
      </c>
      <c r="K757" s="30">
        <v>30000</v>
      </c>
      <c r="L757" s="17">
        <v>46047</v>
      </c>
      <c r="M757" s="18">
        <v>11207</v>
      </c>
      <c r="N757" s="16">
        <v>46050</v>
      </c>
      <c r="O757" s="19"/>
      <c r="P757" s="20">
        <v>374</v>
      </c>
      <c r="Q757" s="29">
        <v>10833</v>
      </c>
      <c r="R757" s="9" t="s">
        <v>180</v>
      </c>
    </row>
    <row r="758" spans="1:19" ht="12" customHeight="1" x14ac:dyDescent="0.25">
      <c r="A758" s="14"/>
      <c r="B758" s="15" t="s">
        <v>423</v>
      </c>
      <c r="C758" s="29">
        <v>151948</v>
      </c>
      <c r="D758" s="16">
        <v>46016</v>
      </c>
      <c r="E758" s="15" t="s">
        <v>4</v>
      </c>
      <c r="F758" s="29">
        <v>107190.15</v>
      </c>
      <c r="G758" s="29">
        <v>107190.15</v>
      </c>
      <c r="H758" s="29">
        <v>157190.15</v>
      </c>
      <c r="I758" s="15">
        <v>30</v>
      </c>
      <c r="J758" s="15">
        <v>62</v>
      </c>
      <c r="K758" s="30">
        <v>360000</v>
      </c>
      <c r="L758" s="17">
        <v>46047</v>
      </c>
      <c r="M758" s="18">
        <v>50000</v>
      </c>
      <c r="N758" s="16">
        <v>46049</v>
      </c>
      <c r="O758" s="19">
        <v>96</v>
      </c>
      <c r="P758" s="20">
        <v>1667.46</v>
      </c>
      <c r="Q758" s="29">
        <v>48332.54</v>
      </c>
      <c r="R758" s="9" t="s">
        <v>180</v>
      </c>
      <c r="S758" s="10" t="s">
        <v>985</v>
      </c>
    </row>
    <row r="759" spans="1:19" ht="12" customHeight="1" x14ac:dyDescent="0.25">
      <c r="A759" s="14"/>
      <c r="B759" s="15" t="s">
        <v>424</v>
      </c>
      <c r="C759" s="29">
        <v>100000</v>
      </c>
      <c r="D759" s="16">
        <v>46016</v>
      </c>
      <c r="E759" s="15" t="s">
        <v>2</v>
      </c>
      <c r="F759" s="29">
        <v>0</v>
      </c>
      <c r="G759" s="29">
        <v>0</v>
      </c>
      <c r="H759" s="29">
        <v>110350</v>
      </c>
      <c r="I759" s="15">
        <v>90</v>
      </c>
      <c r="J759" s="15">
        <v>80</v>
      </c>
      <c r="K759" s="30">
        <v>100000</v>
      </c>
      <c r="L759" s="17">
        <v>46106</v>
      </c>
      <c r="M759" s="18">
        <v>110350</v>
      </c>
      <c r="N759" s="16">
        <v>46110</v>
      </c>
      <c r="O759" s="19"/>
      <c r="P759" s="20">
        <v>10350</v>
      </c>
      <c r="Q759" s="29">
        <v>100000</v>
      </c>
      <c r="R759" s="9" t="s">
        <v>180</v>
      </c>
    </row>
    <row r="760" spans="1:19" ht="12" customHeight="1" x14ac:dyDescent="0.25">
      <c r="A760" s="14"/>
      <c r="B760" s="15" t="s">
        <v>425</v>
      </c>
      <c r="C760" s="29">
        <v>0</v>
      </c>
      <c r="D760" s="16">
        <v>46016</v>
      </c>
      <c r="E760" s="15" t="s">
        <v>2</v>
      </c>
      <c r="F760" s="29">
        <v>0</v>
      </c>
      <c r="G760" s="29">
        <v>0</v>
      </c>
      <c r="H760" s="29">
        <v>1181</v>
      </c>
      <c r="I760" s="15">
        <v>0</v>
      </c>
      <c r="J760" s="15">
        <v>163</v>
      </c>
      <c r="K760" s="30">
        <v>100000</v>
      </c>
      <c r="L760" s="17">
        <v>46016</v>
      </c>
      <c r="M760" s="18">
        <v>1181</v>
      </c>
      <c r="N760" s="16">
        <v>46065</v>
      </c>
      <c r="O760" s="19"/>
      <c r="P760" s="20">
        <v>1181</v>
      </c>
      <c r="Q760" s="29">
        <v>0</v>
      </c>
      <c r="R760" s="9" t="s">
        <v>180</v>
      </c>
    </row>
    <row r="761" spans="1:19" ht="12" customHeight="1" x14ac:dyDescent="0.25">
      <c r="A761" s="14"/>
      <c r="B761" s="15" t="s">
        <v>426</v>
      </c>
      <c r="C761" s="29">
        <v>421660</v>
      </c>
      <c r="D761" s="16">
        <v>46016</v>
      </c>
      <c r="E761" s="15" t="s">
        <v>2</v>
      </c>
      <c r="F761" s="29">
        <v>0</v>
      </c>
      <c r="G761" s="29">
        <v>0</v>
      </c>
      <c r="H761" s="29">
        <v>430093.2</v>
      </c>
      <c r="I761" s="15">
        <v>15</v>
      </c>
      <c r="J761" s="15">
        <v>179</v>
      </c>
      <c r="K761" s="30">
        <v>410000</v>
      </c>
      <c r="L761" s="17">
        <v>46033</v>
      </c>
      <c r="M761" s="18">
        <v>430108</v>
      </c>
      <c r="N761" s="16">
        <v>46037</v>
      </c>
      <c r="O761" s="19"/>
      <c r="P761" s="20">
        <v>8433.49</v>
      </c>
      <c r="Q761" s="29">
        <v>421674.51</v>
      </c>
      <c r="R761" s="9" t="s">
        <v>180</v>
      </c>
    </row>
    <row r="762" spans="1:19" ht="12" customHeight="1" x14ac:dyDescent="0.25">
      <c r="A762" s="14"/>
      <c r="B762" s="15" t="s">
        <v>427</v>
      </c>
      <c r="C762" s="29">
        <v>354539</v>
      </c>
      <c r="D762" s="16">
        <v>46016</v>
      </c>
      <c r="E762" s="15" t="s">
        <v>2</v>
      </c>
      <c r="F762" s="29">
        <v>0</v>
      </c>
      <c r="G762" s="29">
        <v>0</v>
      </c>
      <c r="H762" s="29">
        <v>366770.59</v>
      </c>
      <c r="I762" s="15">
        <v>30</v>
      </c>
      <c r="J762" s="15">
        <v>172</v>
      </c>
      <c r="K762" s="30">
        <v>2000000</v>
      </c>
      <c r="L762" s="17">
        <v>46047</v>
      </c>
      <c r="M762" s="18">
        <v>366770</v>
      </c>
      <c r="N762" s="16">
        <v>46047</v>
      </c>
      <c r="O762" s="19"/>
      <c r="P762" s="20">
        <v>12231.57</v>
      </c>
      <c r="Q762" s="29">
        <v>354538.43</v>
      </c>
      <c r="R762" s="9" t="s">
        <v>180</v>
      </c>
    </row>
    <row r="763" spans="1:19" ht="12" customHeight="1" x14ac:dyDescent="0.25">
      <c r="A763" s="14"/>
      <c r="B763" s="15" t="s">
        <v>428</v>
      </c>
      <c r="C763" s="29">
        <v>98007</v>
      </c>
      <c r="D763" s="16">
        <v>46016</v>
      </c>
      <c r="E763" s="15" t="s">
        <v>2</v>
      </c>
      <c r="F763" s="29">
        <v>0</v>
      </c>
      <c r="G763" s="29">
        <v>0</v>
      </c>
      <c r="H763" s="29">
        <v>99951</v>
      </c>
      <c r="I763" s="15">
        <v>15</v>
      </c>
      <c r="J763" s="15">
        <v>200</v>
      </c>
      <c r="K763" s="30">
        <v>100000</v>
      </c>
      <c r="L763" s="17">
        <v>46033</v>
      </c>
      <c r="M763" s="18">
        <v>99950</v>
      </c>
      <c r="N763" s="16">
        <v>46033</v>
      </c>
      <c r="O763" s="19"/>
      <c r="P763" s="20">
        <v>1943.98</v>
      </c>
      <c r="Q763" s="29">
        <v>98006.02</v>
      </c>
      <c r="R763" s="9" t="s">
        <v>180</v>
      </c>
    </row>
    <row r="764" spans="1:19" ht="12" customHeight="1" x14ac:dyDescent="0.25">
      <c r="A764" s="14"/>
      <c r="B764" s="15" t="s">
        <v>429</v>
      </c>
      <c r="C764" s="29">
        <v>522976</v>
      </c>
      <c r="D764" s="16">
        <v>46019</v>
      </c>
      <c r="E764" s="15" t="s">
        <v>2</v>
      </c>
      <c r="F764" s="29">
        <v>0</v>
      </c>
      <c r="G764" s="29">
        <v>0</v>
      </c>
      <c r="H764" s="29">
        <v>540900</v>
      </c>
      <c r="I764" s="15">
        <v>30</v>
      </c>
      <c r="J764" s="15">
        <v>3</v>
      </c>
      <c r="K764" s="30">
        <v>1000000</v>
      </c>
      <c r="L764" s="17">
        <v>46049</v>
      </c>
      <c r="M764" s="18">
        <v>540900</v>
      </c>
      <c r="N764" s="16">
        <v>46055</v>
      </c>
      <c r="O764" s="19"/>
      <c r="P764" s="20">
        <v>17924</v>
      </c>
      <c r="Q764" s="29">
        <v>522976</v>
      </c>
      <c r="R764" s="9" t="s">
        <v>180</v>
      </c>
    </row>
    <row r="765" spans="1:19" ht="12" customHeight="1" x14ac:dyDescent="0.25">
      <c r="A765" s="14"/>
      <c r="B765" s="15" t="s">
        <v>430</v>
      </c>
      <c r="C765" s="29">
        <v>130000</v>
      </c>
      <c r="D765" s="16">
        <v>46019</v>
      </c>
      <c r="E765" s="15" t="s">
        <v>2</v>
      </c>
      <c r="F765" s="29">
        <v>0</v>
      </c>
      <c r="G765" s="29">
        <v>0</v>
      </c>
      <c r="H765" s="29">
        <v>134485</v>
      </c>
      <c r="I765" s="15">
        <v>30</v>
      </c>
      <c r="J765" s="15">
        <v>17</v>
      </c>
      <c r="K765" s="30">
        <v>2400000</v>
      </c>
      <c r="L765" s="17">
        <v>46049</v>
      </c>
      <c r="M765" s="18">
        <v>134485</v>
      </c>
      <c r="N765" s="16">
        <v>46050</v>
      </c>
      <c r="O765" s="19"/>
      <c r="P765" s="20">
        <v>4485</v>
      </c>
      <c r="Q765" s="29">
        <v>130000</v>
      </c>
      <c r="R765" s="9" t="s">
        <v>180</v>
      </c>
    </row>
    <row r="766" spans="1:19" ht="12" customHeight="1" x14ac:dyDescent="0.25">
      <c r="A766" s="14"/>
      <c r="B766" s="15" t="s">
        <v>431</v>
      </c>
      <c r="C766" s="29">
        <v>170227</v>
      </c>
      <c r="D766" s="16">
        <v>46019</v>
      </c>
      <c r="E766" s="15" t="s">
        <v>2</v>
      </c>
      <c r="F766" s="29">
        <v>0</v>
      </c>
      <c r="G766" s="29">
        <v>0</v>
      </c>
      <c r="H766" s="29">
        <v>176130.03</v>
      </c>
      <c r="I766" s="15">
        <v>30</v>
      </c>
      <c r="J766" s="15">
        <v>12</v>
      </c>
      <c r="K766" s="30">
        <v>1196000</v>
      </c>
      <c r="L766" s="17">
        <v>46049</v>
      </c>
      <c r="M766" s="18">
        <v>176130.24</v>
      </c>
      <c r="N766" s="16">
        <v>46051</v>
      </c>
      <c r="O766" s="19"/>
      <c r="P766" s="20">
        <v>5903.04</v>
      </c>
      <c r="Q766" s="29">
        <v>170227.20000000001</v>
      </c>
      <c r="R766" s="9" t="s">
        <v>180</v>
      </c>
    </row>
    <row r="767" spans="1:19" ht="12" customHeight="1" x14ac:dyDescent="0.25">
      <c r="A767" s="14"/>
      <c r="B767" s="15" t="s">
        <v>432</v>
      </c>
      <c r="C767" s="29">
        <v>481331</v>
      </c>
      <c r="D767" s="16">
        <v>46019</v>
      </c>
      <c r="E767" s="15" t="s">
        <v>4</v>
      </c>
      <c r="F767" s="29">
        <v>457936.9</v>
      </c>
      <c r="G767" s="29">
        <v>457936.9</v>
      </c>
      <c r="H767" s="29">
        <v>497936.9</v>
      </c>
      <c r="I767" s="15">
        <v>30</v>
      </c>
      <c r="J767" s="15">
        <v>69</v>
      </c>
      <c r="K767" s="30">
        <v>500000</v>
      </c>
      <c r="L767" s="17">
        <v>46049</v>
      </c>
      <c r="M767" s="18">
        <v>40000</v>
      </c>
      <c r="N767" s="16">
        <v>46054</v>
      </c>
      <c r="O767" s="19">
        <v>93</v>
      </c>
      <c r="P767" s="20">
        <v>1333.98</v>
      </c>
      <c r="Q767" s="29">
        <v>38666.019999999997</v>
      </c>
      <c r="R767" s="9" t="s">
        <v>180</v>
      </c>
      <c r="S767" s="10" t="s">
        <v>986</v>
      </c>
    </row>
    <row r="768" spans="1:19" ht="12" customHeight="1" x14ac:dyDescent="0.25">
      <c r="A768" s="14"/>
      <c r="B768" s="15" t="s">
        <v>433</v>
      </c>
      <c r="C768" s="29">
        <v>385825</v>
      </c>
      <c r="D768" s="16">
        <v>46019</v>
      </c>
      <c r="E768" s="15" t="s">
        <v>2</v>
      </c>
      <c r="F768" s="29">
        <v>0</v>
      </c>
      <c r="G768" s="29">
        <v>0</v>
      </c>
      <c r="H768" s="29">
        <v>393541.49</v>
      </c>
      <c r="I768" s="15">
        <v>15</v>
      </c>
      <c r="J768" s="15">
        <v>75</v>
      </c>
      <c r="K768" s="30">
        <v>390000</v>
      </c>
      <c r="L768" s="17">
        <v>46034</v>
      </c>
      <c r="M768" s="18">
        <v>393541</v>
      </c>
      <c r="N768" s="16">
        <v>46044</v>
      </c>
      <c r="O768" s="19"/>
      <c r="P768" s="20">
        <v>7716.48</v>
      </c>
      <c r="Q768" s="29">
        <v>385824.52</v>
      </c>
      <c r="R768" s="9" t="s">
        <v>180</v>
      </c>
    </row>
    <row r="769" spans="1:19" ht="12" customHeight="1" x14ac:dyDescent="0.25">
      <c r="A769" s="14"/>
      <c r="B769" s="15" t="s">
        <v>434</v>
      </c>
      <c r="C769" s="29">
        <v>27000</v>
      </c>
      <c r="D769" s="16">
        <v>46019</v>
      </c>
      <c r="E769" s="15" t="s">
        <v>2</v>
      </c>
      <c r="F769" s="29">
        <v>0</v>
      </c>
      <c r="G769" s="29">
        <v>0</v>
      </c>
      <c r="H769" s="29">
        <v>27931.5</v>
      </c>
      <c r="I769" s="15">
        <v>30</v>
      </c>
      <c r="J769" s="15">
        <v>139</v>
      </c>
      <c r="K769" s="30">
        <v>322000</v>
      </c>
      <c r="L769" s="17">
        <v>46049</v>
      </c>
      <c r="M769" s="18">
        <v>27932</v>
      </c>
      <c r="N769" s="16">
        <v>46055</v>
      </c>
      <c r="O769" s="19"/>
      <c r="P769" s="20">
        <v>931.52</v>
      </c>
      <c r="Q769" s="29">
        <v>27000.48</v>
      </c>
      <c r="R769" s="9" t="s">
        <v>180</v>
      </c>
    </row>
    <row r="770" spans="1:19" ht="12" customHeight="1" x14ac:dyDescent="0.25">
      <c r="A770" s="14"/>
      <c r="B770" s="15" t="s">
        <v>435</v>
      </c>
      <c r="C770" s="29">
        <v>60948</v>
      </c>
      <c r="D770" s="16">
        <v>46019</v>
      </c>
      <c r="E770" s="15" t="s">
        <v>2</v>
      </c>
      <c r="F770" s="29">
        <v>0</v>
      </c>
      <c r="G770" s="29">
        <v>0</v>
      </c>
      <c r="H770" s="29">
        <v>67256.12</v>
      </c>
      <c r="I770" s="15">
        <v>90</v>
      </c>
      <c r="J770" s="15">
        <v>222</v>
      </c>
      <c r="K770" s="30">
        <v>69000</v>
      </c>
      <c r="L770" s="17">
        <v>46110</v>
      </c>
      <c r="M770" s="18">
        <v>67256</v>
      </c>
      <c r="N770" s="16">
        <v>46111</v>
      </c>
      <c r="O770" s="19"/>
      <c r="P770" s="20">
        <v>6308.11</v>
      </c>
      <c r="Q770" s="29">
        <v>60947.89</v>
      </c>
      <c r="R770" s="9" t="s">
        <v>180</v>
      </c>
    </row>
    <row r="771" spans="1:19" ht="12" customHeight="1" x14ac:dyDescent="0.25">
      <c r="A771" s="14"/>
      <c r="B771" s="15" t="s">
        <v>436</v>
      </c>
      <c r="C771" s="29">
        <v>90620</v>
      </c>
      <c r="D771" s="16">
        <v>46019</v>
      </c>
      <c r="E771" s="15" t="s">
        <v>3</v>
      </c>
      <c r="F771" s="29">
        <v>99999.17</v>
      </c>
      <c r="G771" s="29">
        <v>0</v>
      </c>
      <c r="H771" s="29">
        <v>99999.17</v>
      </c>
      <c r="I771" s="15">
        <v>90</v>
      </c>
      <c r="J771" s="15">
        <v>223</v>
      </c>
      <c r="K771" s="30">
        <v>100000</v>
      </c>
      <c r="L771" s="17">
        <v>46111</v>
      </c>
      <c r="M771" s="18">
        <v>0</v>
      </c>
      <c r="N771" s="16"/>
      <c r="O771" s="19">
        <v>93</v>
      </c>
      <c r="P771" s="20">
        <v>0</v>
      </c>
      <c r="Q771" s="29">
        <v>0</v>
      </c>
      <c r="R771" s="9" t="s">
        <v>180</v>
      </c>
    </row>
    <row r="772" spans="1:19" ht="12" customHeight="1" x14ac:dyDescent="0.25">
      <c r="A772" s="14"/>
      <c r="B772" s="15" t="s">
        <v>437</v>
      </c>
      <c r="C772" s="29">
        <v>164000</v>
      </c>
      <c r="D772" s="16">
        <v>46020</v>
      </c>
      <c r="E772" s="15" t="s">
        <v>2</v>
      </c>
      <c r="F772" s="29">
        <v>0</v>
      </c>
      <c r="G772" s="29">
        <v>0</v>
      </c>
      <c r="H772" s="29">
        <v>180974</v>
      </c>
      <c r="I772" s="15">
        <v>90</v>
      </c>
      <c r="J772" s="15">
        <v>53</v>
      </c>
      <c r="K772" s="30">
        <v>630000</v>
      </c>
      <c r="L772" s="17">
        <v>46110</v>
      </c>
      <c r="M772" s="18">
        <v>180974</v>
      </c>
      <c r="N772" s="16">
        <v>46114</v>
      </c>
      <c r="O772" s="19"/>
      <c r="P772" s="20">
        <v>16974</v>
      </c>
      <c r="Q772" s="29">
        <v>164000</v>
      </c>
      <c r="R772" s="9" t="s">
        <v>180</v>
      </c>
    </row>
    <row r="773" spans="1:19" ht="12" customHeight="1" x14ac:dyDescent="0.25">
      <c r="A773" s="14"/>
      <c r="B773" s="15" t="s">
        <v>438</v>
      </c>
      <c r="C773" s="29">
        <v>8740</v>
      </c>
      <c r="D773" s="16">
        <v>46020</v>
      </c>
      <c r="E773" s="15" t="s">
        <v>2</v>
      </c>
      <c r="F773" s="29">
        <v>0</v>
      </c>
      <c r="G773" s="29">
        <v>0</v>
      </c>
      <c r="H773" s="29">
        <v>9343.06</v>
      </c>
      <c r="I773" s="15">
        <v>60</v>
      </c>
      <c r="J773" s="15">
        <v>91</v>
      </c>
      <c r="K773" s="30">
        <v>61000</v>
      </c>
      <c r="L773" s="17">
        <v>46082</v>
      </c>
      <c r="M773" s="18">
        <v>9343</v>
      </c>
      <c r="N773" s="16">
        <v>46083</v>
      </c>
      <c r="O773" s="19"/>
      <c r="P773" s="20">
        <v>603.05999999999995</v>
      </c>
      <c r="Q773" s="29">
        <v>8739.94</v>
      </c>
      <c r="R773" s="9" t="s">
        <v>180</v>
      </c>
    </row>
    <row r="774" spans="1:19" ht="12" customHeight="1" x14ac:dyDescent="0.25">
      <c r="A774" s="14"/>
      <c r="B774" s="15" t="s">
        <v>439</v>
      </c>
      <c r="C774" s="29">
        <v>97157</v>
      </c>
      <c r="D774" s="16">
        <v>46020</v>
      </c>
      <c r="E774" s="15" t="s">
        <v>2</v>
      </c>
      <c r="F774" s="29">
        <v>0</v>
      </c>
      <c r="G774" s="29">
        <v>0</v>
      </c>
      <c r="H774" s="29">
        <v>100508.91</v>
      </c>
      <c r="I774" s="15">
        <v>30</v>
      </c>
      <c r="J774" s="15">
        <v>178</v>
      </c>
      <c r="K774" s="30">
        <v>100000</v>
      </c>
      <c r="L774" s="17">
        <v>46050</v>
      </c>
      <c r="M774" s="18">
        <v>100508</v>
      </c>
      <c r="N774" s="16">
        <v>46042</v>
      </c>
      <c r="O774" s="19"/>
      <c r="P774" s="20">
        <v>3351.88</v>
      </c>
      <c r="Q774" s="29">
        <v>97156.12</v>
      </c>
      <c r="R774" s="9" t="s">
        <v>180</v>
      </c>
    </row>
    <row r="775" spans="1:19" ht="12" customHeight="1" x14ac:dyDescent="0.25">
      <c r="A775" s="14"/>
      <c r="B775" s="15" t="s">
        <v>440</v>
      </c>
      <c r="C775" s="29">
        <v>64300</v>
      </c>
      <c r="D775" s="16">
        <v>46020</v>
      </c>
      <c r="E775" s="15" t="s">
        <v>3</v>
      </c>
      <c r="F775" s="29">
        <v>69999.05</v>
      </c>
      <c r="G775" s="29">
        <v>0</v>
      </c>
      <c r="H775" s="29">
        <v>70955.05</v>
      </c>
      <c r="I775" s="15">
        <v>90</v>
      </c>
      <c r="J775" s="15">
        <v>224</v>
      </c>
      <c r="K775" s="30">
        <v>70000</v>
      </c>
      <c r="L775" s="17">
        <v>46110</v>
      </c>
      <c r="M775" s="18">
        <v>956</v>
      </c>
      <c r="N775" s="16">
        <v>46020</v>
      </c>
      <c r="O775" s="19">
        <v>92</v>
      </c>
      <c r="P775" s="20">
        <v>89.67</v>
      </c>
      <c r="Q775" s="29">
        <v>866.33</v>
      </c>
      <c r="R775" s="9" t="s">
        <v>180</v>
      </c>
    </row>
    <row r="776" spans="1:19" ht="12" customHeight="1" x14ac:dyDescent="0.25">
      <c r="A776" s="14"/>
      <c r="B776" s="15" t="s">
        <v>441</v>
      </c>
      <c r="C776" s="29">
        <v>288610</v>
      </c>
      <c r="D776" s="16">
        <v>46020</v>
      </c>
      <c r="E776" s="15" t="s">
        <v>2</v>
      </c>
      <c r="F776" s="29">
        <v>0</v>
      </c>
      <c r="G776" s="29">
        <v>0</v>
      </c>
      <c r="H776" s="29">
        <v>308523.86</v>
      </c>
      <c r="I776" s="15">
        <v>60</v>
      </c>
      <c r="J776" s="15">
        <v>226</v>
      </c>
      <c r="K776" s="30">
        <v>310000</v>
      </c>
      <c r="L776" s="17">
        <v>46082</v>
      </c>
      <c r="M776" s="18">
        <v>308529.75</v>
      </c>
      <c r="N776" s="16">
        <v>46076</v>
      </c>
      <c r="O776" s="19"/>
      <c r="P776" s="20">
        <v>19914.240000000002</v>
      </c>
      <c r="Q776" s="29">
        <v>288615.51</v>
      </c>
      <c r="R776" s="9" t="s">
        <v>180</v>
      </c>
    </row>
    <row r="777" spans="1:19" ht="12" customHeight="1" x14ac:dyDescent="0.25">
      <c r="A777" s="14"/>
      <c r="B777" s="15" t="s">
        <v>442</v>
      </c>
      <c r="C777" s="29">
        <v>46011</v>
      </c>
      <c r="D777" s="16">
        <v>46020</v>
      </c>
      <c r="E777" s="15" t="s">
        <v>3</v>
      </c>
      <c r="F777" s="29">
        <v>50773.14</v>
      </c>
      <c r="G777" s="29">
        <v>0</v>
      </c>
      <c r="H777" s="29">
        <v>50773.14</v>
      </c>
      <c r="I777" s="15">
        <v>90</v>
      </c>
      <c r="J777" s="15">
        <v>229</v>
      </c>
      <c r="K777" s="30">
        <v>51000</v>
      </c>
      <c r="L777" s="17">
        <v>46110</v>
      </c>
      <c r="M777" s="18">
        <v>0</v>
      </c>
      <c r="N777" s="16"/>
      <c r="O777" s="19">
        <v>92</v>
      </c>
      <c r="P777" s="20">
        <v>0</v>
      </c>
      <c r="Q777" s="29">
        <v>0</v>
      </c>
      <c r="R777" s="9" t="s">
        <v>180</v>
      </c>
    </row>
    <row r="778" spans="1:19" ht="12" customHeight="1" x14ac:dyDescent="0.25">
      <c r="A778" s="14"/>
      <c r="B778" s="15">
        <v>1229</v>
      </c>
      <c r="C778" s="29">
        <v>8912.5</v>
      </c>
      <c r="D778" s="16">
        <v>46020</v>
      </c>
      <c r="E778" s="15" t="s">
        <v>3</v>
      </c>
      <c r="F778" s="29">
        <v>9834.5</v>
      </c>
      <c r="G778" s="29">
        <v>0</v>
      </c>
      <c r="H778" s="29">
        <v>9834.5</v>
      </c>
      <c r="I778" s="15">
        <v>90</v>
      </c>
      <c r="J778" s="15">
        <v>204</v>
      </c>
      <c r="K778" s="30">
        <v>10000</v>
      </c>
      <c r="L778" s="17">
        <v>46110</v>
      </c>
      <c r="M778" s="18">
        <v>0</v>
      </c>
      <c r="N778" s="16"/>
      <c r="O778" s="19">
        <v>92</v>
      </c>
      <c r="P778" s="20">
        <v>0</v>
      </c>
      <c r="Q778" s="29">
        <v>0</v>
      </c>
      <c r="R778" s="9" t="s">
        <v>180</v>
      </c>
    </row>
    <row r="779" spans="1:19" ht="12" customHeight="1" x14ac:dyDescent="0.25">
      <c r="A779" s="14"/>
      <c r="B779" s="15" t="s">
        <v>443</v>
      </c>
      <c r="C779" s="29">
        <v>10000000</v>
      </c>
      <c r="D779" s="16">
        <v>46020</v>
      </c>
      <c r="E779" s="15" t="s">
        <v>2</v>
      </c>
      <c r="F779" s="29">
        <v>0</v>
      </c>
      <c r="G779" s="29">
        <v>0</v>
      </c>
      <c r="H779" s="29">
        <v>10805000.23</v>
      </c>
      <c r="I779" s="15">
        <v>90</v>
      </c>
      <c r="J779" s="15">
        <v>228</v>
      </c>
      <c r="K779" s="30">
        <v>10500000</v>
      </c>
      <c r="L779" s="17">
        <v>46110</v>
      </c>
      <c r="M779" s="18">
        <v>10805000.33</v>
      </c>
      <c r="N779" s="16">
        <v>46110</v>
      </c>
      <c r="O779" s="19"/>
      <c r="P779" s="20">
        <v>805000.24</v>
      </c>
      <c r="Q779" s="29">
        <v>10000000.1</v>
      </c>
      <c r="R779" s="9" t="s">
        <v>634</v>
      </c>
    </row>
    <row r="780" spans="1:19" ht="12" customHeight="1" x14ac:dyDescent="0.25">
      <c r="A780" s="14"/>
      <c r="B780" s="15" t="s">
        <v>444</v>
      </c>
      <c r="C780" s="29">
        <v>500000</v>
      </c>
      <c r="D780" s="16">
        <v>46020</v>
      </c>
      <c r="E780" s="15" t="s">
        <v>2</v>
      </c>
      <c r="F780" s="29">
        <v>0</v>
      </c>
      <c r="G780" s="29">
        <v>0</v>
      </c>
      <c r="H780" s="29">
        <v>540250.03</v>
      </c>
      <c r="I780" s="15">
        <v>90</v>
      </c>
      <c r="J780" s="15">
        <v>228</v>
      </c>
      <c r="K780" s="30">
        <v>10500000</v>
      </c>
      <c r="L780" s="17">
        <v>46110</v>
      </c>
      <c r="M780" s="18">
        <v>540249.67000000004</v>
      </c>
      <c r="N780" s="16">
        <v>46110</v>
      </c>
      <c r="O780" s="19"/>
      <c r="P780" s="20">
        <v>40250</v>
      </c>
      <c r="Q780" s="29">
        <v>499999.66</v>
      </c>
      <c r="R780" s="9" t="s">
        <v>634</v>
      </c>
    </row>
    <row r="781" spans="1:19" ht="12" customHeight="1" x14ac:dyDescent="0.25">
      <c r="A781" s="14"/>
      <c r="B781" s="15" t="s">
        <v>445</v>
      </c>
      <c r="C781" s="29">
        <v>290000</v>
      </c>
      <c r="D781" s="16">
        <v>46021</v>
      </c>
      <c r="E781" s="15" t="s">
        <v>2</v>
      </c>
      <c r="F781" s="29">
        <v>0</v>
      </c>
      <c r="G781" s="29">
        <v>0</v>
      </c>
      <c r="H781" s="29">
        <v>300005</v>
      </c>
      <c r="I781" s="15">
        <v>30</v>
      </c>
      <c r="J781" s="15">
        <v>17</v>
      </c>
      <c r="K781" s="30">
        <v>2400000</v>
      </c>
      <c r="L781" s="17">
        <v>46051</v>
      </c>
      <c r="M781" s="18">
        <v>300005</v>
      </c>
      <c r="N781" s="16">
        <v>46054</v>
      </c>
      <c r="O781" s="19"/>
      <c r="P781" s="20">
        <v>10005</v>
      </c>
      <c r="Q781" s="29">
        <v>290000</v>
      </c>
      <c r="R781" s="9" t="s">
        <v>180</v>
      </c>
    </row>
    <row r="782" spans="1:19" ht="12" customHeight="1" x14ac:dyDescent="0.25">
      <c r="A782" s="14"/>
      <c r="B782" s="15" t="s">
        <v>446</v>
      </c>
      <c r="C782" s="29">
        <v>60741</v>
      </c>
      <c r="D782" s="16">
        <v>46021</v>
      </c>
      <c r="E782" s="15" t="s">
        <v>4</v>
      </c>
      <c r="F782" s="29">
        <v>62836.58</v>
      </c>
      <c r="G782" s="29">
        <v>62836.58</v>
      </c>
      <c r="H782" s="29">
        <v>62836.58</v>
      </c>
      <c r="I782" s="15">
        <v>30</v>
      </c>
      <c r="J782" s="15">
        <v>87</v>
      </c>
      <c r="K782" s="30">
        <v>60000</v>
      </c>
      <c r="L782" s="17">
        <v>46051</v>
      </c>
      <c r="M782" s="18">
        <v>0</v>
      </c>
      <c r="N782" s="16"/>
      <c r="O782" s="19">
        <v>91</v>
      </c>
      <c r="P782" s="20">
        <v>0</v>
      </c>
      <c r="Q782" s="29">
        <v>0</v>
      </c>
      <c r="R782" s="9" t="s">
        <v>180</v>
      </c>
      <c r="S782" s="10" t="s">
        <v>987</v>
      </c>
    </row>
    <row r="783" spans="1:19" ht="12" customHeight="1" x14ac:dyDescent="0.25">
      <c r="A783" s="14"/>
      <c r="B783" s="15" t="s">
        <v>447</v>
      </c>
      <c r="C783" s="29">
        <v>0</v>
      </c>
      <c r="D783" s="16">
        <v>46021</v>
      </c>
      <c r="E783" s="15" t="s">
        <v>4</v>
      </c>
      <c r="F783" s="29">
        <v>2326</v>
      </c>
      <c r="G783" s="29">
        <v>2326</v>
      </c>
      <c r="H783" s="29">
        <v>2326</v>
      </c>
      <c r="I783" s="15">
        <v>0</v>
      </c>
      <c r="J783" s="15">
        <v>168</v>
      </c>
      <c r="K783" s="30">
        <v>100000</v>
      </c>
      <c r="L783" s="17">
        <v>46021</v>
      </c>
      <c r="M783" s="18">
        <v>0</v>
      </c>
      <c r="N783" s="16"/>
      <c r="O783" s="19">
        <v>91</v>
      </c>
      <c r="P783" s="20">
        <v>0</v>
      </c>
      <c r="Q783" s="29">
        <v>0</v>
      </c>
      <c r="R783" s="9" t="s">
        <v>180</v>
      </c>
      <c r="S783" s="10" t="s">
        <v>655</v>
      </c>
    </row>
    <row r="784" spans="1:19" ht="12" customHeight="1" x14ac:dyDescent="0.25">
      <c r="A784" s="14"/>
      <c r="B784" s="15" t="s">
        <v>448</v>
      </c>
      <c r="C784" s="29">
        <v>30849</v>
      </c>
      <c r="D784" s="16">
        <v>46021</v>
      </c>
      <c r="E784" s="15" t="s">
        <v>3</v>
      </c>
      <c r="F784" s="29">
        <v>34042.51</v>
      </c>
      <c r="G784" s="29">
        <v>0</v>
      </c>
      <c r="H784" s="29">
        <v>34042.51</v>
      </c>
      <c r="I784" s="15">
        <v>90</v>
      </c>
      <c r="J784" s="15">
        <v>202</v>
      </c>
      <c r="K784" s="30">
        <v>67000</v>
      </c>
      <c r="L784" s="17">
        <v>46111</v>
      </c>
      <c r="M784" s="18">
        <v>0</v>
      </c>
      <c r="N784" s="16"/>
      <c r="O784" s="19">
        <v>91</v>
      </c>
      <c r="P784" s="20">
        <v>0</v>
      </c>
      <c r="Q784" s="29">
        <v>0</v>
      </c>
      <c r="R784" s="9" t="s">
        <v>180</v>
      </c>
    </row>
    <row r="785" spans="1:19" ht="12" customHeight="1" x14ac:dyDescent="0.25">
      <c r="A785" s="14"/>
      <c r="B785" s="15" t="s">
        <v>449</v>
      </c>
      <c r="C785" s="29">
        <v>14088</v>
      </c>
      <c r="D785" s="16">
        <v>46021</v>
      </c>
      <c r="E785" s="15" t="s">
        <v>2</v>
      </c>
      <c r="F785" s="29">
        <v>0</v>
      </c>
      <c r="G785" s="29">
        <v>0</v>
      </c>
      <c r="H785" s="29">
        <v>14574.04</v>
      </c>
      <c r="I785" s="15">
        <v>30</v>
      </c>
      <c r="J785" s="15">
        <v>236</v>
      </c>
      <c r="K785" s="30">
        <v>43478</v>
      </c>
      <c r="L785" s="17">
        <v>46051</v>
      </c>
      <c r="M785" s="18">
        <v>14574</v>
      </c>
      <c r="N785" s="16">
        <v>46040</v>
      </c>
      <c r="O785" s="19"/>
      <c r="P785" s="20">
        <v>486.04</v>
      </c>
      <c r="Q785" s="29">
        <v>14087.96</v>
      </c>
      <c r="R785" s="9" t="s">
        <v>180</v>
      </c>
    </row>
    <row r="786" spans="1:19" ht="12" customHeight="1" x14ac:dyDescent="0.25">
      <c r="A786" s="14"/>
      <c r="B786" s="15" t="s">
        <v>450</v>
      </c>
      <c r="C786" s="29">
        <v>250000</v>
      </c>
      <c r="D786" s="16">
        <v>46022</v>
      </c>
      <c r="E786" s="15" t="s">
        <v>2</v>
      </c>
      <c r="F786" s="29">
        <v>0</v>
      </c>
      <c r="G786" s="29">
        <v>0</v>
      </c>
      <c r="H786" s="29">
        <v>258625</v>
      </c>
      <c r="I786" s="15">
        <v>30</v>
      </c>
      <c r="J786" s="15">
        <v>17</v>
      </c>
      <c r="K786" s="30">
        <v>2400000</v>
      </c>
      <c r="L786" s="17">
        <v>46054</v>
      </c>
      <c r="M786" s="18">
        <v>258625</v>
      </c>
      <c r="N786" s="16">
        <v>46055</v>
      </c>
      <c r="O786" s="19"/>
      <c r="P786" s="20">
        <v>8625</v>
      </c>
      <c r="Q786" s="29">
        <v>250000</v>
      </c>
      <c r="R786" s="9" t="s">
        <v>180</v>
      </c>
    </row>
    <row r="787" spans="1:19" ht="12" customHeight="1" x14ac:dyDescent="0.25">
      <c r="A787" s="14"/>
      <c r="B787" s="15" t="s">
        <v>451</v>
      </c>
      <c r="C787" s="29">
        <v>8379</v>
      </c>
      <c r="D787" s="16">
        <v>46022</v>
      </c>
      <c r="E787" s="15" t="s">
        <v>2</v>
      </c>
      <c r="F787" s="29">
        <v>0</v>
      </c>
      <c r="G787" s="29">
        <v>0</v>
      </c>
      <c r="H787" s="29">
        <v>8668.07</v>
      </c>
      <c r="I787" s="15">
        <v>30</v>
      </c>
      <c r="J787" s="15">
        <v>46</v>
      </c>
      <c r="K787" s="30">
        <v>30000</v>
      </c>
      <c r="L787" s="17">
        <v>46054</v>
      </c>
      <c r="M787" s="18">
        <v>8668</v>
      </c>
      <c r="N787" s="16">
        <v>46055</v>
      </c>
      <c r="O787" s="19"/>
      <c r="P787" s="20">
        <v>289.07</v>
      </c>
      <c r="Q787" s="29">
        <v>8378.93</v>
      </c>
      <c r="R787" s="9" t="s">
        <v>180</v>
      </c>
    </row>
    <row r="788" spans="1:19" ht="12" customHeight="1" x14ac:dyDescent="0.25">
      <c r="A788" s="14"/>
      <c r="B788" s="15" t="s">
        <v>452</v>
      </c>
      <c r="C788" s="29">
        <v>35000</v>
      </c>
      <c r="D788" s="16">
        <v>46022</v>
      </c>
      <c r="E788" s="15" t="s">
        <v>2</v>
      </c>
      <c r="F788" s="29">
        <v>0</v>
      </c>
      <c r="G788" s="29">
        <v>0</v>
      </c>
      <c r="H788" s="29">
        <v>36250</v>
      </c>
      <c r="I788" s="15">
        <v>30</v>
      </c>
      <c r="J788" s="15">
        <v>139</v>
      </c>
      <c r="K788" s="30">
        <v>322000</v>
      </c>
      <c r="L788" s="17">
        <v>46054</v>
      </c>
      <c r="M788" s="18">
        <v>36250</v>
      </c>
      <c r="N788" s="16">
        <v>46056</v>
      </c>
      <c r="O788" s="19"/>
      <c r="P788" s="20">
        <v>1250</v>
      </c>
      <c r="Q788" s="29">
        <v>35000</v>
      </c>
      <c r="R788" s="9" t="s">
        <v>180</v>
      </c>
    </row>
    <row r="789" spans="1:19" ht="12" customHeight="1" x14ac:dyDescent="0.25">
      <c r="A789" s="14"/>
      <c r="B789" s="15" t="s">
        <v>453</v>
      </c>
      <c r="C789" s="29">
        <v>77343</v>
      </c>
      <c r="D789" s="16">
        <v>46022</v>
      </c>
      <c r="E789" s="15" t="s">
        <v>2</v>
      </c>
      <c r="F789" s="29">
        <v>0</v>
      </c>
      <c r="G789" s="29">
        <v>0</v>
      </c>
      <c r="H789" s="29">
        <v>82679.67</v>
      </c>
      <c r="I789" s="15">
        <v>60</v>
      </c>
      <c r="J789" s="15">
        <v>60</v>
      </c>
      <c r="K789" s="30">
        <v>450000</v>
      </c>
      <c r="L789" s="17">
        <v>46082</v>
      </c>
      <c r="M789" s="18">
        <v>82679.34</v>
      </c>
      <c r="N789" s="16">
        <v>46083</v>
      </c>
      <c r="O789" s="19"/>
      <c r="P789" s="20">
        <v>5336.65</v>
      </c>
      <c r="Q789" s="29">
        <v>77342.69</v>
      </c>
      <c r="R789" s="9" t="s">
        <v>180</v>
      </c>
    </row>
    <row r="790" spans="1:19" ht="12" customHeight="1" x14ac:dyDescent="0.25">
      <c r="A790" s="14"/>
      <c r="B790" s="15" t="s">
        <v>454</v>
      </c>
      <c r="C790" s="29">
        <v>0</v>
      </c>
      <c r="D790" s="16">
        <v>46022</v>
      </c>
      <c r="E790" s="15" t="s">
        <v>4</v>
      </c>
      <c r="F790" s="29">
        <v>2276</v>
      </c>
      <c r="G790" s="29">
        <v>2276</v>
      </c>
      <c r="H790" s="29">
        <v>2276</v>
      </c>
      <c r="I790" s="15">
        <v>0</v>
      </c>
      <c r="J790" s="15">
        <v>191</v>
      </c>
      <c r="K790" s="30">
        <v>99000</v>
      </c>
      <c r="L790" s="17">
        <v>46022</v>
      </c>
      <c r="M790" s="18">
        <v>0</v>
      </c>
      <c r="N790" s="16"/>
      <c r="O790" s="19">
        <v>90</v>
      </c>
      <c r="P790" s="20">
        <v>0</v>
      </c>
      <c r="Q790" s="29">
        <v>0</v>
      </c>
      <c r="R790" s="9" t="s">
        <v>180</v>
      </c>
      <c r="S790" s="10" t="s">
        <v>658</v>
      </c>
    </row>
    <row r="791" spans="1:19" ht="12" customHeight="1" x14ac:dyDescent="0.25">
      <c r="A791" s="14"/>
      <c r="B791" s="15" t="s">
        <v>471</v>
      </c>
      <c r="C791" s="29">
        <v>164000</v>
      </c>
      <c r="D791" s="16">
        <v>46023</v>
      </c>
      <c r="E791" s="15" t="s">
        <v>2</v>
      </c>
      <c r="F791" s="29">
        <v>0</v>
      </c>
      <c r="G791" s="29">
        <v>0</v>
      </c>
      <c r="H791" s="29">
        <v>180974.5</v>
      </c>
      <c r="I791" s="15">
        <v>90</v>
      </c>
      <c r="J791" s="15">
        <v>53</v>
      </c>
      <c r="K791" s="30">
        <v>630000</v>
      </c>
      <c r="L791" s="17">
        <v>46113</v>
      </c>
      <c r="M791" s="18">
        <v>180974</v>
      </c>
      <c r="N791" s="16">
        <v>46114</v>
      </c>
      <c r="O791" s="19"/>
      <c r="P791" s="20">
        <v>16974.45</v>
      </c>
      <c r="Q791" s="29">
        <v>163999.54999999999</v>
      </c>
      <c r="R791" s="9" t="s">
        <v>180</v>
      </c>
    </row>
    <row r="792" spans="1:19" ht="12" customHeight="1" x14ac:dyDescent="0.25">
      <c r="A792" s="14"/>
      <c r="B792" s="15" t="s">
        <v>472</v>
      </c>
      <c r="C792" s="29">
        <v>96000</v>
      </c>
      <c r="D792" s="16">
        <v>46023</v>
      </c>
      <c r="E792" s="15" t="s">
        <v>2</v>
      </c>
      <c r="F792" s="29">
        <v>0</v>
      </c>
      <c r="G792" s="29">
        <v>0</v>
      </c>
      <c r="H792" s="29">
        <v>99321.600000000006</v>
      </c>
      <c r="I792" s="15">
        <v>30</v>
      </c>
      <c r="J792" s="15">
        <v>90</v>
      </c>
      <c r="K792" s="30">
        <v>100000</v>
      </c>
      <c r="L792" s="17">
        <v>46054</v>
      </c>
      <c r="M792" s="18">
        <v>99322</v>
      </c>
      <c r="N792" s="16">
        <v>46077</v>
      </c>
      <c r="O792" s="19"/>
      <c r="P792" s="20">
        <v>3321.61</v>
      </c>
      <c r="Q792" s="29">
        <v>96000.39</v>
      </c>
      <c r="R792" s="9" t="s">
        <v>180</v>
      </c>
    </row>
    <row r="793" spans="1:19" ht="12" customHeight="1" x14ac:dyDescent="0.25">
      <c r="A793" s="14"/>
      <c r="B793" s="15" t="s">
        <v>473</v>
      </c>
      <c r="C793" s="29">
        <v>600000</v>
      </c>
      <c r="D793" s="16">
        <v>46026</v>
      </c>
      <c r="E793" s="15" t="s">
        <v>2</v>
      </c>
      <c r="F793" s="29">
        <v>0</v>
      </c>
      <c r="G793" s="29">
        <v>0</v>
      </c>
      <c r="H793" s="29">
        <v>620600.04</v>
      </c>
      <c r="I793" s="15">
        <v>30</v>
      </c>
      <c r="J793" s="15">
        <v>2</v>
      </c>
      <c r="K793" s="30">
        <v>845000</v>
      </c>
      <c r="L793" s="17">
        <v>46056</v>
      </c>
      <c r="M793" s="18">
        <v>620599.92000000004</v>
      </c>
      <c r="N793" s="16">
        <v>46048</v>
      </c>
      <c r="O793" s="19"/>
      <c r="P793" s="20">
        <v>20600.04</v>
      </c>
      <c r="Q793" s="29">
        <v>599999.88</v>
      </c>
      <c r="R793" s="9" t="s">
        <v>180</v>
      </c>
    </row>
    <row r="794" spans="1:19" ht="12" customHeight="1" x14ac:dyDescent="0.25">
      <c r="A794" s="14"/>
      <c r="B794" s="15" t="s">
        <v>474</v>
      </c>
      <c r="C794" s="29">
        <v>323454</v>
      </c>
      <c r="D794" s="16">
        <v>46026</v>
      </c>
      <c r="E794" s="15" t="s">
        <v>2</v>
      </c>
      <c r="F794" s="29">
        <v>0</v>
      </c>
      <c r="G794" s="29">
        <v>0</v>
      </c>
      <c r="H794" s="29">
        <v>329920.08</v>
      </c>
      <c r="I794" s="15">
        <v>15</v>
      </c>
      <c r="J794" s="15">
        <v>6</v>
      </c>
      <c r="K794" s="30">
        <v>810000</v>
      </c>
      <c r="L794" s="17">
        <v>46041</v>
      </c>
      <c r="M794" s="18">
        <v>329920</v>
      </c>
      <c r="N794" s="16">
        <v>46044</v>
      </c>
      <c r="O794" s="19"/>
      <c r="P794" s="20">
        <v>6466.08</v>
      </c>
      <c r="Q794" s="29">
        <v>323453.92</v>
      </c>
      <c r="R794" s="9" t="s">
        <v>180</v>
      </c>
    </row>
    <row r="795" spans="1:19" ht="12" customHeight="1" x14ac:dyDescent="0.25">
      <c r="A795" s="14"/>
      <c r="B795" s="15" t="s">
        <v>475</v>
      </c>
      <c r="C795" s="29">
        <v>654000</v>
      </c>
      <c r="D795" s="16">
        <v>46026</v>
      </c>
      <c r="E795" s="15" t="s">
        <v>2</v>
      </c>
      <c r="F795" s="29">
        <v>0</v>
      </c>
      <c r="G795" s="29">
        <v>0</v>
      </c>
      <c r="H795" s="29">
        <v>676480.07</v>
      </c>
      <c r="I795" s="15">
        <v>30</v>
      </c>
      <c r="J795" s="15">
        <v>15</v>
      </c>
      <c r="K795" s="30">
        <v>2300000</v>
      </c>
      <c r="L795" s="17">
        <v>46056</v>
      </c>
      <c r="M795" s="18">
        <v>676480</v>
      </c>
      <c r="N795" s="16">
        <v>46051</v>
      </c>
      <c r="O795" s="19"/>
      <c r="P795" s="20">
        <v>22480.07</v>
      </c>
      <c r="Q795" s="29">
        <v>653999.93000000005</v>
      </c>
      <c r="R795" s="9" t="s">
        <v>180</v>
      </c>
    </row>
    <row r="796" spans="1:19" ht="12" customHeight="1" x14ac:dyDescent="0.25">
      <c r="A796" s="14"/>
      <c r="B796" s="15" t="s">
        <v>476</v>
      </c>
      <c r="C796" s="29">
        <v>297830</v>
      </c>
      <c r="D796" s="16">
        <v>46026</v>
      </c>
      <c r="E796" s="15" t="s">
        <v>2</v>
      </c>
      <c r="F796" s="29">
        <v>0</v>
      </c>
      <c r="G796" s="29">
        <v>0</v>
      </c>
      <c r="H796" s="29">
        <v>303786.59999999998</v>
      </c>
      <c r="I796" s="15">
        <v>15</v>
      </c>
      <c r="J796" s="15">
        <v>17</v>
      </c>
      <c r="K796" s="30">
        <v>2400000</v>
      </c>
      <c r="L796" s="17">
        <v>46042</v>
      </c>
      <c r="M796" s="18">
        <v>303786</v>
      </c>
      <c r="N796" s="16">
        <v>46043</v>
      </c>
      <c r="O796" s="19"/>
      <c r="P796" s="20">
        <v>5956.59</v>
      </c>
      <c r="Q796" s="29">
        <v>297829.40999999997</v>
      </c>
      <c r="R796" s="9" t="s">
        <v>180</v>
      </c>
    </row>
    <row r="797" spans="1:19" ht="12" customHeight="1" x14ac:dyDescent="0.25">
      <c r="A797" s="14"/>
      <c r="B797" s="15" t="s">
        <v>477</v>
      </c>
      <c r="C797" s="29">
        <v>218241</v>
      </c>
      <c r="D797" s="16">
        <v>46026</v>
      </c>
      <c r="E797" s="15" t="s">
        <v>2</v>
      </c>
      <c r="F797" s="29">
        <v>0</v>
      </c>
      <c r="G797" s="29">
        <v>0</v>
      </c>
      <c r="H797" s="29">
        <v>229534.38</v>
      </c>
      <c r="I797" s="15">
        <v>15</v>
      </c>
      <c r="J797" s="15">
        <v>24</v>
      </c>
      <c r="K797" s="30">
        <v>230000</v>
      </c>
      <c r="L797" s="17">
        <v>46041</v>
      </c>
      <c r="M797" s="18">
        <v>229874.06</v>
      </c>
      <c r="N797" s="16">
        <v>46093</v>
      </c>
      <c r="O797" s="19"/>
      <c r="P797" s="20">
        <v>11310.09</v>
      </c>
      <c r="Q797" s="29">
        <v>218563.97</v>
      </c>
      <c r="R797" s="9" t="s">
        <v>180</v>
      </c>
    </row>
    <row r="798" spans="1:19" ht="12" customHeight="1" x14ac:dyDescent="0.25">
      <c r="A798" s="14"/>
      <c r="B798" s="15" t="s">
        <v>478</v>
      </c>
      <c r="C798" s="29">
        <v>49980</v>
      </c>
      <c r="D798" s="16">
        <v>46026</v>
      </c>
      <c r="E798" s="15" t="s">
        <v>4</v>
      </c>
      <c r="F798" s="29">
        <v>45979</v>
      </c>
      <c r="G798" s="29">
        <v>45979</v>
      </c>
      <c r="H798" s="29">
        <v>50979</v>
      </c>
      <c r="I798" s="15">
        <v>15</v>
      </c>
      <c r="J798" s="15">
        <v>59</v>
      </c>
      <c r="K798" s="30">
        <v>49000</v>
      </c>
      <c r="L798" s="17">
        <v>46041</v>
      </c>
      <c r="M798" s="18">
        <v>5000</v>
      </c>
      <c r="N798" s="16">
        <v>46071</v>
      </c>
      <c r="O798" s="19">
        <v>86</v>
      </c>
      <c r="P798" s="20">
        <v>97.98</v>
      </c>
      <c r="Q798" s="29">
        <v>4902.0200000000004</v>
      </c>
      <c r="R798" s="9" t="s">
        <v>180</v>
      </c>
      <c r="S798" s="10" t="s">
        <v>977</v>
      </c>
    </row>
    <row r="799" spans="1:19" ht="12" customHeight="1" x14ac:dyDescent="0.25">
      <c r="A799" s="14"/>
      <c r="B799" s="15" t="s">
        <v>479</v>
      </c>
      <c r="C799" s="29">
        <v>430000</v>
      </c>
      <c r="D799" s="16">
        <v>46026</v>
      </c>
      <c r="E799" s="15" t="s">
        <v>2</v>
      </c>
      <c r="F799" s="29">
        <v>0</v>
      </c>
      <c r="G799" s="29">
        <v>0</v>
      </c>
      <c r="H799" s="29">
        <v>438600.01</v>
      </c>
      <c r="I799" s="15">
        <v>15</v>
      </c>
      <c r="J799" s="15">
        <v>92</v>
      </c>
      <c r="K799" s="30">
        <v>559000</v>
      </c>
      <c r="L799" s="17">
        <v>46041</v>
      </c>
      <c r="M799" s="18">
        <v>438600</v>
      </c>
      <c r="N799" s="16">
        <v>46042</v>
      </c>
      <c r="O799" s="19"/>
      <c r="P799" s="20">
        <v>8600.01</v>
      </c>
      <c r="Q799" s="29">
        <v>429999.99</v>
      </c>
      <c r="R799" s="9" t="s">
        <v>180</v>
      </c>
    </row>
    <row r="800" spans="1:19" ht="12" customHeight="1" x14ac:dyDescent="0.25">
      <c r="A800" s="14"/>
      <c r="B800" s="15" t="s">
        <v>480</v>
      </c>
      <c r="C800" s="29">
        <v>7590</v>
      </c>
      <c r="D800" s="16">
        <v>46026</v>
      </c>
      <c r="E800" s="15" t="s">
        <v>2</v>
      </c>
      <c r="F800" s="29">
        <v>0</v>
      </c>
      <c r="G800" s="29">
        <v>0</v>
      </c>
      <c r="H800" s="29">
        <v>8114</v>
      </c>
      <c r="I800" s="15">
        <v>60</v>
      </c>
      <c r="J800" s="15">
        <v>91</v>
      </c>
      <c r="K800" s="30">
        <v>61000</v>
      </c>
      <c r="L800" s="17">
        <v>46086</v>
      </c>
      <c r="M800" s="18">
        <v>8114</v>
      </c>
      <c r="N800" s="16">
        <v>46089</v>
      </c>
      <c r="O800" s="19"/>
      <c r="P800" s="20">
        <v>524</v>
      </c>
      <c r="Q800" s="29">
        <v>7590</v>
      </c>
      <c r="R800" s="9" t="s">
        <v>180</v>
      </c>
    </row>
    <row r="801" spans="1:19" ht="12" customHeight="1" x14ac:dyDescent="0.25">
      <c r="A801" s="14"/>
      <c r="B801" s="15" t="s">
        <v>481</v>
      </c>
      <c r="C801" s="29">
        <v>32706</v>
      </c>
      <c r="D801" s="16">
        <v>46026</v>
      </c>
      <c r="E801" s="15" t="s">
        <v>2</v>
      </c>
      <c r="F801" s="29">
        <v>0</v>
      </c>
      <c r="G801" s="29">
        <v>0</v>
      </c>
      <c r="H801" s="29">
        <v>33687.49</v>
      </c>
      <c r="I801" s="15">
        <v>20</v>
      </c>
      <c r="J801" s="15">
        <v>145</v>
      </c>
      <c r="K801" s="30">
        <v>33000</v>
      </c>
      <c r="L801" s="17">
        <v>46047</v>
      </c>
      <c r="M801" s="18">
        <v>34374</v>
      </c>
      <c r="N801" s="16">
        <v>46049</v>
      </c>
      <c r="O801" s="19"/>
      <c r="P801" s="20">
        <v>1001.5</v>
      </c>
      <c r="Q801" s="29">
        <v>33372.5</v>
      </c>
      <c r="R801" s="9" t="s">
        <v>180</v>
      </c>
    </row>
    <row r="802" spans="1:19" ht="12" customHeight="1" x14ac:dyDescent="0.25">
      <c r="A802" s="14"/>
      <c r="B802" s="15" t="s">
        <v>482</v>
      </c>
      <c r="C802" s="29">
        <v>96580</v>
      </c>
      <c r="D802" s="16">
        <v>46026</v>
      </c>
      <c r="E802" s="15" t="s">
        <v>2</v>
      </c>
      <c r="F802" s="29">
        <v>0</v>
      </c>
      <c r="G802" s="29">
        <v>0</v>
      </c>
      <c r="H802" s="29">
        <v>98994.5</v>
      </c>
      <c r="I802" s="15">
        <v>15</v>
      </c>
      <c r="J802" s="15">
        <v>189</v>
      </c>
      <c r="K802" s="30">
        <v>99000</v>
      </c>
      <c r="L802" s="17">
        <v>46041</v>
      </c>
      <c r="M802" s="18">
        <v>98994.5</v>
      </c>
      <c r="N802" s="16">
        <v>46040</v>
      </c>
      <c r="O802" s="19"/>
      <c r="P802" s="20">
        <v>2414.5</v>
      </c>
      <c r="Q802" s="29">
        <v>96580</v>
      </c>
      <c r="R802" s="9" t="s">
        <v>180</v>
      </c>
    </row>
    <row r="803" spans="1:19" ht="12" customHeight="1" x14ac:dyDescent="0.25">
      <c r="A803" s="14"/>
      <c r="B803" s="15" t="s">
        <v>483</v>
      </c>
      <c r="C803" s="29">
        <v>206763</v>
      </c>
      <c r="D803" s="16">
        <v>46026</v>
      </c>
      <c r="E803" s="15" t="s">
        <v>4</v>
      </c>
      <c r="F803" s="29">
        <v>86274.1</v>
      </c>
      <c r="G803" s="29">
        <v>86274.1</v>
      </c>
      <c r="H803" s="29">
        <v>216274.1</v>
      </c>
      <c r="I803" s="15">
        <v>60</v>
      </c>
      <c r="J803" s="15">
        <v>231</v>
      </c>
      <c r="K803" s="30">
        <v>300000</v>
      </c>
      <c r="L803" s="17">
        <v>46086</v>
      </c>
      <c r="M803" s="18">
        <v>130000</v>
      </c>
      <c r="N803" s="16">
        <v>46111</v>
      </c>
      <c r="O803" s="19">
        <v>86</v>
      </c>
      <c r="P803" s="20">
        <v>5717.02</v>
      </c>
      <c r="Q803" s="29">
        <v>124282.98</v>
      </c>
      <c r="R803" s="9" t="s">
        <v>180</v>
      </c>
    </row>
    <row r="804" spans="1:19" ht="12" customHeight="1" x14ac:dyDescent="0.25">
      <c r="A804" s="14"/>
      <c r="B804" s="15" t="s">
        <v>484</v>
      </c>
      <c r="C804" s="29">
        <v>63431</v>
      </c>
      <c r="D804" s="16">
        <v>46026</v>
      </c>
      <c r="E804" s="15" t="s">
        <v>3</v>
      </c>
      <c r="F804" s="29">
        <v>69996.11</v>
      </c>
      <c r="G804" s="29">
        <v>0</v>
      </c>
      <c r="H804" s="29">
        <v>69996.11</v>
      </c>
      <c r="I804" s="15">
        <v>90</v>
      </c>
      <c r="J804" s="15">
        <v>221</v>
      </c>
      <c r="K804" s="30">
        <v>70000</v>
      </c>
      <c r="L804" s="17">
        <v>46117</v>
      </c>
      <c r="M804" s="18">
        <v>0</v>
      </c>
      <c r="N804" s="16"/>
      <c r="O804" s="19">
        <v>86</v>
      </c>
      <c r="P804" s="20">
        <v>0</v>
      </c>
      <c r="Q804" s="29">
        <v>0</v>
      </c>
      <c r="R804" s="9" t="s">
        <v>180</v>
      </c>
    </row>
    <row r="805" spans="1:19" ht="12" customHeight="1" x14ac:dyDescent="0.25">
      <c r="A805" s="14"/>
      <c r="B805" s="15" t="s">
        <v>485</v>
      </c>
      <c r="C805" s="29">
        <v>49723</v>
      </c>
      <c r="D805" s="16">
        <v>46027</v>
      </c>
      <c r="E805" s="15" t="s">
        <v>2</v>
      </c>
      <c r="F805" s="29">
        <v>0</v>
      </c>
      <c r="G805" s="29">
        <v>0</v>
      </c>
      <c r="H805" s="29">
        <v>51499.75</v>
      </c>
      <c r="I805" s="15">
        <v>30</v>
      </c>
      <c r="J805" s="15">
        <v>22</v>
      </c>
      <c r="K805" s="30">
        <v>200000</v>
      </c>
      <c r="L805" s="17">
        <v>46057</v>
      </c>
      <c r="M805" s="18">
        <v>51500</v>
      </c>
      <c r="N805" s="16">
        <v>46057</v>
      </c>
      <c r="O805" s="19"/>
      <c r="P805" s="20">
        <v>1776.76</v>
      </c>
      <c r="Q805" s="29">
        <v>49723.24</v>
      </c>
      <c r="R805" s="9" t="s">
        <v>180</v>
      </c>
    </row>
    <row r="806" spans="1:19" ht="12" customHeight="1" x14ac:dyDescent="0.25">
      <c r="A806" s="14"/>
      <c r="B806" s="15" t="s">
        <v>486</v>
      </c>
      <c r="C806" s="29">
        <v>92000</v>
      </c>
      <c r="D806" s="16">
        <v>46027</v>
      </c>
      <c r="E806" s="15" t="s">
        <v>2</v>
      </c>
      <c r="F806" s="29">
        <v>0</v>
      </c>
      <c r="G806" s="29">
        <v>0</v>
      </c>
      <c r="H806" s="29">
        <v>95165</v>
      </c>
      <c r="I806" s="15">
        <v>30</v>
      </c>
      <c r="J806" s="15">
        <v>56</v>
      </c>
      <c r="K806" s="30">
        <v>320000</v>
      </c>
      <c r="L806" s="17">
        <v>46057</v>
      </c>
      <c r="M806" s="18">
        <v>95165</v>
      </c>
      <c r="N806" s="16">
        <v>46058</v>
      </c>
      <c r="O806" s="19"/>
      <c r="P806" s="20">
        <v>3165</v>
      </c>
      <c r="Q806" s="29">
        <v>92000</v>
      </c>
      <c r="R806" s="9" t="s">
        <v>180</v>
      </c>
    </row>
    <row r="807" spans="1:19" ht="12" customHeight="1" x14ac:dyDescent="0.25">
      <c r="A807" s="14"/>
      <c r="B807" s="15" t="s">
        <v>487</v>
      </c>
      <c r="C807" s="29">
        <v>24564</v>
      </c>
      <c r="D807" s="16">
        <v>46027</v>
      </c>
      <c r="E807" s="15" t="s">
        <v>2</v>
      </c>
      <c r="F807" s="29">
        <v>0</v>
      </c>
      <c r="G807" s="29">
        <v>0</v>
      </c>
      <c r="H807" s="29">
        <v>25412.5</v>
      </c>
      <c r="I807" s="15">
        <v>30</v>
      </c>
      <c r="J807" s="15">
        <v>139</v>
      </c>
      <c r="K807" s="30">
        <v>322000</v>
      </c>
      <c r="L807" s="17">
        <v>46057</v>
      </c>
      <c r="M807" s="18">
        <v>25412.5</v>
      </c>
      <c r="N807" s="16">
        <v>46058</v>
      </c>
      <c r="O807" s="19"/>
      <c r="P807" s="20">
        <v>848.5</v>
      </c>
      <c r="Q807" s="29">
        <v>24564</v>
      </c>
      <c r="R807" s="9" t="s">
        <v>180</v>
      </c>
    </row>
    <row r="808" spans="1:19" ht="12" customHeight="1" x14ac:dyDescent="0.25">
      <c r="A808" s="14"/>
      <c r="B808" s="15" t="s">
        <v>488</v>
      </c>
      <c r="C808" s="29">
        <v>26000</v>
      </c>
      <c r="D808" s="16">
        <v>46027</v>
      </c>
      <c r="E808" s="15" t="s">
        <v>2</v>
      </c>
      <c r="F808" s="29">
        <v>0</v>
      </c>
      <c r="G808" s="29">
        <v>0</v>
      </c>
      <c r="H808" s="29">
        <v>26898</v>
      </c>
      <c r="I808" s="15">
        <v>30</v>
      </c>
      <c r="J808" s="15">
        <v>159</v>
      </c>
      <c r="K808" s="30">
        <v>129000</v>
      </c>
      <c r="L808" s="17">
        <v>46057</v>
      </c>
      <c r="M808" s="18">
        <v>26898</v>
      </c>
      <c r="N808" s="16">
        <v>46058</v>
      </c>
      <c r="O808" s="19"/>
      <c r="P808" s="20">
        <v>898</v>
      </c>
      <c r="Q808" s="29">
        <v>26000</v>
      </c>
      <c r="R808" s="9" t="s">
        <v>180</v>
      </c>
    </row>
    <row r="809" spans="1:19" ht="12" customHeight="1" x14ac:dyDescent="0.25">
      <c r="A809" s="14"/>
      <c r="B809" s="15" t="s">
        <v>489</v>
      </c>
      <c r="C809" s="29">
        <v>8303</v>
      </c>
      <c r="D809" s="16">
        <v>46027</v>
      </c>
      <c r="E809" s="15" t="s">
        <v>2</v>
      </c>
      <c r="F809" s="29">
        <v>0</v>
      </c>
      <c r="G809" s="29">
        <v>0</v>
      </c>
      <c r="H809" s="29">
        <v>8875.91</v>
      </c>
      <c r="I809" s="15">
        <v>60</v>
      </c>
      <c r="J809" s="15">
        <v>236</v>
      </c>
      <c r="K809" s="30">
        <v>43478</v>
      </c>
      <c r="L809" s="17">
        <v>46089</v>
      </c>
      <c r="M809" s="18">
        <v>8875.82</v>
      </c>
      <c r="N809" s="16">
        <v>46068</v>
      </c>
      <c r="O809" s="19"/>
      <c r="P809" s="20">
        <v>572.9</v>
      </c>
      <c r="Q809" s="29">
        <v>8302.92</v>
      </c>
      <c r="R809" s="9" t="s">
        <v>180</v>
      </c>
    </row>
    <row r="810" spans="1:19" ht="12" customHeight="1" x14ac:dyDescent="0.25">
      <c r="A810" s="14"/>
      <c r="B810" s="15" t="s">
        <v>490</v>
      </c>
      <c r="C810" s="29">
        <v>2818</v>
      </c>
      <c r="D810" s="16">
        <v>46027</v>
      </c>
      <c r="E810" s="15" t="s">
        <v>2</v>
      </c>
      <c r="F810" s="29">
        <v>0</v>
      </c>
      <c r="G810" s="29">
        <v>0</v>
      </c>
      <c r="H810" s="29">
        <v>3012.44</v>
      </c>
      <c r="I810" s="15">
        <v>60</v>
      </c>
      <c r="J810" s="15">
        <v>236</v>
      </c>
      <c r="K810" s="30">
        <v>43478</v>
      </c>
      <c r="L810" s="17">
        <v>46089</v>
      </c>
      <c r="M810" s="18">
        <v>3012</v>
      </c>
      <c r="N810" s="16">
        <v>46061</v>
      </c>
      <c r="O810" s="19"/>
      <c r="P810" s="20">
        <v>194.42</v>
      </c>
      <c r="Q810" s="29">
        <v>2817.58</v>
      </c>
      <c r="R810" s="9" t="s">
        <v>180</v>
      </c>
    </row>
    <row r="811" spans="1:19" ht="12" customHeight="1" x14ac:dyDescent="0.25">
      <c r="A811" s="14"/>
      <c r="B811" s="15" t="s">
        <v>491</v>
      </c>
      <c r="C811" s="29">
        <v>561500</v>
      </c>
      <c r="D811" s="16">
        <v>46027</v>
      </c>
      <c r="E811" s="15" t="s">
        <v>2</v>
      </c>
      <c r="F811" s="29">
        <v>0</v>
      </c>
      <c r="G811" s="29">
        <v>0</v>
      </c>
      <c r="H811" s="29">
        <v>600130.07999999996</v>
      </c>
      <c r="I811" s="15">
        <v>60</v>
      </c>
      <c r="J811" s="15">
        <v>237</v>
      </c>
      <c r="K811" s="30">
        <v>600000</v>
      </c>
      <c r="L811" s="17">
        <v>46089</v>
      </c>
      <c r="M811" s="18">
        <v>600130</v>
      </c>
      <c r="N811" s="16">
        <v>46093</v>
      </c>
      <c r="O811" s="19"/>
      <c r="P811" s="20">
        <v>38630.07</v>
      </c>
      <c r="Q811" s="29">
        <v>561499.93000000005</v>
      </c>
      <c r="R811" s="9" t="s">
        <v>180</v>
      </c>
    </row>
    <row r="812" spans="1:19" ht="12" customHeight="1" x14ac:dyDescent="0.25">
      <c r="A812" s="14"/>
      <c r="B812" s="15" t="s">
        <v>492</v>
      </c>
      <c r="C812" s="29">
        <v>90601</v>
      </c>
      <c r="D812" s="16">
        <v>46027</v>
      </c>
      <c r="E812" s="15" t="s">
        <v>3</v>
      </c>
      <c r="F812" s="29">
        <v>99978.2</v>
      </c>
      <c r="G812" s="29">
        <v>0</v>
      </c>
      <c r="H812" s="29">
        <v>99978.2</v>
      </c>
      <c r="I812" s="15">
        <v>90</v>
      </c>
      <c r="J812" s="15">
        <v>238</v>
      </c>
      <c r="K812" s="30">
        <v>100000</v>
      </c>
      <c r="L812" s="17">
        <v>46117</v>
      </c>
      <c r="M812" s="18">
        <v>0</v>
      </c>
      <c r="N812" s="16"/>
      <c r="O812" s="19">
        <v>85</v>
      </c>
      <c r="P812" s="20">
        <v>0</v>
      </c>
      <c r="Q812" s="29">
        <v>0</v>
      </c>
      <c r="R812" s="9" t="s">
        <v>180</v>
      </c>
    </row>
    <row r="813" spans="1:19" ht="12" customHeight="1" x14ac:dyDescent="0.25">
      <c r="A813" s="14"/>
      <c r="B813" s="15" t="s">
        <v>493</v>
      </c>
      <c r="C813" s="29">
        <v>287000</v>
      </c>
      <c r="D813" s="16">
        <v>46028</v>
      </c>
      <c r="E813" s="15" t="s">
        <v>2</v>
      </c>
      <c r="F813" s="29">
        <v>0</v>
      </c>
      <c r="G813" s="29">
        <v>0</v>
      </c>
      <c r="H813" s="29">
        <v>296860</v>
      </c>
      <c r="I813" s="15">
        <v>30</v>
      </c>
      <c r="J813" s="15">
        <v>15</v>
      </c>
      <c r="K813" s="30">
        <v>2300000</v>
      </c>
      <c r="L813" s="17">
        <v>46058</v>
      </c>
      <c r="M813" s="18">
        <v>296860</v>
      </c>
      <c r="N813" s="16">
        <v>46062</v>
      </c>
      <c r="O813" s="19"/>
      <c r="P813" s="20">
        <v>9860</v>
      </c>
      <c r="Q813" s="29">
        <v>287000</v>
      </c>
      <c r="R813" s="9" t="s">
        <v>180</v>
      </c>
    </row>
    <row r="814" spans="1:19" ht="12" customHeight="1" x14ac:dyDescent="0.25">
      <c r="A814" s="14"/>
      <c r="B814" s="15" t="s">
        <v>494</v>
      </c>
      <c r="C814" s="29">
        <v>81560</v>
      </c>
      <c r="D814" s="16">
        <v>46028</v>
      </c>
      <c r="E814" s="15" t="s">
        <v>3</v>
      </c>
      <c r="F814" s="29">
        <v>89960.13</v>
      </c>
      <c r="G814" s="29">
        <v>0</v>
      </c>
      <c r="H814" s="29">
        <v>90000.13</v>
      </c>
      <c r="I814" s="15">
        <v>90</v>
      </c>
      <c r="J814" s="15">
        <v>53</v>
      </c>
      <c r="K814" s="30">
        <v>630000</v>
      </c>
      <c r="L814" s="17">
        <v>46118</v>
      </c>
      <c r="M814" s="18">
        <v>40</v>
      </c>
      <c r="N814" s="16">
        <v>46114</v>
      </c>
      <c r="O814" s="19">
        <v>84</v>
      </c>
      <c r="P814" s="20">
        <v>3.75</v>
      </c>
      <c r="Q814" s="29">
        <v>36.25</v>
      </c>
      <c r="R814" s="9" t="s">
        <v>180</v>
      </c>
    </row>
    <row r="815" spans="1:19" ht="12" customHeight="1" x14ac:dyDescent="0.25">
      <c r="A815" s="14"/>
      <c r="B815" s="15" t="s">
        <v>495</v>
      </c>
      <c r="C815" s="29">
        <v>0</v>
      </c>
      <c r="D815" s="16">
        <v>46028</v>
      </c>
      <c r="E815" s="15" t="s">
        <v>4</v>
      </c>
      <c r="F815" s="29">
        <v>2258</v>
      </c>
      <c r="G815" s="29">
        <v>2258</v>
      </c>
      <c r="H815" s="29">
        <v>2258</v>
      </c>
      <c r="I815" s="15">
        <v>0</v>
      </c>
      <c r="J815" s="15">
        <v>86</v>
      </c>
      <c r="K815" s="30">
        <v>100000</v>
      </c>
      <c r="L815" s="17">
        <v>46028</v>
      </c>
      <c r="M815" s="18">
        <v>0</v>
      </c>
      <c r="N815" s="16"/>
      <c r="O815" s="19">
        <v>84</v>
      </c>
      <c r="P815" s="20">
        <v>0</v>
      </c>
      <c r="Q815" s="29">
        <v>0</v>
      </c>
      <c r="R815" s="9" t="s">
        <v>180</v>
      </c>
      <c r="S815" s="10" t="s">
        <v>979</v>
      </c>
    </row>
    <row r="816" spans="1:19" ht="12" customHeight="1" x14ac:dyDescent="0.25">
      <c r="A816" s="14"/>
      <c r="B816" s="15" t="s">
        <v>496</v>
      </c>
      <c r="C816" s="29">
        <v>28060</v>
      </c>
      <c r="D816" s="16">
        <v>46028</v>
      </c>
      <c r="E816" s="15" t="s">
        <v>2</v>
      </c>
      <c r="F816" s="29">
        <v>0</v>
      </c>
      <c r="G816" s="29">
        <v>0</v>
      </c>
      <c r="H816" s="29">
        <v>29998</v>
      </c>
      <c r="I816" s="15">
        <v>60</v>
      </c>
      <c r="J816" s="15">
        <v>93</v>
      </c>
      <c r="K816" s="30">
        <v>30000</v>
      </c>
      <c r="L816" s="17">
        <v>46089</v>
      </c>
      <c r="M816" s="18">
        <v>29998</v>
      </c>
      <c r="N816" s="16">
        <v>46093</v>
      </c>
      <c r="O816" s="19"/>
      <c r="P816" s="20">
        <v>1938</v>
      </c>
      <c r="Q816" s="29">
        <v>28060</v>
      </c>
      <c r="R816" s="9" t="s">
        <v>180</v>
      </c>
    </row>
    <row r="817" spans="1:19" ht="12" customHeight="1" x14ac:dyDescent="0.25">
      <c r="A817" s="14"/>
      <c r="B817" s="15" t="s">
        <v>497</v>
      </c>
      <c r="C817" s="29">
        <v>13222</v>
      </c>
      <c r="D817" s="16">
        <v>46028</v>
      </c>
      <c r="E817" s="15" t="s">
        <v>2</v>
      </c>
      <c r="F817" s="29">
        <v>0</v>
      </c>
      <c r="G817" s="29">
        <v>0</v>
      </c>
      <c r="H817" s="29">
        <v>14134.31</v>
      </c>
      <c r="I817" s="15">
        <v>60</v>
      </c>
      <c r="J817" s="15">
        <v>91</v>
      </c>
      <c r="K817" s="30">
        <v>61000</v>
      </c>
      <c r="L817" s="17">
        <v>46089</v>
      </c>
      <c r="M817" s="18">
        <v>14134</v>
      </c>
      <c r="N817" s="16">
        <v>46092</v>
      </c>
      <c r="O817" s="19"/>
      <c r="P817" s="20">
        <v>912.29</v>
      </c>
      <c r="Q817" s="29">
        <v>13221.71</v>
      </c>
      <c r="R817" s="9" t="s">
        <v>180</v>
      </c>
    </row>
    <row r="818" spans="1:19" ht="12" customHeight="1" x14ac:dyDescent="0.25">
      <c r="A818" s="14"/>
      <c r="B818" s="15" t="s">
        <v>498</v>
      </c>
      <c r="C818" s="29">
        <v>45312</v>
      </c>
      <c r="D818" s="16">
        <v>46028</v>
      </c>
      <c r="E818" s="15" t="s">
        <v>3</v>
      </c>
      <c r="F818" s="29">
        <v>40000</v>
      </c>
      <c r="G818" s="29">
        <v>0</v>
      </c>
      <c r="H818" s="29">
        <v>50000</v>
      </c>
      <c r="I818" s="15">
        <v>90</v>
      </c>
      <c r="J818" s="15">
        <v>235</v>
      </c>
      <c r="K818" s="30">
        <v>50000</v>
      </c>
      <c r="L818" s="17">
        <v>46118</v>
      </c>
      <c r="M818" s="18">
        <v>10000</v>
      </c>
      <c r="N818" s="16">
        <v>46114</v>
      </c>
      <c r="O818" s="19">
        <v>84</v>
      </c>
      <c r="P818" s="20">
        <v>937.6</v>
      </c>
      <c r="Q818" s="29">
        <v>9062.4</v>
      </c>
      <c r="R818" s="9" t="s">
        <v>180</v>
      </c>
    </row>
    <row r="819" spans="1:19" ht="12" customHeight="1" x14ac:dyDescent="0.25">
      <c r="A819" s="14"/>
      <c r="B819" s="15" t="s">
        <v>499</v>
      </c>
      <c r="C819" s="29">
        <v>53475</v>
      </c>
      <c r="D819" s="16">
        <v>46028</v>
      </c>
      <c r="E819" s="15" t="s">
        <v>3</v>
      </c>
      <c r="F819" s="29">
        <v>59009.66</v>
      </c>
      <c r="G819" s="29">
        <v>0</v>
      </c>
      <c r="H819" s="29">
        <v>59009.66</v>
      </c>
      <c r="I819" s="15">
        <v>90</v>
      </c>
      <c r="J819" s="15">
        <v>230</v>
      </c>
      <c r="K819" s="30">
        <v>100000</v>
      </c>
      <c r="L819" s="17">
        <v>46118</v>
      </c>
      <c r="M819" s="18">
        <v>0</v>
      </c>
      <c r="N819" s="16"/>
      <c r="O819" s="19">
        <v>84</v>
      </c>
      <c r="P819" s="20">
        <v>0</v>
      </c>
      <c r="Q819" s="29">
        <v>0</v>
      </c>
      <c r="R819" s="9" t="s">
        <v>180</v>
      </c>
    </row>
    <row r="820" spans="1:19" ht="12" customHeight="1" x14ac:dyDescent="0.25">
      <c r="A820" s="14"/>
      <c r="B820" s="15" t="s">
        <v>500</v>
      </c>
      <c r="C820" s="29">
        <v>24050</v>
      </c>
      <c r="D820" s="16">
        <v>46029</v>
      </c>
      <c r="E820" s="15" t="s">
        <v>3</v>
      </c>
      <c r="F820" s="29">
        <v>26470</v>
      </c>
      <c r="G820" s="29">
        <v>0</v>
      </c>
      <c r="H820" s="29">
        <v>26470</v>
      </c>
      <c r="I820" s="15">
        <v>90</v>
      </c>
      <c r="J820" s="15">
        <v>53</v>
      </c>
      <c r="K820" s="30">
        <v>630000</v>
      </c>
      <c r="L820" s="17">
        <v>46119</v>
      </c>
      <c r="M820" s="18">
        <v>0</v>
      </c>
      <c r="N820" s="16"/>
      <c r="O820" s="19">
        <v>83</v>
      </c>
      <c r="P820" s="20">
        <v>0</v>
      </c>
      <c r="Q820" s="29">
        <v>0</v>
      </c>
      <c r="R820" s="9" t="s">
        <v>180</v>
      </c>
    </row>
    <row r="821" spans="1:19" ht="12" customHeight="1" x14ac:dyDescent="0.25">
      <c r="A821" s="14"/>
      <c r="B821" s="15" t="s">
        <v>501</v>
      </c>
      <c r="C821" s="29">
        <v>48800</v>
      </c>
      <c r="D821" s="16">
        <v>46029</v>
      </c>
      <c r="E821" s="15" t="s">
        <v>2</v>
      </c>
      <c r="F821" s="29">
        <v>0</v>
      </c>
      <c r="G821" s="29">
        <v>0</v>
      </c>
      <c r="H821" s="29">
        <v>50477</v>
      </c>
      <c r="I821" s="15">
        <v>30</v>
      </c>
      <c r="J821" s="15">
        <v>56</v>
      </c>
      <c r="K821" s="30">
        <v>320000</v>
      </c>
      <c r="L821" s="17">
        <v>46061</v>
      </c>
      <c r="M821" s="18">
        <v>50477</v>
      </c>
      <c r="N821" s="16">
        <v>46063</v>
      </c>
      <c r="O821" s="19"/>
      <c r="P821" s="20">
        <v>1677</v>
      </c>
      <c r="Q821" s="29">
        <v>48800</v>
      </c>
      <c r="R821" s="9" t="s">
        <v>180</v>
      </c>
    </row>
    <row r="822" spans="1:19" ht="12" customHeight="1" x14ac:dyDescent="0.25">
      <c r="A822" s="14"/>
      <c r="B822" s="15" t="s">
        <v>502</v>
      </c>
      <c r="C822" s="29">
        <v>259976</v>
      </c>
      <c r="D822" s="16">
        <v>46029</v>
      </c>
      <c r="E822" s="15" t="s">
        <v>3</v>
      </c>
      <c r="F822" s="29">
        <v>286883.51</v>
      </c>
      <c r="G822" s="29">
        <v>0</v>
      </c>
      <c r="H822" s="29">
        <v>286883.51</v>
      </c>
      <c r="I822" s="15">
        <v>90</v>
      </c>
      <c r="J822" s="15">
        <v>239</v>
      </c>
      <c r="K822" s="30">
        <v>290000</v>
      </c>
      <c r="L822" s="17">
        <v>46119</v>
      </c>
      <c r="M822" s="18">
        <v>0</v>
      </c>
      <c r="N822" s="16"/>
      <c r="O822" s="19">
        <v>83</v>
      </c>
      <c r="P822" s="20">
        <v>0</v>
      </c>
      <c r="Q822" s="29">
        <v>0</v>
      </c>
      <c r="R822" s="9" t="s">
        <v>180</v>
      </c>
    </row>
    <row r="823" spans="1:19" ht="12" customHeight="1" x14ac:dyDescent="0.25">
      <c r="A823" s="14"/>
      <c r="B823" s="15" t="s">
        <v>503</v>
      </c>
      <c r="C823" s="29">
        <v>75000</v>
      </c>
      <c r="D823" s="16">
        <v>46030</v>
      </c>
      <c r="E823" s="15" t="s">
        <v>2</v>
      </c>
      <c r="F823" s="29">
        <v>0</v>
      </c>
      <c r="G823" s="29">
        <v>0</v>
      </c>
      <c r="H823" s="29">
        <v>77587.5</v>
      </c>
      <c r="I823" s="15">
        <v>30</v>
      </c>
      <c r="J823" s="15">
        <v>17</v>
      </c>
      <c r="K823" s="30">
        <v>2400000</v>
      </c>
      <c r="L823" s="17">
        <v>46061</v>
      </c>
      <c r="M823" s="18">
        <v>77587.5</v>
      </c>
      <c r="N823" s="16">
        <v>46062</v>
      </c>
      <c r="O823" s="19"/>
      <c r="P823" s="20">
        <v>2587.5</v>
      </c>
      <c r="Q823" s="29">
        <v>75000</v>
      </c>
      <c r="R823" s="9" t="s">
        <v>180</v>
      </c>
    </row>
    <row r="824" spans="1:19" ht="12" customHeight="1" x14ac:dyDescent="0.25">
      <c r="A824" s="14"/>
      <c r="B824" s="15" t="s">
        <v>504</v>
      </c>
      <c r="C824" s="29">
        <v>159667</v>
      </c>
      <c r="D824" s="16">
        <v>46030</v>
      </c>
      <c r="E824" s="15" t="s">
        <v>2</v>
      </c>
      <c r="F824" s="29">
        <v>0</v>
      </c>
      <c r="G824" s="29">
        <v>0</v>
      </c>
      <c r="H824" s="29">
        <v>165179.31</v>
      </c>
      <c r="I824" s="15">
        <v>30</v>
      </c>
      <c r="J824" s="15">
        <v>12</v>
      </c>
      <c r="K824" s="30">
        <v>1196000</v>
      </c>
      <c r="L824" s="17">
        <v>46061</v>
      </c>
      <c r="M824" s="18">
        <v>165179</v>
      </c>
      <c r="N824" s="16">
        <v>46063</v>
      </c>
      <c r="O824" s="19"/>
      <c r="P824" s="20">
        <v>5512.3</v>
      </c>
      <c r="Q824" s="29">
        <v>159666.70000000001</v>
      </c>
      <c r="R824" s="9" t="s">
        <v>180</v>
      </c>
    </row>
    <row r="825" spans="1:19" ht="12" customHeight="1" x14ac:dyDescent="0.25">
      <c r="A825" s="14"/>
      <c r="B825" s="15" t="s">
        <v>505</v>
      </c>
      <c r="C825" s="29">
        <v>161463</v>
      </c>
      <c r="D825" s="16">
        <v>46030</v>
      </c>
      <c r="E825" s="15" t="s">
        <v>2</v>
      </c>
      <c r="F825" s="29">
        <v>0</v>
      </c>
      <c r="G825" s="29">
        <v>0</v>
      </c>
      <c r="H825" s="29">
        <v>167033.48000000001</v>
      </c>
      <c r="I825" s="15">
        <v>30</v>
      </c>
      <c r="J825" s="15">
        <v>29</v>
      </c>
      <c r="K825" s="30">
        <v>1240000</v>
      </c>
      <c r="L825" s="17">
        <v>46061</v>
      </c>
      <c r="M825" s="18">
        <v>167033</v>
      </c>
      <c r="N825" s="16">
        <v>46069</v>
      </c>
      <c r="O825" s="19"/>
      <c r="P825" s="20">
        <v>5570.46</v>
      </c>
      <c r="Q825" s="29">
        <v>161462.54</v>
      </c>
      <c r="R825" s="9" t="s">
        <v>180</v>
      </c>
    </row>
    <row r="826" spans="1:19" ht="12" customHeight="1" x14ac:dyDescent="0.25">
      <c r="A826" s="14"/>
      <c r="B826" s="15" t="s">
        <v>506</v>
      </c>
      <c r="C826" s="29">
        <v>155949</v>
      </c>
      <c r="D826" s="16">
        <v>46030</v>
      </c>
      <c r="E826" s="15" t="s">
        <v>2</v>
      </c>
      <c r="F826" s="29">
        <v>0</v>
      </c>
      <c r="G826" s="29">
        <v>0</v>
      </c>
      <c r="H826" s="29">
        <v>161329.24</v>
      </c>
      <c r="I826" s="15">
        <v>30</v>
      </c>
      <c r="J826" s="15">
        <v>29</v>
      </c>
      <c r="K826" s="30">
        <v>1240000</v>
      </c>
      <c r="L826" s="17">
        <v>46061</v>
      </c>
      <c r="M826" s="18">
        <v>161328.76999999999</v>
      </c>
      <c r="N826" s="16">
        <v>46069</v>
      </c>
      <c r="O826" s="19"/>
      <c r="P826" s="20">
        <v>5380.22</v>
      </c>
      <c r="Q826" s="29">
        <v>155948.54999999999</v>
      </c>
      <c r="R826" s="9" t="s">
        <v>180</v>
      </c>
    </row>
    <row r="827" spans="1:19" ht="12" customHeight="1" x14ac:dyDescent="0.25">
      <c r="A827" s="14"/>
      <c r="B827" s="15" t="s">
        <v>507</v>
      </c>
      <c r="C827" s="29">
        <v>153647</v>
      </c>
      <c r="D827" s="16">
        <v>46030</v>
      </c>
      <c r="E827" s="15" t="s">
        <v>2</v>
      </c>
      <c r="F827" s="29">
        <v>0</v>
      </c>
      <c r="G827" s="29">
        <v>0</v>
      </c>
      <c r="H827" s="29">
        <v>158947.84</v>
      </c>
      <c r="I827" s="15">
        <v>30</v>
      </c>
      <c r="J827" s="15">
        <v>29</v>
      </c>
      <c r="K827" s="30">
        <v>1240000</v>
      </c>
      <c r="L827" s="17">
        <v>46061</v>
      </c>
      <c r="M827" s="18">
        <v>158948</v>
      </c>
      <c r="N827" s="16">
        <v>46064</v>
      </c>
      <c r="O827" s="19"/>
      <c r="P827" s="20">
        <v>5300.84</v>
      </c>
      <c r="Q827" s="29">
        <v>153647.16</v>
      </c>
      <c r="R827" s="9" t="s">
        <v>180</v>
      </c>
    </row>
    <row r="828" spans="1:19" ht="12" customHeight="1" x14ac:dyDescent="0.25">
      <c r="A828" s="14"/>
      <c r="B828" s="15" t="s">
        <v>508</v>
      </c>
      <c r="C828" s="29">
        <v>89709</v>
      </c>
      <c r="D828" s="16">
        <v>46030</v>
      </c>
      <c r="E828" s="15" t="s">
        <v>3</v>
      </c>
      <c r="F828" s="29">
        <v>98993.87</v>
      </c>
      <c r="G828" s="29">
        <v>0</v>
      </c>
      <c r="H828" s="29">
        <v>98993.87</v>
      </c>
      <c r="I828" s="15">
        <v>90</v>
      </c>
      <c r="J828" s="15">
        <v>121</v>
      </c>
      <c r="K828" s="30">
        <v>100000</v>
      </c>
      <c r="L828" s="17">
        <v>46120</v>
      </c>
      <c r="M828" s="18">
        <v>0</v>
      </c>
      <c r="N828" s="16"/>
      <c r="O828" s="19">
        <v>82</v>
      </c>
      <c r="P828" s="20">
        <v>0</v>
      </c>
      <c r="Q828" s="29">
        <v>0</v>
      </c>
      <c r="R828" s="9" t="s">
        <v>180</v>
      </c>
    </row>
    <row r="829" spans="1:19" ht="12" customHeight="1" x14ac:dyDescent="0.25">
      <c r="A829" s="14"/>
      <c r="B829" s="15" t="s">
        <v>509</v>
      </c>
      <c r="C829" s="29">
        <v>0</v>
      </c>
      <c r="D829" s="16">
        <v>46030</v>
      </c>
      <c r="E829" s="15" t="s">
        <v>4</v>
      </c>
      <c r="F829" s="29">
        <v>9078</v>
      </c>
      <c r="G829" s="29">
        <v>9078</v>
      </c>
      <c r="H829" s="29">
        <v>9078</v>
      </c>
      <c r="I829" s="15">
        <v>0</v>
      </c>
      <c r="J829" s="15">
        <v>162</v>
      </c>
      <c r="K829" s="30">
        <v>160000</v>
      </c>
      <c r="L829" s="17">
        <v>46030</v>
      </c>
      <c r="M829" s="18">
        <v>0</v>
      </c>
      <c r="N829" s="16"/>
      <c r="O829" s="19">
        <v>82</v>
      </c>
      <c r="P829" s="20">
        <v>0</v>
      </c>
      <c r="Q829" s="29">
        <v>0</v>
      </c>
      <c r="R829" s="9" t="s">
        <v>180</v>
      </c>
      <c r="S829" s="10" t="s">
        <v>653</v>
      </c>
    </row>
    <row r="830" spans="1:19" ht="12" customHeight="1" x14ac:dyDescent="0.25">
      <c r="A830" s="14"/>
      <c r="B830" s="15" t="s">
        <v>510</v>
      </c>
      <c r="C830" s="29">
        <v>290828</v>
      </c>
      <c r="D830" s="16">
        <v>46030</v>
      </c>
      <c r="E830" s="15" t="s">
        <v>2</v>
      </c>
      <c r="F830" s="29">
        <v>0</v>
      </c>
      <c r="G830" s="29">
        <v>0</v>
      </c>
      <c r="H830" s="29">
        <v>300861.57</v>
      </c>
      <c r="I830" s="15">
        <v>30</v>
      </c>
      <c r="J830" s="15">
        <v>172</v>
      </c>
      <c r="K830" s="30">
        <v>2000000</v>
      </c>
      <c r="L830" s="17">
        <v>46064</v>
      </c>
      <c r="M830" s="18">
        <v>300861.67</v>
      </c>
      <c r="N830" s="16">
        <v>46068</v>
      </c>
      <c r="O830" s="19"/>
      <c r="P830" s="20">
        <v>10033.57</v>
      </c>
      <c r="Q830" s="29">
        <v>290828.09999999998</v>
      </c>
      <c r="R830" s="9" t="s">
        <v>180</v>
      </c>
    </row>
    <row r="831" spans="1:19" ht="12" customHeight="1" x14ac:dyDescent="0.25">
      <c r="A831" s="14"/>
      <c r="B831" s="15" t="s">
        <v>511</v>
      </c>
      <c r="C831" s="29">
        <v>100454</v>
      </c>
      <c r="D831" s="16">
        <v>46030</v>
      </c>
      <c r="E831" s="15" t="s">
        <v>2</v>
      </c>
      <c r="F831" s="29">
        <v>0</v>
      </c>
      <c r="G831" s="29">
        <v>0</v>
      </c>
      <c r="H831" s="29">
        <v>103478.56</v>
      </c>
      <c r="I831" s="15">
        <v>15</v>
      </c>
      <c r="J831" s="15">
        <v>188</v>
      </c>
      <c r="K831" s="30">
        <v>100000</v>
      </c>
      <c r="L831" s="17">
        <v>46047</v>
      </c>
      <c r="M831" s="18">
        <v>103500</v>
      </c>
      <c r="N831" s="16">
        <v>46055</v>
      </c>
      <c r="O831" s="19"/>
      <c r="P831" s="20">
        <v>3025.18</v>
      </c>
      <c r="Q831" s="29">
        <v>100474.82</v>
      </c>
      <c r="R831" s="9" t="s">
        <v>180</v>
      </c>
    </row>
    <row r="832" spans="1:19" ht="12" customHeight="1" x14ac:dyDescent="0.25">
      <c r="A832" s="14"/>
      <c r="B832" s="15" t="s">
        <v>512</v>
      </c>
      <c r="C832" s="29">
        <v>20240</v>
      </c>
      <c r="D832" s="16">
        <v>46030</v>
      </c>
      <c r="E832" s="15" t="s">
        <v>2</v>
      </c>
      <c r="F832" s="29">
        <v>0</v>
      </c>
      <c r="G832" s="29">
        <v>0</v>
      </c>
      <c r="H832" s="29">
        <v>21636.560000000001</v>
      </c>
      <c r="I832" s="15">
        <v>60</v>
      </c>
      <c r="J832" s="15">
        <v>236</v>
      </c>
      <c r="K832" s="30">
        <v>43478</v>
      </c>
      <c r="L832" s="17">
        <v>46090</v>
      </c>
      <c r="M832" s="18">
        <v>21636.74</v>
      </c>
      <c r="N832" s="16">
        <v>46089</v>
      </c>
      <c r="O832" s="19"/>
      <c r="P832" s="20">
        <v>1396.57</v>
      </c>
      <c r="Q832" s="29">
        <v>20240.169999999998</v>
      </c>
      <c r="R832" s="9" t="s">
        <v>180</v>
      </c>
    </row>
    <row r="833" spans="1:18" ht="12" customHeight="1" x14ac:dyDescent="0.25">
      <c r="A833" s="14"/>
      <c r="B833" s="15" t="s">
        <v>513</v>
      </c>
      <c r="C833" s="29">
        <v>34017</v>
      </c>
      <c r="D833" s="16">
        <v>46030</v>
      </c>
      <c r="E833" s="15" t="s">
        <v>3</v>
      </c>
      <c r="F833" s="29">
        <v>37537.769999999997</v>
      </c>
      <c r="G833" s="29">
        <v>0</v>
      </c>
      <c r="H833" s="29">
        <v>37537.769999999997</v>
      </c>
      <c r="I833" s="15">
        <v>90</v>
      </c>
      <c r="J833" s="15">
        <v>216</v>
      </c>
      <c r="K833" s="30">
        <v>87000</v>
      </c>
      <c r="L833" s="17">
        <v>46120</v>
      </c>
      <c r="M833" s="18">
        <v>0</v>
      </c>
      <c r="N833" s="16"/>
      <c r="O833" s="19">
        <v>82</v>
      </c>
      <c r="P833" s="20">
        <v>0</v>
      </c>
      <c r="Q833" s="29">
        <v>0</v>
      </c>
      <c r="R833" s="9" t="s">
        <v>180</v>
      </c>
    </row>
    <row r="834" spans="1:18" ht="12" customHeight="1" x14ac:dyDescent="0.25">
      <c r="A834" s="14"/>
      <c r="B834" s="15">
        <v>1270</v>
      </c>
      <c r="C834" s="29">
        <v>39790</v>
      </c>
      <c r="D834" s="16">
        <v>46030</v>
      </c>
      <c r="E834" s="15" t="s">
        <v>3</v>
      </c>
      <c r="F834" s="29">
        <v>43908</v>
      </c>
      <c r="G834" s="29">
        <v>0</v>
      </c>
      <c r="H834" s="29">
        <v>43908</v>
      </c>
      <c r="I834" s="15">
        <v>90</v>
      </c>
      <c r="J834" s="15">
        <v>227</v>
      </c>
      <c r="K834" s="30">
        <v>44000</v>
      </c>
      <c r="L834" s="17">
        <v>46120</v>
      </c>
      <c r="M834" s="18">
        <v>0</v>
      </c>
      <c r="N834" s="16"/>
      <c r="O834" s="19">
        <v>82</v>
      </c>
      <c r="P834" s="20">
        <v>0</v>
      </c>
      <c r="Q834" s="29">
        <v>0</v>
      </c>
      <c r="R834" s="9" t="s">
        <v>180</v>
      </c>
    </row>
    <row r="835" spans="1:18" ht="12" customHeight="1" x14ac:dyDescent="0.25">
      <c r="A835" s="14"/>
      <c r="B835" s="15" t="s">
        <v>514</v>
      </c>
      <c r="C835" s="29">
        <v>4500000</v>
      </c>
      <c r="D835" s="16">
        <v>46030</v>
      </c>
      <c r="E835" s="15" t="s">
        <v>2</v>
      </c>
      <c r="F835" s="29">
        <v>0</v>
      </c>
      <c r="G835" s="29">
        <v>0</v>
      </c>
      <c r="H835" s="29">
        <v>4888000</v>
      </c>
      <c r="I835" s="15">
        <v>90</v>
      </c>
      <c r="J835" s="15">
        <v>232</v>
      </c>
      <c r="K835" s="30">
        <v>4500000</v>
      </c>
      <c r="L835" s="17">
        <v>46120</v>
      </c>
      <c r="M835" s="18">
        <v>4888000</v>
      </c>
      <c r="N835" s="16">
        <v>46076</v>
      </c>
      <c r="O835" s="19"/>
      <c r="P835" s="20">
        <v>388000</v>
      </c>
      <c r="Q835" s="29">
        <v>4500000</v>
      </c>
      <c r="R835" s="9" t="s">
        <v>634</v>
      </c>
    </row>
    <row r="836" spans="1:18" ht="12" customHeight="1" x14ac:dyDescent="0.25">
      <c r="A836" s="14"/>
      <c r="B836" s="15" t="s">
        <v>515</v>
      </c>
      <c r="C836" s="29">
        <v>132400</v>
      </c>
      <c r="D836" s="16">
        <v>46033</v>
      </c>
      <c r="E836" s="15" t="s">
        <v>2</v>
      </c>
      <c r="F836" s="29">
        <v>0</v>
      </c>
      <c r="G836" s="29">
        <v>0</v>
      </c>
      <c r="H836" s="29">
        <v>133924.98000000001</v>
      </c>
      <c r="I836" s="15">
        <v>4</v>
      </c>
      <c r="J836" s="15">
        <v>18</v>
      </c>
      <c r="K836" s="30">
        <v>600000</v>
      </c>
      <c r="L836" s="17">
        <v>46037</v>
      </c>
      <c r="M836" s="18">
        <v>133925</v>
      </c>
      <c r="N836" s="16">
        <v>46040</v>
      </c>
      <c r="O836" s="19"/>
      <c r="P836" s="20">
        <v>1524.98</v>
      </c>
      <c r="Q836" s="29">
        <v>132400.01999999999</v>
      </c>
      <c r="R836" s="9" t="s">
        <v>180</v>
      </c>
    </row>
    <row r="837" spans="1:18" ht="12" customHeight="1" x14ac:dyDescent="0.25">
      <c r="A837" s="14"/>
      <c r="B837" s="15" t="s">
        <v>516</v>
      </c>
      <c r="C837" s="29">
        <v>87143</v>
      </c>
      <c r="D837" s="16">
        <v>46033</v>
      </c>
      <c r="E837" s="15" t="s">
        <v>2</v>
      </c>
      <c r="F837" s="29">
        <v>0</v>
      </c>
      <c r="G837" s="29">
        <v>0</v>
      </c>
      <c r="H837" s="29">
        <v>90149.440000000002</v>
      </c>
      <c r="I837" s="15">
        <v>30</v>
      </c>
      <c r="J837" s="15">
        <v>29</v>
      </c>
      <c r="K837" s="30">
        <v>1240000</v>
      </c>
      <c r="L837" s="17">
        <v>46063</v>
      </c>
      <c r="M837" s="18">
        <v>90149</v>
      </c>
      <c r="N837" s="16">
        <v>46064</v>
      </c>
      <c r="O837" s="19"/>
      <c r="P837" s="20">
        <v>3006.43</v>
      </c>
      <c r="Q837" s="29">
        <v>87142.57</v>
      </c>
      <c r="R837" s="9" t="s">
        <v>180</v>
      </c>
    </row>
    <row r="838" spans="1:18" ht="12" customHeight="1" x14ac:dyDescent="0.25">
      <c r="A838" s="14"/>
      <c r="B838" s="15" t="s">
        <v>517</v>
      </c>
      <c r="C838" s="29">
        <v>33810</v>
      </c>
      <c r="D838" s="16">
        <v>46033</v>
      </c>
      <c r="E838" s="15" t="s">
        <v>3</v>
      </c>
      <c r="F838" s="29">
        <v>37309.339999999997</v>
      </c>
      <c r="G838" s="29">
        <v>0</v>
      </c>
      <c r="H838" s="29">
        <v>37309.339999999997</v>
      </c>
      <c r="I838" s="15">
        <v>90</v>
      </c>
      <c r="J838" s="15">
        <v>54</v>
      </c>
      <c r="K838" s="30">
        <v>117000</v>
      </c>
      <c r="L838" s="17">
        <v>46124</v>
      </c>
      <c r="M838" s="18">
        <v>0</v>
      </c>
      <c r="N838" s="16"/>
      <c r="O838" s="19">
        <v>79</v>
      </c>
      <c r="P838" s="20">
        <v>0</v>
      </c>
      <c r="Q838" s="29">
        <v>0</v>
      </c>
      <c r="R838" s="9" t="s">
        <v>180</v>
      </c>
    </row>
    <row r="839" spans="1:18" ht="12" customHeight="1" x14ac:dyDescent="0.25">
      <c r="A839" s="14"/>
      <c r="B839" s="15" t="s">
        <v>518</v>
      </c>
      <c r="C839" s="29">
        <v>10832</v>
      </c>
      <c r="D839" s="16">
        <v>46034</v>
      </c>
      <c r="E839" s="15" t="s">
        <v>2</v>
      </c>
      <c r="F839" s="29">
        <v>0</v>
      </c>
      <c r="G839" s="29">
        <v>0</v>
      </c>
      <c r="H839" s="29">
        <v>11205.71</v>
      </c>
      <c r="I839" s="15">
        <v>30</v>
      </c>
      <c r="J839" s="15">
        <v>46</v>
      </c>
      <c r="K839" s="30">
        <v>30000</v>
      </c>
      <c r="L839" s="17">
        <v>46071</v>
      </c>
      <c r="M839" s="18">
        <v>11206</v>
      </c>
      <c r="N839" s="16">
        <v>46070</v>
      </c>
      <c r="O839" s="19"/>
      <c r="P839" s="20">
        <v>373.72</v>
      </c>
      <c r="Q839" s="29">
        <v>10832.28</v>
      </c>
      <c r="R839" s="9" t="s">
        <v>180</v>
      </c>
    </row>
    <row r="840" spans="1:18" ht="12" customHeight="1" x14ac:dyDescent="0.25">
      <c r="A840" s="14"/>
      <c r="B840" s="15" t="s">
        <v>519</v>
      </c>
      <c r="C840" s="29">
        <v>9936</v>
      </c>
      <c r="D840" s="16">
        <v>46034</v>
      </c>
      <c r="E840" s="15" t="s">
        <v>2</v>
      </c>
      <c r="F840" s="29">
        <v>0</v>
      </c>
      <c r="G840" s="29">
        <v>0</v>
      </c>
      <c r="H840" s="29">
        <v>10622</v>
      </c>
      <c r="I840" s="15">
        <v>60</v>
      </c>
      <c r="J840" s="15">
        <v>91</v>
      </c>
      <c r="K840" s="30">
        <v>61000</v>
      </c>
      <c r="L840" s="17">
        <v>46096</v>
      </c>
      <c r="M840" s="18">
        <v>10678</v>
      </c>
      <c r="N840" s="16">
        <v>46110</v>
      </c>
      <c r="O840" s="19"/>
      <c r="P840" s="20">
        <v>689.62</v>
      </c>
      <c r="Q840" s="29">
        <v>9988.3799999999992</v>
      </c>
      <c r="R840" s="9" t="s">
        <v>180</v>
      </c>
    </row>
    <row r="841" spans="1:18" ht="12" customHeight="1" x14ac:dyDescent="0.25">
      <c r="A841" s="14"/>
      <c r="B841" s="15" t="s">
        <v>520</v>
      </c>
      <c r="C841" s="29">
        <v>13500</v>
      </c>
      <c r="D841" s="16">
        <v>46034</v>
      </c>
      <c r="E841" s="15" t="s">
        <v>2</v>
      </c>
      <c r="F841" s="29">
        <v>0</v>
      </c>
      <c r="G841" s="29">
        <v>0</v>
      </c>
      <c r="H841" s="29">
        <v>13972.5</v>
      </c>
      <c r="I841" s="15">
        <v>30</v>
      </c>
      <c r="J841" s="15">
        <v>139</v>
      </c>
      <c r="K841" s="30">
        <v>322000</v>
      </c>
      <c r="L841" s="17">
        <v>46064</v>
      </c>
      <c r="M841" s="18">
        <v>13973</v>
      </c>
      <c r="N841" s="16">
        <v>46065</v>
      </c>
      <c r="O841" s="19"/>
      <c r="P841" s="20">
        <v>472.52</v>
      </c>
      <c r="Q841" s="29">
        <v>13500.48</v>
      </c>
      <c r="R841" s="9" t="s">
        <v>180</v>
      </c>
    </row>
    <row r="842" spans="1:18" ht="12" customHeight="1" x14ac:dyDescent="0.25">
      <c r="A842" s="14"/>
      <c r="B842" s="15" t="s">
        <v>521</v>
      </c>
      <c r="C842" s="29">
        <v>698209</v>
      </c>
      <c r="D842" s="16">
        <v>46034</v>
      </c>
      <c r="E842" s="15" t="s">
        <v>2</v>
      </c>
      <c r="F842" s="29">
        <v>0</v>
      </c>
      <c r="G842" s="29">
        <v>0</v>
      </c>
      <c r="H842" s="29">
        <v>722297.21</v>
      </c>
      <c r="I842" s="15">
        <v>30</v>
      </c>
      <c r="J842" s="15">
        <v>172</v>
      </c>
      <c r="K842" s="30">
        <v>2000000</v>
      </c>
      <c r="L842" s="17">
        <v>46064</v>
      </c>
      <c r="M842" s="18">
        <v>722297.56</v>
      </c>
      <c r="N842" s="16">
        <v>46069</v>
      </c>
      <c r="O842" s="19"/>
      <c r="P842" s="20">
        <v>24088.22</v>
      </c>
      <c r="Q842" s="29">
        <v>698209.34</v>
      </c>
      <c r="R842" s="9" t="s">
        <v>180</v>
      </c>
    </row>
    <row r="843" spans="1:18" ht="12" customHeight="1" x14ac:dyDescent="0.25">
      <c r="A843" s="14"/>
      <c r="B843" s="15" t="s">
        <v>522</v>
      </c>
      <c r="C843" s="29">
        <v>33408</v>
      </c>
      <c r="D843" s="16">
        <v>46034</v>
      </c>
      <c r="E843" s="15" t="s">
        <v>3</v>
      </c>
      <c r="F843" s="29">
        <v>36865.72</v>
      </c>
      <c r="G843" s="29">
        <v>0</v>
      </c>
      <c r="H843" s="29">
        <v>36865.72</v>
      </c>
      <c r="I843" s="15">
        <v>90</v>
      </c>
      <c r="J843" s="15">
        <v>230</v>
      </c>
      <c r="K843" s="30">
        <v>100000</v>
      </c>
      <c r="L843" s="17">
        <v>46124</v>
      </c>
      <c r="M843" s="18">
        <v>0</v>
      </c>
      <c r="N843" s="16"/>
      <c r="O843" s="19">
        <v>78</v>
      </c>
      <c r="P843" s="20">
        <v>0</v>
      </c>
      <c r="Q843" s="29">
        <v>0</v>
      </c>
      <c r="R843" s="9" t="s">
        <v>180</v>
      </c>
    </row>
    <row r="844" spans="1:18" ht="12" customHeight="1" x14ac:dyDescent="0.25">
      <c r="A844" s="14"/>
      <c r="B844" s="15" t="s">
        <v>523</v>
      </c>
      <c r="C844" s="29">
        <v>126864</v>
      </c>
      <c r="D844" s="16">
        <v>46034</v>
      </c>
      <c r="E844" s="15" t="s">
        <v>3</v>
      </c>
      <c r="F844" s="29">
        <v>139986.5</v>
      </c>
      <c r="G844" s="29">
        <v>0</v>
      </c>
      <c r="H844" s="29">
        <v>139986.5</v>
      </c>
      <c r="I844" s="15">
        <v>90</v>
      </c>
      <c r="J844" s="15">
        <v>240</v>
      </c>
      <c r="K844" s="30">
        <v>140000</v>
      </c>
      <c r="L844" s="17">
        <v>46124</v>
      </c>
      <c r="M844" s="18">
        <v>0</v>
      </c>
      <c r="N844" s="16"/>
      <c r="O844" s="19">
        <v>78</v>
      </c>
      <c r="P844" s="20">
        <v>0</v>
      </c>
      <c r="Q844" s="29">
        <v>0</v>
      </c>
      <c r="R844" s="9" t="s">
        <v>180</v>
      </c>
    </row>
    <row r="845" spans="1:18" ht="12" customHeight="1" x14ac:dyDescent="0.25">
      <c r="A845" s="14"/>
      <c r="B845" s="15">
        <v>1272</v>
      </c>
      <c r="C845" s="29">
        <v>35016</v>
      </c>
      <c r="D845" s="16">
        <v>46034</v>
      </c>
      <c r="E845" s="15" t="s">
        <v>2</v>
      </c>
      <c r="F845" s="29">
        <v>0</v>
      </c>
      <c r="G845" s="29">
        <v>0</v>
      </c>
      <c r="H845" s="29">
        <v>36223.99</v>
      </c>
      <c r="I845" s="15">
        <v>30</v>
      </c>
      <c r="J845" s="15">
        <v>177</v>
      </c>
      <c r="K845" s="30">
        <v>100000</v>
      </c>
      <c r="L845" s="17">
        <v>46064</v>
      </c>
      <c r="M845" s="18">
        <v>36224</v>
      </c>
      <c r="N845" s="16">
        <v>46086</v>
      </c>
      <c r="O845" s="19"/>
      <c r="P845" s="20">
        <v>1207.99</v>
      </c>
      <c r="Q845" s="29">
        <v>35016.01</v>
      </c>
      <c r="R845" s="9" t="s">
        <v>180</v>
      </c>
    </row>
    <row r="846" spans="1:18" ht="12" customHeight="1" x14ac:dyDescent="0.25">
      <c r="A846" s="14"/>
      <c r="B846" s="15" t="s">
        <v>524</v>
      </c>
      <c r="C846" s="29">
        <v>170180</v>
      </c>
      <c r="D846" s="16">
        <v>46035</v>
      </c>
      <c r="E846" s="15" t="s">
        <v>2</v>
      </c>
      <c r="F846" s="29">
        <v>0</v>
      </c>
      <c r="G846" s="29">
        <v>0</v>
      </c>
      <c r="H846" s="29">
        <v>172120</v>
      </c>
      <c r="I846" s="15">
        <v>4</v>
      </c>
      <c r="J846" s="15">
        <v>3</v>
      </c>
      <c r="K846" s="30">
        <v>1000000</v>
      </c>
      <c r="L846" s="17">
        <v>46040</v>
      </c>
      <c r="M846" s="18">
        <v>172120</v>
      </c>
      <c r="N846" s="16">
        <v>46043</v>
      </c>
      <c r="O846" s="19"/>
      <c r="P846" s="20">
        <v>1940</v>
      </c>
      <c r="Q846" s="29">
        <v>170180</v>
      </c>
      <c r="R846" s="9" t="s">
        <v>180</v>
      </c>
    </row>
    <row r="847" spans="1:18" ht="12" customHeight="1" x14ac:dyDescent="0.25">
      <c r="A847" s="14"/>
      <c r="B847" s="15" t="s">
        <v>525</v>
      </c>
      <c r="C847" s="29">
        <v>100073</v>
      </c>
      <c r="D847" s="16">
        <v>46035</v>
      </c>
      <c r="E847" s="15" t="s">
        <v>2</v>
      </c>
      <c r="F847" s="29">
        <v>0</v>
      </c>
      <c r="G847" s="29">
        <v>0</v>
      </c>
      <c r="H847" s="29">
        <v>103525.52</v>
      </c>
      <c r="I847" s="15">
        <v>30</v>
      </c>
      <c r="J847" s="15">
        <v>6</v>
      </c>
      <c r="K847" s="30">
        <v>810000</v>
      </c>
      <c r="L847" s="17">
        <v>46065</v>
      </c>
      <c r="M847" s="18">
        <v>103525</v>
      </c>
      <c r="N847" s="16">
        <v>46069</v>
      </c>
      <c r="O847" s="19"/>
      <c r="P847" s="20">
        <v>3452.5</v>
      </c>
      <c r="Q847" s="29">
        <v>100072.5</v>
      </c>
      <c r="R847" s="9" t="s">
        <v>180</v>
      </c>
    </row>
    <row r="848" spans="1:18" ht="12" customHeight="1" x14ac:dyDescent="0.25">
      <c r="A848" s="14"/>
      <c r="B848" s="15" t="s">
        <v>526</v>
      </c>
      <c r="C848" s="29">
        <v>200000</v>
      </c>
      <c r="D848" s="16">
        <v>46035</v>
      </c>
      <c r="E848" s="15" t="s">
        <v>2</v>
      </c>
      <c r="F848" s="29">
        <v>0</v>
      </c>
      <c r="G848" s="29">
        <v>0</v>
      </c>
      <c r="H848" s="29">
        <v>206875</v>
      </c>
      <c r="I848" s="15">
        <v>30</v>
      </c>
      <c r="J848" s="15">
        <v>15</v>
      </c>
      <c r="K848" s="30">
        <v>2300000</v>
      </c>
      <c r="L848" s="17">
        <v>46068</v>
      </c>
      <c r="M848" s="18">
        <v>206875</v>
      </c>
      <c r="N848" s="16">
        <v>46071</v>
      </c>
      <c r="O848" s="19"/>
      <c r="P848" s="20">
        <v>6875</v>
      </c>
      <c r="Q848" s="29">
        <v>200000</v>
      </c>
      <c r="R848" s="9" t="s">
        <v>180</v>
      </c>
    </row>
    <row r="849" spans="1:19" ht="12" customHeight="1" x14ac:dyDescent="0.25">
      <c r="A849" s="14"/>
      <c r="B849" s="15" t="s">
        <v>527</v>
      </c>
      <c r="C849" s="29">
        <v>0</v>
      </c>
      <c r="D849" s="16">
        <v>46035</v>
      </c>
      <c r="E849" s="15" t="s">
        <v>2</v>
      </c>
      <c r="F849" s="29">
        <v>0</v>
      </c>
      <c r="G849" s="29">
        <v>0</v>
      </c>
      <c r="H849" s="29">
        <v>76</v>
      </c>
      <c r="I849" s="15">
        <v>0</v>
      </c>
      <c r="J849" s="15">
        <v>34</v>
      </c>
      <c r="K849" s="30">
        <v>370000</v>
      </c>
      <c r="L849" s="17">
        <v>46035</v>
      </c>
      <c r="M849" s="18">
        <v>76</v>
      </c>
      <c r="N849" s="16">
        <v>46047</v>
      </c>
      <c r="O849" s="19"/>
      <c r="P849" s="20">
        <v>76</v>
      </c>
      <c r="Q849" s="29">
        <v>0</v>
      </c>
      <c r="R849" s="9" t="s">
        <v>180</v>
      </c>
    </row>
    <row r="850" spans="1:19" ht="12" customHeight="1" x14ac:dyDescent="0.25">
      <c r="A850" s="14"/>
      <c r="B850" s="15" t="s">
        <v>528</v>
      </c>
      <c r="C850" s="29">
        <v>0</v>
      </c>
      <c r="D850" s="16">
        <v>46035</v>
      </c>
      <c r="E850" s="15" t="s">
        <v>2</v>
      </c>
      <c r="F850" s="29">
        <v>0</v>
      </c>
      <c r="G850" s="29">
        <v>0</v>
      </c>
      <c r="H850" s="29">
        <v>36</v>
      </c>
      <c r="I850" s="15">
        <v>0</v>
      </c>
      <c r="J850" s="15">
        <v>34</v>
      </c>
      <c r="K850" s="30">
        <v>370000</v>
      </c>
      <c r="L850" s="17">
        <v>46035</v>
      </c>
      <c r="M850" s="18">
        <v>36</v>
      </c>
      <c r="N850" s="16">
        <v>46047</v>
      </c>
      <c r="O850" s="19"/>
      <c r="P850" s="20">
        <v>36</v>
      </c>
      <c r="Q850" s="29">
        <v>0</v>
      </c>
      <c r="R850" s="9" t="s">
        <v>180</v>
      </c>
    </row>
    <row r="851" spans="1:19" ht="12" customHeight="1" x14ac:dyDescent="0.25">
      <c r="A851" s="14"/>
      <c r="B851" s="15" t="s">
        <v>529</v>
      </c>
      <c r="C851" s="29">
        <v>0</v>
      </c>
      <c r="D851" s="16">
        <v>46035</v>
      </c>
      <c r="E851" s="15" t="s">
        <v>2</v>
      </c>
      <c r="F851" s="29">
        <v>0</v>
      </c>
      <c r="G851" s="29">
        <v>0</v>
      </c>
      <c r="H851" s="29">
        <v>328</v>
      </c>
      <c r="I851" s="15">
        <v>0</v>
      </c>
      <c r="J851" s="15">
        <v>24</v>
      </c>
      <c r="K851" s="30">
        <v>230000</v>
      </c>
      <c r="L851" s="17">
        <v>46035</v>
      </c>
      <c r="M851" s="18">
        <v>328</v>
      </c>
      <c r="N851" s="16">
        <v>46079</v>
      </c>
      <c r="O851" s="19"/>
      <c r="P851" s="20">
        <v>328</v>
      </c>
      <c r="Q851" s="29">
        <v>0</v>
      </c>
      <c r="R851" s="9" t="s">
        <v>180</v>
      </c>
    </row>
    <row r="852" spans="1:19" ht="12" customHeight="1" x14ac:dyDescent="0.25">
      <c r="A852" s="14"/>
      <c r="B852" s="15" t="s">
        <v>530</v>
      </c>
      <c r="C852" s="29">
        <v>0</v>
      </c>
      <c r="D852" s="16">
        <v>46035</v>
      </c>
      <c r="E852" s="15" t="s">
        <v>4</v>
      </c>
      <c r="F852" s="29">
        <v>3450</v>
      </c>
      <c r="G852" s="29">
        <v>3450</v>
      </c>
      <c r="H852" s="29">
        <v>3450</v>
      </c>
      <c r="I852" s="15">
        <v>0</v>
      </c>
      <c r="J852" s="15">
        <v>85</v>
      </c>
      <c r="K852" s="30">
        <v>100000</v>
      </c>
      <c r="L852" s="17">
        <v>46035</v>
      </c>
      <c r="M852" s="18">
        <v>0</v>
      </c>
      <c r="N852" s="16"/>
      <c r="O852" s="19">
        <v>77</v>
      </c>
      <c r="P852" s="20">
        <v>0</v>
      </c>
      <c r="Q852" s="29">
        <v>0</v>
      </c>
      <c r="R852" s="9" t="s">
        <v>180</v>
      </c>
      <c r="S852" s="10" t="s">
        <v>640</v>
      </c>
    </row>
    <row r="853" spans="1:19" ht="12" customHeight="1" x14ac:dyDescent="0.25">
      <c r="A853" s="14"/>
      <c r="B853" s="15" t="s">
        <v>531</v>
      </c>
      <c r="C853" s="29">
        <v>0</v>
      </c>
      <c r="D853" s="16">
        <v>46035</v>
      </c>
      <c r="E853" s="15" t="s">
        <v>2</v>
      </c>
      <c r="F853" s="29">
        <v>0</v>
      </c>
      <c r="G853" s="29">
        <v>0</v>
      </c>
      <c r="H853" s="29">
        <v>576</v>
      </c>
      <c r="I853" s="15">
        <v>0</v>
      </c>
      <c r="J853" s="15">
        <v>89</v>
      </c>
      <c r="K853" s="30">
        <v>64000</v>
      </c>
      <c r="L853" s="17">
        <v>46035</v>
      </c>
      <c r="M853" s="18">
        <v>574</v>
      </c>
      <c r="N853" s="16">
        <v>46040</v>
      </c>
      <c r="O853" s="19"/>
      <c r="P853" s="20">
        <v>574</v>
      </c>
      <c r="Q853" s="29">
        <v>0</v>
      </c>
      <c r="R853" s="9" t="s">
        <v>180</v>
      </c>
    </row>
    <row r="854" spans="1:19" ht="12" customHeight="1" x14ac:dyDescent="0.25">
      <c r="A854" s="14"/>
      <c r="B854" s="15" t="s">
        <v>532</v>
      </c>
      <c r="C854" s="29">
        <v>27669</v>
      </c>
      <c r="D854" s="16">
        <v>46035</v>
      </c>
      <c r="E854" s="15" t="s">
        <v>3</v>
      </c>
      <c r="F854" s="29">
        <v>30532.73</v>
      </c>
      <c r="G854" s="29">
        <v>0</v>
      </c>
      <c r="H854" s="29">
        <v>30532.73</v>
      </c>
      <c r="I854" s="15">
        <v>90</v>
      </c>
      <c r="J854" s="15">
        <v>97</v>
      </c>
      <c r="K854" s="30">
        <v>100000</v>
      </c>
      <c r="L854" s="17">
        <v>46125</v>
      </c>
      <c r="M854" s="18">
        <v>0</v>
      </c>
      <c r="N854" s="16"/>
      <c r="O854" s="19">
        <v>77</v>
      </c>
      <c r="P854" s="20">
        <v>0</v>
      </c>
      <c r="Q854" s="29">
        <v>0</v>
      </c>
      <c r="R854" s="9" t="s">
        <v>180</v>
      </c>
    </row>
    <row r="855" spans="1:19" ht="12" customHeight="1" x14ac:dyDescent="0.25">
      <c r="A855" s="14"/>
      <c r="B855" s="15" t="s">
        <v>533</v>
      </c>
      <c r="C855" s="29">
        <v>2347</v>
      </c>
      <c r="D855" s="16">
        <v>46035</v>
      </c>
      <c r="E855" s="15" t="s">
        <v>3</v>
      </c>
      <c r="F855" s="29">
        <v>2589.84</v>
      </c>
      <c r="G855" s="29">
        <v>0</v>
      </c>
      <c r="H855" s="29">
        <v>2589.84</v>
      </c>
      <c r="I855" s="15">
        <v>90</v>
      </c>
      <c r="J855" s="15">
        <v>97</v>
      </c>
      <c r="K855" s="30">
        <v>100000</v>
      </c>
      <c r="L855" s="17">
        <v>46125</v>
      </c>
      <c r="M855" s="18">
        <v>0</v>
      </c>
      <c r="N855" s="16"/>
      <c r="O855" s="19">
        <v>77</v>
      </c>
      <c r="P855" s="20">
        <v>0</v>
      </c>
      <c r="Q855" s="29">
        <v>0</v>
      </c>
      <c r="R855" s="9" t="s">
        <v>180</v>
      </c>
    </row>
    <row r="856" spans="1:19" ht="12" customHeight="1" x14ac:dyDescent="0.25">
      <c r="A856" s="14"/>
      <c r="B856" s="15" t="s">
        <v>534</v>
      </c>
      <c r="C856" s="29">
        <v>0</v>
      </c>
      <c r="D856" s="16">
        <v>46035</v>
      </c>
      <c r="E856" s="15" t="s">
        <v>4</v>
      </c>
      <c r="F856" s="29">
        <v>1725</v>
      </c>
      <c r="G856" s="29">
        <v>1725</v>
      </c>
      <c r="H856" s="29">
        <v>1725</v>
      </c>
      <c r="I856" s="15">
        <v>0</v>
      </c>
      <c r="J856" s="15">
        <v>103</v>
      </c>
      <c r="K856" s="30">
        <v>150000</v>
      </c>
      <c r="L856" s="17">
        <v>46035</v>
      </c>
      <c r="M856" s="18">
        <v>0</v>
      </c>
      <c r="N856" s="16"/>
      <c r="O856" s="19">
        <v>77</v>
      </c>
      <c r="P856" s="20">
        <v>0</v>
      </c>
      <c r="Q856" s="29">
        <v>0</v>
      </c>
      <c r="R856" s="9" t="s">
        <v>180</v>
      </c>
      <c r="S856" s="10" t="s">
        <v>641</v>
      </c>
    </row>
    <row r="857" spans="1:19" ht="12" customHeight="1" x14ac:dyDescent="0.25">
      <c r="A857" s="14"/>
      <c r="B857" s="15" t="s">
        <v>535</v>
      </c>
      <c r="C857" s="29">
        <v>0</v>
      </c>
      <c r="D857" s="16">
        <v>46035</v>
      </c>
      <c r="E857" s="15" t="s">
        <v>2</v>
      </c>
      <c r="F857" s="29">
        <v>0</v>
      </c>
      <c r="G857" s="29">
        <v>0</v>
      </c>
      <c r="H857" s="29">
        <v>1748</v>
      </c>
      <c r="I857" s="15">
        <v>0</v>
      </c>
      <c r="J857" s="15">
        <v>106</v>
      </c>
      <c r="K857" s="30">
        <v>38000</v>
      </c>
      <c r="L857" s="17">
        <v>46035</v>
      </c>
      <c r="M857" s="18">
        <v>1748</v>
      </c>
      <c r="N857" s="16">
        <v>46111</v>
      </c>
      <c r="O857" s="19"/>
      <c r="P857" s="20">
        <v>1748</v>
      </c>
      <c r="Q857" s="29">
        <v>0</v>
      </c>
      <c r="R857" s="9" t="s">
        <v>180</v>
      </c>
    </row>
    <row r="858" spans="1:19" ht="12" customHeight="1" x14ac:dyDescent="0.25">
      <c r="A858" s="14"/>
      <c r="B858" s="15" t="s">
        <v>536</v>
      </c>
      <c r="C858" s="29">
        <v>0</v>
      </c>
      <c r="D858" s="16">
        <v>46035</v>
      </c>
      <c r="E858" s="15" t="s">
        <v>4</v>
      </c>
      <c r="F858" s="29">
        <v>230</v>
      </c>
      <c r="G858" s="29">
        <v>230</v>
      </c>
      <c r="H858" s="29">
        <v>230</v>
      </c>
      <c r="I858" s="15">
        <v>0</v>
      </c>
      <c r="J858" s="15">
        <v>108</v>
      </c>
      <c r="K858" s="30">
        <v>10000</v>
      </c>
      <c r="L858" s="17">
        <v>46035</v>
      </c>
      <c r="M858" s="18">
        <v>0</v>
      </c>
      <c r="N858" s="16"/>
      <c r="O858" s="19">
        <v>77</v>
      </c>
      <c r="P858" s="20">
        <v>0</v>
      </c>
      <c r="Q858" s="29">
        <v>0</v>
      </c>
      <c r="R858" s="9" t="s">
        <v>180</v>
      </c>
      <c r="S858" s="10" t="s">
        <v>969</v>
      </c>
    </row>
    <row r="859" spans="1:19" ht="12" customHeight="1" x14ac:dyDescent="0.25">
      <c r="A859" s="14"/>
      <c r="B859" s="15" t="s">
        <v>537</v>
      </c>
      <c r="C859" s="29">
        <v>0</v>
      </c>
      <c r="D859" s="16">
        <v>46035</v>
      </c>
      <c r="E859" s="15" t="s">
        <v>4</v>
      </c>
      <c r="F859" s="29">
        <v>2300</v>
      </c>
      <c r="G859" s="29">
        <v>2300</v>
      </c>
      <c r="H859" s="29">
        <v>2300</v>
      </c>
      <c r="I859" s="15">
        <v>0</v>
      </c>
      <c r="J859" s="15">
        <v>117</v>
      </c>
      <c r="K859" s="30">
        <v>100000</v>
      </c>
      <c r="L859" s="17">
        <v>46036</v>
      </c>
      <c r="M859" s="18">
        <v>0</v>
      </c>
      <c r="N859" s="16"/>
      <c r="O859" s="19">
        <v>77</v>
      </c>
      <c r="P859" s="20">
        <v>0</v>
      </c>
      <c r="Q859" s="29">
        <v>0</v>
      </c>
      <c r="R859" s="9" t="s">
        <v>180</v>
      </c>
      <c r="S859" s="10" t="s">
        <v>646</v>
      </c>
    </row>
    <row r="860" spans="1:19" ht="12" customHeight="1" x14ac:dyDescent="0.25">
      <c r="A860" s="14"/>
      <c r="B860" s="15" t="s">
        <v>538</v>
      </c>
      <c r="C860" s="29">
        <v>18000</v>
      </c>
      <c r="D860" s="16">
        <v>46035</v>
      </c>
      <c r="E860" s="15" t="s">
        <v>2</v>
      </c>
      <c r="F860" s="29">
        <v>0</v>
      </c>
      <c r="G860" s="29">
        <v>0</v>
      </c>
      <c r="H860" s="29">
        <v>18630</v>
      </c>
      <c r="I860" s="15">
        <v>30</v>
      </c>
      <c r="J860" s="15">
        <v>139</v>
      </c>
      <c r="K860" s="30">
        <v>322000</v>
      </c>
      <c r="L860" s="17">
        <v>46065</v>
      </c>
      <c r="M860" s="18">
        <v>18630</v>
      </c>
      <c r="N860" s="16">
        <v>46065</v>
      </c>
      <c r="O860" s="19"/>
      <c r="P860" s="20">
        <v>630</v>
      </c>
      <c r="Q860" s="29">
        <v>18000</v>
      </c>
      <c r="R860" s="9" t="s">
        <v>180</v>
      </c>
    </row>
    <row r="861" spans="1:19" ht="12" customHeight="1" x14ac:dyDescent="0.25">
      <c r="A861" s="14"/>
      <c r="B861" s="15" t="s">
        <v>539</v>
      </c>
      <c r="C861" s="29">
        <v>84000</v>
      </c>
      <c r="D861" s="16">
        <v>46035</v>
      </c>
      <c r="E861" s="15" t="s">
        <v>2</v>
      </c>
      <c r="F861" s="29">
        <v>0</v>
      </c>
      <c r="G861" s="29">
        <v>0</v>
      </c>
      <c r="H861" s="29">
        <v>86898</v>
      </c>
      <c r="I861" s="15">
        <v>30</v>
      </c>
      <c r="J861" s="15">
        <v>149</v>
      </c>
      <c r="K861" s="30">
        <v>87000</v>
      </c>
      <c r="L861" s="17">
        <v>46065</v>
      </c>
      <c r="M861" s="18">
        <v>86898</v>
      </c>
      <c r="N861" s="16">
        <v>46071</v>
      </c>
      <c r="O861" s="19"/>
      <c r="P861" s="20">
        <v>2898</v>
      </c>
      <c r="Q861" s="29">
        <v>84000</v>
      </c>
      <c r="R861" s="9" t="s">
        <v>180</v>
      </c>
    </row>
    <row r="862" spans="1:19" ht="12" customHeight="1" x14ac:dyDescent="0.25">
      <c r="A862" s="14"/>
      <c r="B862" s="15" t="s">
        <v>540</v>
      </c>
      <c r="C862" s="29">
        <v>9595</v>
      </c>
      <c r="D862" s="16">
        <v>46035</v>
      </c>
      <c r="E862" s="15" t="s">
        <v>2</v>
      </c>
      <c r="F862" s="29">
        <v>0</v>
      </c>
      <c r="G862" s="29">
        <v>0</v>
      </c>
      <c r="H862" s="29">
        <v>9927</v>
      </c>
      <c r="I862" s="15">
        <v>30</v>
      </c>
      <c r="J862" s="15">
        <v>170</v>
      </c>
      <c r="K862" s="30">
        <v>10000</v>
      </c>
      <c r="L862" s="17">
        <v>46065</v>
      </c>
      <c r="M862" s="18">
        <v>9926</v>
      </c>
      <c r="N862" s="16">
        <v>46035</v>
      </c>
      <c r="O862" s="19"/>
      <c r="P862" s="20">
        <v>331.97</v>
      </c>
      <c r="Q862" s="29">
        <v>9594.0300000000007</v>
      </c>
      <c r="R862" s="9" t="s">
        <v>180</v>
      </c>
    </row>
    <row r="863" spans="1:19" ht="12" customHeight="1" x14ac:dyDescent="0.25">
      <c r="A863" s="14"/>
      <c r="B863" s="15" t="s">
        <v>541</v>
      </c>
      <c r="C863" s="29">
        <v>260000</v>
      </c>
      <c r="D863" s="16">
        <v>46035</v>
      </c>
      <c r="E863" s="15" t="s">
        <v>2</v>
      </c>
      <c r="F863" s="29">
        <v>0</v>
      </c>
      <c r="G863" s="29">
        <v>0</v>
      </c>
      <c r="H863" s="29">
        <v>268970</v>
      </c>
      <c r="I863" s="15">
        <v>30</v>
      </c>
      <c r="J863" s="15">
        <v>199</v>
      </c>
      <c r="K863" s="30">
        <v>270000</v>
      </c>
      <c r="L863" s="17">
        <v>46065</v>
      </c>
      <c r="M863" s="18">
        <v>268970</v>
      </c>
      <c r="N863" s="16">
        <v>46070</v>
      </c>
      <c r="O863" s="19"/>
      <c r="P863" s="20">
        <v>8970</v>
      </c>
      <c r="Q863" s="29">
        <v>260000</v>
      </c>
      <c r="R863" s="9" t="s">
        <v>180</v>
      </c>
    </row>
    <row r="864" spans="1:19" ht="12" customHeight="1" x14ac:dyDescent="0.25">
      <c r="A864" s="14"/>
      <c r="B864" s="15" t="s">
        <v>542</v>
      </c>
      <c r="C864" s="29">
        <v>14034</v>
      </c>
      <c r="D864" s="16">
        <v>46035</v>
      </c>
      <c r="E864" s="15" t="s">
        <v>2</v>
      </c>
      <c r="F864" s="29">
        <v>0</v>
      </c>
      <c r="G864" s="29">
        <v>0</v>
      </c>
      <c r="H864" s="29">
        <v>14999.72</v>
      </c>
      <c r="I864" s="15">
        <v>60</v>
      </c>
      <c r="J864" s="15">
        <v>245</v>
      </c>
      <c r="K864" s="30">
        <v>15000</v>
      </c>
      <c r="L864" s="17">
        <v>46096</v>
      </c>
      <c r="M864" s="18">
        <v>15000</v>
      </c>
      <c r="N864" s="16">
        <v>46097</v>
      </c>
      <c r="O864" s="19"/>
      <c r="P864" s="20">
        <v>965.74</v>
      </c>
      <c r="Q864" s="29">
        <v>14034.26</v>
      </c>
      <c r="R864" s="9" t="s">
        <v>180</v>
      </c>
    </row>
    <row r="865" spans="1:19" ht="12" customHeight="1" x14ac:dyDescent="0.25">
      <c r="A865" s="14"/>
      <c r="B865" s="15" t="s">
        <v>543</v>
      </c>
      <c r="C865" s="29">
        <v>97000</v>
      </c>
      <c r="D865" s="16">
        <v>46035</v>
      </c>
      <c r="E865" s="15" t="s">
        <v>2</v>
      </c>
      <c r="F865" s="29">
        <v>0</v>
      </c>
      <c r="G865" s="29">
        <v>0</v>
      </c>
      <c r="H865" s="29">
        <v>100346</v>
      </c>
      <c r="I865" s="15">
        <v>30</v>
      </c>
      <c r="J865" s="15">
        <v>242</v>
      </c>
      <c r="K865" s="30">
        <v>100000</v>
      </c>
      <c r="L865" s="17">
        <v>46065</v>
      </c>
      <c r="M865" s="18">
        <v>100346</v>
      </c>
      <c r="N865" s="16">
        <v>46070</v>
      </c>
      <c r="O865" s="19"/>
      <c r="P865" s="20">
        <v>3346</v>
      </c>
      <c r="Q865" s="29">
        <v>97000</v>
      </c>
      <c r="R865" s="9" t="s">
        <v>180</v>
      </c>
    </row>
    <row r="866" spans="1:19" ht="12" customHeight="1" x14ac:dyDescent="0.25">
      <c r="A866" s="14"/>
      <c r="B866" s="15">
        <v>1231</v>
      </c>
      <c r="C866" s="29">
        <v>9027.5</v>
      </c>
      <c r="D866" s="16">
        <v>46035</v>
      </c>
      <c r="E866" s="15" t="s">
        <v>3</v>
      </c>
      <c r="F866" s="29">
        <v>9961.5</v>
      </c>
      <c r="G866" s="29">
        <v>0</v>
      </c>
      <c r="H866" s="29">
        <v>9961.5</v>
      </c>
      <c r="I866" s="15">
        <v>90</v>
      </c>
      <c r="J866" s="15">
        <v>220</v>
      </c>
      <c r="K866" s="30">
        <v>10000</v>
      </c>
      <c r="L866" s="17">
        <v>46125</v>
      </c>
      <c r="M866" s="18">
        <v>0</v>
      </c>
      <c r="N866" s="16"/>
      <c r="O866" s="19">
        <v>77</v>
      </c>
      <c r="P866" s="20">
        <v>0</v>
      </c>
      <c r="Q866" s="29">
        <v>0</v>
      </c>
      <c r="R866" s="9" t="s">
        <v>180</v>
      </c>
    </row>
    <row r="867" spans="1:19" ht="12" customHeight="1" x14ac:dyDescent="0.25">
      <c r="A867" s="14"/>
      <c r="B867" s="15" t="s">
        <v>544</v>
      </c>
      <c r="C867" s="29">
        <v>70018</v>
      </c>
      <c r="D867" s="16">
        <v>46036</v>
      </c>
      <c r="E867" s="15" t="s">
        <v>2</v>
      </c>
      <c r="F867" s="29">
        <v>0</v>
      </c>
      <c r="G867" s="29">
        <v>0</v>
      </c>
      <c r="H867" s="29">
        <v>72433.63</v>
      </c>
      <c r="I867" s="15">
        <v>30</v>
      </c>
      <c r="J867" s="15">
        <v>6</v>
      </c>
      <c r="K867" s="30">
        <v>810000</v>
      </c>
      <c r="L867" s="17">
        <v>46068</v>
      </c>
      <c r="M867" s="18">
        <v>72433</v>
      </c>
      <c r="N867" s="16">
        <v>46070</v>
      </c>
      <c r="O867" s="19"/>
      <c r="P867" s="20">
        <v>2415.61</v>
      </c>
      <c r="Q867" s="29">
        <v>70017.39</v>
      </c>
      <c r="R867" s="9" t="s">
        <v>180</v>
      </c>
    </row>
    <row r="868" spans="1:19" ht="12" customHeight="1" x14ac:dyDescent="0.25">
      <c r="A868" s="14"/>
      <c r="B868" s="15" t="s">
        <v>545</v>
      </c>
      <c r="C868" s="29">
        <v>103500</v>
      </c>
      <c r="D868" s="16">
        <v>46036</v>
      </c>
      <c r="E868" s="15" t="s">
        <v>2</v>
      </c>
      <c r="F868" s="29">
        <v>0</v>
      </c>
      <c r="G868" s="29">
        <v>0</v>
      </c>
      <c r="H868" s="29">
        <v>107070.75</v>
      </c>
      <c r="I868" s="15">
        <v>30</v>
      </c>
      <c r="J868" s="15">
        <v>17</v>
      </c>
      <c r="K868" s="30">
        <v>2400000</v>
      </c>
      <c r="L868" s="17">
        <v>46068</v>
      </c>
      <c r="M868" s="18">
        <v>107070</v>
      </c>
      <c r="N868" s="16">
        <v>46069</v>
      </c>
      <c r="O868" s="19"/>
      <c r="P868" s="20">
        <v>3570.72</v>
      </c>
      <c r="Q868" s="29">
        <v>103499.28</v>
      </c>
      <c r="R868" s="9" t="s">
        <v>180</v>
      </c>
    </row>
    <row r="869" spans="1:19" ht="12" customHeight="1" x14ac:dyDescent="0.25">
      <c r="A869" s="14"/>
      <c r="B869" s="15" t="s">
        <v>546</v>
      </c>
      <c r="C869" s="29">
        <v>285200</v>
      </c>
      <c r="D869" s="16">
        <v>46036</v>
      </c>
      <c r="E869" s="15" t="s">
        <v>2</v>
      </c>
      <c r="F869" s="29">
        <v>0</v>
      </c>
      <c r="G869" s="29">
        <v>0</v>
      </c>
      <c r="H869" s="29">
        <v>295039.40000000002</v>
      </c>
      <c r="I869" s="15">
        <v>30</v>
      </c>
      <c r="J869" s="15">
        <v>12</v>
      </c>
      <c r="K869" s="30">
        <v>1196000</v>
      </c>
      <c r="L869" s="17">
        <v>46068</v>
      </c>
      <c r="M869" s="18">
        <v>295035</v>
      </c>
      <c r="N869" s="16">
        <v>46071</v>
      </c>
      <c r="O869" s="19"/>
      <c r="P869" s="20">
        <v>9839.25</v>
      </c>
      <c r="Q869" s="29">
        <v>285195.75</v>
      </c>
      <c r="R869" s="9" t="s">
        <v>180</v>
      </c>
    </row>
    <row r="870" spans="1:19" ht="12" customHeight="1" x14ac:dyDescent="0.25">
      <c r="A870" s="14"/>
      <c r="B870" s="15" t="s">
        <v>547</v>
      </c>
      <c r="C870" s="29">
        <v>0</v>
      </c>
      <c r="D870" s="16">
        <v>46036</v>
      </c>
      <c r="E870" s="15" t="s">
        <v>4</v>
      </c>
      <c r="F870" s="29">
        <v>230</v>
      </c>
      <c r="G870" s="29">
        <v>230</v>
      </c>
      <c r="H870" s="29">
        <v>230</v>
      </c>
      <c r="I870" s="15">
        <v>0</v>
      </c>
      <c r="J870" s="15">
        <v>118</v>
      </c>
      <c r="K870" s="30">
        <v>10000</v>
      </c>
      <c r="L870" s="17">
        <v>46036</v>
      </c>
      <c r="M870" s="18">
        <v>0</v>
      </c>
      <c r="N870" s="16"/>
      <c r="O870" s="19">
        <v>76</v>
      </c>
      <c r="P870" s="20">
        <v>0</v>
      </c>
      <c r="Q870" s="29">
        <v>0</v>
      </c>
      <c r="R870" s="9" t="s">
        <v>180</v>
      </c>
      <c r="S870" s="10" t="s">
        <v>970</v>
      </c>
    </row>
    <row r="871" spans="1:19" ht="12" customHeight="1" x14ac:dyDescent="0.25">
      <c r="A871" s="14"/>
      <c r="B871" s="15" t="s">
        <v>548</v>
      </c>
      <c r="C871" s="29">
        <v>28000</v>
      </c>
      <c r="D871" s="16">
        <v>46036</v>
      </c>
      <c r="E871" s="15" t="s">
        <v>2</v>
      </c>
      <c r="F871" s="29">
        <v>0</v>
      </c>
      <c r="G871" s="29">
        <v>0</v>
      </c>
      <c r="H871" s="29">
        <v>28990</v>
      </c>
      <c r="I871" s="15">
        <v>30</v>
      </c>
      <c r="J871" s="15">
        <v>139</v>
      </c>
      <c r="K871" s="30">
        <v>322000</v>
      </c>
      <c r="L871" s="17">
        <v>46068</v>
      </c>
      <c r="M871" s="18">
        <v>28990</v>
      </c>
      <c r="N871" s="16">
        <v>46070</v>
      </c>
      <c r="O871" s="19"/>
      <c r="P871" s="20">
        <v>990</v>
      </c>
      <c r="Q871" s="29">
        <v>28000</v>
      </c>
      <c r="R871" s="9" t="s">
        <v>180</v>
      </c>
    </row>
    <row r="872" spans="1:19" ht="12" customHeight="1" x14ac:dyDescent="0.25">
      <c r="A872" s="14"/>
      <c r="B872" s="15" t="s">
        <v>549</v>
      </c>
      <c r="C872" s="29">
        <v>50007</v>
      </c>
      <c r="D872" s="16">
        <v>46036</v>
      </c>
      <c r="E872" s="15" t="s">
        <v>2</v>
      </c>
      <c r="F872" s="29">
        <v>0</v>
      </c>
      <c r="G872" s="29">
        <v>0</v>
      </c>
      <c r="H872" s="29">
        <v>51732.23</v>
      </c>
      <c r="I872" s="15">
        <v>30</v>
      </c>
      <c r="J872" s="15">
        <v>159</v>
      </c>
      <c r="K872" s="30">
        <v>129000</v>
      </c>
      <c r="L872" s="17">
        <v>46068</v>
      </c>
      <c r="M872" s="18">
        <v>51733</v>
      </c>
      <c r="N872" s="16">
        <v>46070</v>
      </c>
      <c r="O872" s="19"/>
      <c r="P872" s="20">
        <v>1725.26</v>
      </c>
      <c r="Q872" s="29">
        <v>50007.74</v>
      </c>
      <c r="R872" s="9" t="s">
        <v>180</v>
      </c>
    </row>
    <row r="873" spans="1:19" ht="12" customHeight="1" x14ac:dyDescent="0.25">
      <c r="A873" s="14"/>
      <c r="B873" s="15" t="s">
        <v>550</v>
      </c>
      <c r="C873" s="29">
        <v>166000</v>
      </c>
      <c r="D873" s="16">
        <v>46037</v>
      </c>
      <c r="E873" s="15" t="s">
        <v>2</v>
      </c>
      <c r="F873" s="29">
        <v>0</v>
      </c>
      <c r="G873" s="29">
        <v>0</v>
      </c>
      <c r="H873" s="29">
        <v>171700.01</v>
      </c>
      <c r="I873" s="15">
        <v>30</v>
      </c>
      <c r="J873" s="15">
        <v>15</v>
      </c>
      <c r="K873" s="30">
        <v>2300000</v>
      </c>
      <c r="L873" s="17">
        <v>46068</v>
      </c>
      <c r="M873" s="18">
        <v>171700</v>
      </c>
      <c r="N873" s="16">
        <v>46076</v>
      </c>
      <c r="O873" s="19"/>
      <c r="P873" s="20">
        <v>5700.01</v>
      </c>
      <c r="Q873" s="29">
        <v>165999.99</v>
      </c>
      <c r="R873" s="9" t="s">
        <v>180</v>
      </c>
    </row>
    <row r="874" spans="1:19" ht="12" customHeight="1" x14ac:dyDescent="0.25">
      <c r="A874" s="14"/>
      <c r="B874" s="15" t="s">
        <v>551</v>
      </c>
      <c r="C874" s="29">
        <v>200000</v>
      </c>
      <c r="D874" s="16">
        <v>46037</v>
      </c>
      <c r="E874" s="15" t="s">
        <v>2</v>
      </c>
      <c r="F874" s="29">
        <v>0</v>
      </c>
      <c r="G874" s="29">
        <v>0</v>
      </c>
      <c r="H874" s="29">
        <v>206900</v>
      </c>
      <c r="I874" s="15">
        <v>30</v>
      </c>
      <c r="J874" s="15">
        <v>17</v>
      </c>
      <c r="K874" s="30">
        <v>2400000</v>
      </c>
      <c r="L874" s="17">
        <v>46068</v>
      </c>
      <c r="M874" s="18">
        <v>206900</v>
      </c>
      <c r="N874" s="16">
        <v>46069</v>
      </c>
      <c r="O874" s="19"/>
      <c r="P874" s="20">
        <v>6900</v>
      </c>
      <c r="Q874" s="29">
        <v>200000</v>
      </c>
      <c r="R874" s="9" t="s">
        <v>180</v>
      </c>
    </row>
    <row r="875" spans="1:19" ht="12" customHeight="1" x14ac:dyDescent="0.25">
      <c r="A875" s="14"/>
      <c r="B875" s="15" t="s">
        <v>552</v>
      </c>
      <c r="C875" s="29">
        <v>171385</v>
      </c>
      <c r="D875" s="16">
        <v>46037</v>
      </c>
      <c r="E875" s="15" t="s">
        <v>2</v>
      </c>
      <c r="F875" s="29">
        <v>0</v>
      </c>
      <c r="G875" s="29">
        <v>0</v>
      </c>
      <c r="H875" s="29">
        <v>173339.99</v>
      </c>
      <c r="I875" s="15">
        <v>4</v>
      </c>
      <c r="J875" s="15">
        <v>18</v>
      </c>
      <c r="K875" s="30">
        <v>600000</v>
      </c>
      <c r="L875" s="17">
        <v>46044</v>
      </c>
      <c r="M875" s="18">
        <v>173338</v>
      </c>
      <c r="N875" s="16">
        <v>46047</v>
      </c>
      <c r="O875" s="19"/>
      <c r="P875" s="20">
        <v>1954.97</v>
      </c>
      <c r="Q875" s="29">
        <v>171383.03</v>
      </c>
      <c r="R875" s="9" t="s">
        <v>180</v>
      </c>
    </row>
    <row r="876" spans="1:19" ht="12" customHeight="1" x14ac:dyDescent="0.25">
      <c r="A876" s="14"/>
      <c r="B876" s="15" t="s">
        <v>553</v>
      </c>
      <c r="C876" s="29">
        <v>20976</v>
      </c>
      <c r="D876" s="16">
        <v>46037</v>
      </c>
      <c r="E876" s="15" t="s">
        <v>2</v>
      </c>
      <c r="F876" s="29">
        <v>0</v>
      </c>
      <c r="G876" s="29">
        <v>0</v>
      </c>
      <c r="H876" s="29">
        <v>21699</v>
      </c>
      <c r="I876" s="15">
        <v>30</v>
      </c>
      <c r="J876" s="15">
        <v>159</v>
      </c>
      <c r="K876" s="30">
        <v>129000</v>
      </c>
      <c r="L876" s="17">
        <v>46068</v>
      </c>
      <c r="M876" s="18">
        <v>21699</v>
      </c>
      <c r="N876" s="16">
        <v>46068</v>
      </c>
      <c r="O876" s="19"/>
      <c r="P876" s="20">
        <v>723</v>
      </c>
      <c r="Q876" s="29">
        <v>20976</v>
      </c>
      <c r="R876" s="9" t="s">
        <v>180</v>
      </c>
    </row>
    <row r="877" spans="1:19" ht="12" customHeight="1" x14ac:dyDescent="0.25">
      <c r="A877" s="14"/>
      <c r="B877" s="15" t="s">
        <v>554</v>
      </c>
      <c r="C877" s="29">
        <v>400001</v>
      </c>
      <c r="D877" s="16">
        <v>46037</v>
      </c>
      <c r="E877" s="15" t="s">
        <v>2</v>
      </c>
      <c r="F877" s="29">
        <v>0</v>
      </c>
      <c r="G877" s="29">
        <v>0</v>
      </c>
      <c r="H877" s="29">
        <v>408012.08</v>
      </c>
      <c r="I877" s="15">
        <v>15</v>
      </c>
      <c r="J877" s="15">
        <v>179</v>
      </c>
      <c r="K877" s="30">
        <v>410000</v>
      </c>
      <c r="L877" s="17">
        <v>46054</v>
      </c>
      <c r="M877" s="18">
        <v>408012.07</v>
      </c>
      <c r="N877" s="16">
        <v>46068</v>
      </c>
      <c r="O877" s="19"/>
      <c r="P877" s="20">
        <v>8011.08</v>
      </c>
      <c r="Q877" s="29">
        <v>400000.99</v>
      </c>
      <c r="R877" s="9" t="s">
        <v>180</v>
      </c>
    </row>
    <row r="878" spans="1:19" ht="12" customHeight="1" x14ac:dyDescent="0.25">
      <c r="A878" s="14"/>
      <c r="B878" s="15" t="s">
        <v>555</v>
      </c>
      <c r="C878" s="29">
        <v>170685</v>
      </c>
      <c r="D878" s="16">
        <v>46040</v>
      </c>
      <c r="E878" s="15" t="s">
        <v>2</v>
      </c>
      <c r="F878" s="29">
        <v>0</v>
      </c>
      <c r="G878" s="29">
        <v>0</v>
      </c>
      <c r="H878" s="29">
        <v>172630</v>
      </c>
      <c r="I878" s="15">
        <v>4</v>
      </c>
      <c r="J878" s="15">
        <v>3</v>
      </c>
      <c r="K878" s="30">
        <v>1000000</v>
      </c>
      <c r="L878" s="17">
        <v>46047</v>
      </c>
      <c r="M878" s="18">
        <v>172630</v>
      </c>
      <c r="N878" s="16">
        <v>46049</v>
      </c>
      <c r="O878" s="19"/>
      <c r="P878" s="20">
        <v>1945</v>
      </c>
      <c r="Q878" s="29">
        <v>170685</v>
      </c>
      <c r="R878" s="9" t="s">
        <v>180</v>
      </c>
    </row>
    <row r="879" spans="1:19" ht="12" customHeight="1" x14ac:dyDescent="0.25">
      <c r="A879" s="14"/>
      <c r="B879" s="15" t="s">
        <v>556</v>
      </c>
      <c r="C879" s="29">
        <v>58700</v>
      </c>
      <c r="D879" s="16">
        <v>46040</v>
      </c>
      <c r="E879" s="15" t="s">
        <v>3</v>
      </c>
      <c r="F879" s="29">
        <v>64778</v>
      </c>
      <c r="G879" s="29">
        <v>0</v>
      </c>
      <c r="H879" s="29">
        <v>64778</v>
      </c>
      <c r="I879" s="15">
        <v>90</v>
      </c>
      <c r="J879" s="15">
        <v>81</v>
      </c>
      <c r="K879" s="30">
        <v>190000</v>
      </c>
      <c r="L879" s="17">
        <v>46132</v>
      </c>
      <c r="M879" s="18">
        <v>0</v>
      </c>
      <c r="N879" s="16"/>
      <c r="O879" s="19">
        <v>72</v>
      </c>
      <c r="P879" s="20">
        <v>0</v>
      </c>
      <c r="Q879" s="29">
        <v>0</v>
      </c>
      <c r="R879" s="9" t="s">
        <v>180</v>
      </c>
    </row>
    <row r="880" spans="1:19" ht="12" customHeight="1" x14ac:dyDescent="0.25">
      <c r="A880" s="14"/>
      <c r="B880" s="15" t="s">
        <v>557</v>
      </c>
      <c r="C880" s="29">
        <v>0</v>
      </c>
      <c r="D880" s="16">
        <v>46040</v>
      </c>
      <c r="E880" s="15" t="s">
        <v>4</v>
      </c>
      <c r="F880" s="29">
        <v>230</v>
      </c>
      <c r="G880" s="29">
        <v>230</v>
      </c>
      <c r="H880" s="29">
        <v>230</v>
      </c>
      <c r="I880" s="15">
        <v>0</v>
      </c>
      <c r="J880" s="15">
        <v>107</v>
      </c>
      <c r="K880" s="30">
        <v>10000</v>
      </c>
      <c r="L880" s="17">
        <v>46040</v>
      </c>
      <c r="M880" s="18">
        <v>0</v>
      </c>
      <c r="N880" s="16"/>
      <c r="O880" s="19">
        <v>72</v>
      </c>
      <c r="P880" s="20">
        <v>0</v>
      </c>
      <c r="Q880" s="29">
        <v>0</v>
      </c>
      <c r="R880" s="9" t="s">
        <v>180</v>
      </c>
      <c r="S880" s="10" t="s">
        <v>643</v>
      </c>
    </row>
    <row r="881" spans="1:18" ht="12" customHeight="1" x14ac:dyDescent="0.25">
      <c r="A881" s="14"/>
      <c r="B881" s="15" t="s">
        <v>558</v>
      </c>
      <c r="C881" s="29">
        <v>71975</v>
      </c>
      <c r="D881" s="16">
        <v>46040</v>
      </c>
      <c r="E881" s="15" t="s">
        <v>3</v>
      </c>
      <c r="F881" s="29">
        <v>79424.399999999994</v>
      </c>
      <c r="G881" s="29">
        <v>0</v>
      </c>
      <c r="H881" s="29">
        <v>79424.399999999994</v>
      </c>
      <c r="I881" s="15">
        <v>90</v>
      </c>
      <c r="J881" s="15">
        <v>154</v>
      </c>
      <c r="K881" s="30">
        <v>80000</v>
      </c>
      <c r="L881" s="17">
        <v>46131</v>
      </c>
      <c r="M881" s="18">
        <v>0</v>
      </c>
      <c r="N881" s="16"/>
      <c r="O881" s="19">
        <v>72</v>
      </c>
      <c r="P881" s="20">
        <v>0</v>
      </c>
      <c r="Q881" s="29">
        <v>0</v>
      </c>
      <c r="R881" s="9" t="s">
        <v>180</v>
      </c>
    </row>
    <row r="882" spans="1:18" ht="12" customHeight="1" x14ac:dyDescent="0.25">
      <c r="A882" s="14"/>
      <c r="B882" s="15" t="s">
        <v>559</v>
      </c>
      <c r="C882" s="29">
        <v>125500</v>
      </c>
      <c r="D882" s="16">
        <v>46040</v>
      </c>
      <c r="E882" s="15" t="s">
        <v>2</v>
      </c>
      <c r="F882" s="29">
        <v>0</v>
      </c>
      <c r="G882" s="29">
        <v>0</v>
      </c>
      <c r="H882" s="29">
        <v>129828.89</v>
      </c>
      <c r="I882" s="15">
        <v>30</v>
      </c>
      <c r="J882" s="15">
        <v>211</v>
      </c>
      <c r="K882" s="30">
        <v>130000</v>
      </c>
      <c r="L882" s="17">
        <v>46071</v>
      </c>
      <c r="M882" s="18">
        <v>129828</v>
      </c>
      <c r="N882" s="16">
        <v>46071</v>
      </c>
      <c r="O882" s="19"/>
      <c r="P882" s="20">
        <v>4328.8599999999997</v>
      </c>
      <c r="Q882" s="29">
        <v>125499.14</v>
      </c>
      <c r="R882" s="9" t="s">
        <v>180</v>
      </c>
    </row>
    <row r="883" spans="1:18" ht="12" customHeight="1" x14ac:dyDescent="0.25">
      <c r="A883" s="14"/>
      <c r="B883" s="15">
        <v>1661</v>
      </c>
      <c r="C883" s="29">
        <v>74171</v>
      </c>
      <c r="D883" s="16">
        <v>46040</v>
      </c>
      <c r="E883" s="15" t="s">
        <v>3</v>
      </c>
      <c r="F883" s="29">
        <v>81847.97</v>
      </c>
      <c r="G883" s="29">
        <v>0</v>
      </c>
      <c r="H883" s="29">
        <v>81847.97</v>
      </c>
      <c r="I883" s="15">
        <v>90</v>
      </c>
      <c r="J883" s="15">
        <v>138</v>
      </c>
      <c r="K883" s="30">
        <v>130000</v>
      </c>
      <c r="L883" s="17">
        <v>46131</v>
      </c>
      <c r="M883" s="18">
        <v>0</v>
      </c>
      <c r="N883" s="16"/>
      <c r="O883" s="19">
        <v>72</v>
      </c>
      <c r="P883" s="20">
        <v>0</v>
      </c>
      <c r="Q883" s="29">
        <v>0</v>
      </c>
      <c r="R883" s="9" t="s">
        <v>180</v>
      </c>
    </row>
    <row r="884" spans="1:18" ht="12" customHeight="1" x14ac:dyDescent="0.25">
      <c r="A884" s="14"/>
      <c r="B884" s="15" t="s">
        <v>560</v>
      </c>
      <c r="C884" s="29">
        <v>71001</v>
      </c>
      <c r="D884" s="16">
        <v>46041</v>
      </c>
      <c r="E884" s="15" t="s">
        <v>2</v>
      </c>
      <c r="F884" s="29">
        <v>0</v>
      </c>
      <c r="G884" s="29">
        <v>0</v>
      </c>
      <c r="H884" s="29">
        <v>73449.42</v>
      </c>
      <c r="I884" s="15">
        <v>30</v>
      </c>
      <c r="J884" s="15">
        <v>6</v>
      </c>
      <c r="K884" s="30">
        <v>810000</v>
      </c>
      <c r="L884" s="17">
        <v>46071</v>
      </c>
      <c r="M884" s="18">
        <v>73449.58</v>
      </c>
      <c r="N884" s="16">
        <v>46076</v>
      </c>
      <c r="O884" s="19"/>
      <c r="P884" s="20">
        <v>2448.4299999999998</v>
      </c>
      <c r="Q884" s="29">
        <v>71001.149999999994</v>
      </c>
      <c r="R884" s="9" t="s">
        <v>180</v>
      </c>
    </row>
    <row r="885" spans="1:18" ht="12" customHeight="1" x14ac:dyDescent="0.25">
      <c r="A885" s="14"/>
      <c r="B885" s="15" t="s">
        <v>561</v>
      </c>
      <c r="C885" s="29">
        <v>47006</v>
      </c>
      <c r="D885" s="16">
        <v>46041</v>
      </c>
      <c r="E885" s="15" t="s">
        <v>2</v>
      </c>
      <c r="F885" s="29">
        <v>0</v>
      </c>
      <c r="G885" s="29">
        <v>0</v>
      </c>
      <c r="H885" s="29">
        <v>50239.89</v>
      </c>
      <c r="I885" s="15">
        <v>60</v>
      </c>
      <c r="J885" s="15">
        <v>47</v>
      </c>
      <c r="K885" s="30">
        <v>50000</v>
      </c>
      <c r="L885" s="17">
        <v>46103</v>
      </c>
      <c r="M885" s="18">
        <v>50240</v>
      </c>
      <c r="N885" s="16">
        <v>46107</v>
      </c>
      <c r="O885" s="19"/>
      <c r="P885" s="20">
        <v>3233.9</v>
      </c>
      <c r="Q885" s="29">
        <v>47006.1</v>
      </c>
      <c r="R885" s="9" t="s">
        <v>180</v>
      </c>
    </row>
    <row r="886" spans="1:18" ht="12" customHeight="1" x14ac:dyDescent="0.25">
      <c r="A886" s="14"/>
      <c r="B886" s="15" t="s">
        <v>562</v>
      </c>
      <c r="C886" s="29">
        <v>150000</v>
      </c>
      <c r="D886" s="16">
        <v>46041</v>
      </c>
      <c r="E886" s="15" t="s">
        <v>2</v>
      </c>
      <c r="F886" s="29">
        <v>0</v>
      </c>
      <c r="G886" s="29">
        <v>0</v>
      </c>
      <c r="H886" s="29">
        <v>155150.01</v>
      </c>
      <c r="I886" s="15">
        <v>30</v>
      </c>
      <c r="J886" s="15">
        <v>56</v>
      </c>
      <c r="K886" s="30">
        <v>320000</v>
      </c>
      <c r="L886" s="17">
        <v>46071</v>
      </c>
      <c r="M886" s="18">
        <v>155150</v>
      </c>
      <c r="N886" s="16">
        <v>46076</v>
      </c>
      <c r="O886" s="19"/>
      <c r="P886" s="20">
        <v>5150.01</v>
      </c>
      <c r="Q886" s="29">
        <v>149999.99</v>
      </c>
      <c r="R886" s="9" t="s">
        <v>180</v>
      </c>
    </row>
    <row r="887" spans="1:18" ht="12" customHeight="1" x14ac:dyDescent="0.25">
      <c r="A887" s="14"/>
      <c r="B887" s="15" t="s">
        <v>563</v>
      </c>
      <c r="C887" s="29">
        <v>26847</v>
      </c>
      <c r="D887" s="16">
        <v>46041</v>
      </c>
      <c r="E887" s="15" t="s">
        <v>3</v>
      </c>
      <c r="F887" s="29">
        <v>29625.63</v>
      </c>
      <c r="G887" s="29">
        <v>0</v>
      </c>
      <c r="H887" s="29">
        <v>29625.63</v>
      </c>
      <c r="I887" s="15">
        <v>90</v>
      </c>
      <c r="J887" s="15">
        <v>97</v>
      </c>
      <c r="K887" s="30">
        <v>100000</v>
      </c>
      <c r="L887" s="17">
        <v>46131</v>
      </c>
      <c r="M887" s="18">
        <v>0</v>
      </c>
      <c r="N887" s="16"/>
      <c r="O887" s="19">
        <v>71</v>
      </c>
      <c r="P887" s="20">
        <v>0</v>
      </c>
      <c r="Q887" s="29">
        <v>0</v>
      </c>
      <c r="R887" s="9" t="s">
        <v>180</v>
      </c>
    </row>
    <row r="888" spans="1:18" ht="12" customHeight="1" x14ac:dyDescent="0.25">
      <c r="A888" s="14"/>
      <c r="B888" s="15" t="s">
        <v>564</v>
      </c>
      <c r="C888" s="29">
        <v>120000</v>
      </c>
      <c r="D888" s="16">
        <v>46041</v>
      </c>
      <c r="E888" s="15" t="s">
        <v>2</v>
      </c>
      <c r="F888" s="29">
        <v>0</v>
      </c>
      <c r="G888" s="29">
        <v>0</v>
      </c>
      <c r="H888" s="29">
        <v>124152</v>
      </c>
      <c r="I888" s="15">
        <v>30</v>
      </c>
      <c r="J888" s="15">
        <v>112</v>
      </c>
      <c r="K888" s="30">
        <v>290000</v>
      </c>
      <c r="L888" s="17">
        <v>46071</v>
      </c>
      <c r="M888" s="18">
        <v>124152</v>
      </c>
      <c r="N888" s="16">
        <v>46070</v>
      </c>
      <c r="O888" s="19"/>
      <c r="P888" s="20">
        <v>4152</v>
      </c>
      <c r="Q888" s="29">
        <v>120000</v>
      </c>
      <c r="R888" s="9" t="s">
        <v>180</v>
      </c>
    </row>
    <row r="889" spans="1:18" ht="12" customHeight="1" x14ac:dyDescent="0.25">
      <c r="A889" s="14"/>
      <c r="B889" s="15" t="s">
        <v>565</v>
      </c>
      <c r="C889" s="29">
        <v>0</v>
      </c>
      <c r="D889" s="16">
        <v>46041</v>
      </c>
      <c r="E889" s="15" t="s">
        <v>2</v>
      </c>
      <c r="F889" s="29">
        <v>0</v>
      </c>
      <c r="G889" s="29">
        <v>0</v>
      </c>
      <c r="H889" s="29">
        <v>1496</v>
      </c>
      <c r="I889" s="15">
        <v>0</v>
      </c>
      <c r="J889" s="15">
        <v>109</v>
      </c>
      <c r="K889" s="30">
        <v>130000</v>
      </c>
      <c r="L889" s="17">
        <v>46041</v>
      </c>
      <c r="M889" s="18">
        <v>1496</v>
      </c>
      <c r="N889" s="16">
        <v>46096</v>
      </c>
      <c r="O889" s="19"/>
      <c r="P889" s="20">
        <v>1496</v>
      </c>
      <c r="Q889" s="29">
        <v>0</v>
      </c>
      <c r="R889" s="9" t="s">
        <v>180</v>
      </c>
    </row>
    <row r="890" spans="1:18" ht="12" customHeight="1" x14ac:dyDescent="0.25">
      <c r="A890" s="14"/>
      <c r="B890" s="15" t="s">
        <v>566</v>
      </c>
      <c r="C890" s="29">
        <v>47403</v>
      </c>
      <c r="D890" s="16">
        <v>46041</v>
      </c>
      <c r="E890" s="15" t="s">
        <v>2</v>
      </c>
      <c r="F890" s="29">
        <v>0</v>
      </c>
      <c r="G890" s="29">
        <v>0</v>
      </c>
      <c r="H890" s="29">
        <v>49013.96</v>
      </c>
      <c r="I890" s="15">
        <v>30</v>
      </c>
      <c r="J890" s="15">
        <v>164</v>
      </c>
      <c r="K890" s="30">
        <v>200000</v>
      </c>
      <c r="L890" s="17">
        <v>46071</v>
      </c>
      <c r="M890" s="18">
        <v>49014</v>
      </c>
      <c r="N890" s="16">
        <v>46072</v>
      </c>
      <c r="O890" s="19"/>
      <c r="P890" s="20">
        <v>1610.96</v>
      </c>
      <c r="Q890" s="29">
        <v>47403.040000000001</v>
      </c>
      <c r="R890" s="9" t="s">
        <v>180</v>
      </c>
    </row>
    <row r="891" spans="1:18" ht="12" customHeight="1" x14ac:dyDescent="0.25">
      <c r="A891" s="14"/>
      <c r="B891" s="15" t="s">
        <v>567</v>
      </c>
      <c r="C891" s="29">
        <v>5060</v>
      </c>
      <c r="D891" s="16">
        <v>46041</v>
      </c>
      <c r="E891" s="15" t="s">
        <v>2</v>
      </c>
      <c r="F891" s="29">
        <v>0</v>
      </c>
      <c r="G891" s="29">
        <v>0</v>
      </c>
      <c r="H891" s="29">
        <v>5409.14</v>
      </c>
      <c r="I891" s="15">
        <v>60</v>
      </c>
      <c r="J891" s="15">
        <v>236</v>
      </c>
      <c r="K891" s="30">
        <v>43478</v>
      </c>
      <c r="L891" s="17">
        <v>46103</v>
      </c>
      <c r="M891" s="18">
        <v>5409.14</v>
      </c>
      <c r="N891" s="16">
        <v>46105</v>
      </c>
      <c r="O891" s="19"/>
      <c r="P891" s="20">
        <v>349.14</v>
      </c>
      <c r="Q891" s="29">
        <v>5060</v>
      </c>
      <c r="R891" s="9" t="s">
        <v>180</v>
      </c>
    </row>
    <row r="892" spans="1:18" ht="12" customHeight="1" x14ac:dyDescent="0.25">
      <c r="A892" s="14"/>
      <c r="B892" s="15">
        <v>1662</v>
      </c>
      <c r="C892" s="29">
        <v>9365.61</v>
      </c>
      <c r="D892" s="16">
        <v>46041</v>
      </c>
      <c r="E892" s="15" t="s">
        <v>2</v>
      </c>
      <c r="F892" s="29">
        <v>0</v>
      </c>
      <c r="G892" s="29">
        <v>0</v>
      </c>
      <c r="H892" s="29">
        <v>9688.61</v>
      </c>
      <c r="I892" s="15">
        <v>30</v>
      </c>
      <c r="J892" s="15">
        <v>170</v>
      </c>
      <c r="K892" s="30">
        <v>10000</v>
      </c>
      <c r="L892" s="17">
        <v>46071</v>
      </c>
      <c r="M892" s="18">
        <v>9688</v>
      </c>
      <c r="N892" s="16">
        <v>46068</v>
      </c>
      <c r="O892" s="19"/>
      <c r="P892" s="20">
        <v>322.98</v>
      </c>
      <c r="Q892" s="29">
        <v>9365.02</v>
      </c>
      <c r="R892" s="9" t="s">
        <v>180</v>
      </c>
    </row>
    <row r="893" spans="1:18" ht="12" customHeight="1" x14ac:dyDescent="0.25">
      <c r="A893" s="14"/>
      <c r="B893" s="15">
        <v>1675</v>
      </c>
      <c r="C893" s="29">
        <v>37623.4</v>
      </c>
      <c r="D893" s="16">
        <v>46041</v>
      </c>
      <c r="E893" s="15" t="s">
        <v>2</v>
      </c>
      <c r="F893" s="29">
        <v>0</v>
      </c>
      <c r="G893" s="29">
        <v>0</v>
      </c>
      <c r="H893" s="29">
        <v>39570.400000000001</v>
      </c>
      <c r="I893" s="15">
        <v>45</v>
      </c>
      <c r="J893" s="15">
        <v>244</v>
      </c>
      <c r="K893" s="30">
        <v>280000</v>
      </c>
      <c r="L893" s="17">
        <v>46086</v>
      </c>
      <c r="M893" s="18">
        <v>39570</v>
      </c>
      <c r="N893" s="16">
        <v>46072</v>
      </c>
      <c r="O893" s="19"/>
      <c r="P893" s="20">
        <v>1946.98</v>
      </c>
      <c r="Q893" s="29">
        <v>37623.019999999997</v>
      </c>
      <c r="R893" s="9" t="s">
        <v>180</v>
      </c>
    </row>
    <row r="894" spans="1:18" ht="12" customHeight="1" x14ac:dyDescent="0.25">
      <c r="A894" s="14"/>
      <c r="B894" s="15">
        <v>1674</v>
      </c>
      <c r="C894" s="29">
        <v>9660</v>
      </c>
      <c r="D894" s="16">
        <v>46041</v>
      </c>
      <c r="E894" s="15" t="s">
        <v>4</v>
      </c>
      <c r="F894" s="29">
        <v>9993</v>
      </c>
      <c r="G894" s="29">
        <v>9993</v>
      </c>
      <c r="H894" s="29">
        <v>9993</v>
      </c>
      <c r="I894" s="15">
        <v>30</v>
      </c>
      <c r="J894" s="15">
        <v>249</v>
      </c>
      <c r="K894" s="30">
        <v>10000</v>
      </c>
      <c r="L894" s="17">
        <v>46071</v>
      </c>
      <c r="M894" s="18">
        <v>0</v>
      </c>
      <c r="N894" s="16"/>
      <c r="O894" s="19">
        <v>71</v>
      </c>
      <c r="P894" s="20">
        <v>0</v>
      </c>
      <c r="Q894" s="29">
        <v>0</v>
      </c>
      <c r="R894" s="9" t="s">
        <v>180</v>
      </c>
    </row>
    <row r="895" spans="1:18" ht="12" customHeight="1" x14ac:dyDescent="0.25">
      <c r="A895" s="14"/>
      <c r="B895" s="15" t="s">
        <v>568</v>
      </c>
      <c r="C895" s="29">
        <v>200000</v>
      </c>
      <c r="D895" s="16">
        <v>46042</v>
      </c>
      <c r="E895" s="15" t="s">
        <v>2</v>
      </c>
      <c r="F895" s="29">
        <v>0</v>
      </c>
      <c r="G895" s="29">
        <v>0</v>
      </c>
      <c r="H895" s="29">
        <v>206900</v>
      </c>
      <c r="I895" s="15">
        <v>30</v>
      </c>
      <c r="J895" s="15">
        <v>17</v>
      </c>
      <c r="K895" s="30">
        <v>2400000</v>
      </c>
      <c r="L895" s="17">
        <v>46072</v>
      </c>
      <c r="M895" s="18">
        <v>206900</v>
      </c>
      <c r="N895" s="16">
        <v>46076</v>
      </c>
      <c r="O895" s="19"/>
      <c r="P895" s="20">
        <v>6900</v>
      </c>
      <c r="Q895" s="29">
        <v>200000</v>
      </c>
      <c r="R895" s="9" t="s">
        <v>180</v>
      </c>
    </row>
    <row r="896" spans="1:18" ht="12" customHeight="1" x14ac:dyDescent="0.25">
      <c r="A896" s="14"/>
      <c r="B896" s="15" t="s">
        <v>569</v>
      </c>
      <c r="C896" s="29">
        <v>220000</v>
      </c>
      <c r="D896" s="16">
        <v>46042</v>
      </c>
      <c r="E896" s="15" t="s">
        <v>2</v>
      </c>
      <c r="F896" s="29">
        <v>0</v>
      </c>
      <c r="G896" s="29">
        <v>0</v>
      </c>
      <c r="H896" s="29">
        <v>227590</v>
      </c>
      <c r="I896" s="15">
        <v>30</v>
      </c>
      <c r="J896" s="15">
        <v>17</v>
      </c>
      <c r="K896" s="30">
        <v>2400000</v>
      </c>
      <c r="L896" s="17">
        <v>46072</v>
      </c>
      <c r="M896" s="18">
        <v>227590</v>
      </c>
      <c r="N896" s="16">
        <v>46076</v>
      </c>
      <c r="O896" s="19"/>
      <c r="P896" s="20">
        <v>7590</v>
      </c>
      <c r="Q896" s="29">
        <v>220000</v>
      </c>
      <c r="R896" s="9" t="s">
        <v>180</v>
      </c>
    </row>
    <row r="897" spans="1:19" ht="12" customHeight="1" x14ac:dyDescent="0.25">
      <c r="A897" s="14"/>
      <c r="B897" s="15" t="s">
        <v>570</v>
      </c>
      <c r="C897" s="29">
        <v>0</v>
      </c>
      <c r="D897" s="16">
        <v>46042</v>
      </c>
      <c r="E897" s="15" t="s">
        <v>2</v>
      </c>
      <c r="F897" s="29">
        <v>0</v>
      </c>
      <c r="G897" s="29">
        <v>0</v>
      </c>
      <c r="H897" s="29">
        <v>4239</v>
      </c>
      <c r="I897" s="15">
        <v>0</v>
      </c>
      <c r="J897" s="15">
        <v>104</v>
      </c>
      <c r="K897" s="30">
        <v>260000</v>
      </c>
      <c r="L897" s="17">
        <v>46042</v>
      </c>
      <c r="M897" s="18">
        <v>4239</v>
      </c>
      <c r="N897" s="16">
        <v>46047</v>
      </c>
      <c r="O897" s="19"/>
      <c r="P897" s="20">
        <v>4239</v>
      </c>
      <c r="Q897" s="29">
        <v>0</v>
      </c>
      <c r="R897" s="9" t="s">
        <v>180</v>
      </c>
    </row>
    <row r="898" spans="1:19" ht="12" customHeight="1" x14ac:dyDescent="0.25">
      <c r="A898" s="14"/>
      <c r="B898" s="15" t="s">
        <v>571</v>
      </c>
      <c r="C898" s="29">
        <v>19600</v>
      </c>
      <c r="D898" s="16">
        <v>46042</v>
      </c>
      <c r="E898" s="15" t="s">
        <v>2</v>
      </c>
      <c r="F898" s="29">
        <v>0</v>
      </c>
      <c r="G898" s="29">
        <v>0</v>
      </c>
      <c r="H898" s="29">
        <v>20300</v>
      </c>
      <c r="I898" s="15">
        <v>30</v>
      </c>
      <c r="J898" s="15">
        <v>139</v>
      </c>
      <c r="K898" s="30">
        <v>322000</v>
      </c>
      <c r="L898" s="17">
        <v>46072</v>
      </c>
      <c r="M898" s="18">
        <v>20300</v>
      </c>
      <c r="N898" s="16">
        <v>46076</v>
      </c>
      <c r="O898" s="19"/>
      <c r="P898" s="20">
        <v>700</v>
      </c>
      <c r="Q898" s="29">
        <v>19600</v>
      </c>
      <c r="R898" s="9" t="s">
        <v>180</v>
      </c>
    </row>
    <row r="899" spans="1:19" ht="12" customHeight="1" x14ac:dyDescent="0.25">
      <c r="A899" s="14"/>
      <c r="B899" s="15" t="s">
        <v>572</v>
      </c>
      <c r="C899" s="29">
        <v>338008</v>
      </c>
      <c r="D899" s="16">
        <v>46042</v>
      </c>
      <c r="E899" s="15" t="s">
        <v>2</v>
      </c>
      <c r="F899" s="29">
        <v>0</v>
      </c>
      <c r="G899" s="29">
        <v>0</v>
      </c>
      <c r="H899" s="29">
        <v>349669.28</v>
      </c>
      <c r="I899" s="15">
        <v>30</v>
      </c>
      <c r="J899" s="15">
        <v>207</v>
      </c>
      <c r="K899" s="30">
        <v>350000</v>
      </c>
      <c r="L899" s="17">
        <v>46072</v>
      </c>
      <c r="M899" s="18">
        <v>349665.75</v>
      </c>
      <c r="N899" s="16">
        <v>46076</v>
      </c>
      <c r="O899" s="19"/>
      <c r="P899" s="20">
        <v>11661.16</v>
      </c>
      <c r="Q899" s="29">
        <v>338004.59</v>
      </c>
      <c r="R899" s="9" t="s">
        <v>180</v>
      </c>
    </row>
    <row r="900" spans="1:19" ht="12" customHeight="1" x14ac:dyDescent="0.25">
      <c r="A900" s="14"/>
      <c r="B900" s="15" t="s">
        <v>573</v>
      </c>
      <c r="C900" s="29">
        <v>5635</v>
      </c>
      <c r="D900" s="16">
        <v>46042</v>
      </c>
      <c r="E900" s="15" t="s">
        <v>2</v>
      </c>
      <c r="F900" s="29">
        <v>0</v>
      </c>
      <c r="G900" s="29">
        <v>0</v>
      </c>
      <c r="H900" s="29">
        <v>6023.82</v>
      </c>
      <c r="I900" s="15">
        <v>60</v>
      </c>
      <c r="J900" s="15">
        <v>236</v>
      </c>
      <c r="K900" s="30">
        <v>43478</v>
      </c>
      <c r="L900" s="17">
        <v>46103</v>
      </c>
      <c r="M900" s="18">
        <v>6023.82</v>
      </c>
      <c r="N900" s="16">
        <v>46105</v>
      </c>
      <c r="O900" s="19"/>
      <c r="P900" s="20">
        <v>388.82</v>
      </c>
      <c r="Q900" s="29">
        <v>5635</v>
      </c>
      <c r="R900" s="9" t="s">
        <v>180</v>
      </c>
    </row>
    <row r="901" spans="1:19" ht="12" customHeight="1" x14ac:dyDescent="0.25">
      <c r="A901" s="14"/>
      <c r="B901" s="15">
        <v>1268</v>
      </c>
      <c r="C901" s="29">
        <v>9610.5499999999993</v>
      </c>
      <c r="D901" s="16">
        <v>46042</v>
      </c>
      <c r="E901" s="15" t="s">
        <v>2</v>
      </c>
      <c r="F901" s="29">
        <v>0</v>
      </c>
      <c r="G901" s="29">
        <v>0</v>
      </c>
      <c r="H901" s="29">
        <v>9942.5499999999993</v>
      </c>
      <c r="I901" s="15">
        <v>30</v>
      </c>
      <c r="J901" s="15">
        <v>70</v>
      </c>
      <c r="K901" s="30">
        <v>10000</v>
      </c>
      <c r="L901" s="17">
        <v>46072</v>
      </c>
      <c r="M901" s="18">
        <v>9942</v>
      </c>
      <c r="N901" s="16">
        <v>46058</v>
      </c>
      <c r="O901" s="19"/>
      <c r="P901" s="20">
        <v>331.98</v>
      </c>
      <c r="Q901" s="29">
        <v>9610.02</v>
      </c>
      <c r="R901" s="9" t="s">
        <v>180</v>
      </c>
    </row>
    <row r="902" spans="1:19" ht="12" customHeight="1" x14ac:dyDescent="0.25">
      <c r="A902" s="14"/>
      <c r="B902" s="15" t="s">
        <v>574</v>
      </c>
      <c r="C902" s="29">
        <v>111000</v>
      </c>
      <c r="D902" s="16">
        <v>46043</v>
      </c>
      <c r="E902" s="15" t="s">
        <v>2</v>
      </c>
      <c r="F902" s="29">
        <v>0</v>
      </c>
      <c r="G902" s="29">
        <v>0</v>
      </c>
      <c r="H902" s="29">
        <v>114830.17</v>
      </c>
      <c r="I902" s="15">
        <v>30</v>
      </c>
      <c r="J902" s="15">
        <v>12</v>
      </c>
      <c r="K902" s="30">
        <v>1196000</v>
      </c>
      <c r="L902" s="17">
        <v>46075</v>
      </c>
      <c r="M902" s="18">
        <v>114830</v>
      </c>
      <c r="N902" s="16">
        <v>46078</v>
      </c>
      <c r="O902" s="19"/>
      <c r="P902" s="20">
        <v>3830.16</v>
      </c>
      <c r="Q902" s="29">
        <v>110999.84</v>
      </c>
      <c r="R902" s="9" t="s">
        <v>180</v>
      </c>
    </row>
    <row r="903" spans="1:19" ht="12" customHeight="1" x14ac:dyDescent="0.25">
      <c r="A903" s="14"/>
      <c r="B903" s="15" t="s">
        <v>575</v>
      </c>
      <c r="C903" s="29">
        <v>57148</v>
      </c>
      <c r="D903" s="16">
        <v>46043</v>
      </c>
      <c r="E903" s="15" t="s">
        <v>3</v>
      </c>
      <c r="F903" s="29">
        <v>63062.82</v>
      </c>
      <c r="G903" s="29">
        <v>0</v>
      </c>
      <c r="H903" s="29">
        <v>63062.82</v>
      </c>
      <c r="I903" s="15">
        <v>90</v>
      </c>
      <c r="J903" s="15">
        <v>49</v>
      </c>
      <c r="K903" s="30">
        <v>273000</v>
      </c>
      <c r="L903" s="17">
        <v>46133</v>
      </c>
      <c r="M903" s="18">
        <v>0</v>
      </c>
      <c r="N903" s="16"/>
      <c r="O903" s="19">
        <v>69</v>
      </c>
      <c r="P903" s="20">
        <v>0</v>
      </c>
      <c r="Q903" s="29">
        <v>0</v>
      </c>
      <c r="R903" s="9" t="s">
        <v>180</v>
      </c>
    </row>
    <row r="904" spans="1:19" ht="12" customHeight="1" x14ac:dyDescent="0.25">
      <c r="A904" s="14"/>
      <c r="B904" s="15" t="s">
        <v>576</v>
      </c>
      <c r="C904" s="29">
        <v>393541</v>
      </c>
      <c r="D904" s="16">
        <v>46043</v>
      </c>
      <c r="E904" s="15" t="s">
        <v>4</v>
      </c>
      <c r="F904" s="29">
        <v>375016.86</v>
      </c>
      <c r="G904" s="29">
        <v>375016.86</v>
      </c>
      <c r="H904" s="29">
        <v>403379.52</v>
      </c>
      <c r="I904" s="15">
        <v>4</v>
      </c>
      <c r="J904" s="15">
        <v>75</v>
      </c>
      <c r="K904" s="30">
        <v>390000</v>
      </c>
      <c r="L904" s="17">
        <v>46047</v>
      </c>
      <c r="M904" s="18">
        <v>28362.66</v>
      </c>
      <c r="N904" s="16">
        <v>46070</v>
      </c>
      <c r="O904" s="19">
        <v>69</v>
      </c>
      <c r="P904" s="20">
        <v>691.77</v>
      </c>
      <c r="Q904" s="29">
        <v>27670.89</v>
      </c>
      <c r="R904" s="9" t="s">
        <v>180</v>
      </c>
      <c r="S904" s="10" t="s">
        <v>660</v>
      </c>
    </row>
    <row r="905" spans="1:19" ht="12" customHeight="1" x14ac:dyDescent="0.25">
      <c r="A905" s="14"/>
      <c r="B905" s="15" t="s">
        <v>577</v>
      </c>
      <c r="C905" s="29">
        <v>0</v>
      </c>
      <c r="D905" s="16">
        <v>46043</v>
      </c>
      <c r="E905" s="15" t="s">
        <v>4</v>
      </c>
      <c r="F905" s="29">
        <v>4639</v>
      </c>
      <c r="G905" s="29">
        <v>4639</v>
      </c>
      <c r="H905" s="29">
        <v>4639</v>
      </c>
      <c r="I905" s="15">
        <v>0</v>
      </c>
      <c r="J905" s="15">
        <v>75</v>
      </c>
      <c r="K905" s="30">
        <v>390000</v>
      </c>
      <c r="L905" s="17">
        <v>46043</v>
      </c>
      <c r="M905" s="18">
        <v>0</v>
      </c>
      <c r="N905" s="16"/>
      <c r="O905" s="19">
        <v>69</v>
      </c>
      <c r="P905" s="20">
        <v>0</v>
      </c>
      <c r="Q905" s="29">
        <v>0</v>
      </c>
      <c r="R905" s="9" t="s">
        <v>180</v>
      </c>
      <c r="S905" s="10" t="s">
        <v>660</v>
      </c>
    </row>
    <row r="906" spans="1:19" ht="12" customHeight="1" x14ac:dyDescent="0.25">
      <c r="A906" s="14"/>
      <c r="B906" s="15" t="s">
        <v>578</v>
      </c>
      <c r="C906" s="29">
        <v>100000</v>
      </c>
      <c r="D906" s="16">
        <v>46043</v>
      </c>
      <c r="E906" s="15" t="s">
        <v>2</v>
      </c>
      <c r="F906" s="29">
        <v>0</v>
      </c>
      <c r="G906" s="29">
        <v>0</v>
      </c>
      <c r="H906" s="29">
        <v>103449.99</v>
      </c>
      <c r="I906" s="15">
        <v>30</v>
      </c>
      <c r="J906" s="15">
        <v>76</v>
      </c>
      <c r="K906" s="30">
        <v>221000</v>
      </c>
      <c r="L906" s="17">
        <v>46075</v>
      </c>
      <c r="M906" s="18">
        <v>103449.99</v>
      </c>
      <c r="N906" s="16">
        <v>46077</v>
      </c>
      <c r="O906" s="19"/>
      <c r="P906" s="20">
        <v>3449.99</v>
      </c>
      <c r="Q906" s="29">
        <v>100000</v>
      </c>
      <c r="R906" s="9" t="s">
        <v>180</v>
      </c>
    </row>
    <row r="907" spans="1:19" ht="12" customHeight="1" x14ac:dyDescent="0.25">
      <c r="A907" s="14"/>
      <c r="B907" s="15" t="s">
        <v>579</v>
      </c>
      <c r="C907" s="29">
        <v>64500</v>
      </c>
      <c r="D907" s="16">
        <v>46043</v>
      </c>
      <c r="E907" s="15" t="s">
        <v>2</v>
      </c>
      <c r="F907" s="29">
        <v>0</v>
      </c>
      <c r="G907" s="29">
        <v>0</v>
      </c>
      <c r="H907" s="29">
        <v>66719.990000000005</v>
      </c>
      <c r="I907" s="15">
        <v>30</v>
      </c>
      <c r="J907" s="15">
        <v>76</v>
      </c>
      <c r="K907" s="30">
        <v>221000</v>
      </c>
      <c r="L907" s="17">
        <v>46075</v>
      </c>
      <c r="M907" s="18">
        <v>66720</v>
      </c>
      <c r="N907" s="16">
        <v>46077</v>
      </c>
      <c r="O907" s="19"/>
      <c r="P907" s="20">
        <v>2219.9899999999998</v>
      </c>
      <c r="Q907" s="29">
        <v>64500.01</v>
      </c>
      <c r="R907" s="9" t="s">
        <v>180</v>
      </c>
    </row>
    <row r="908" spans="1:19" ht="12" customHeight="1" x14ac:dyDescent="0.25">
      <c r="A908" s="14"/>
      <c r="B908" s="15" t="s">
        <v>580</v>
      </c>
      <c r="C908" s="29">
        <v>0</v>
      </c>
      <c r="D908" s="16">
        <v>46043</v>
      </c>
      <c r="E908" s="15" t="s">
        <v>4</v>
      </c>
      <c r="F908" s="29">
        <v>1679</v>
      </c>
      <c r="G908" s="29">
        <v>1679</v>
      </c>
      <c r="H908" s="29">
        <v>1679</v>
      </c>
      <c r="I908" s="15">
        <v>0</v>
      </c>
      <c r="J908" s="15">
        <v>110</v>
      </c>
      <c r="K908" s="30">
        <v>73000</v>
      </c>
      <c r="L908" s="17">
        <v>46043</v>
      </c>
      <c r="M908" s="18">
        <v>0</v>
      </c>
      <c r="N908" s="16"/>
      <c r="O908" s="19">
        <v>69</v>
      </c>
      <c r="P908" s="20">
        <v>0</v>
      </c>
      <c r="Q908" s="29">
        <v>0</v>
      </c>
      <c r="R908" s="9" t="s">
        <v>180</v>
      </c>
      <c r="S908" s="10" t="s">
        <v>645</v>
      </c>
    </row>
    <row r="909" spans="1:19" ht="12" customHeight="1" x14ac:dyDescent="0.25">
      <c r="A909" s="14"/>
      <c r="B909" s="15" t="s">
        <v>581</v>
      </c>
      <c r="C909" s="29">
        <v>0</v>
      </c>
      <c r="D909" s="16">
        <v>46043</v>
      </c>
      <c r="E909" s="15" t="s">
        <v>2</v>
      </c>
      <c r="F909" s="29">
        <v>0</v>
      </c>
      <c r="G909" s="29">
        <v>0</v>
      </c>
      <c r="H909" s="29">
        <v>9065</v>
      </c>
      <c r="I909" s="15">
        <v>0</v>
      </c>
      <c r="J909" s="15">
        <v>115</v>
      </c>
      <c r="K909" s="30">
        <v>530000</v>
      </c>
      <c r="L909" s="17">
        <v>46043</v>
      </c>
      <c r="M909" s="18">
        <v>9065</v>
      </c>
      <c r="N909" s="16">
        <v>46061</v>
      </c>
      <c r="O909" s="19"/>
      <c r="P909" s="20">
        <v>9065</v>
      </c>
      <c r="Q909" s="29">
        <v>0</v>
      </c>
      <c r="R909" s="9" t="s">
        <v>180</v>
      </c>
    </row>
    <row r="910" spans="1:19" ht="12" customHeight="1" x14ac:dyDescent="0.25">
      <c r="A910" s="14"/>
      <c r="B910" s="15" t="s">
        <v>582</v>
      </c>
      <c r="C910" s="29">
        <v>0</v>
      </c>
      <c r="D910" s="16">
        <v>46043</v>
      </c>
      <c r="E910" s="15" t="s">
        <v>2</v>
      </c>
      <c r="F910" s="29">
        <v>0</v>
      </c>
      <c r="G910" s="29">
        <v>0</v>
      </c>
      <c r="H910" s="29">
        <v>2243</v>
      </c>
      <c r="I910" s="15">
        <v>0</v>
      </c>
      <c r="J910" s="15">
        <v>115</v>
      </c>
      <c r="K910" s="30">
        <v>530000</v>
      </c>
      <c r="L910" s="17">
        <v>46043</v>
      </c>
      <c r="M910" s="18">
        <v>2243</v>
      </c>
      <c r="N910" s="16">
        <v>46061</v>
      </c>
      <c r="O910" s="19"/>
      <c r="P910" s="20">
        <v>2243</v>
      </c>
      <c r="Q910" s="29">
        <v>0</v>
      </c>
      <c r="R910" s="9" t="s">
        <v>180</v>
      </c>
    </row>
    <row r="911" spans="1:19" ht="12" customHeight="1" x14ac:dyDescent="0.25">
      <c r="A911" s="14"/>
      <c r="B911" s="15" t="s">
        <v>583</v>
      </c>
      <c r="C911" s="29">
        <v>24581</v>
      </c>
      <c r="D911" s="16">
        <v>46043</v>
      </c>
      <c r="E911" s="15" t="s">
        <v>2</v>
      </c>
      <c r="F911" s="29">
        <v>0</v>
      </c>
      <c r="G911" s="29">
        <v>0</v>
      </c>
      <c r="H911" s="29">
        <v>25417.05</v>
      </c>
      <c r="I911" s="15">
        <v>30</v>
      </c>
      <c r="J911" s="15">
        <v>164</v>
      </c>
      <c r="K911" s="30">
        <v>200000</v>
      </c>
      <c r="L911" s="17">
        <v>46075</v>
      </c>
      <c r="M911" s="18">
        <v>25417.3</v>
      </c>
      <c r="N911" s="16">
        <v>46077</v>
      </c>
      <c r="O911" s="19"/>
      <c r="P911" s="20">
        <v>836.06</v>
      </c>
      <c r="Q911" s="29">
        <v>24581.24</v>
      </c>
      <c r="R911" s="9" t="s">
        <v>180</v>
      </c>
    </row>
    <row r="912" spans="1:19" ht="12" customHeight="1" x14ac:dyDescent="0.25">
      <c r="A912" s="14"/>
      <c r="B912" s="15" t="s">
        <v>584</v>
      </c>
      <c r="C912" s="29">
        <v>0</v>
      </c>
      <c r="D912" s="16">
        <v>46043</v>
      </c>
      <c r="E912" s="15" t="s">
        <v>4</v>
      </c>
      <c r="F912" s="29">
        <v>2300</v>
      </c>
      <c r="G912" s="29">
        <v>2300</v>
      </c>
      <c r="H912" s="29">
        <v>2300</v>
      </c>
      <c r="I912" s="15">
        <v>0</v>
      </c>
      <c r="J912" s="15">
        <v>169</v>
      </c>
      <c r="K912" s="30">
        <v>100000</v>
      </c>
      <c r="L912" s="17">
        <v>46043</v>
      </c>
      <c r="M912" s="18">
        <v>0</v>
      </c>
      <c r="N912" s="16"/>
      <c r="O912" s="19">
        <v>69</v>
      </c>
      <c r="P912" s="20">
        <v>0</v>
      </c>
      <c r="Q912" s="29">
        <v>0</v>
      </c>
      <c r="R912" s="9" t="s">
        <v>180</v>
      </c>
      <c r="S912" s="10" t="s">
        <v>983</v>
      </c>
    </row>
    <row r="913" spans="1:18" ht="12" customHeight="1" x14ac:dyDescent="0.25">
      <c r="A913" s="14"/>
      <c r="B913" s="15" t="s">
        <v>585</v>
      </c>
      <c r="C913" s="29">
        <v>589671</v>
      </c>
      <c r="D913" s="16">
        <v>46043</v>
      </c>
      <c r="E913" s="15" t="s">
        <v>2</v>
      </c>
      <c r="F913" s="29">
        <v>0</v>
      </c>
      <c r="G913" s="29">
        <v>0</v>
      </c>
      <c r="H913" s="29">
        <v>610014.65</v>
      </c>
      <c r="I913" s="15">
        <v>30</v>
      </c>
      <c r="J913" s="15">
        <v>172</v>
      </c>
      <c r="K913" s="30">
        <v>2000000</v>
      </c>
      <c r="L913" s="17">
        <v>46075</v>
      </c>
      <c r="M913" s="18">
        <v>610014.18000000005</v>
      </c>
      <c r="N913" s="16">
        <v>46078</v>
      </c>
      <c r="O913" s="19"/>
      <c r="P913" s="20">
        <v>20343.63</v>
      </c>
      <c r="Q913" s="29">
        <v>589670.55000000005</v>
      </c>
      <c r="R913" s="9" t="s">
        <v>180</v>
      </c>
    </row>
    <row r="914" spans="1:18" ht="12" customHeight="1" x14ac:dyDescent="0.25">
      <c r="A914" s="14"/>
      <c r="B914" s="15" t="s">
        <v>586</v>
      </c>
      <c r="C914" s="29">
        <v>396300</v>
      </c>
      <c r="D914" s="16">
        <v>46043</v>
      </c>
      <c r="E914" s="15" t="s">
        <v>2</v>
      </c>
      <c r="F914" s="29">
        <v>0</v>
      </c>
      <c r="G914" s="29">
        <v>0</v>
      </c>
      <c r="H914" s="29">
        <v>409972.35</v>
      </c>
      <c r="I914" s="15">
        <v>30</v>
      </c>
      <c r="J914" s="15">
        <v>253</v>
      </c>
      <c r="K914" s="30">
        <v>410000</v>
      </c>
      <c r="L914" s="17">
        <v>46075</v>
      </c>
      <c r="M914" s="18">
        <v>409972</v>
      </c>
      <c r="N914" s="16">
        <v>46089</v>
      </c>
      <c r="O914" s="19"/>
      <c r="P914" s="20">
        <v>13672.33</v>
      </c>
      <c r="Q914" s="29">
        <v>396299.67</v>
      </c>
      <c r="R914" s="9" t="s">
        <v>180</v>
      </c>
    </row>
    <row r="915" spans="1:18" ht="12" customHeight="1" x14ac:dyDescent="0.25">
      <c r="A915" s="14"/>
      <c r="B915" s="15" t="s">
        <v>587</v>
      </c>
      <c r="C915" s="29">
        <v>175006</v>
      </c>
      <c r="D915" s="16">
        <v>46044</v>
      </c>
      <c r="E915" s="15" t="s">
        <v>2</v>
      </c>
      <c r="F915" s="29">
        <v>0</v>
      </c>
      <c r="G915" s="29">
        <v>0</v>
      </c>
      <c r="H915" s="29">
        <v>181043.53</v>
      </c>
      <c r="I915" s="15">
        <v>30</v>
      </c>
      <c r="J915" s="15">
        <v>6</v>
      </c>
      <c r="K915" s="30">
        <v>810000</v>
      </c>
      <c r="L915" s="17">
        <v>46075</v>
      </c>
      <c r="M915" s="18">
        <v>181044</v>
      </c>
      <c r="N915" s="16">
        <v>46089</v>
      </c>
      <c r="O915" s="19"/>
      <c r="P915" s="20">
        <v>6037.55</v>
      </c>
      <c r="Q915" s="29">
        <v>175006.45</v>
      </c>
      <c r="R915" s="9" t="s">
        <v>180</v>
      </c>
    </row>
    <row r="916" spans="1:18" ht="12" customHeight="1" x14ac:dyDescent="0.25">
      <c r="A916" s="14"/>
      <c r="B916" s="15" t="s">
        <v>588</v>
      </c>
      <c r="C916" s="29">
        <v>225000</v>
      </c>
      <c r="D916" s="16">
        <v>46044</v>
      </c>
      <c r="E916" s="15" t="s">
        <v>2</v>
      </c>
      <c r="F916" s="29">
        <v>0</v>
      </c>
      <c r="G916" s="29">
        <v>0</v>
      </c>
      <c r="H916" s="29">
        <v>232762.5</v>
      </c>
      <c r="I916" s="15">
        <v>30</v>
      </c>
      <c r="J916" s="15">
        <v>17</v>
      </c>
      <c r="K916" s="30">
        <v>2400000</v>
      </c>
      <c r="L916" s="17">
        <v>46075</v>
      </c>
      <c r="M916" s="18">
        <v>232763</v>
      </c>
      <c r="N916" s="16">
        <v>46077</v>
      </c>
      <c r="O916" s="19"/>
      <c r="P916" s="20">
        <v>7762.52</v>
      </c>
      <c r="Q916" s="29">
        <v>225000.48</v>
      </c>
      <c r="R916" s="9" t="s">
        <v>180</v>
      </c>
    </row>
    <row r="917" spans="1:18" ht="12" customHeight="1" x14ac:dyDescent="0.25">
      <c r="A917" s="14"/>
      <c r="B917" s="15" t="s">
        <v>589</v>
      </c>
      <c r="C917" s="29">
        <v>96810</v>
      </c>
      <c r="D917" s="16">
        <v>46044</v>
      </c>
      <c r="E917" s="15" t="s">
        <v>2</v>
      </c>
      <c r="F917" s="29">
        <v>0</v>
      </c>
      <c r="G917" s="29">
        <v>0</v>
      </c>
      <c r="H917" s="29">
        <v>98746.19</v>
      </c>
      <c r="I917" s="15">
        <v>10</v>
      </c>
      <c r="J917" s="15">
        <v>29</v>
      </c>
      <c r="K917" s="30">
        <v>1240000</v>
      </c>
      <c r="L917" s="17">
        <v>46054</v>
      </c>
      <c r="M917" s="18">
        <v>98745.99</v>
      </c>
      <c r="N917" s="16">
        <v>46051</v>
      </c>
      <c r="O917" s="19"/>
      <c r="P917" s="20">
        <v>1936.19</v>
      </c>
      <c r="Q917" s="29">
        <v>96809.8</v>
      </c>
      <c r="R917" s="9" t="s">
        <v>180</v>
      </c>
    </row>
    <row r="918" spans="1:18" ht="12" customHeight="1" x14ac:dyDescent="0.25">
      <c r="A918" s="14"/>
      <c r="B918" s="15" t="s">
        <v>590</v>
      </c>
      <c r="C918" s="29">
        <v>124743</v>
      </c>
      <c r="D918" s="16">
        <v>46044</v>
      </c>
      <c r="E918" s="15" t="s">
        <v>2</v>
      </c>
      <c r="F918" s="29">
        <v>0</v>
      </c>
      <c r="G918" s="29">
        <v>0</v>
      </c>
      <c r="H918" s="29">
        <v>127237.86</v>
      </c>
      <c r="I918" s="15">
        <v>10</v>
      </c>
      <c r="J918" s="15">
        <v>29</v>
      </c>
      <c r="K918" s="30">
        <v>1240000</v>
      </c>
      <c r="L918" s="17">
        <v>46054</v>
      </c>
      <c r="M918" s="18">
        <v>127238.23</v>
      </c>
      <c r="N918" s="16">
        <v>46050</v>
      </c>
      <c r="O918" s="19"/>
      <c r="P918" s="20">
        <v>2494.87</v>
      </c>
      <c r="Q918" s="29">
        <v>124743.36</v>
      </c>
      <c r="R918" s="9" t="s">
        <v>180</v>
      </c>
    </row>
    <row r="919" spans="1:18" ht="12" customHeight="1" x14ac:dyDescent="0.25">
      <c r="A919" s="14"/>
      <c r="B919" s="15" t="s">
        <v>591</v>
      </c>
      <c r="C919" s="29">
        <v>123786</v>
      </c>
      <c r="D919" s="16">
        <v>46044</v>
      </c>
      <c r="E919" s="15" t="s">
        <v>2</v>
      </c>
      <c r="F919" s="29">
        <v>0</v>
      </c>
      <c r="G919" s="29">
        <v>0</v>
      </c>
      <c r="H919" s="29">
        <v>126261.73</v>
      </c>
      <c r="I919" s="15">
        <v>10</v>
      </c>
      <c r="J919" s="15">
        <v>29</v>
      </c>
      <c r="K919" s="30">
        <v>1240000</v>
      </c>
      <c r="L919" s="17">
        <v>46054</v>
      </c>
      <c r="M919" s="18">
        <v>126261.4</v>
      </c>
      <c r="N919" s="16">
        <v>46050</v>
      </c>
      <c r="O919" s="19"/>
      <c r="P919" s="20">
        <v>2475.7199999999998</v>
      </c>
      <c r="Q919" s="29">
        <v>123785.68</v>
      </c>
      <c r="R919" s="9" t="s">
        <v>180</v>
      </c>
    </row>
    <row r="920" spans="1:18" ht="12" customHeight="1" x14ac:dyDescent="0.25">
      <c r="A920" s="14"/>
      <c r="B920" s="15" t="s">
        <v>592</v>
      </c>
      <c r="C920" s="29">
        <v>124195</v>
      </c>
      <c r="D920" s="16">
        <v>46044</v>
      </c>
      <c r="E920" s="15" t="s">
        <v>2</v>
      </c>
      <c r="F920" s="29">
        <v>0</v>
      </c>
      <c r="G920" s="29">
        <v>0</v>
      </c>
      <c r="H920" s="29">
        <v>126678.89</v>
      </c>
      <c r="I920" s="15">
        <v>10</v>
      </c>
      <c r="J920" s="15">
        <v>29</v>
      </c>
      <c r="K920" s="30">
        <v>1240000</v>
      </c>
      <c r="L920" s="17">
        <v>46054</v>
      </c>
      <c r="M920" s="18">
        <v>126678.72</v>
      </c>
      <c r="N920" s="16">
        <v>46050</v>
      </c>
      <c r="O920" s="19"/>
      <c r="P920" s="20">
        <v>2483.89</v>
      </c>
      <c r="Q920" s="29">
        <v>124194.83</v>
      </c>
      <c r="R920" s="9" t="s">
        <v>180</v>
      </c>
    </row>
    <row r="921" spans="1:18" ht="12" customHeight="1" x14ac:dyDescent="0.25">
      <c r="A921" s="14"/>
      <c r="B921" s="15" t="s">
        <v>593</v>
      </c>
      <c r="C921" s="29">
        <v>122793</v>
      </c>
      <c r="D921" s="16">
        <v>46044</v>
      </c>
      <c r="E921" s="15" t="s">
        <v>2</v>
      </c>
      <c r="F921" s="29">
        <v>0</v>
      </c>
      <c r="G921" s="29">
        <v>0</v>
      </c>
      <c r="H921" s="29">
        <v>125248.86</v>
      </c>
      <c r="I921" s="15">
        <v>10</v>
      </c>
      <c r="J921" s="15">
        <v>29</v>
      </c>
      <c r="K921" s="30">
        <v>1240000</v>
      </c>
      <c r="L921" s="17">
        <v>46054</v>
      </c>
      <c r="M921" s="18">
        <v>125249.19</v>
      </c>
      <c r="N921" s="16">
        <v>46050</v>
      </c>
      <c r="O921" s="19"/>
      <c r="P921" s="20">
        <v>2455.87</v>
      </c>
      <c r="Q921" s="29">
        <v>122793.32</v>
      </c>
      <c r="R921" s="9" t="s">
        <v>180</v>
      </c>
    </row>
    <row r="922" spans="1:18" ht="12" customHeight="1" x14ac:dyDescent="0.25">
      <c r="A922" s="14"/>
      <c r="B922" s="15" t="s">
        <v>594</v>
      </c>
      <c r="C922" s="29">
        <v>64165</v>
      </c>
      <c r="D922" s="16">
        <v>46044</v>
      </c>
      <c r="E922" s="15" t="s">
        <v>2</v>
      </c>
      <c r="F922" s="29">
        <v>0</v>
      </c>
      <c r="G922" s="29">
        <v>0</v>
      </c>
      <c r="H922" s="29">
        <v>65448.3</v>
      </c>
      <c r="I922" s="15">
        <v>10</v>
      </c>
      <c r="J922" s="15">
        <v>29</v>
      </c>
      <c r="K922" s="30">
        <v>1240000</v>
      </c>
      <c r="L922" s="17">
        <v>46054</v>
      </c>
      <c r="M922" s="18">
        <v>65448.31</v>
      </c>
      <c r="N922" s="16">
        <v>46051</v>
      </c>
      <c r="O922" s="19"/>
      <c r="P922" s="20">
        <v>1283.3</v>
      </c>
      <c r="Q922" s="29">
        <v>64165.01</v>
      </c>
      <c r="R922" s="9" t="s">
        <v>180</v>
      </c>
    </row>
    <row r="923" spans="1:18" ht="12" customHeight="1" x14ac:dyDescent="0.25">
      <c r="A923" s="14"/>
      <c r="B923" s="15" t="s">
        <v>595</v>
      </c>
      <c r="C923" s="29">
        <v>45310</v>
      </c>
      <c r="D923" s="16">
        <v>46044</v>
      </c>
      <c r="E923" s="15" t="s">
        <v>3</v>
      </c>
      <c r="F923" s="29">
        <v>50000</v>
      </c>
      <c r="G923" s="29">
        <v>0</v>
      </c>
      <c r="H923" s="29">
        <v>50000</v>
      </c>
      <c r="I923" s="15">
        <v>90</v>
      </c>
      <c r="J923" s="15">
        <v>89</v>
      </c>
      <c r="K923" s="30">
        <v>64000</v>
      </c>
      <c r="L923" s="17">
        <v>46134</v>
      </c>
      <c r="M923" s="18">
        <v>0</v>
      </c>
      <c r="N923" s="16"/>
      <c r="O923" s="19">
        <v>68</v>
      </c>
      <c r="P923" s="20">
        <v>0</v>
      </c>
      <c r="Q923" s="29">
        <v>0</v>
      </c>
      <c r="R923" s="9" t="s">
        <v>180</v>
      </c>
    </row>
    <row r="924" spans="1:18" ht="12" customHeight="1" x14ac:dyDescent="0.25">
      <c r="A924" s="14"/>
      <c r="B924" s="15" t="s">
        <v>596</v>
      </c>
      <c r="C924" s="29">
        <v>42500</v>
      </c>
      <c r="D924" s="16">
        <v>46044</v>
      </c>
      <c r="E924" s="15" t="s">
        <v>2</v>
      </c>
      <c r="F924" s="29">
        <v>0</v>
      </c>
      <c r="G924" s="29">
        <v>0</v>
      </c>
      <c r="H924" s="29">
        <v>43955</v>
      </c>
      <c r="I924" s="15">
        <v>30</v>
      </c>
      <c r="J924" s="15">
        <v>139</v>
      </c>
      <c r="K924" s="30">
        <v>322000</v>
      </c>
      <c r="L924" s="17">
        <v>46075</v>
      </c>
      <c r="M924" s="18">
        <v>43950</v>
      </c>
      <c r="N924" s="16">
        <v>46079</v>
      </c>
      <c r="O924" s="19"/>
      <c r="P924" s="20">
        <v>1454.83</v>
      </c>
      <c r="Q924" s="29">
        <v>42495.17</v>
      </c>
      <c r="R924" s="9" t="s">
        <v>180</v>
      </c>
    </row>
    <row r="925" spans="1:18" ht="12" customHeight="1" x14ac:dyDescent="0.25">
      <c r="A925" s="14"/>
      <c r="B925" s="15">
        <v>1685</v>
      </c>
      <c r="C925" s="29">
        <v>96552.39</v>
      </c>
      <c r="D925" s="16">
        <v>46044</v>
      </c>
      <c r="E925" s="15" t="s">
        <v>2</v>
      </c>
      <c r="F925" s="29">
        <v>0</v>
      </c>
      <c r="G925" s="29">
        <v>0</v>
      </c>
      <c r="H925" s="29">
        <v>99883.39</v>
      </c>
      <c r="I925" s="15">
        <v>30</v>
      </c>
      <c r="J925" s="15">
        <v>178</v>
      </c>
      <c r="K925" s="30">
        <v>100000</v>
      </c>
      <c r="L925" s="17">
        <v>46075</v>
      </c>
      <c r="M925" s="18">
        <v>99891.35</v>
      </c>
      <c r="N925" s="16">
        <v>46071</v>
      </c>
      <c r="O925" s="19"/>
      <c r="P925" s="20">
        <v>3331.27</v>
      </c>
      <c r="Q925" s="29">
        <v>96560.08</v>
      </c>
      <c r="R925" s="9" t="s">
        <v>180</v>
      </c>
    </row>
    <row r="926" spans="1:18" ht="12" customHeight="1" x14ac:dyDescent="0.25">
      <c r="A926" s="14"/>
      <c r="B926" s="15">
        <v>1682</v>
      </c>
      <c r="C926" s="29">
        <v>6376.55</v>
      </c>
      <c r="D926" s="16">
        <v>46044</v>
      </c>
      <c r="E926" s="15" t="s">
        <v>2</v>
      </c>
      <c r="F926" s="29">
        <v>0</v>
      </c>
      <c r="G926" s="29">
        <v>0</v>
      </c>
      <c r="H926" s="29">
        <v>6596.55</v>
      </c>
      <c r="I926" s="15">
        <v>30</v>
      </c>
      <c r="J926" s="15">
        <v>177</v>
      </c>
      <c r="K926" s="30">
        <v>100000</v>
      </c>
      <c r="L926" s="17">
        <v>46075</v>
      </c>
      <c r="M926" s="18">
        <v>6597</v>
      </c>
      <c r="N926" s="16">
        <v>46089</v>
      </c>
      <c r="O926" s="19"/>
      <c r="P926" s="20">
        <v>220.02</v>
      </c>
      <c r="Q926" s="29">
        <v>6376.98</v>
      </c>
      <c r="R926" s="9" t="s">
        <v>180</v>
      </c>
    </row>
    <row r="927" spans="1:18" ht="12" customHeight="1" x14ac:dyDescent="0.25">
      <c r="A927" s="14"/>
      <c r="B927" s="15" t="s">
        <v>597</v>
      </c>
      <c r="C927" s="29">
        <v>180000</v>
      </c>
      <c r="D927" s="16">
        <v>46047</v>
      </c>
      <c r="E927" s="15" t="s">
        <v>2</v>
      </c>
      <c r="F927" s="29">
        <v>0</v>
      </c>
      <c r="G927" s="29">
        <v>0</v>
      </c>
      <c r="H927" s="29">
        <v>186210</v>
      </c>
      <c r="I927" s="15">
        <v>30</v>
      </c>
      <c r="J927" s="15">
        <v>17</v>
      </c>
      <c r="K927" s="30">
        <v>2400000</v>
      </c>
      <c r="L927" s="17">
        <v>46077</v>
      </c>
      <c r="M927" s="18">
        <v>186210</v>
      </c>
      <c r="N927" s="16">
        <v>46077</v>
      </c>
      <c r="O927" s="19"/>
      <c r="P927" s="20">
        <v>6210</v>
      </c>
      <c r="Q927" s="29">
        <v>180000</v>
      </c>
      <c r="R927" s="9" t="s">
        <v>180</v>
      </c>
    </row>
    <row r="928" spans="1:18" ht="12" customHeight="1" x14ac:dyDescent="0.25">
      <c r="A928" s="14"/>
      <c r="B928" s="15" t="s">
        <v>598</v>
      </c>
      <c r="C928" s="29">
        <v>159000</v>
      </c>
      <c r="D928" s="16">
        <v>46047</v>
      </c>
      <c r="E928" s="15" t="s">
        <v>2</v>
      </c>
      <c r="F928" s="29">
        <v>0</v>
      </c>
      <c r="G928" s="29">
        <v>0</v>
      </c>
      <c r="H928" s="29">
        <v>164485.5</v>
      </c>
      <c r="I928" s="15">
        <v>30</v>
      </c>
      <c r="J928" s="15">
        <v>12</v>
      </c>
      <c r="K928" s="30">
        <v>1196000</v>
      </c>
      <c r="L928" s="17">
        <v>46077</v>
      </c>
      <c r="M928" s="18">
        <v>164485</v>
      </c>
      <c r="N928" s="16">
        <v>46082</v>
      </c>
      <c r="O928" s="19"/>
      <c r="P928" s="20">
        <v>5485.48</v>
      </c>
      <c r="Q928" s="29">
        <v>158999.51999999999</v>
      </c>
      <c r="R928" s="9" t="s">
        <v>180</v>
      </c>
    </row>
    <row r="929" spans="1:19" ht="12" customHeight="1" x14ac:dyDescent="0.25">
      <c r="A929" s="14"/>
      <c r="B929" s="15" t="s">
        <v>599</v>
      </c>
      <c r="C929" s="29">
        <v>40020</v>
      </c>
      <c r="D929" s="16">
        <v>46047</v>
      </c>
      <c r="E929" s="15" t="s">
        <v>3</v>
      </c>
      <c r="F929" s="29">
        <v>44140.01</v>
      </c>
      <c r="G929" s="29">
        <v>0</v>
      </c>
      <c r="H929" s="29">
        <v>44140.01</v>
      </c>
      <c r="I929" s="15">
        <v>90</v>
      </c>
      <c r="J929" s="15">
        <v>81</v>
      </c>
      <c r="K929" s="30">
        <v>190000</v>
      </c>
      <c r="L929" s="17">
        <v>46138</v>
      </c>
      <c r="M929" s="18">
        <v>0</v>
      </c>
      <c r="N929" s="16"/>
      <c r="O929" s="19">
        <v>65</v>
      </c>
      <c r="P929" s="20">
        <v>0</v>
      </c>
      <c r="Q929" s="29">
        <v>0</v>
      </c>
      <c r="R929" s="9" t="s">
        <v>180</v>
      </c>
    </row>
    <row r="930" spans="1:19" ht="12" customHeight="1" x14ac:dyDescent="0.25">
      <c r="A930" s="14"/>
      <c r="B930" s="15" t="s">
        <v>600</v>
      </c>
      <c r="C930" s="29">
        <v>0</v>
      </c>
      <c r="D930" s="16">
        <v>46047</v>
      </c>
      <c r="E930" s="15" t="s">
        <v>2</v>
      </c>
      <c r="F930" s="29">
        <v>0</v>
      </c>
      <c r="G930" s="29">
        <v>0</v>
      </c>
      <c r="H930" s="29">
        <v>3024</v>
      </c>
      <c r="I930" s="15">
        <v>0</v>
      </c>
      <c r="J930" s="15">
        <v>109</v>
      </c>
      <c r="K930" s="30">
        <v>130000</v>
      </c>
      <c r="L930" s="17">
        <v>46047</v>
      </c>
      <c r="M930" s="18">
        <v>3024</v>
      </c>
      <c r="N930" s="16">
        <v>46096</v>
      </c>
      <c r="O930" s="19"/>
      <c r="P930" s="20">
        <v>3024</v>
      </c>
      <c r="Q930" s="29">
        <v>0</v>
      </c>
      <c r="R930" s="9" t="s">
        <v>180</v>
      </c>
    </row>
    <row r="931" spans="1:19" ht="12" customHeight="1" x14ac:dyDescent="0.25">
      <c r="A931" s="14"/>
      <c r="B931" s="15" t="s">
        <v>601</v>
      </c>
      <c r="C931" s="29">
        <v>46865</v>
      </c>
      <c r="D931" s="16">
        <v>46048</v>
      </c>
      <c r="E931" s="15" t="s">
        <v>2</v>
      </c>
      <c r="F931" s="29">
        <v>0</v>
      </c>
      <c r="G931" s="29">
        <v>0</v>
      </c>
      <c r="H931" s="29">
        <v>48489</v>
      </c>
      <c r="I931" s="15">
        <v>30</v>
      </c>
      <c r="J931" s="15">
        <v>22</v>
      </c>
      <c r="K931" s="30">
        <v>200000</v>
      </c>
      <c r="L931" s="17">
        <v>46078</v>
      </c>
      <c r="M931" s="18">
        <v>48489</v>
      </c>
      <c r="N931" s="16">
        <v>46078</v>
      </c>
      <c r="O931" s="19"/>
      <c r="P931" s="20">
        <v>1624</v>
      </c>
      <c r="Q931" s="29">
        <v>46865</v>
      </c>
      <c r="R931" s="9" t="s">
        <v>180</v>
      </c>
    </row>
    <row r="932" spans="1:19" ht="12" customHeight="1" x14ac:dyDescent="0.25">
      <c r="A932" s="14"/>
      <c r="B932" s="15" t="s">
        <v>602</v>
      </c>
      <c r="C932" s="29">
        <v>0</v>
      </c>
      <c r="D932" s="16">
        <v>46048</v>
      </c>
      <c r="E932" s="15" t="s">
        <v>4</v>
      </c>
      <c r="F932" s="29">
        <v>1083</v>
      </c>
      <c r="G932" s="29">
        <v>1083</v>
      </c>
      <c r="H932" s="29">
        <v>1083</v>
      </c>
      <c r="I932" s="15">
        <v>0</v>
      </c>
      <c r="J932" s="15">
        <v>43</v>
      </c>
      <c r="K932" s="30">
        <v>89000</v>
      </c>
      <c r="L932" s="17">
        <v>46048</v>
      </c>
      <c r="M932" s="18">
        <v>0</v>
      </c>
      <c r="N932" s="16"/>
      <c r="O932" s="19">
        <v>64</v>
      </c>
      <c r="P932" s="20">
        <v>0</v>
      </c>
      <c r="Q932" s="29">
        <v>0</v>
      </c>
      <c r="R932" s="9" t="s">
        <v>180</v>
      </c>
      <c r="S932" s="10" t="s">
        <v>795</v>
      </c>
    </row>
    <row r="933" spans="1:19" ht="12" customHeight="1" x14ac:dyDescent="0.25">
      <c r="A933" s="14"/>
      <c r="B933" s="15" t="s">
        <v>603</v>
      </c>
      <c r="C933" s="29">
        <v>79660</v>
      </c>
      <c r="D933" s="16">
        <v>46048</v>
      </c>
      <c r="E933" s="15" t="s">
        <v>2</v>
      </c>
      <c r="F933" s="29">
        <v>0</v>
      </c>
      <c r="G933" s="29">
        <v>0</v>
      </c>
      <c r="H933" s="29">
        <v>84000</v>
      </c>
      <c r="I933" s="15">
        <v>45</v>
      </c>
      <c r="J933" s="15">
        <v>50</v>
      </c>
      <c r="K933" s="30">
        <v>84000</v>
      </c>
      <c r="L933" s="17">
        <v>46093</v>
      </c>
      <c r="M933" s="18">
        <v>84000</v>
      </c>
      <c r="N933" s="16">
        <v>46093</v>
      </c>
      <c r="O933" s="19"/>
      <c r="P933" s="20">
        <v>4340</v>
      </c>
      <c r="Q933" s="29">
        <v>79660</v>
      </c>
      <c r="R933" s="9" t="s">
        <v>180</v>
      </c>
    </row>
    <row r="934" spans="1:19" ht="12" customHeight="1" x14ac:dyDescent="0.25">
      <c r="A934" s="14"/>
      <c r="B934" s="15" t="s">
        <v>604</v>
      </c>
      <c r="C934" s="29">
        <v>54832</v>
      </c>
      <c r="D934" s="16">
        <v>46048</v>
      </c>
      <c r="E934" s="15" t="s">
        <v>2</v>
      </c>
      <c r="F934" s="29">
        <v>0</v>
      </c>
      <c r="G934" s="29">
        <v>0</v>
      </c>
      <c r="H934" s="29">
        <v>56720.01</v>
      </c>
      <c r="I934" s="15">
        <v>30</v>
      </c>
      <c r="J934" s="15">
        <v>78</v>
      </c>
      <c r="K934" s="30">
        <v>208000</v>
      </c>
      <c r="L934" s="17">
        <v>46078</v>
      </c>
      <c r="M934" s="18">
        <v>56720.01</v>
      </c>
      <c r="N934" s="16">
        <v>46082</v>
      </c>
      <c r="O934" s="19"/>
      <c r="P934" s="20">
        <v>1888.01</v>
      </c>
      <c r="Q934" s="29">
        <v>54832</v>
      </c>
      <c r="R934" s="9" t="s">
        <v>180</v>
      </c>
    </row>
    <row r="935" spans="1:19" ht="12" customHeight="1" x14ac:dyDescent="0.25">
      <c r="A935" s="14"/>
      <c r="B935" s="15" t="s">
        <v>605</v>
      </c>
      <c r="C935" s="29">
        <v>100004</v>
      </c>
      <c r="D935" s="16">
        <v>46048</v>
      </c>
      <c r="E935" s="15" t="s">
        <v>2</v>
      </c>
      <c r="F935" s="29">
        <v>0</v>
      </c>
      <c r="G935" s="29">
        <v>0</v>
      </c>
      <c r="H935" s="29">
        <v>103449.99</v>
      </c>
      <c r="I935" s="15">
        <v>30</v>
      </c>
      <c r="J935" s="15">
        <v>78</v>
      </c>
      <c r="K935" s="30">
        <v>208000</v>
      </c>
      <c r="L935" s="17">
        <v>46078</v>
      </c>
      <c r="M935" s="18">
        <v>103449.99</v>
      </c>
      <c r="N935" s="16">
        <v>46082</v>
      </c>
      <c r="O935" s="19"/>
      <c r="P935" s="20">
        <v>3445.99</v>
      </c>
      <c r="Q935" s="29">
        <v>100004</v>
      </c>
      <c r="R935" s="9" t="s">
        <v>180</v>
      </c>
    </row>
    <row r="936" spans="1:19" ht="12" customHeight="1" x14ac:dyDescent="0.25">
      <c r="A936" s="14"/>
      <c r="B936" s="15" t="s">
        <v>606</v>
      </c>
      <c r="C936" s="29">
        <v>100000</v>
      </c>
      <c r="D936" s="16">
        <v>46048</v>
      </c>
      <c r="E936" s="15" t="s">
        <v>2</v>
      </c>
      <c r="F936" s="29">
        <v>0</v>
      </c>
      <c r="G936" s="29">
        <v>0</v>
      </c>
      <c r="H936" s="29">
        <v>103460</v>
      </c>
      <c r="I936" s="15">
        <v>30</v>
      </c>
      <c r="J936" s="15">
        <v>112</v>
      </c>
      <c r="K936" s="30">
        <v>290000</v>
      </c>
      <c r="L936" s="17">
        <v>46078</v>
      </c>
      <c r="M936" s="18">
        <v>103460</v>
      </c>
      <c r="N936" s="16">
        <v>46083</v>
      </c>
      <c r="O936" s="19"/>
      <c r="P936" s="20">
        <v>3460</v>
      </c>
      <c r="Q936" s="29">
        <v>100000</v>
      </c>
      <c r="R936" s="9" t="s">
        <v>180</v>
      </c>
    </row>
    <row r="937" spans="1:19" ht="12" customHeight="1" x14ac:dyDescent="0.25">
      <c r="A937" s="14"/>
      <c r="B937" s="15" t="s">
        <v>607</v>
      </c>
      <c r="C937" s="29">
        <v>0</v>
      </c>
      <c r="D937" s="16">
        <v>46048</v>
      </c>
      <c r="E937" s="15" t="s">
        <v>4</v>
      </c>
      <c r="F937" s="29">
        <v>177</v>
      </c>
      <c r="G937" s="29">
        <v>177</v>
      </c>
      <c r="H937" s="29">
        <v>177</v>
      </c>
      <c r="I937" s="15">
        <v>0</v>
      </c>
      <c r="J937" s="15">
        <v>137</v>
      </c>
      <c r="K937" s="30">
        <v>10000</v>
      </c>
      <c r="L937" s="17">
        <v>46048</v>
      </c>
      <c r="M937" s="18">
        <v>0</v>
      </c>
      <c r="N937" s="16"/>
      <c r="O937" s="19">
        <v>64</v>
      </c>
      <c r="P937" s="20">
        <v>0</v>
      </c>
      <c r="Q937" s="29">
        <v>0</v>
      </c>
      <c r="R937" s="9" t="s">
        <v>180</v>
      </c>
      <c r="S937" s="10" t="s">
        <v>794</v>
      </c>
    </row>
    <row r="938" spans="1:19" ht="12" customHeight="1" x14ac:dyDescent="0.25">
      <c r="A938" s="14"/>
      <c r="B938" s="15" t="s">
        <v>608</v>
      </c>
      <c r="C938" s="29">
        <v>0</v>
      </c>
      <c r="D938" s="16">
        <v>46048</v>
      </c>
      <c r="E938" s="15" t="s">
        <v>4</v>
      </c>
      <c r="F938" s="29">
        <v>52</v>
      </c>
      <c r="G938" s="29">
        <v>52</v>
      </c>
      <c r="H938" s="29">
        <v>52</v>
      </c>
      <c r="I938" s="15">
        <v>0</v>
      </c>
      <c r="J938" s="15">
        <v>137</v>
      </c>
      <c r="K938" s="30">
        <v>10000</v>
      </c>
      <c r="L938" s="17">
        <v>46048</v>
      </c>
      <c r="M938" s="18">
        <v>0</v>
      </c>
      <c r="N938" s="16"/>
      <c r="O938" s="19">
        <v>64</v>
      </c>
      <c r="P938" s="20">
        <v>0</v>
      </c>
      <c r="Q938" s="29">
        <v>0</v>
      </c>
      <c r="R938" s="9" t="s">
        <v>180</v>
      </c>
      <c r="S938" s="10" t="s">
        <v>794</v>
      </c>
    </row>
    <row r="939" spans="1:19" ht="12" customHeight="1" x14ac:dyDescent="0.25">
      <c r="A939" s="14"/>
      <c r="B939" s="15" t="s">
        <v>609</v>
      </c>
      <c r="C939" s="29">
        <v>354539</v>
      </c>
      <c r="D939" s="16">
        <v>46048</v>
      </c>
      <c r="E939" s="15" t="s">
        <v>2</v>
      </c>
      <c r="F939" s="29">
        <v>0</v>
      </c>
      <c r="G939" s="29">
        <v>0</v>
      </c>
      <c r="H939" s="29">
        <v>366770.6</v>
      </c>
      <c r="I939" s="15">
        <v>30</v>
      </c>
      <c r="J939" s="15">
        <v>172</v>
      </c>
      <c r="K939" s="30">
        <v>2000000</v>
      </c>
      <c r="L939" s="17">
        <v>46078</v>
      </c>
      <c r="M939" s="18">
        <v>366770.07</v>
      </c>
      <c r="N939" s="16">
        <v>46078</v>
      </c>
      <c r="O939" s="19"/>
      <c r="P939" s="20">
        <v>12231.58</v>
      </c>
      <c r="Q939" s="29">
        <v>354538.49</v>
      </c>
      <c r="R939" s="9" t="s">
        <v>180</v>
      </c>
    </row>
    <row r="940" spans="1:19" ht="12" customHeight="1" x14ac:dyDescent="0.25">
      <c r="A940" s="14"/>
      <c r="B940" s="15" t="s">
        <v>610</v>
      </c>
      <c r="C940" s="29">
        <v>67850</v>
      </c>
      <c r="D940" s="16">
        <v>46048</v>
      </c>
      <c r="E940" s="15" t="s">
        <v>2</v>
      </c>
      <c r="F940" s="29">
        <v>0</v>
      </c>
      <c r="G940" s="29">
        <v>0</v>
      </c>
      <c r="H940" s="29">
        <v>70190.83</v>
      </c>
      <c r="I940" s="15">
        <v>30</v>
      </c>
      <c r="J940" s="15">
        <v>258</v>
      </c>
      <c r="K940" s="30">
        <v>200000</v>
      </c>
      <c r="L940" s="17">
        <v>46078</v>
      </c>
      <c r="M940" s="18">
        <v>70191</v>
      </c>
      <c r="N940" s="16">
        <v>46084</v>
      </c>
      <c r="O940" s="19"/>
      <c r="P940" s="20">
        <v>2340.84</v>
      </c>
      <c r="Q940" s="29">
        <v>67850.16</v>
      </c>
      <c r="R940" s="9" t="s">
        <v>180</v>
      </c>
    </row>
    <row r="941" spans="1:19" ht="12" customHeight="1" x14ac:dyDescent="0.25">
      <c r="A941" s="14"/>
      <c r="B941" s="15">
        <v>1677</v>
      </c>
      <c r="C941" s="29">
        <v>9660</v>
      </c>
      <c r="D941" s="16">
        <v>46048</v>
      </c>
      <c r="E941" s="15" t="s">
        <v>4</v>
      </c>
      <c r="F941" s="29">
        <v>9993</v>
      </c>
      <c r="G941" s="29">
        <v>9993</v>
      </c>
      <c r="H941" s="29">
        <v>9993</v>
      </c>
      <c r="I941" s="15">
        <v>30</v>
      </c>
      <c r="J941" s="15">
        <v>246</v>
      </c>
      <c r="K941" s="30">
        <v>10000</v>
      </c>
      <c r="L941" s="17">
        <v>46078</v>
      </c>
      <c r="M941" s="18">
        <v>0</v>
      </c>
      <c r="N941" s="16"/>
      <c r="O941" s="19">
        <v>64</v>
      </c>
      <c r="P941" s="20">
        <v>0</v>
      </c>
      <c r="Q941" s="29">
        <v>0</v>
      </c>
      <c r="R941" s="9" t="s">
        <v>180</v>
      </c>
    </row>
    <row r="942" spans="1:19" ht="12" customHeight="1" x14ac:dyDescent="0.25">
      <c r="A942" s="14"/>
      <c r="B942" s="15">
        <v>1673</v>
      </c>
      <c r="C942" s="29">
        <v>9660</v>
      </c>
      <c r="D942" s="16">
        <v>46048</v>
      </c>
      <c r="E942" s="15" t="s">
        <v>4</v>
      </c>
      <c r="F942" s="29">
        <v>9993</v>
      </c>
      <c r="G942" s="29">
        <v>9993</v>
      </c>
      <c r="H942" s="29">
        <v>9993</v>
      </c>
      <c r="I942" s="15">
        <v>30</v>
      </c>
      <c r="J942" s="15">
        <v>251</v>
      </c>
      <c r="K942" s="30">
        <v>10000</v>
      </c>
      <c r="L942" s="17">
        <v>46078</v>
      </c>
      <c r="M942" s="18">
        <v>0</v>
      </c>
      <c r="N942" s="16"/>
      <c r="O942" s="19">
        <v>64</v>
      </c>
      <c r="P942" s="20">
        <v>0</v>
      </c>
      <c r="Q942" s="29">
        <v>0</v>
      </c>
      <c r="R942" s="9" t="s">
        <v>180</v>
      </c>
    </row>
    <row r="943" spans="1:19" ht="12" customHeight="1" x14ac:dyDescent="0.25">
      <c r="A943" s="14"/>
      <c r="B943" s="15">
        <v>1683</v>
      </c>
      <c r="C943" s="29">
        <v>9602.5</v>
      </c>
      <c r="D943" s="16">
        <v>46048</v>
      </c>
      <c r="E943" s="15" t="s">
        <v>4</v>
      </c>
      <c r="F943" s="29">
        <v>9933.5</v>
      </c>
      <c r="G943" s="29">
        <v>9933.5</v>
      </c>
      <c r="H943" s="29">
        <v>9933.5</v>
      </c>
      <c r="I943" s="15">
        <v>30</v>
      </c>
      <c r="J943" s="15">
        <v>255</v>
      </c>
      <c r="K943" s="30">
        <v>10000</v>
      </c>
      <c r="L943" s="17">
        <v>46078</v>
      </c>
      <c r="M943" s="18">
        <v>0</v>
      </c>
      <c r="N943" s="16"/>
      <c r="O943" s="19">
        <v>64</v>
      </c>
      <c r="P943" s="20">
        <v>0</v>
      </c>
      <c r="Q943" s="29">
        <v>0</v>
      </c>
      <c r="R943" s="9" t="s">
        <v>180</v>
      </c>
    </row>
    <row r="944" spans="1:19" ht="12" customHeight="1" x14ac:dyDescent="0.25">
      <c r="A944" s="14"/>
      <c r="B944" s="15">
        <v>1679</v>
      </c>
      <c r="C944" s="29">
        <v>9660</v>
      </c>
      <c r="D944" s="16">
        <v>46048</v>
      </c>
      <c r="E944" s="15" t="s">
        <v>4</v>
      </c>
      <c r="F944" s="29">
        <v>9993</v>
      </c>
      <c r="G944" s="29">
        <v>9993</v>
      </c>
      <c r="H944" s="29">
        <v>9993</v>
      </c>
      <c r="I944" s="15">
        <v>30</v>
      </c>
      <c r="J944" s="15">
        <v>243</v>
      </c>
      <c r="K944" s="30">
        <v>10000</v>
      </c>
      <c r="L944" s="17">
        <v>46078</v>
      </c>
      <c r="M944" s="18">
        <v>0</v>
      </c>
      <c r="N944" s="16"/>
      <c r="O944" s="19">
        <v>64</v>
      </c>
      <c r="P944" s="20">
        <v>0</v>
      </c>
      <c r="Q944" s="29">
        <v>0</v>
      </c>
      <c r="R944" s="9" t="s">
        <v>180</v>
      </c>
    </row>
    <row r="945" spans="1:18" ht="12" customHeight="1" x14ac:dyDescent="0.25">
      <c r="A945" s="14"/>
      <c r="B945" s="15" t="s">
        <v>611</v>
      </c>
      <c r="C945" s="29">
        <v>120000</v>
      </c>
      <c r="D945" s="16">
        <v>46049</v>
      </c>
      <c r="E945" s="15" t="s">
        <v>2</v>
      </c>
      <c r="F945" s="29">
        <v>0</v>
      </c>
      <c r="G945" s="29">
        <v>0</v>
      </c>
      <c r="H945" s="29">
        <v>124140</v>
      </c>
      <c r="I945" s="15">
        <v>30</v>
      </c>
      <c r="J945" s="15">
        <v>17</v>
      </c>
      <c r="K945" s="30">
        <v>2400000</v>
      </c>
      <c r="L945" s="17">
        <v>46079</v>
      </c>
      <c r="M945" s="18">
        <v>124140</v>
      </c>
      <c r="N945" s="16">
        <v>46082</v>
      </c>
      <c r="O945" s="19"/>
      <c r="P945" s="20">
        <v>4140</v>
      </c>
      <c r="Q945" s="29">
        <v>120000</v>
      </c>
      <c r="R945" s="9" t="s">
        <v>180</v>
      </c>
    </row>
    <row r="946" spans="1:18" ht="12" customHeight="1" x14ac:dyDescent="0.25">
      <c r="A946" s="14"/>
      <c r="B946" s="15" t="s">
        <v>612</v>
      </c>
      <c r="C946" s="29">
        <v>151715</v>
      </c>
      <c r="D946" s="16">
        <v>46049</v>
      </c>
      <c r="E946" s="15" t="s">
        <v>2</v>
      </c>
      <c r="F946" s="29">
        <v>0</v>
      </c>
      <c r="G946" s="29">
        <v>0</v>
      </c>
      <c r="H946" s="29">
        <v>154727.01999999999</v>
      </c>
      <c r="I946" s="15">
        <v>15</v>
      </c>
      <c r="J946" s="15">
        <v>18</v>
      </c>
      <c r="K946" s="30">
        <v>600000</v>
      </c>
      <c r="L946" s="17">
        <v>46064</v>
      </c>
      <c r="M946" s="18">
        <v>154727</v>
      </c>
      <c r="N946" s="16">
        <v>46068</v>
      </c>
      <c r="O946" s="19"/>
      <c r="P946" s="20">
        <v>3012.02</v>
      </c>
      <c r="Q946" s="29">
        <v>151714.98000000001</v>
      </c>
      <c r="R946" s="9" t="s">
        <v>180</v>
      </c>
    </row>
    <row r="947" spans="1:18" ht="12" customHeight="1" x14ac:dyDescent="0.25">
      <c r="A947" s="14"/>
      <c r="B947" s="15" t="s">
        <v>613</v>
      </c>
      <c r="C947" s="29">
        <v>18515</v>
      </c>
      <c r="D947" s="16">
        <v>46049</v>
      </c>
      <c r="E947" s="15" t="s">
        <v>3</v>
      </c>
      <c r="F947" s="29">
        <v>14998.9</v>
      </c>
      <c r="G947" s="29">
        <v>0</v>
      </c>
      <c r="H947" s="29">
        <v>20430.900000000001</v>
      </c>
      <c r="I947" s="15">
        <v>90</v>
      </c>
      <c r="J947" s="15">
        <v>113</v>
      </c>
      <c r="K947" s="30">
        <v>130000</v>
      </c>
      <c r="L947" s="17">
        <v>46139</v>
      </c>
      <c r="M947" s="18">
        <v>5432</v>
      </c>
      <c r="N947" s="16">
        <v>46091</v>
      </c>
      <c r="O947" s="19">
        <v>63</v>
      </c>
      <c r="P947" s="20">
        <v>509.38</v>
      </c>
      <c r="Q947" s="29">
        <v>4922.62</v>
      </c>
      <c r="R947" s="9" t="s">
        <v>180</v>
      </c>
    </row>
    <row r="948" spans="1:18" ht="12" customHeight="1" x14ac:dyDescent="0.25">
      <c r="A948" s="14"/>
      <c r="B948" s="15" t="s">
        <v>614</v>
      </c>
      <c r="C948" s="29">
        <v>350474</v>
      </c>
      <c r="D948" s="16">
        <v>46049</v>
      </c>
      <c r="E948" s="15" t="s">
        <v>3</v>
      </c>
      <c r="F948" s="29">
        <v>386748.07</v>
      </c>
      <c r="G948" s="29">
        <v>0</v>
      </c>
      <c r="H948" s="29">
        <v>386748.07</v>
      </c>
      <c r="I948" s="15">
        <v>90</v>
      </c>
      <c r="J948" s="15">
        <v>100</v>
      </c>
      <c r="K948" s="30">
        <v>460000</v>
      </c>
      <c r="L948" s="17">
        <v>46139</v>
      </c>
      <c r="M948" s="18">
        <v>0</v>
      </c>
      <c r="N948" s="16"/>
      <c r="O948" s="19">
        <v>63</v>
      </c>
      <c r="P948" s="20">
        <v>0</v>
      </c>
      <c r="Q948" s="29">
        <v>0</v>
      </c>
      <c r="R948" s="9" t="s">
        <v>180</v>
      </c>
    </row>
    <row r="949" spans="1:18" ht="12" customHeight="1" x14ac:dyDescent="0.25">
      <c r="A949" s="14"/>
      <c r="B949" s="15" t="s">
        <v>615</v>
      </c>
      <c r="C949" s="29">
        <v>100000</v>
      </c>
      <c r="D949" s="16">
        <v>46049</v>
      </c>
      <c r="E949" s="15" t="s">
        <v>2</v>
      </c>
      <c r="F949" s="29">
        <v>0</v>
      </c>
      <c r="G949" s="29">
        <v>0</v>
      </c>
      <c r="H949" s="29">
        <v>103450</v>
      </c>
      <c r="I949" s="15">
        <v>30</v>
      </c>
      <c r="J949" s="15">
        <v>157</v>
      </c>
      <c r="K949" s="30">
        <v>195000</v>
      </c>
      <c r="L949" s="17">
        <v>46079</v>
      </c>
      <c r="M949" s="18">
        <v>103450</v>
      </c>
      <c r="N949" s="16">
        <v>46082</v>
      </c>
      <c r="O949" s="19"/>
      <c r="P949" s="20">
        <v>3450</v>
      </c>
      <c r="Q949" s="29">
        <v>100000</v>
      </c>
      <c r="R949" s="9" t="s">
        <v>180</v>
      </c>
    </row>
    <row r="950" spans="1:18" ht="12" customHeight="1" x14ac:dyDescent="0.25">
      <c r="A950" s="14"/>
      <c r="B950" s="15" t="s">
        <v>616</v>
      </c>
      <c r="C950" s="29">
        <v>45000</v>
      </c>
      <c r="D950" s="16">
        <v>46049</v>
      </c>
      <c r="E950" s="15" t="s">
        <v>2</v>
      </c>
      <c r="F950" s="29">
        <v>0</v>
      </c>
      <c r="G950" s="29">
        <v>0</v>
      </c>
      <c r="H950" s="29">
        <v>46550</v>
      </c>
      <c r="I950" s="15">
        <v>30</v>
      </c>
      <c r="J950" s="15">
        <v>157</v>
      </c>
      <c r="K950" s="30">
        <v>195000</v>
      </c>
      <c r="L950" s="17">
        <v>46079</v>
      </c>
      <c r="M950" s="18">
        <v>46550</v>
      </c>
      <c r="N950" s="16">
        <v>46082</v>
      </c>
      <c r="O950" s="19"/>
      <c r="P950" s="20">
        <v>1550</v>
      </c>
      <c r="Q950" s="29">
        <v>45000</v>
      </c>
      <c r="R950" s="9" t="s">
        <v>180</v>
      </c>
    </row>
    <row r="951" spans="1:18" ht="12" customHeight="1" x14ac:dyDescent="0.25">
      <c r="A951" s="14"/>
      <c r="B951" s="15" t="s">
        <v>617</v>
      </c>
      <c r="C951" s="29">
        <v>143440</v>
      </c>
      <c r="D951" s="16">
        <v>46049</v>
      </c>
      <c r="E951" s="15" t="s">
        <v>3</v>
      </c>
      <c r="F951" s="29">
        <v>158286.04</v>
      </c>
      <c r="G951" s="29">
        <v>0</v>
      </c>
      <c r="H951" s="29">
        <v>158286.04</v>
      </c>
      <c r="I951" s="15">
        <v>90</v>
      </c>
      <c r="J951" s="15">
        <v>161</v>
      </c>
      <c r="K951" s="30">
        <v>160000</v>
      </c>
      <c r="L951" s="17">
        <v>46139</v>
      </c>
      <c r="M951" s="18">
        <v>0</v>
      </c>
      <c r="N951" s="16"/>
      <c r="O951" s="19">
        <v>63</v>
      </c>
      <c r="P951" s="20">
        <v>0</v>
      </c>
      <c r="Q951" s="29">
        <v>0</v>
      </c>
      <c r="R951" s="9" t="s">
        <v>180</v>
      </c>
    </row>
    <row r="952" spans="1:18" ht="12" customHeight="1" x14ac:dyDescent="0.25">
      <c r="A952" s="14"/>
      <c r="B952" s="15">
        <v>1678</v>
      </c>
      <c r="C952" s="29">
        <v>56680.72</v>
      </c>
      <c r="D952" s="16">
        <v>46049</v>
      </c>
      <c r="E952" s="15" t="s">
        <v>2</v>
      </c>
      <c r="F952" s="29">
        <v>0</v>
      </c>
      <c r="G952" s="29">
        <v>0</v>
      </c>
      <c r="H952" s="29">
        <v>58659.72</v>
      </c>
      <c r="I952" s="15">
        <v>30</v>
      </c>
      <c r="J952" s="15">
        <v>233</v>
      </c>
      <c r="K952" s="30">
        <v>100000</v>
      </c>
      <c r="L952" s="17">
        <v>46079</v>
      </c>
      <c r="M952" s="18">
        <v>58660</v>
      </c>
      <c r="N952" s="16">
        <v>46112</v>
      </c>
      <c r="O952" s="19"/>
      <c r="P952" s="20">
        <v>1979.01</v>
      </c>
      <c r="Q952" s="29">
        <v>56680.99</v>
      </c>
      <c r="R952" s="9" t="s">
        <v>180</v>
      </c>
    </row>
    <row r="953" spans="1:18" ht="12" customHeight="1" x14ac:dyDescent="0.25">
      <c r="A953" s="14"/>
      <c r="B953" s="15">
        <v>1761</v>
      </c>
      <c r="C953" s="29">
        <v>37762.550000000003</v>
      </c>
      <c r="D953" s="16">
        <v>46049</v>
      </c>
      <c r="E953" s="15" t="s">
        <v>2</v>
      </c>
      <c r="F953" s="29">
        <v>0</v>
      </c>
      <c r="G953" s="29">
        <v>0</v>
      </c>
      <c r="H953" s="29">
        <v>39065.550000000003</v>
      </c>
      <c r="I953" s="15">
        <v>30</v>
      </c>
      <c r="J953" s="15">
        <v>244</v>
      </c>
      <c r="K953" s="30">
        <v>280000</v>
      </c>
      <c r="L953" s="17">
        <v>46079</v>
      </c>
      <c r="M953" s="18">
        <v>39065.379999999997</v>
      </c>
      <c r="N953" s="16">
        <v>46107</v>
      </c>
      <c r="O953" s="19"/>
      <c r="P953" s="20">
        <v>1302.99</v>
      </c>
      <c r="Q953" s="29">
        <v>37762.39</v>
      </c>
      <c r="R953" s="9" t="s">
        <v>180</v>
      </c>
    </row>
    <row r="954" spans="1:18" ht="12" customHeight="1" x14ac:dyDescent="0.25">
      <c r="A954" s="14"/>
      <c r="B954" s="15">
        <v>1760</v>
      </c>
      <c r="C954" s="29">
        <v>40822.839999999997</v>
      </c>
      <c r="D954" s="16">
        <v>46049</v>
      </c>
      <c r="E954" s="15" t="s">
        <v>4</v>
      </c>
      <c r="F954" s="29">
        <v>41248.839999999997</v>
      </c>
      <c r="G954" s="29">
        <v>41248.839999999997</v>
      </c>
      <c r="H954" s="29">
        <v>42248.84</v>
      </c>
      <c r="I954" s="15">
        <v>30</v>
      </c>
      <c r="J954" s="15">
        <v>233</v>
      </c>
      <c r="K954" s="30">
        <v>100000</v>
      </c>
      <c r="L954" s="17">
        <v>46079</v>
      </c>
      <c r="M954" s="18">
        <v>1000</v>
      </c>
      <c r="N954" s="16">
        <v>46112</v>
      </c>
      <c r="O954" s="19">
        <v>63</v>
      </c>
      <c r="P954" s="20">
        <v>33.75</v>
      </c>
      <c r="Q954" s="29">
        <v>966.25</v>
      </c>
      <c r="R954" s="9" t="s">
        <v>180</v>
      </c>
    </row>
    <row r="955" spans="1:18" ht="12" customHeight="1" x14ac:dyDescent="0.25">
      <c r="A955" s="14"/>
      <c r="B955" s="15">
        <v>1781</v>
      </c>
      <c r="C955" s="29">
        <v>81751.259999999995</v>
      </c>
      <c r="D955" s="16">
        <v>46049</v>
      </c>
      <c r="E955" s="15" t="s">
        <v>4</v>
      </c>
      <c r="F955" s="29">
        <v>75664.259999999995</v>
      </c>
      <c r="G955" s="29">
        <v>75664.259999999995</v>
      </c>
      <c r="H955" s="29">
        <v>84571.26</v>
      </c>
      <c r="I955" s="15">
        <v>30</v>
      </c>
      <c r="J955" s="15">
        <v>99</v>
      </c>
      <c r="K955" s="30">
        <v>100000</v>
      </c>
      <c r="L955" s="17">
        <v>46079</v>
      </c>
      <c r="M955" s="18">
        <v>8907</v>
      </c>
      <c r="N955" s="16">
        <v>46112</v>
      </c>
      <c r="O955" s="19">
        <v>63</v>
      </c>
      <c r="P955" s="20">
        <v>297</v>
      </c>
      <c r="Q955" s="29">
        <v>8610</v>
      </c>
      <c r="R955" s="9" t="s">
        <v>180</v>
      </c>
    </row>
    <row r="956" spans="1:18" ht="12" customHeight="1" x14ac:dyDescent="0.25">
      <c r="A956" s="14"/>
      <c r="B956" s="15">
        <v>1780</v>
      </c>
      <c r="C956" s="29">
        <v>10722.54</v>
      </c>
      <c r="D956" s="16">
        <v>46049</v>
      </c>
      <c r="E956" s="15" t="s">
        <v>2</v>
      </c>
      <c r="F956" s="29">
        <v>0</v>
      </c>
      <c r="G956" s="29">
        <v>0</v>
      </c>
      <c r="H956" s="29">
        <v>11092.54</v>
      </c>
      <c r="I956" s="15">
        <v>30</v>
      </c>
      <c r="J956" s="15">
        <v>99</v>
      </c>
      <c r="K956" s="30">
        <v>100000</v>
      </c>
      <c r="L956" s="17">
        <v>46079</v>
      </c>
      <c r="M956" s="18">
        <v>11093</v>
      </c>
      <c r="N956" s="16">
        <v>46112</v>
      </c>
      <c r="O956" s="19"/>
      <c r="P956" s="20">
        <v>370.02</v>
      </c>
      <c r="Q956" s="29">
        <v>10722.98</v>
      </c>
      <c r="R956" s="9" t="s">
        <v>180</v>
      </c>
    </row>
    <row r="957" spans="1:18" ht="12" customHeight="1" x14ac:dyDescent="0.25">
      <c r="A957" s="14"/>
      <c r="B957" s="15" t="s">
        <v>618</v>
      </c>
      <c r="C957" s="29">
        <v>267500</v>
      </c>
      <c r="D957" s="16">
        <v>46050</v>
      </c>
      <c r="E957" s="15" t="s">
        <v>2</v>
      </c>
      <c r="F957" s="29">
        <v>0</v>
      </c>
      <c r="G957" s="29">
        <v>0</v>
      </c>
      <c r="H957" s="29">
        <v>276700.02</v>
      </c>
      <c r="I957" s="15">
        <v>30</v>
      </c>
      <c r="J957" s="15">
        <v>15</v>
      </c>
      <c r="K957" s="30">
        <v>2300000</v>
      </c>
      <c r="L957" s="17">
        <v>46082</v>
      </c>
      <c r="M957" s="18">
        <v>276700</v>
      </c>
      <c r="N957" s="16">
        <v>46083</v>
      </c>
      <c r="O957" s="19"/>
      <c r="P957" s="20">
        <v>9200.02</v>
      </c>
      <c r="Q957" s="29">
        <v>267499.98</v>
      </c>
      <c r="R957" s="9" t="s">
        <v>180</v>
      </c>
    </row>
    <row r="958" spans="1:18" ht="12" customHeight="1" x14ac:dyDescent="0.25">
      <c r="A958" s="14"/>
      <c r="B958" s="15" t="s">
        <v>619</v>
      </c>
      <c r="C958" s="29">
        <v>250315</v>
      </c>
      <c r="D958" s="16">
        <v>46050</v>
      </c>
      <c r="E958" s="15" t="s">
        <v>2</v>
      </c>
      <c r="F958" s="29">
        <v>0</v>
      </c>
      <c r="G958" s="29">
        <v>0</v>
      </c>
      <c r="H958" s="29">
        <v>258950.87</v>
      </c>
      <c r="I958" s="15">
        <v>30</v>
      </c>
      <c r="J958" s="15">
        <v>29</v>
      </c>
      <c r="K958" s="30">
        <v>1240000</v>
      </c>
      <c r="L958" s="17">
        <v>46082</v>
      </c>
      <c r="M958" s="18">
        <v>258950.61</v>
      </c>
      <c r="N958" s="16">
        <v>46084</v>
      </c>
      <c r="O958" s="19"/>
      <c r="P958" s="20">
        <v>8635.86</v>
      </c>
      <c r="Q958" s="29">
        <v>250314.75</v>
      </c>
      <c r="R958" s="9" t="s">
        <v>180</v>
      </c>
    </row>
    <row r="959" spans="1:18" ht="12" customHeight="1" x14ac:dyDescent="0.25">
      <c r="A959" s="14"/>
      <c r="B959" s="15" t="s">
        <v>620</v>
      </c>
      <c r="C959" s="29">
        <v>94245</v>
      </c>
      <c r="D959" s="16">
        <v>46050</v>
      </c>
      <c r="E959" s="15" t="s">
        <v>3</v>
      </c>
      <c r="F959" s="29">
        <v>104000.22</v>
      </c>
      <c r="G959" s="29">
        <v>0</v>
      </c>
      <c r="H959" s="29">
        <v>104000.22</v>
      </c>
      <c r="I959" s="15">
        <v>90</v>
      </c>
      <c r="J959" s="15">
        <v>31</v>
      </c>
      <c r="K959" s="30">
        <v>104000</v>
      </c>
      <c r="L959" s="17">
        <v>46140</v>
      </c>
      <c r="M959" s="18">
        <v>0</v>
      </c>
      <c r="N959" s="16"/>
      <c r="O959" s="19">
        <v>62</v>
      </c>
      <c r="P959" s="20">
        <v>0</v>
      </c>
      <c r="Q959" s="29">
        <v>0</v>
      </c>
      <c r="R959" s="9" t="s">
        <v>180</v>
      </c>
    </row>
    <row r="960" spans="1:18" ht="12" customHeight="1" x14ac:dyDescent="0.25">
      <c r="A960" s="14"/>
      <c r="B960" s="15" t="s">
        <v>621</v>
      </c>
      <c r="C960" s="29">
        <v>235000</v>
      </c>
      <c r="D960" s="16">
        <v>46050</v>
      </c>
      <c r="E960" s="15" t="s">
        <v>3</v>
      </c>
      <c r="F960" s="29">
        <v>259323.47</v>
      </c>
      <c r="G960" s="29">
        <v>0</v>
      </c>
      <c r="H960" s="29">
        <v>259323.47</v>
      </c>
      <c r="I960" s="15">
        <v>90</v>
      </c>
      <c r="J960" s="15">
        <v>104</v>
      </c>
      <c r="K960" s="30">
        <v>260000</v>
      </c>
      <c r="L960" s="17">
        <v>46140</v>
      </c>
      <c r="M960" s="18">
        <v>0</v>
      </c>
      <c r="N960" s="16"/>
      <c r="O960" s="19">
        <v>62</v>
      </c>
      <c r="P960" s="20">
        <v>0</v>
      </c>
      <c r="Q960" s="29">
        <v>0</v>
      </c>
      <c r="R960" s="9" t="s">
        <v>180</v>
      </c>
    </row>
    <row r="961" spans="1:18" ht="12" customHeight="1" x14ac:dyDescent="0.25">
      <c r="A961" s="14"/>
      <c r="B961" s="15" t="s">
        <v>622</v>
      </c>
      <c r="C961" s="29">
        <v>35000</v>
      </c>
      <c r="D961" s="16">
        <v>46050</v>
      </c>
      <c r="E961" s="15" t="s">
        <v>2</v>
      </c>
      <c r="F961" s="29">
        <v>0</v>
      </c>
      <c r="G961" s="29">
        <v>0</v>
      </c>
      <c r="H961" s="29">
        <v>36250</v>
      </c>
      <c r="I961" s="15">
        <v>30</v>
      </c>
      <c r="J961" s="15">
        <v>139</v>
      </c>
      <c r="K961" s="30">
        <v>322000</v>
      </c>
      <c r="L961" s="17">
        <v>46082</v>
      </c>
      <c r="M961" s="18">
        <v>36250</v>
      </c>
      <c r="N961" s="16">
        <v>46083</v>
      </c>
      <c r="O961" s="19"/>
      <c r="P961" s="20">
        <v>1250</v>
      </c>
      <c r="Q961" s="29">
        <v>35000</v>
      </c>
      <c r="R961" s="9" t="s">
        <v>180</v>
      </c>
    </row>
    <row r="962" spans="1:18" ht="12" customHeight="1" x14ac:dyDescent="0.25">
      <c r="A962" s="14"/>
      <c r="B962" s="15" t="s">
        <v>623</v>
      </c>
      <c r="C962" s="29">
        <v>14000</v>
      </c>
      <c r="D962" s="16">
        <v>46050</v>
      </c>
      <c r="E962" s="15" t="s">
        <v>2</v>
      </c>
      <c r="F962" s="29">
        <v>0</v>
      </c>
      <c r="G962" s="29">
        <v>0</v>
      </c>
      <c r="H962" s="29">
        <v>14490</v>
      </c>
      <c r="I962" s="15">
        <v>30</v>
      </c>
      <c r="J962" s="15">
        <v>139</v>
      </c>
      <c r="K962" s="30">
        <v>322000</v>
      </c>
      <c r="L962" s="17">
        <v>46082</v>
      </c>
      <c r="M962" s="18">
        <v>14490</v>
      </c>
      <c r="N962" s="16">
        <v>46082</v>
      </c>
      <c r="O962" s="19"/>
      <c r="P962" s="20">
        <v>490</v>
      </c>
      <c r="Q962" s="29">
        <v>14000</v>
      </c>
      <c r="R962" s="9" t="s">
        <v>180</v>
      </c>
    </row>
    <row r="963" spans="1:18" ht="12" customHeight="1" x14ac:dyDescent="0.25">
      <c r="A963" s="14"/>
      <c r="B963" s="15" t="s">
        <v>624</v>
      </c>
      <c r="C963" s="29">
        <v>0</v>
      </c>
      <c r="D963" s="16">
        <v>46050</v>
      </c>
      <c r="E963" s="15" t="s">
        <v>2</v>
      </c>
      <c r="F963" s="29">
        <v>0</v>
      </c>
      <c r="G963" s="29">
        <v>0</v>
      </c>
      <c r="H963" s="29">
        <v>1150</v>
      </c>
      <c r="I963" s="15">
        <v>0</v>
      </c>
      <c r="J963" s="15">
        <v>188</v>
      </c>
      <c r="K963" s="30">
        <v>100000</v>
      </c>
      <c r="L963" s="17">
        <v>46050</v>
      </c>
      <c r="M963" s="18">
        <v>1129</v>
      </c>
      <c r="N963" s="16">
        <v>46056</v>
      </c>
      <c r="O963" s="19"/>
      <c r="P963" s="20">
        <v>1129</v>
      </c>
      <c r="Q963" s="29">
        <v>0</v>
      </c>
      <c r="R963" s="9" t="s">
        <v>180</v>
      </c>
    </row>
    <row r="964" spans="1:18" ht="12" customHeight="1" x14ac:dyDescent="0.25">
      <c r="A964" s="14"/>
      <c r="B964" s="15" t="s">
        <v>625</v>
      </c>
      <c r="C964" s="29">
        <v>67850</v>
      </c>
      <c r="D964" s="16">
        <v>46050</v>
      </c>
      <c r="E964" s="15" t="s">
        <v>3</v>
      </c>
      <c r="F964" s="29">
        <v>74872.479999999996</v>
      </c>
      <c r="G964" s="29">
        <v>0</v>
      </c>
      <c r="H964" s="29">
        <v>74872.479999999996</v>
      </c>
      <c r="I964" s="15">
        <v>90</v>
      </c>
      <c r="J964" s="15">
        <v>258</v>
      </c>
      <c r="K964" s="30">
        <v>200000</v>
      </c>
      <c r="L964" s="17">
        <v>46140</v>
      </c>
      <c r="M964" s="18">
        <v>0</v>
      </c>
      <c r="N964" s="16"/>
      <c r="O964" s="19">
        <v>62</v>
      </c>
      <c r="P964" s="20">
        <v>0</v>
      </c>
      <c r="Q964" s="29">
        <v>0</v>
      </c>
      <c r="R964" s="9" t="s">
        <v>180</v>
      </c>
    </row>
    <row r="965" spans="1:18" ht="12" customHeight="1" x14ac:dyDescent="0.25">
      <c r="A965" s="14"/>
      <c r="B965" s="15" t="s">
        <v>626</v>
      </c>
      <c r="C965" s="29">
        <v>90600</v>
      </c>
      <c r="D965" s="16">
        <v>46050</v>
      </c>
      <c r="E965" s="15" t="s">
        <v>3</v>
      </c>
      <c r="F965" s="29">
        <v>99977.15</v>
      </c>
      <c r="G965" s="29">
        <v>0</v>
      </c>
      <c r="H965" s="29">
        <v>99977.15</v>
      </c>
      <c r="I965" s="15">
        <v>90</v>
      </c>
      <c r="J965" s="15">
        <v>261</v>
      </c>
      <c r="K965" s="30">
        <v>100000</v>
      </c>
      <c r="L965" s="17">
        <v>46140</v>
      </c>
      <c r="M965" s="18">
        <v>0</v>
      </c>
      <c r="N965" s="16"/>
      <c r="O965" s="19">
        <v>62</v>
      </c>
      <c r="P965" s="20">
        <v>0</v>
      </c>
      <c r="Q965" s="29">
        <v>0</v>
      </c>
      <c r="R965" s="9" t="s">
        <v>180</v>
      </c>
    </row>
    <row r="966" spans="1:18" ht="12" customHeight="1" x14ac:dyDescent="0.25">
      <c r="A966" s="14"/>
      <c r="B966" s="15" t="s">
        <v>627</v>
      </c>
      <c r="C966" s="29">
        <v>262775</v>
      </c>
      <c r="D966" s="16">
        <v>46050</v>
      </c>
      <c r="E966" s="15" t="s">
        <v>3</v>
      </c>
      <c r="F966" s="29">
        <v>289972.21000000002</v>
      </c>
      <c r="G966" s="29">
        <v>0</v>
      </c>
      <c r="H966" s="29">
        <v>289972.21000000002</v>
      </c>
      <c r="I966" s="15">
        <v>90</v>
      </c>
      <c r="J966" s="15">
        <v>260</v>
      </c>
      <c r="K966" s="30">
        <v>290000</v>
      </c>
      <c r="L966" s="17">
        <v>46140</v>
      </c>
      <c r="M966" s="18">
        <v>0</v>
      </c>
      <c r="N966" s="16"/>
      <c r="O966" s="19">
        <v>62</v>
      </c>
      <c r="P966" s="20">
        <v>0</v>
      </c>
      <c r="Q966" s="29">
        <v>0</v>
      </c>
      <c r="R966" s="9" t="s">
        <v>180</v>
      </c>
    </row>
    <row r="967" spans="1:18" ht="12" customHeight="1" x14ac:dyDescent="0.25">
      <c r="A967" s="14"/>
      <c r="B967" s="15" t="s">
        <v>628</v>
      </c>
      <c r="C967" s="29">
        <v>74756</v>
      </c>
      <c r="D967" s="16">
        <v>46050</v>
      </c>
      <c r="E967" s="15" t="s">
        <v>2</v>
      </c>
      <c r="F967" s="29">
        <v>0</v>
      </c>
      <c r="G967" s="29">
        <v>0</v>
      </c>
      <c r="H967" s="29">
        <v>77335.070000000007</v>
      </c>
      <c r="I967" s="15">
        <v>30</v>
      </c>
      <c r="J967" s="15">
        <v>259</v>
      </c>
      <c r="K967" s="30">
        <v>240000</v>
      </c>
      <c r="L967" s="17">
        <v>46082</v>
      </c>
      <c r="M967" s="18">
        <v>77335</v>
      </c>
      <c r="N967" s="16">
        <v>46085</v>
      </c>
      <c r="O967" s="19"/>
      <c r="P967" s="20">
        <v>2579.0700000000002</v>
      </c>
      <c r="Q967" s="29">
        <v>74755.929999999993</v>
      </c>
      <c r="R967" s="9" t="s">
        <v>180</v>
      </c>
    </row>
    <row r="968" spans="1:18" ht="12" customHeight="1" x14ac:dyDescent="0.25">
      <c r="A968" s="14"/>
      <c r="B968" s="15" t="s">
        <v>629</v>
      </c>
      <c r="C968" s="29">
        <v>74756</v>
      </c>
      <c r="D968" s="16">
        <v>46050</v>
      </c>
      <c r="E968" s="15" t="s">
        <v>3</v>
      </c>
      <c r="F968" s="29">
        <v>79914.17</v>
      </c>
      <c r="G968" s="29">
        <v>0</v>
      </c>
      <c r="H968" s="29">
        <v>79914.17</v>
      </c>
      <c r="I968" s="15">
        <v>60</v>
      </c>
      <c r="J968" s="15">
        <v>259</v>
      </c>
      <c r="K968" s="30">
        <v>240000</v>
      </c>
      <c r="L968" s="17">
        <v>46110</v>
      </c>
      <c r="M968" s="18">
        <v>0</v>
      </c>
      <c r="N968" s="16"/>
      <c r="O968" s="19">
        <v>62</v>
      </c>
      <c r="P968" s="20">
        <v>0</v>
      </c>
      <c r="Q968" s="29">
        <v>0</v>
      </c>
      <c r="R968" s="9" t="s">
        <v>180</v>
      </c>
    </row>
    <row r="969" spans="1:18" ht="12" customHeight="1" x14ac:dyDescent="0.25">
      <c r="A969" s="14"/>
      <c r="B969" s="15" t="s">
        <v>630</v>
      </c>
      <c r="C969" s="29">
        <v>74756</v>
      </c>
      <c r="D969" s="16">
        <v>46050</v>
      </c>
      <c r="E969" s="15" t="s">
        <v>3</v>
      </c>
      <c r="F969" s="29">
        <v>82493.240000000005</v>
      </c>
      <c r="G969" s="29">
        <v>0</v>
      </c>
      <c r="H969" s="29">
        <v>82493.240000000005</v>
      </c>
      <c r="I969" s="15">
        <v>90</v>
      </c>
      <c r="J969" s="15">
        <v>259</v>
      </c>
      <c r="K969" s="30">
        <v>240000</v>
      </c>
      <c r="L969" s="17">
        <v>46140</v>
      </c>
      <c r="M969" s="18">
        <v>0</v>
      </c>
      <c r="N969" s="16"/>
      <c r="O969" s="19">
        <v>62</v>
      </c>
      <c r="P969" s="20">
        <v>0</v>
      </c>
      <c r="Q969" s="29">
        <v>0</v>
      </c>
      <c r="R969" s="9" t="s">
        <v>180</v>
      </c>
    </row>
    <row r="970" spans="1:18" ht="12" customHeight="1" x14ac:dyDescent="0.25">
      <c r="A970" s="14"/>
      <c r="B970" s="15" t="s">
        <v>631</v>
      </c>
      <c r="C970" s="29">
        <v>280000</v>
      </c>
      <c r="D970" s="16">
        <v>46051</v>
      </c>
      <c r="E970" s="15" t="s">
        <v>2</v>
      </c>
      <c r="F970" s="29">
        <v>0</v>
      </c>
      <c r="G970" s="29">
        <v>0</v>
      </c>
      <c r="H970" s="29">
        <v>289660</v>
      </c>
      <c r="I970" s="15">
        <v>30</v>
      </c>
      <c r="J970" s="15">
        <v>17</v>
      </c>
      <c r="K970" s="30">
        <v>2400000</v>
      </c>
      <c r="L970" s="17">
        <v>46082</v>
      </c>
      <c r="M970" s="18">
        <v>289660</v>
      </c>
      <c r="N970" s="16">
        <v>46084</v>
      </c>
      <c r="O970" s="19"/>
      <c r="P970" s="20">
        <v>9660</v>
      </c>
      <c r="Q970" s="29">
        <v>280000</v>
      </c>
      <c r="R970" s="9" t="s">
        <v>180</v>
      </c>
    </row>
    <row r="971" spans="1:18" ht="12" customHeight="1" x14ac:dyDescent="0.25">
      <c r="A971" s="14"/>
      <c r="B971" s="15" t="s">
        <v>632</v>
      </c>
      <c r="C971" s="29">
        <v>242552</v>
      </c>
      <c r="D971" s="16">
        <v>46051</v>
      </c>
      <c r="E971" s="15" t="s">
        <v>2</v>
      </c>
      <c r="F971" s="29">
        <v>0</v>
      </c>
      <c r="G971" s="29">
        <v>0</v>
      </c>
      <c r="H971" s="29">
        <v>250920.04</v>
      </c>
      <c r="I971" s="15">
        <v>30</v>
      </c>
      <c r="J971" s="15">
        <v>29</v>
      </c>
      <c r="K971" s="30">
        <v>1240000</v>
      </c>
      <c r="L971" s="17">
        <v>46082</v>
      </c>
      <c r="M971" s="18">
        <v>250920.3</v>
      </c>
      <c r="N971" s="16">
        <v>46084</v>
      </c>
      <c r="O971" s="19"/>
      <c r="P971" s="20">
        <v>8368.0499999999993</v>
      </c>
      <c r="Q971" s="29">
        <v>242552.25</v>
      </c>
      <c r="R971" s="9" t="s">
        <v>180</v>
      </c>
    </row>
    <row r="972" spans="1:18" ht="12" customHeight="1" x14ac:dyDescent="0.25">
      <c r="A972" s="14"/>
      <c r="B972" s="15" t="s">
        <v>633</v>
      </c>
      <c r="C972" s="29">
        <v>16215</v>
      </c>
      <c r="D972" s="16">
        <v>46051</v>
      </c>
      <c r="E972" s="15" t="s">
        <v>2</v>
      </c>
      <c r="F972" s="29">
        <v>0</v>
      </c>
      <c r="G972" s="29">
        <v>0</v>
      </c>
      <c r="H972" s="29">
        <v>16775</v>
      </c>
      <c r="I972" s="15">
        <v>30</v>
      </c>
      <c r="J972" s="15">
        <v>113</v>
      </c>
      <c r="K972" s="30">
        <v>130000</v>
      </c>
      <c r="L972" s="17">
        <v>46082</v>
      </c>
      <c r="M972" s="18">
        <v>16775</v>
      </c>
      <c r="N972" s="16">
        <v>46083</v>
      </c>
      <c r="O972" s="19"/>
      <c r="P972" s="20">
        <v>560</v>
      </c>
      <c r="Q972" s="29">
        <v>16215</v>
      </c>
      <c r="R972" s="9" t="s">
        <v>180</v>
      </c>
    </row>
    <row r="973" spans="1:18" ht="12" customHeight="1" x14ac:dyDescent="0.25">
      <c r="A973" s="14"/>
      <c r="B973" s="15">
        <v>1808</v>
      </c>
      <c r="C973" s="29">
        <v>38032.94</v>
      </c>
      <c r="D973" s="16">
        <v>46051</v>
      </c>
      <c r="E973" s="15" t="s">
        <v>2</v>
      </c>
      <c r="F973" s="29">
        <v>0</v>
      </c>
      <c r="G973" s="29">
        <v>0</v>
      </c>
      <c r="H973" s="29">
        <v>39358.94</v>
      </c>
      <c r="I973" s="15">
        <v>30</v>
      </c>
      <c r="J973" s="15">
        <v>250</v>
      </c>
      <c r="K973" s="30">
        <v>100000</v>
      </c>
      <c r="L973" s="17">
        <v>46082</v>
      </c>
      <c r="M973" s="18">
        <v>39358.22</v>
      </c>
      <c r="N973" s="16">
        <v>46097</v>
      </c>
      <c r="O973" s="19"/>
      <c r="P973" s="20">
        <v>1325.98</v>
      </c>
      <c r="Q973" s="29">
        <v>38032.239999999998</v>
      </c>
      <c r="R973" s="9" t="s">
        <v>180</v>
      </c>
    </row>
    <row r="974" spans="1:18" ht="12" customHeight="1" x14ac:dyDescent="0.25">
      <c r="A974" s="14"/>
      <c r="B974" s="15">
        <v>1811</v>
      </c>
      <c r="C974" s="29">
        <v>45277</v>
      </c>
      <c r="D974" s="16">
        <v>46051</v>
      </c>
      <c r="E974" s="15" t="s">
        <v>2</v>
      </c>
      <c r="F974" s="29">
        <v>0</v>
      </c>
      <c r="G974" s="29">
        <v>0</v>
      </c>
      <c r="H974" s="29">
        <v>47619.96</v>
      </c>
      <c r="I974" s="15">
        <v>45</v>
      </c>
      <c r="J974" s="15">
        <v>244</v>
      </c>
      <c r="K974" s="30">
        <v>280000</v>
      </c>
      <c r="L974" s="17">
        <v>46096</v>
      </c>
      <c r="M974" s="18">
        <v>47619.81</v>
      </c>
      <c r="N974" s="16">
        <v>46107</v>
      </c>
      <c r="O974" s="19"/>
      <c r="P974" s="20">
        <v>2342.9499999999998</v>
      </c>
      <c r="Q974" s="29">
        <v>45276.86</v>
      </c>
      <c r="R974" s="9" t="s">
        <v>180</v>
      </c>
    </row>
    <row r="975" spans="1:18" ht="12" customHeight="1" x14ac:dyDescent="0.25">
      <c r="A975" s="14"/>
      <c r="B975" s="15" t="s">
        <v>672</v>
      </c>
      <c r="C975" s="29">
        <v>209374</v>
      </c>
      <c r="D975" s="16">
        <v>46053</v>
      </c>
      <c r="E975" s="15" t="s">
        <v>2</v>
      </c>
      <c r="F975" s="29">
        <v>0</v>
      </c>
      <c r="G975" s="29">
        <v>0</v>
      </c>
      <c r="H975" s="29">
        <v>216597.4</v>
      </c>
      <c r="I975" s="15">
        <v>30</v>
      </c>
      <c r="J975" s="15">
        <v>29</v>
      </c>
      <c r="K975" s="30">
        <v>1240000</v>
      </c>
      <c r="L975" s="17">
        <v>46084</v>
      </c>
      <c r="M975" s="18">
        <v>216597</v>
      </c>
      <c r="N975" s="16">
        <v>46085</v>
      </c>
      <c r="O975" s="19"/>
      <c r="P975" s="20">
        <v>7223.39</v>
      </c>
      <c r="Q975" s="29">
        <v>209373.61</v>
      </c>
      <c r="R975" s="9" t="s">
        <v>180</v>
      </c>
    </row>
    <row r="976" spans="1:18" ht="12" customHeight="1" x14ac:dyDescent="0.25">
      <c r="A976" s="14"/>
      <c r="B976" s="15" t="s">
        <v>673</v>
      </c>
      <c r="C976" s="29">
        <v>387000</v>
      </c>
      <c r="D976" s="16">
        <v>46054</v>
      </c>
      <c r="E976" s="15" t="s">
        <v>2</v>
      </c>
      <c r="F976" s="29">
        <v>0</v>
      </c>
      <c r="G976" s="29">
        <v>0</v>
      </c>
      <c r="H976" s="29">
        <v>400300.03</v>
      </c>
      <c r="I976" s="15">
        <v>30</v>
      </c>
      <c r="J976" s="15">
        <v>15</v>
      </c>
      <c r="K976" s="30">
        <v>2300000</v>
      </c>
      <c r="L976" s="17">
        <v>46085</v>
      </c>
      <c r="M976" s="18">
        <v>400300</v>
      </c>
      <c r="N976" s="16">
        <v>46086</v>
      </c>
      <c r="O976" s="19"/>
      <c r="P976" s="20">
        <v>13300.03</v>
      </c>
      <c r="Q976" s="29">
        <v>386999.97</v>
      </c>
      <c r="R976" s="9" t="s">
        <v>180</v>
      </c>
    </row>
    <row r="977" spans="1:19" ht="12" customHeight="1" x14ac:dyDescent="0.25">
      <c r="A977" s="14"/>
      <c r="B977" s="15" t="s">
        <v>674</v>
      </c>
      <c r="C977" s="29">
        <v>240000</v>
      </c>
      <c r="D977" s="16">
        <v>46054</v>
      </c>
      <c r="E977" s="15" t="s">
        <v>2</v>
      </c>
      <c r="F977" s="29">
        <v>0</v>
      </c>
      <c r="G977" s="29">
        <v>0</v>
      </c>
      <c r="H977" s="29">
        <v>248280</v>
      </c>
      <c r="I977" s="15">
        <v>30</v>
      </c>
      <c r="J977" s="15">
        <v>17</v>
      </c>
      <c r="K977" s="30">
        <v>2400000</v>
      </c>
      <c r="L977" s="17">
        <v>46085</v>
      </c>
      <c r="M977" s="18">
        <v>248280</v>
      </c>
      <c r="N977" s="16">
        <v>46085</v>
      </c>
      <c r="O977" s="19"/>
      <c r="P977" s="20">
        <v>8280</v>
      </c>
      <c r="Q977" s="29">
        <v>240000</v>
      </c>
      <c r="R977" s="9" t="s">
        <v>180</v>
      </c>
    </row>
    <row r="978" spans="1:19" ht="12" customHeight="1" x14ac:dyDescent="0.25">
      <c r="A978" s="14"/>
      <c r="B978" s="15" t="s">
        <v>675</v>
      </c>
      <c r="C978" s="29">
        <v>0</v>
      </c>
      <c r="D978" s="16">
        <v>46054</v>
      </c>
      <c r="E978" s="15" t="s">
        <v>4</v>
      </c>
      <c r="F978" s="29">
        <v>1233</v>
      </c>
      <c r="G978" s="29">
        <v>1233</v>
      </c>
      <c r="H978" s="29">
        <v>1233</v>
      </c>
      <c r="I978" s="15">
        <v>0</v>
      </c>
      <c r="J978" s="15">
        <v>62</v>
      </c>
      <c r="K978" s="30">
        <v>360000</v>
      </c>
      <c r="L978" s="17">
        <v>46054</v>
      </c>
      <c r="M978" s="18">
        <v>0</v>
      </c>
      <c r="N978" s="16"/>
      <c r="O978" s="19">
        <v>58</v>
      </c>
      <c r="P978" s="20">
        <v>0</v>
      </c>
      <c r="Q978" s="29">
        <v>0</v>
      </c>
      <c r="R978" s="9" t="s">
        <v>180</v>
      </c>
      <c r="S978" s="10" t="s">
        <v>985</v>
      </c>
    </row>
    <row r="979" spans="1:19" ht="12" customHeight="1" x14ac:dyDescent="0.25">
      <c r="A979" s="14"/>
      <c r="B979" s="15" t="s">
        <v>676</v>
      </c>
      <c r="C979" s="29">
        <v>0</v>
      </c>
      <c r="D979" s="16">
        <v>46054</v>
      </c>
      <c r="E979" s="15" t="s">
        <v>4</v>
      </c>
      <c r="F979" s="29">
        <v>1656</v>
      </c>
      <c r="G979" s="29">
        <v>1656</v>
      </c>
      <c r="H979" s="29">
        <v>1656</v>
      </c>
      <c r="I979" s="15">
        <v>0</v>
      </c>
      <c r="J979" s="15">
        <v>148</v>
      </c>
      <c r="K979" s="30">
        <v>74000</v>
      </c>
      <c r="L979" s="17">
        <v>46054</v>
      </c>
      <c r="M979" s="18">
        <v>0</v>
      </c>
      <c r="N979" s="16"/>
      <c r="O979" s="19">
        <v>58</v>
      </c>
      <c r="P979" s="20">
        <v>0</v>
      </c>
      <c r="Q979" s="29">
        <v>0</v>
      </c>
      <c r="R979" s="9" t="s">
        <v>180</v>
      </c>
      <c r="S979" s="10" t="s">
        <v>981</v>
      </c>
    </row>
    <row r="980" spans="1:19" ht="12" customHeight="1" x14ac:dyDescent="0.25">
      <c r="A980" s="14"/>
      <c r="B980" s="15" t="s">
        <v>677</v>
      </c>
      <c r="C980" s="29">
        <v>470224</v>
      </c>
      <c r="D980" s="16">
        <v>46054</v>
      </c>
      <c r="E980" s="15" t="s">
        <v>3</v>
      </c>
      <c r="F980" s="29">
        <v>518892.18</v>
      </c>
      <c r="G980" s="29">
        <v>0</v>
      </c>
      <c r="H980" s="29">
        <v>518892.18</v>
      </c>
      <c r="I980" s="15">
        <v>90</v>
      </c>
      <c r="J980" s="15">
        <v>160</v>
      </c>
      <c r="K980" s="30">
        <v>520000</v>
      </c>
      <c r="L980" s="17">
        <v>46145</v>
      </c>
      <c r="M980" s="18">
        <v>0</v>
      </c>
      <c r="N980" s="16"/>
      <c r="O980" s="19">
        <v>58</v>
      </c>
      <c r="P980" s="20">
        <v>0</v>
      </c>
      <c r="Q980" s="29">
        <v>0</v>
      </c>
      <c r="R980" s="9" t="s">
        <v>180</v>
      </c>
    </row>
    <row r="981" spans="1:19" ht="12" customHeight="1" x14ac:dyDescent="0.25">
      <c r="A981" s="14"/>
      <c r="B981" s="15" t="s">
        <v>678</v>
      </c>
      <c r="C981" s="29">
        <v>22080</v>
      </c>
      <c r="D981" s="16">
        <v>46054</v>
      </c>
      <c r="E981" s="15" t="s">
        <v>2</v>
      </c>
      <c r="F981" s="29">
        <v>0</v>
      </c>
      <c r="G981" s="29">
        <v>0</v>
      </c>
      <c r="H981" s="29">
        <v>22841.759999999998</v>
      </c>
      <c r="I981" s="15">
        <v>30</v>
      </c>
      <c r="J981" s="15">
        <v>164</v>
      </c>
      <c r="K981" s="30">
        <v>200000</v>
      </c>
      <c r="L981" s="17">
        <v>46084</v>
      </c>
      <c r="M981" s="18">
        <v>22841.759999999998</v>
      </c>
      <c r="N981" s="16">
        <v>46086</v>
      </c>
      <c r="O981" s="19"/>
      <c r="P981" s="20">
        <v>761.76</v>
      </c>
      <c r="Q981" s="29">
        <v>22080</v>
      </c>
      <c r="R981" s="9" t="s">
        <v>180</v>
      </c>
    </row>
    <row r="982" spans="1:19" ht="12" customHeight="1" x14ac:dyDescent="0.25">
      <c r="A982" s="14"/>
      <c r="B982" s="15" t="s">
        <v>679</v>
      </c>
      <c r="C982" s="29">
        <v>97000</v>
      </c>
      <c r="D982" s="16">
        <v>46054</v>
      </c>
      <c r="E982" s="15" t="s">
        <v>3</v>
      </c>
      <c r="F982" s="29">
        <v>73692.929999999993</v>
      </c>
      <c r="G982" s="29">
        <v>0</v>
      </c>
      <c r="H982" s="29">
        <v>103692.93</v>
      </c>
      <c r="I982" s="15">
        <v>60</v>
      </c>
      <c r="J982" s="15">
        <v>231</v>
      </c>
      <c r="K982" s="30">
        <v>300000</v>
      </c>
      <c r="L982" s="17">
        <v>46114</v>
      </c>
      <c r="M982" s="18">
        <v>30000</v>
      </c>
      <c r="N982" s="16">
        <v>46111</v>
      </c>
      <c r="O982" s="19">
        <v>58</v>
      </c>
      <c r="P982" s="20">
        <v>1936.37</v>
      </c>
      <c r="Q982" s="29">
        <v>28063.63</v>
      </c>
      <c r="R982" s="9" t="s">
        <v>180</v>
      </c>
    </row>
    <row r="983" spans="1:19" ht="12" customHeight="1" x14ac:dyDescent="0.25">
      <c r="A983" s="14"/>
      <c r="B983" s="15" t="s">
        <v>680</v>
      </c>
      <c r="C983" s="29">
        <v>54280</v>
      </c>
      <c r="D983" s="16">
        <v>46054</v>
      </c>
      <c r="E983" s="15" t="s">
        <v>2</v>
      </c>
      <c r="F983" s="29">
        <v>0</v>
      </c>
      <c r="G983" s="29">
        <v>0</v>
      </c>
      <c r="H983" s="29">
        <v>56152.66</v>
      </c>
      <c r="I983" s="15">
        <v>30</v>
      </c>
      <c r="J983" s="15">
        <v>258</v>
      </c>
      <c r="K983" s="30">
        <v>200000</v>
      </c>
      <c r="L983" s="17">
        <v>46084</v>
      </c>
      <c r="M983" s="18">
        <v>56153</v>
      </c>
      <c r="N983" s="16">
        <v>46106</v>
      </c>
      <c r="O983" s="19"/>
      <c r="P983" s="20">
        <v>1872.67</v>
      </c>
      <c r="Q983" s="29">
        <v>54280.33</v>
      </c>
      <c r="R983" s="9" t="s">
        <v>180</v>
      </c>
    </row>
    <row r="984" spans="1:19" ht="12" customHeight="1" x14ac:dyDescent="0.25">
      <c r="A984" s="14"/>
      <c r="B984" s="15" t="s">
        <v>681</v>
      </c>
      <c r="C984" s="29">
        <v>308501</v>
      </c>
      <c r="D984" s="16">
        <v>46054</v>
      </c>
      <c r="E984" s="15" t="s">
        <v>3</v>
      </c>
      <c r="F984" s="29">
        <v>340400.41</v>
      </c>
      <c r="G984" s="29">
        <v>0</v>
      </c>
      <c r="H984" s="29">
        <v>340400.41</v>
      </c>
      <c r="I984" s="15">
        <v>90</v>
      </c>
      <c r="J984" s="15">
        <v>262</v>
      </c>
      <c r="K984" s="30">
        <v>340000</v>
      </c>
      <c r="L984" s="17">
        <v>46145</v>
      </c>
      <c r="M984" s="18">
        <v>0</v>
      </c>
      <c r="N984" s="16"/>
      <c r="O984" s="19">
        <v>58</v>
      </c>
      <c r="P984" s="20">
        <v>0</v>
      </c>
      <c r="Q984" s="29">
        <v>0</v>
      </c>
      <c r="R984" s="9" t="s">
        <v>180</v>
      </c>
    </row>
    <row r="985" spans="1:19" ht="12" customHeight="1" x14ac:dyDescent="0.25">
      <c r="A985" s="14"/>
      <c r="B985" s="15">
        <v>1822</v>
      </c>
      <c r="C985" s="29">
        <v>50461.54</v>
      </c>
      <c r="D985" s="16">
        <v>46054</v>
      </c>
      <c r="E985" s="15" t="s">
        <v>3</v>
      </c>
      <c r="F985" s="29">
        <v>53943.55</v>
      </c>
      <c r="G985" s="29">
        <v>0</v>
      </c>
      <c r="H985" s="29">
        <v>53943.55</v>
      </c>
      <c r="I985" s="15">
        <v>60</v>
      </c>
      <c r="J985" s="15">
        <v>257</v>
      </c>
      <c r="K985" s="30">
        <v>100000</v>
      </c>
      <c r="L985" s="17">
        <v>46114</v>
      </c>
      <c r="M985" s="18">
        <v>0</v>
      </c>
      <c r="N985" s="16"/>
      <c r="O985" s="19">
        <v>58</v>
      </c>
      <c r="P985" s="20">
        <v>0</v>
      </c>
      <c r="Q985" s="29">
        <v>0</v>
      </c>
      <c r="R985" s="9" t="s">
        <v>180</v>
      </c>
    </row>
    <row r="986" spans="1:19" ht="12" customHeight="1" x14ac:dyDescent="0.25">
      <c r="A986" s="14"/>
      <c r="B986" s="15" t="s">
        <v>682</v>
      </c>
      <c r="C986" s="29">
        <v>159509</v>
      </c>
      <c r="D986" s="16">
        <v>46055</v>
      </c>
      <c r="E986" s="15" t="s">
        <v>2</v>
      </c>
      <c r="F986" s="29">
        <v>0</v>
      </c>
      <c r="G986" s="29">
        <v>0</v>
      </c>
      <c r="H986" s="29">
        <v>165021.32999999999</v>
      </c>
      <c r="I986" s="15">
        <v>30</v>
      </c>
      <c r="J986" s="15">
        <v>12</v>
      </c>
      <c r="K986" s="30">
        <v>1196000</v>
      </c>
      <c r="L986" s="17">
        <v>46085</v>
      </c>
      <c r="M986" s="18">
        <v>165021</v>
      </c>
      <c r="N986" s="16">
        <v>46089</v>
      </c>
      <c r="O986" s="19"/>
      <c r="P986" s="20">
        <v>5512.32</v>
      </c>
      <c r="Q986" s="29">
        <v>159508.68</v>
      </c>
      <c r="R986" s="9" t="s">
        <v>180</v>
      </c>
    </row>
    <row r="987" spans="1:19" ht="12" customHeight="1" x14ac:dyDescent="0.25">
      <c r="A987" s="14"/>
      <c r="B987" s="15" t="s">
        <v>683</v>
      </c>
      <c r="C987" s="29">
        <v>0</v>
      </c>
      <c r="D987" s="16">
        <v>46055</v>
      </c>
      <c r="E987" s="15" t="s">
        <v>4</v>
      </c>
      <c r="F987" s="29">
        <v>723</v>
      </c>
      <c r="G987" s="29">
        <v>723</v>
      </c>
      <c r="H987" s="29">
        <v>723</v>
      </c>
      <c r="I987" s="15">
        <v>0</v>
      </c>
      <c r="J987" s="15">
        <v>87</v>
      </c>
      <c r="K987" s="30">
        <v>60000</v>
      </c>
      <c r="L987" s="17">
        <v>46055</v>
      </c>
      <c r="M987" s="18">
        <v>0</v>
      </c>
      <c r="N987" s="16"/>
      <c r="O987" s="19">
        <v>57</v>
      </c>
      <c r="P987" s="20">
        <v>0</v>
      </c>
      <c r="Q987" s="29">
        <v>0</v>
      </c>
      <c r="R987" s="9" t="s">
        <v>180</v>
      </c>
      <c r="S987" s="10" t="s">
        <v>987</v>
      </c>
    </row>
    <row r="988" spans="1:19" ht="12" customHeight="1" x14ac:dyDescent="0.25">
      <c r="A988" s="14"/>
      <c r="B988" s="15" t="s">
        <v>684</v>
      </c>
      <c r="C988" s="29">
        <v>0</v>
      </c>
      <c r="D988" s="16">
        <v>46055</v>
      </c>
      <c r="E988" s="15" t="s">
        <v>2</v>
      </c>
      <c r="F988" s="29">
        <v>0</v>
      </c>
      <c r="G988" s="29">
        <v>0</v>
      </c>
      <c r="H988" s="29">
        <v>1547</v>
      </c>
      <c r="I988" s="15">
        <v>0</v>
      </c>
      <c r="J988" s="15">
        <v>109</v>
      </c>
      <c r="K988" s="30">
        <v>130000</v>
      </c>
      <c r="L988" s="17">
        <v>46055</v>
      </c>
      <c r="M988" s="18">
        <v>1547</v>
      </c>
      <c r="N988" s="16">
        <v>46096</v>
      </c>
      <c r="O988" s="19"/>
      <c r="P988" s="20">
        <v>1547</v>
      </c>
      <c r="Q988" s="29">
        <v>0</v>
      </c>
      <c r="R988" s="9" t="s">
        <v>180</v>
      </c>
    </row>
    <row r="989" spans="1:19" ht="12" customHeight="1" x14ac:dyDescent="0.25">
      <c r="A989" s="14"/>
      <c r="B989" s="15" t="s">
        <v>685</v>
      </c>
      <c r="C989" s="29">
        <v>33250</v>
      </c>
      <c r="D989" s="16">
        <v>46055</v>
      </c>
      <c r="E989" s="15" t="s">
        <v>2</v>
      </c>
      <c r="F989" s="29">
        <v>0</v>
      </c>
      <c r="G989" s="29">
        <v>0</v>
      </c>
      <c r="H989" s="29">
        <v>34425</v>
      </c>
      <c r="I989" s="15">
        <v>30</v>
      </c>
      <c r="J989" s="15">
        <v>139</v>
      </c>
      <c r="K989" s="30">
        <v>322000</v>
      </c>
      <c r="L989" s="17">
        <v>46085</v>
      </c>
      <c r="M989" s="18">
        <v>34425</v>
      </c>
      <c r="N989" s="16">
        <v>46089</v>
      </c>
      <c r="O989" s="19"/>
      <c r="P989" s="20">
        <v>1175</v>
      </c>
      <c r="Q989" s="29">
        <v>33250</v>
      </c>
      <c r="R989" s="9" t="s">
        <v>180</v>
      </c>
    </row>
    <row r="990" spans="1:19" ht="12" customHeight="1" x14ac:dyDescent="0.25">
      <c r="A990" s="14"/>
      <c r="B990" s="15" t="s">
        <v>686</v>
      </c>
      <c r="C990" s="29">
        <v>0</v>
      </c>
      <c r="D990" s="16">
        <v>46055</v>
      </c>
      <c r="E990" s="15" t="s">
        <v>4</v>
      </c>
      <c r="F990" s="29">
        <v>791</v>
      </c>
      <c r="G990" s="29">
        <v>791</v>
      </c>
      <c r="H990" s="29">
        <v>791</v>
      </c>
      <c r="I990" s="15">
        <v>0</v>
      </c>
      <c r="J990" s="15">
        <v>136</v>
      </c>
      <c r="K990" s="30">
        <v>300000</v>
      </c>
      <c r="L990" s="17">
        <v>46055</v>
      </c>
      <c r="M990" s="18">
        <v>0</v>
      </c>
      <c r="N990" s="16"/>
      <c r="O990" s="19">
        <v>57</v>
      </c>
      <c r="P990" s="20">
        <v>0</v>
      </c>
      <c r="Q990" s="29">
        <v>0</v>
      </c>
      <c r="R990" s="9" t="s">
        <v>180</v>
      </c>
      <c r="S990" s="10" t="s">
        <v>980</v>
      </c>
    </row>
    <row r="991" spans="1:19" ht="12" customHeight="1" x14ac:dyDescent="0.25">
      <c r="A991" s="14"/>
      <c r="B991" s="15" t="s">
        <v>687</v>
      </c>
      <c r="C991" s="29">
        <v>0</v>
      </c>
      <c r="D991" s="16">
        <v>46055</v>
      </c>
      <c r="E991" s="15" t="s">
        <v>4</v>
      </c>
      <c r="F991" s="29">
        <v>836</v>
      </c>
      <c r="G991" s="29">
        <v>836</v>
      </c>
      <c r="H991" s="29">
        <v>836</v>
      </c>
      <c r="I991" s="15">
        <v>0</v>
      </c>
      <c r="J991" s="15">
        <v>136</v>
      </c>
      <c r="K991" s="30">
        <v>300000</v>
      </c>
      <c r="L991" s="17">
        <v>46055</v>
      </c>
      <c r="M991" s="18">
        <v>0</v>
      </c>
      <c r="N991" s="16"/>
      <c r="O991" s="19">
        <v>57</v>
      </c>
      <c r="P991" s="20">
        <v>0</v>
      </c>
      <c r="Q991" s="29">
        <v>0</v>
      </c>
      <c r="R991" s="9" t="s">
        <v>180</v>
      </c>
      <c r="S991" s="10" t="s">
        <v>980</v>
      </c>
    </row>
    <row r="992" spans="1:19" ht="12" customHeight="1" x14ac:dyDescent="0.25">
      <c r="A992" s="14"/>
      <c r="B992" s="15" t="s">
        <v>688</v>
      </c>
      <c r="C992" s="29">
        <v>0</v>
      </c>
      <c r="D992" s="16">
        <v>46055</v>
      </c>
      <c r="E992" s="15" t="s">
        <v>4</v>
      </c>
      <c r="F992" s="29">
        <v>740</v>
      </c>
      <c r="G992" s="29">
        <v>740</v>
      </c>
      <c r="H992" s="29">
        <v>740</v>
      </c>
      <c r="I992" s="15">
        <v>0</v>
      </c>
      <c r="J992" s="15">
        <v>136</v>
      </c>
      <c r="K992" s="30">
        <v>300000</v>
      </c>
      <c r="L992" s="17">
        <v>46055</v>
      </c>
      <c r="M992" s="18">
        <v>0</v>
      </c>
      <c r="N992" s="16"/>
      <c r="O992" s="19">
        <v>57</v>
      </c>
      <c r="P992" s="20">
        <v>0</v>
      </c>
      <c r="Q992" s="29">
        <v>0</v>
      </c>
      <c r="R992" s="9" t="s">
        <v>180</v>
      </c>
      <c r="S992" s="10" t="s">
        <v>980</v>
      </c>
    </row>
    <row r="993" spans="1:19" ht="12" customHeight="1" x14ac:dyDescent="0.25">
      <c r="A993" s="14"/>
      <c r="B993" s="15" t="s">
        <v>689</v>
      </c>
      <c r="C993" s="29">
        <v>0</v>
      </c>
      <c r="D993" s="16">
        <v>46055</v>
      </c>
      <c r="E993" s="15" t="s">
        <v>4</v>
      </c>
      <c r="F993" s="29">
        <v>2300</v>
      </c>
      <c r="G993" s="29">
        <v>2300</v>
      </c>
      <c r="H993" s="29">
        <v>2300</v>
      </c>
      <c r="I993" s="15">
        <v>0</v>
      </c>
      <c r="J993" s="15">
        <v>135</v>
      </c>
      <c r="K993" s="30">
        <v>100000</v>
      </c>
      <c r="L993" s="17">
        <v>46055</v>
      </c>
      <c r="M993" s="18">
        <v>0</v>
      </c>
      <c r="N993" s="16"/>
      <c r="O993" s="19">
        <v>57</v>
      </c>
      <c r="P993" s="20">
        <v>0</v>
      </c>
      <c r="Q993" s="29">
        <v>0</v>
      </c>
      <c r="R993" s="9" t="s">
        <v>180</v>
      </c>
      <c r="S993" s="10" t="s">
        <v>971</v>
      </c>
    </row>
    <row r="994" spans="1:19" ht="12" customHeight="1" x14ac:dyDescent="0.25">
      <c r="A994" s="14"/>
      <c r="B994" s="15" t="s">
        <v>690</v>
      </c>
      <c r="C994" s="29">
        <v>31686</v>
      </c>
      <c r="D994" s="16">
        <v>46055</v>
      </c>
      <c r="E994" s="15" t="s">
        <v>3</v>
      </c>
      <c r="F994" s="29">
        <v>33872.400000000001</v>
      </c>
      <c r="G994" s="29">
        <v>0</v>
      </c>
      <c r="H994" s="29">
        <v>33872.400000000001</v>
      </c>
      <c r="I994" s="15">
        <v>60</v>
      </c>
      <c r="J994" s="15">
        <v>145</v>
      </c>
      <c r="K994" s="30">
        <v>33000</v>
      </c>
      <c r="L994" s="17">
        <v>46117</v>
      </c>
      <c r="M994" s="18">
        <v>0</v>
      </c>
      <c r="N994" s="16"/>
      <c r="O994" s="19">
        <v>57</v>
      </c>
      <c r="P994" s="20">
        <v>0</v>
      </c>
      <c r="Q994" s="29">
        <v>0</v>
      </c>
      <c r="R994" s="9" t="s">
        <v>180</v>
      </c>
    </row>
    <row r="995" spans="1:19" ht="12" customHeight="1" x14ac:dyDescent="0.25">
      <c r="A995" s="14"/>
      <c r="B995" s="15">
        <v>1825</v>
      </c>
      <c r="C995" s="29">
        <v>46041.4</v>
      </c>
      <c r="D995" s="16">
        <v>46055</v>
      </c>
      <c r="E995" s="15" t="s">
        <v>3</v>
      </c>
      <c r="F995" s="29">
        <v>50806.400000000001</v>
      </c>
      <c r="G995" s="29">
        <v>0</v>
      </c>
      <c r="H995" s="29">
        <v>50806.400000000001</v>
      </c>
      <c r="I995" s="15">
        <v>90</v>
      </c>
      <c r="J995" s="15">
        <v>257</v>
      </c>
      <c r="K995" s="30">
        <v>100000</v>
      </c>
      <c r="L995" s="17">
        <v>46145</v>
      </c>
      <c r="M995" s="18">
        <v>0</v>
      </c>
      <c r="N995" s="16"/>
      <c r="O995" s="19">
        <v>57</v>
      </c>
      <c r="P995" s="20">
        <v>0</v>
      </c>
      <c r="Q995" s="29">
        <v>0</v>
      </c>
      <c r="R995" s="9" t="s">
        <v>180</v>
      </c>
    </row>
    <row r="996" spans="1:19" ht="12" customHeight="1" x14ac:dyDescent="0.25">
      <c r="A996" s="14"/>
      <c r="B996" s="15" t="s">
        <v>663</v>
      </c>
      <c r="C996" s="29">
        <v>0</v>
      </c>
      <c r="D996" s="16">
        <v>46056</v>
      </c>
      <c r="E996" s="15" t="s">
        <v>2</v>
      </c>
      <c r="F996" s="29">
        <v>0</v>
      </c>
      <c r="G996" s="29">
        <v>0</v>
      </c>
      <c r="H996" s="29">
        <v>2538</v>
      </c>
      <c r="I996" s="15">
        <v>0</v>
      </c>
      <c r="J996" s="15">
        <v>115</v>
      </c>
      <c r="K996" s="30">
        <v>530000</v>
      </c>
      <c r="L996" s="17">
        <v>46056</v>
      </c>
      <c r="M996" s="18">
        <v>2537.5300000000002</v>
      </c>
      <c r="N996" s="16">
        <v>46061</v>
      </c>
      <c r="O996" s="19"/>
      <c r="P996" s="20">
        <v>2537.5300000000002</v>
      </c>
      <c r="Q996" s="29">
        <v>0</v>
      </c>
      <c r="R996" s="9" t="s">
        <v>180</v>
      </c>
    </row>
    <row r="997" spans="1:19" ht="12" customHeight="1" x14ac:dyDescent="0.25">
      <c r="A997" s="14"/>
      <c r="B997" s="15" t="s">
        <v>691</v>
      </c>
      <c r="C997" s="29">
        <v>0</v>
      </c>
      <c r="D997" s="16">
        <v>46056</v>
      </c>
      <c r="E997" s="15" t="s">
        <v>4</v>
      </c>
      <c r="F997" s="29">
        <v>309</v>
      </c>
      <c r="G997" s="29">
        <v>309</v>
      </c>
      <c r="H997" s="29">
        <v>309</v>
      </c>
      <c r="I997" s="15">
        <v>0</v>
      </c>
      <c r="J997" s="15">
        <v>136</v>
      </c>
      <c r="K997" s="30">
        <v>300000</v>
      </c>
      <c r="L997" s="17">
        <v>46056</v>
      </c>
      <c r="M997" s="18">
        <v>0</v>
      </c>
      <c r="N997" s="16"/>
      <c r="O997" s="19">
        <v>56</v>
      </c>
      <c r="P997" s="20">
        <v>0</v>
      </c>
      <c r="Q997" s="29">
        <v>0</v>
      </c>
      <c r="R997" s="9" t="s">
        <v>180</v>
      </c>
      <c r="S997" s="10" t="s">
        <v>980</v>
      </c>
    </row>
    <row r="998" spans="1:19" ht="12" customHeight="1" x14ac:dyDescent="0.25">
      <c r="A998" s="14"/>
      <c r="B998" s="15" t="s">
        <v>692</v>
      </c>
      <c r="C998" s="29">
        <v>0</v>
      </c>
      <c r="D998" s="16">
        <v>46056</v>
      </c>
      <c r="E998" s="15" t="s">
        <v>4</v>
      </c>
      <c r="F998" s="29">
        <v>1466</v>
      </c>
      <c r="G998" s="29">
        <v>1466</v>
      </c>
      <c r="H998" s="29">
        <v>1466</v>
      </c>
      <c r="I998" s="15">
        <v>0</v>
      </c>
      <c r="J998" s="15">
        <v>136</v>
      </c>
      <c r="K998" s="30">
        <v>300000</v>
      </c>
      <c r="L998" s="17">
        <v>46056</v>
      </c>
      <c r="M998" s="18">
        <v>0</v>
      </c>
      <c r="N998" s="16"/>
      <c r="O998" s="19">
        <v>56</v>
      </c>
      <c r="P998" s="20">
        <v>0</v>
      </c>
      <c r="Q998" s="29">
        <v>0</v>
      </c>
      <c r="R998" s="9" t="s">
        <v>180</v>
      </c>
      <c r="S998" s="10" t="s">
        <v>980</v>
      </c>
    </row>
    <row r="999" spans="1:19" ht="12" customHeight="1" x14ac:dyDescent="0.25">
      <c r="A999" s="14"/>
      <c r="B999" s="15" t="s">
        <v>693</v>
      </c>
      <c r="C999" s="29">
        <v>0</v>
      </c>
      <c r="D999" s="16">
        <v>46056</v>
      </c>
      <c r="E999" s="15" t="s">
        <v>4</v>
      </c>
      <c r="F999" s="29">
        <v>1808</v>
      </c>
      <c r="G999" s="29">
        <v>1808</v>
      </c>
      <c r="H999" s="29">
        <v>1808</v>
      </c>
      <c r="I999" s="15">
        <v>0</v>
      </c>
      <c r="J999" s="15">
        <v>141</v>
      </c>
      <c r="K999" s="30">
        <v>53000</v>
      </c>
      <c r="L999" s="17">
        <v>46056</v>
      </c>
      <c r="M999" s="18">
        <v>0</v>
      </c>
      <c r="N999" s="16"/>
      <c r="O999" s="19">
        <v>56</v>
      </c>
      <c r="P999" s="20">
        <v>0</v>
      </c>
      <c r="Q999" s="29">
        <v>0</v>
      </c>
      <c r="R999" s="9" t="s">
        <v>180</v>
      </c>
      <c r="S999" s="10" t="s">
        <v>972</v>
      </c>
    </row>
    <row r="1000" spans="1:19" ht="12" customHeight="1" x14ac:dyDescent="0.25">
      <c r="A1000" s="14"/>
      <c r="B1000" s="15" t="s">
        <v>694</v>
      </c>
      <c r="C1000" s="29">
        <v>5195</v>
      </c>
      <c r="D1000" s="16">
        <v>46056</v>
      </c>
      <c r="E1000" s="15" t="s">
        <v>2</v>
      </c>
      <c r="F1000" s="29">
        <v>0</v>
      </c>
      <c r="G1000" s="29">
        <v>0</v>
      </c>
      <c r="H1000" s="29">
        <v>5374</v>
      </c>
      <c r="I1000" s="15">
        <v>30</v>
      </c>
      <c r="J1000" s="15">
        <v>45</v>
      </c>
      <c r="K1000" s="30">
        <v>10000</v>
      </c>
      <c r="L1000" s="17">
        <v>46086</v>
      </c>
      <c r="M1000" s="18">
        <v>5374</v>
      </c>
      <c r="N1000" s="16">
        <v>46089</v>
      </c>
      <c r="O1000" s="19"/>
      <c r="P1000" s="20">
        <v>179</v>
      </c>
      <c r="Q1000" s="29">
        <v>5195</v>
      </c>
      <c r="R1000" s="9" t="s">
        <v>180</v>
      </c>
    </row>
    <row r="1001" spans="1:19" ht="12" customHeight="1" x14ac:dyDescent="0.25">
      <c r="A1001" s="14"/>
      <c r="B1001" s="15" t="s">
        <v>667</v>
      </c>
      <c r="C1001" s="29">
        <v>109900</v>
      </c>
      <c r="D1001" s="16">
        <v>46057</v>
      </c>
      <c r="E1001" s="15" t="s">
        <v>2</v>
      </c>
      <c r="F1001" s="29">
        <v>0</v>
      </c>
      <c r="G1001" s="29">
        <v>0</v>
      </c>
      <c r="H1001" s="29">
        <v>111152</v>
      </c>
      <c r="I1001" s="15">
        <v>4</v>
      </c>
      <c r="J1001" s="15">
        <v>3</v>
      </c>
      <c r="K1001" s="30">
        <v>1000000</v>
      </c>
      <c r="L1001" s="17">
        <v>46062</v>
      </c>
      <c r="M1001" s="18">
        <v>111100</v>
      </c>
      <c r="N1001" s="16">
        <v>46065</v>
      </c>
      <c r="O1001" s="19"/>
      <c r="P1001" s="20">
        <v>1251.4100000000001</v>
      </c>
      <c r="Q1001" s="29">
        <v>109848.59</v>
      </c>
      <c r="R1001" s="9" t="s">
        <v>180</v>
      </c>
    </row>
    <row r="1002" spans="1:19" ht="12" customHeight="1" x14ac:dyDescent="0.25">
      <c r="A1002" s="14"/>
      <c r="B1002" s="15" t="s">
        <v>695</v>
      </c>
      <c r="C1002" s="29">
        <v>817000</v>
      </c>
      <c r="D1002" s="16">
        <v>46057</v>
      </c>
      <c r="E1002" s="15" t="s">
        <v>2</v>
      </c>
      <c r="F1002" s="29">
        <v>0</v>
      </c>
      <c r="G1002" s="29">
        <v>0</v>
      </c>
      <c r="H1002" s="29">
        <v>845000</v>
      </c>
      <c r="I1002" s="15">
        <v>30</v>
      </c>
      <c r="J1002" s="15">
        <v>2</v>
      </c>
      <c r="K1002" s="30">
        <v>845000</v>
      </c>
      <c r="L1002" s="17">
        <v>46089</v>
      </c>
      <c r="M1002" s="18">
        <v>845000</v>
      </c>
      <c r="N1002" s="16">
        <v>46106</v>
      </c>
      <c r="O1002" s="19"/>
      <c r="P1002" s="20">
        <v>28000</v>
      </c>
      <c r="Q1002" s="29">
        <v>817000</v>
      </c>
      <c r="R1002" s="9" t="s">
        <v>180</v>
      </c>
    </row>
    <row r="1003" spans="1:19" ht="12" customHeight="1" x14ac:dyDescent="0.25">
      <c r="A1003" s="14"/>
      <c r="B1003" s="15" t="s">
        <v>696</v>
      </c>
      <c r="C1003" s="29">
        <v>49713</v>
      </c>
      <c r="D1003" s="16">
        <v>46057</v>
      </c>
      <c r="E1003" s="15" t="s">
        <v>2</v>
      </c>
      <c r="F1003" s="29">
        <v>0</v>
      </c>
      <c r="G1003" s="29">
        <v>0</v>
      </c>
      <c r="H1003" s="29">
        <v>51502.51</v>
      </c>
      <c r="I1003" s="15">
        <v>30</v>
      </c>
      <c r="J1003" s="15">
        <v>22</v>
      </c>
      <c r="K1003" s="30">
        <v>200000</v>
      </c>
      <c r="L1003" s="17">
        <v>46089</v>
      </c>
      <c r="M1003" s="18">
        <v>51502</v>
      </c>
      <c r="N1003" s="16">
        <v>46090</v>
      </c>
      <c r="O1003" s="19"/>
      <c r="P1003" s="20">
        <v>1789.49</v>
      </c>
      <c r="Q1003" s="29">
        <v>49712.51</v>
      </c>
      <c r="R1003" s="9" t="s">
        <v>180</v>
      </c>
    </row>
    <row r="1004" spans="1:19" ht="12" customHeight="1" x14ac:dyDescent="0.25">
      <c r="A1004" s="14"/>
      <c r="B1004" s="15" t="s">
        <v>697</v>
      </c>
      <c r="C1004" s="29">
        <v>90000</v>
      </c>
      <c r="D1004" s="16">
        <v>46057</v>
      </c>
      <c r="E1004" s="15" t="s">
        <v>2</v>
      </c>
      <c r="F1004" s="29">
        <v>0</v>
      </c>
      <c r="G1004" s="29">
        <v>0</v>
      </c>
      <c r="H1004" s="29">
        <v>93100.02</v>
      </c>
      <c r="I1004" s="15">
        <v>30</v>
      </c>
      <c r="J1004" s="15">
        <v>56</v>
      </c>
      <c r="K1004" s="30">
        <v>320000</v>
      </c>
      <c r="L1004" s="17">
        <v>46089</v>
      </c>
      <c r="M1004" s="18">
        <v>93100</v>
      </c>
      <c r="N1004" s="16">
        <v>46090</v>
      </c>
      <c r="O1004" s="19"/>
      <c r="P1004" s="20">
        <v>3100.02</v>
      </c>
      <c r="Q1004" s="29">
        <v>89999.98</v>
      </c>
      <c r="R1004" s="9" t="s">
        <v>180</v>
      </c>
    </row>
    <row r="1005" spans="1:19" ht="12" customHeight="1" x14ac:dyDescent="0.25">
      <c r="A1005" s="14"/>
      <c r="B1005" s="15" t="s">
        <v>698</v>
      </c>
      <c r="C1005" s="29">
        <v>30044</v>
      </c>
      <c r="D1005" s="16">
        <v>46057</v>
      </c>
      <c r="E1005" s="15" t="s">
        <v>2</v>
      </c>
      <c r="F1005" s="29">
        <v>0</v>
      </c>
      <c r="G1005" s="29">
        <v>0</v>
      </c>
      <c r="H1005" s="29">
        <v>31080.26</v>
      </c>
      <c r="I1005" s="15">
        <v>30</v>
      </c>
      <c r="J1005" s="15">
        <v>113</v>
      </c>
      <c r="K1005" s="30">
        <v>130000</v>
      </c>
      <c r="L1005" s="17">
        <v>46089</v>
      </c>
      <c r="M1005" s="18">
        <v>31080</v>
      </c>
      <c r="N1005" s="16">
        <v>46085</v>
      </c>
      <c r="O1005" s="19"/>
      <c r="P1005" s="20">
        <v>1036.25</v>
      </c>
      <c r="Q1005" s="29">
        <v>30043.75</v>
      </c>
      <c r="R1005" s="9" t="s">
        <v>180</v>
      </c>
    </row>
    <row r="1006" spans="1:19" ht="12" customHeight="1" x14ac:dyDescent="0.25">
      <c r="A1006" s="14"/>
      <c r="B1006" s="15" t="s">
        <v>699</v>
      </c>
      <c r="C1006" s="29">
        <v>226540</v>
      </c>
      <c r="D1006" s="16">
        <v>46057</v>
      </c>
      <c r="E1006" s="15" t="s">
        <v>3</v>
      </c>
      <c r="F1006" s="29">
        <v>250000.08</v>
      </c>
      <c r="G1006" s="29">
        <v>0</v>
      </c>
      <c r="H1006" s="29">
        <v>250000.08</v>
      </c>
      <c r="I1006" s="15">
        <v>90</v>
      </c>
      <c r="J1006" s="15">
        <v>134</v>
      </c>
      <c r="K1006" s="30">
        <v>250000</v>
      </c>
      <c r="L1006" s="17">
        <v>46147</v>
      </c>
      <c r="M1006" s="18">
        <v>0</v>
      </c>
      <c r="N1006" s="16"/>
      <c r="O1006" s="19">
        <v>55</v>
      </c>
      <c r="P1006" s="20">
        <v>0</v>
      </c>
      <c r="Q1006" s="29">
        <v>0</v>
      </c>
      <c r="R1006" s="9" t="s">
        <v>180</v>
      </c>
    </row>
    <row r="1007" spans="1:19" ht="12" customHeight="1" x14ac:dyDescent="0.25">
      <c r="A1007" s="14"/>
      <c r="B1007" s="15" t="s">
        <v>700</v>
      </c>
      <c r="C1007" s="29">
        <v>4185</v>
      </c>
      <c r="D1007" s="16">
        <v>46057</v>
      </c>
      <c r="E1007" s="15" t="s">
        <v>2</v>
      </c>
      <c r="F1007" s="29">
        <v>0</v>
      </c>
      <c r="G1007" s="29">
        <v>0</v>
      </c>
      <c r="H1007" s="29">
        <v>4329</v>
      </c>
      <c r="I1007" s="15">
        <v>30</v>
      </c>
      <c r="J1007" s="15">
        <v>45</v>
      </c>
      <c r="K1007" s="30">
        <v>10000</v>
      </c>
      <c r="L1007" s="17">
        <v>46089</v>
      </c>
      <c r="M1007" s="18">
        <v>4329</v>
      </c>
      <c r="N1007" s="16">
        <v>46084</v>
      </c>
      <c r="O1007" s="19"/>
      <c r="P1007" s="20">
        <v>144</v>
      </c>
      <c r="Q1007" s="29">
        <v>4185</v>
      </c>
      <c r="R1007" s="9" t="s">
        <v>180</v>
      </c>
    </row>
    <row r="1008" spans="1:19" ht="12" customHeight="1" x14ac:dyDescent="0.25">
      <c r="A1008" s="14"/>
      <c r="B1008" s="15" t="s">
        <v>661</v>
      </c>
      <c r="C1008" s="29">
        <v>3499990</v>
      </c>
      <c r="D1008" s="16">
        <v>46057</v>
      </c>
      <c r="E1008" s="15" t="s">
        <v>3</v>
      </c>
      <c r="F1008" s="29">
        <v>2333337.04</v>
      </c>
      <c r="G1008" s="29">
        <v>0</v>
      </c>
      <c r="H1008" s="29">
        <v>3781750.04</v>
      </c>
      <c r="I1008" s="15">
        <v>90</v>
      </c>
      <c r="J1008" s="15">
        <v>228</v>
      </c>
      <c r="K1008" s="30">
        <v>10500000</v>
      </c>
      <c r="L1008" s="17">
        <v>46147</v>
      </c>
      <c r="M1008" s="18">
        <v>1448413</v>
      </c>
      <c r="N1008" s="16">
        <v>46089</v>
      </c>
      <c r="O1008" s="19">
        <v>55</v>
      </c>
      <c r="P1008" s="20">
        <v>107914.3</v>
      </c>
      <c r="Q1008" s="29">
        <v>1340498.7</v>
      </c>
      <c r="R1008" s="9" t="s">
        <v>634</v>
      </c>
    </row>
    <row r="1009" spans="1:18" ht="12" customHeight="1" x14ac:dyDescent="0.25">
      <c r="A1009" s="14"/>
      <c r="B1009" s="15" t="s">
        <v>670</v>
      </c>
      <c r="C1009" s="29">
        <v>171725</v>
      </c>
      <c r="D1009" s="16">
        <v>46058</v>
      </c>
      <c r="E1009" s="15" t="s">
        <v>2</v>
      </c>
      <c r="F1009" s="29">
        <v>0</v>
      </c>
      <c r="G1009" s="29">
        <v>0</v>
      </c>
      <c r="H1009" s="29">
        <v>173685.01</v>
      </c>
      <c r="I1009" s="15">
        <v>4</v>
      </c>
      <c r="J1009" s="15">
        <v>3</v>
      </c>
      <c r="K1009" s="30">
        <v>1000000</v>
      </c>
      <c r="L1009" s="17">
        <v>46065</v>
      </c>
      <c r="M1009" s="18">
        <v>173725.94</v>
      </c>
      <c r="N1009" s="16">
        <v>46069</v>
      </c>
      <c r="O1009" s="19"/>
      <c r="P1009" s="20">
        <v>1960.47</v>
      </c>
      <c r="Q1009" s="29">
        <v>171765.47</v>
      </c>
      <c r="R1009" s="9" t="s">
        <v>180</v>
      </c>
    </row>
    <row r="1010" spans="1:18" ht="12" customHeight="1" x14ac:dyDescent="0.25">
      <c r="A1010" s="14"/>
      <c r="B1010" s="15" t="s">
        <v>701</v>
      </c>
      <c r="C1010" s="29">
        <v>19900</v>
      </c>
      <c r="D1010" s="16">
        <v>46058</v>
      </c>
      <c r="E1010" s="15" t="s">
        <v>2</v>
      </c>
      <c r="F1010" s="29">
        <v>0</v>
      </c>
      <c r="G1010" s="29">
        <v>0</v>
      </c>
      <c r="H1010" s="29">
        <v>20586.54</v>
      </c>
      <c r="I1010" s="15">
        <v>30</v>
      </c>
      <c r="J1010" s="15">
        <v>46</v>
      </c>
      <c r="K1010" s="30">
        <v>30000</v>
      </c>
      <c r="L1010" s="17">
        <v>46089</v>
      </c>
      <c r="M1010" s="18">
        <v>20587</v>
      </c>
      <c r="N1010" s="16">
        <v>46091</v>
      </c>
      <c r="O1010" s="19"/>
      <c r="P1010" s="20">
        <v>686.56</v>
      </c>
      <c r="Q1010" s="29">
        <v>19900.439999999999</v>
      </c>
      <c r="R1010" s="9" t="s">
        <v>180</v>
      </c>
    </row>
    <row r="1011" spans="1:18" ht="12" customHeight="1" x14ac:dyDescent="0.25">
      <c r="A1011" s="14"/>
      <c r="B1011" s="15" t="s">
        <v>702</v>
      </c>
      <c r="C1011" s="29">
        <v>18900</v>
      </c>
      <c r="D1011" s="16">
        <v>46058</v>
      </c>
      <c r="E1011" s="15" t="s">
        <v>2</v>
      </c>
      <c r="F1011" s="29">
        <v>0</v>
      </c>
      <c r="G1011" s="29">
        <v>0</v>
      </c>
      <c r="H1011" s="29">
        <v>19561.5</v>
      </c>
      <c r="I1011" s="15">
        <v>30</v>
      </c>
      <c r="J1011" s="15">
        <v>139</v>
      </c>
      <c r="K1011" s="30">
        <v>322000</v>
      </c>
      <c r="L1011" s="17">
        <v>46089</v>
      </c>
      <c r="M1011" s="18">
        <v>19561.5</v>
      </c>
      <c r="N1011" s="16">
        <v>46091</v>
      </c>
      <c r="O1011" s="19"/>
      <c r="P1011" s="20">
        <v>661.5</v>
      </c>
      <c r="Q1011" s="29">
        <v>18900</v>
      </c>
      <c r="R1011" s="9" t="s">
        <v>180</v>
      </c>
    </row>
    <row r="1012" spans="1:18" ht="12" customHeight="1" x14ac:dyDescent="0.25">
      <c r="A1012" s="14"/>
      <c r="B1012" s="15" t="s">
        <v>703</v>
      </c>
      <c r="C1012" s="29">
        <v>90678</v>
      </c>
      <c r="D1012" s="16">
        <v>46058</v>
      </c>
      <c r="E1012" s="15" t="s">
        <v>3</v>
      </c>
      <c r="F1012" s="29">
        <v>100062.15</v>
      </c>
      <c r="G1012" s="29">
        <v>0</v>
      </c>
      <c r="H1012" s="29">
        <v>100062.15</v>
      </c>
      <c r="I1012" s="15">
        <v>90</v>
      </c>
      <c r="J1012" s="15">
        <v>188</v>
      </c>
      <c r="K1012" s="30">
        <v>100000</v>
      </c>
      <c r="L1012" s="17">
        <v>46148</v>
      </c>
      <c r="M1012" s="18">
        <v>0</v>
      </c>
      <c r="N1012" s="16"/>
      <c r="O1012" s="19">
        <v>54</v>
      </c>
      <c r="P1012" s="20">
        <v>0</v>
      </c>
      <c r="Q1012" s="29">
        <v>0</v>
      </c>
      <c r="R1012" s="9" t="s">
        <v>180</v>
      </c>
    </row>
    <row r="1013" spans="1:18" ht="12" customHeight="1" x14ac:dyDescent="0.25">
      <c r="A1013" s="14"/>
      <c r="B1013" s="15" t="s">
        <v>704</v>
      </c>
      <c r="C1013" s="29">
        <v>50000</v>
      </c>
      <c r="D1013" s="16">
        <v>46061</v>
      </c>
      <c r="E1013" s="15" t="s">
        <v>2</v>
      </c>
      <c r="F1013" s="29">
        <v>0</v>
      </c>
      <c r="G1013" s="29">
        <v>0</v>
      </c>
      <c r="H1013" s="29">
        <v>51725</v>
      </c>
      <c r="I1013" s="15">
        <v>30</v>
      </c>
      <c r="J1013" s="15">
        <v>17</v>
      </c>
      <c r="K1013" s="30">
        <v>2400000</v>
      </c>
      <c r="L1013" s="17">
        <v>46091</v>
      </c>
      <c r="M1013" s="18">
        <v>51725</v>
      </c>
      <c r="N1013" s="16">
        <v>46092</v>
      </c>
      <c r="O1013" s="19"/>
      <c r="P1013" s="20">
        <v>1725</v>
      </c>
      <c r="Q1013" s="29">
        <v>50000</v>
      </c>
      <c r="R1013" s="9" t="s">
        <v>180</v>
      </c>
    </row>
    <row r="1014" spans="1:18" ht="12" customHeight="1" x14ac:dyDescent="0.25">
      <c r="A1014" s="14"/>
      <c r="B1014" s="15" t="s">
        <v>669</v>
      </c>
      <c r="C1014" s="29">
        <v>170815</v>
      </c>
      <c r="D1014" s="16">
        <v>46061</v>
      </c>
      <c r="E1014" s="15" t="s">
        <v>2</v>
      </c>
      <c r="F1014" s="29">
        <v>0</v>
      </c>
      <c r="G1014" s="29">
        <v>0</v>
      </c>
      <c r="H1014" s="29">
        <v>172763</v>
      </c>
      <c r="I1014" s="15">
        <v>4</v>
      </c>
      <c r="J1014" s="15">
        <v>18</v>
      </c>
      <c r="K1014" s="30">
        <v>600000</v>
      </c>
      <c r="L1014" s="17">
        <v>46065</v>
      </c>
      <c r="M1014" s="18">
        <v>172762</v>
      </c>
      <c r="N1014" s="16">
        <v>46070</v>
      </c>
      <c r="O1014" s="19"/>
      <c r="P1014" s="20">
        <v>1947.99</v>
      </c>
      <c r="Q1014" s="29">
        <v>170814.01</v>
      </c>
      <c r="R1014" s="9" t="s">
        <v>180</v>
      </c>
    </row>
    <row r="1015" spans="1:18" ht="12" customHeight="1" x14ac:dyDescent="0.25">
      <c r="A1015" s="14"/>
      <c r="B1015" s="15" t="s">
        <v>705</v>
      </c>
      <c r="C1015" s="29">
        <v>46000</v>
      </c>
      <c r="D1015" s="16">
        <v>46061</v>
      </c>
      <c r="E1015" s="15" t="s">
        <v>3</v>
      </c>
      <c r="F1015" s="29">
        <v>49174</v>
      </c>
      <c r="G1015" s="29">
        <v>0</v>
      </c>
      <c r="H1015" s="29">
        <v>49174</v>
      </c>
      <c r="I1015" s="15">
        <v>60</v>
      </c>
      <c r="J1015" s="15">
        <v>264</v>
      </c>
      <c r="K1015" s="30">
        <v>140000</v>
      </c>
      <c r="L1015" s="17">
        <v>46121</v>
      </c>
      <c r="M1015" s="18">
        <v>0</v>
      </c>
      <c r="N1015" s="16"/>
      <c r="O1015" s="19">
        <v>51</v>
      </c>
      <c r="P1015" s="20">
        <v>0</v>
      </c>
      <c r="Q1015" s="29">
        <v>0</v>
      </c>
      <c r="R1015" s="9" t="s">
        <v>180</v>
      </c>
    </row>
    <row r="1016" spans="1:18" ht="12" customHeight="1" x14ac:dyDescent="0.25">
      <c r="A1016" s="14"/>
      <c r="B1016" s="15" t="s">
        <v>706</v>
      </c>
      <c r="C1016" s="29">
        <v>100757</v>
      </c>
      <c r="D1016" s="16">
        <v>46061</v>
      </c>
      <c r="E1016" s="15" t="s">
        <v>3</v>
      </c>
      <c r="F1016" s="29">
        <v>111185.35</v>
      </c>
      <c r="G1016" s="29">
        <v>0</v>
      </c>
      <c r="H1016" s="29">
        <v>111185.35</v>
      </c>
      <c r="I1016" s="15">
        <v>90</v>
      </c>
      <c r="J1016" s="15">
        <v>49</v>
      </c>
      <c r="K1016" s="30">
        <v>273000</v>
      </c>
      <c r="L1016" s="17">
        <v>46152</v>
      </c>
      <c r="M1016" s="18">
        <v>0</v>
      </c>
      <c r="N1016" s="16"/>
      <c r="O1016" s="19">
        <v>51</v>
      </c>
      <c r="P1016" s="20">
        <v>0</v>
      </c>
      <c r="Q1016" s="29">
        <v>0</v>
      </c>
      <c r="R1016" s="9" t="s">
        <v>180</v>
      </c>
    </row>
    <row r="1017" spans="1:18" ht="12" customHeight="1" x14ac:dyDescent="0.25">
      <c r="A1017" s="14"/>
      <c r="B1017" s="15" t="s">
        <v>707</v>
      </c>
      <c r="C1017" s="29">
        <v>87000</v>
      </c>
      <c r="D1017" s="16">
        <v>46061</v>
      </c>
      <c r="E1017" s="15" t="s">
        <v>2</v>
      </c>
      <c r="F1017" s="29">
        <v>0</v>
      </c>
      <c r="G1017" s="29">
        <v>0</v>
      </c>
      <c r="H1017" s="29">
        <v>90000</v>
      </c>
      <c r="I1017" s="15">
        <v>30</v>
      </c>
      <c r="J1017" s="15">
        <v>269</v>
      </c>
      <c r="K1017" s="30">
        <v>90000</v>
      </c>
      <c r="L1017" s="17">
        <v>46092</v>
      </c>
      <c r="M1017" s="18">
        <v>90000</v>
      </c>
      <c r="N1017" s="16">
        <v>46093</v>
      </c>
      <c r="O1017" s="19"/>
      <c r="P1017" s="20">
        <v>3000</v>
      </c>
      <c r="Q1017" s="29">
        <v>87000</v>
      </c>
      <c r="R1017" s="9" t="s">
        <v>180</v>
      </c>
    </row>
    <row r="1018" spans="1:18" ht="12" customHeight="1" x14ac:dyDescent="0.25">
      <c r="A1018" s="14"/>
      <c r="B1018" s="15" t="s">
        <v>708</v>
      </c>
      <c r="C1018" s="29">
        <v>14000</v>
      </c>
      <c r="D1018" s="16">
        <v>46061</v>
      </c>
      <c r="E1018" s="15" t="s">
        <v>2</v>
      </c>
      <c r="F1018" s="29">
        <v>0</v>
      </c>
      <c r="G1018" s="29">
        <v>0</v>
      </c>
      <c r="H1018" s="29">
        <v>14490</v>
      </c>
      <c r="I1018" s="15">
        <v>30</v>
      </c>
      <c r="J1018" s="15">
        <v>139</v>
      </c>
      <c r="K1018" s="30">
        <v>322000</v>
      </c>
      <c r="L1018" s="17">
        <v>46091</v>
      </c>
      <c r="M1018" s="18">
        <v>14490</v>
      </c>
      <c r="N1018" s="16">
        <v>46093</v>
      </c>
      <c r="O1018" s="19"/>
      <c r="P1018" s="20">
        <v>490</v>
      </c>
      <c r="Q1018" s="29">
        <v>14000</v>
      </c>
      <c r="R1018" s="9" t="s">
        <v>180</v>
      </c>
    </row>
    <row r="1019" spans="1:18" ht="12" customHeight="1" x14ac:dyDescent="0.25">
      <c r="A1019" s="14"/>
      <c r="B1019" s="15" t="s">
        <v>709</v>
      </c>
      <c r="C1019" s="29">
        <v>0</v>
      </c>
      <c r="D1019" s="16">
        <v>46061</v>
      </c>
      <c r="E1019" s="15" t="s">
        <v>2</v>
      </c>
      <c r="F1019" s="29">
        <v>0</v>
      </c>
      <c r="G1019" s="29">
        <v>0</v>
      </c>
      <c r="H1019" s="29">
        <v>2760</v>
      </c>
      <c r="I1019" s="15">
        <v>0</v>
      </c>
      <c r="J1019" s="15">
        <v>144</v>
      </c>
      <c r="K1019" s="30">
        <v>120000</v>
      </c>
      <c r="L1019" s="17">
        <v>46061</v>
      </c>
      <c r="M1019" s="18">
        <v>2760</v>
      </c>
      <c r="N1019" s="16">
        <v>46085</v>
      </c>
      <c r="O1019" s="19"/>
      <c r="P1019" s="20">
        <v>2760</v>
      </c>
      <c r="Q1019" s="29">
        <v>0</v>
      </c>
      <c r="R1019" s="9" t="s">
        <v>180</v>
      </c>
    </row>
    <row r="1020" spans="1:18" ht="12" customHeight="1" x14ac:dyDescent="0.25">
      <c r="A1020" s="14"/>
      <c r="B1020" s="15" t="s">
        <v>662</v>
      </c>
      <c r="C1020" s="29">
        <v>24866</v>
      </c>
      <c r="D1020" s="16">
        <v>46061</v>
      </c>
      <c r="E1020" s="15" t="s">
        <v>2</v>
      </c>
      <c r="F1020" s="29">
        <v>0</v>
      </c>
      <c r="G1020" s="29">
        <v>0</v>
      </c>
      <c r="H1020" s="29">
        <v>25726.12</v>
      </c>
      <c r="I1020" s="15">
        <v>30</v>
      </c>
      <c r="J1020" s="15">
        <v>159</v>
      </c>
      <c r="K1020" s="30">
        <v>129000</v>
      </c>
      <c r="L1020" s="17">
        <v>46091</v>
      </c>
      <c r="M1020" s="18">
        <v>25727</v>
      </c>
      <c r="N1020" s="16">
        <v>46096</v>
      </c>
      <c r="O1020" s="19"/>
      <c r="P1020" s="20">
        <v>860.15</v>
      </c>
      <c r="Q1020" s="29">
        <v>24866.85</v>
      </c>
      <c r="R1020" s="9" t="s">
        <v>180</v>
      </c>
    </row>
    <row r="1021" spans="1:18" ht="12" customHeight="1" x14ac:dyDescent="0.25">
      <c r="A1021" s="14"/>
      <c r="B1021" s="15">
        <v>2048</v>
      </c>
      <c r="C1021" s="29">
        <v>9651.61</v>
      </c>
      <c r="D1021" s="16">
        <v>46061</v>
      </c>
      <c r="E1021" s="15" t="s">
        <v>2</v>
      </c>
      <c r="F1021" s="29">
        <v>0</v>
      </c>
      <c r="G1021" s="29">
        <v>0</v>
      </c>
      <c r="H1021" s="29">
        <v>9984.61</v>
      </c>
      <c r="I1021" s="15">
        <v>30</v>
      </c>
      <c r="J1021" s="15">
        <v>70</v>
      </c>
      <c r="K1021" s="30">
        <v>10000</v>
      </c>
      <c r="L1021" s="17">
        <v>46091</v>
      </c>
      <c r="M1021" s="18">
        <v>9993</v>
      </c>
      <c r="N1021" s="16">
        <v>46114</v>
      </c>
      <c r="O1021" s="19"/>
      <c r="P1021" s="20">
        <v>333.28</v>
      </c>
      <c r="Q1021" s="29">
        <v>9659.7199999999993</v>
      </c>
      <c r="R1021" s="9" t="s">
        <v>180</v>
      </c>
    </row>
    <row r="1022" spans="1:18" ht="12" customHeight="1" x14ac:dyDescent="0.25">
      <c r="A1022" s="14"/>
      <c r="B1022" s="15" t="s">
        <v>710</v>
      </c>
      <c r="C1022" s="29">
        <v>12299</v>
      </c>
      <c r="D1022" s="16">
        <v>46062</v>
      </c>
      <c r="E1022" s="15" t="s">
        <v>3</v>
      </c>
      <c r="F1022" s="29">
        <v>13571.95</v>
      </c>
      <c r="G1022" s="29">
        <v>0</v>
      </c>
      <c r="H1022" s="29">
        <v>13571.95</v>
      </c>
      <c r="I1022" s="15">
        <v>90</v>
      </c>
      <c r="J1022" s="15">
        <v>54</v>
      </c>
      <c r="K1022" s="30">
        <v>117000</v>
      </c>
      <c r="L1022" s="17">
        <v>46152</v>
      </c>
      <c r="M1022" s="18">
        <v>0</v>
      </c>
      <c r="N1022" s="16"/>
      <c r="O1022" s="19">
        <v>50</v>
      </c>
      <c r="P1022" s="20">
        <v>0</v>
      </c>
      <c r="Q1022" s="29">
        <v>0</v>
      </c>
      <c r="R1022" s="9" t="s">
        <v>180</v>
      </c>
    </row>
    <row r="1023" spans="1:18" ht="12" customHeight="1" x14ac:dyDescent="0.25">
      <c r="A1023" s="14"/>
      <c r="B1023" s="15" t="s">
        <v>711</v>
      </c>
      <c r="C1023" s="29">
        <v>28000</v>
      </c>
      <c r="D1023" s="16">
        <v>46062</v>
      </c>
      <c r="E1023" s="15" t="s">
        <v>2</v>
      </c>
      <c r="F1023" s="29">
        <v>0</v>
      </c>
      <c r="G1023" s="29">
        <v>0</v>
      </c>
      <c r="H1023" s="29">
        <v>28990</v>
      </c>
      <c r="I1023" s="15">
        <v>30</v>
      </c>
      <c r="J1023" s="15">
        <v>139</v>
      </c>
      <c r="K1023" s="30">
        <v>322000</v>
      </c>
      <c r="L1023" s="17">
        <v>46092</v>
      </c>
      <c r="M1023" s="18">
        <v>28990</v>
      </c>
      <c r="N1023" s="16">
        <v>46096</v>
      </c>
      <c r="O1023" s="19"/>
      <c r="P1023" s="20">
        <v>990</v>
      </c>
      <c r="Q1023" s="29">
        <v>28000</v>
      </c>
      <c r="R1023" s="9" t="s">
        <v>180</v>
      </c>
    </row>
    <row r="1024" spans="1:18" ht="12" customHeight="1" x14ac:dyDescent="0.25">
      <c r="A1024" s="14"/>
      <c r="B1024" s="15" t="s">
        <v>712</v>
      </c>
      <c r="C1024" s="29">
        <v>0</v>
      </c>
      <c r="D1024" s="16">
        <v>46062</v>
      </c>
      <c r="E1024" s="15" t="s">
        <v>4</v>
      </c>
      <c r="F1024" s="29">
        <v>847</v>
      </c>
      <c r="G1024" s="29">
        <v>847</v>
      </c>
      <c r="H1024" s="29">
        <v>847</v>
      </c>
      <c r="I1024" s="15">
        <v>0</v>
      </c>
      <c r="J1024" s="15">
        <v>148</v>
      </c>
      <c r="K1024" s="30">
        <v>74000</v>
      </c>
      <c r="L1024" s="17">
        <v>46062</v>
      </c>
      <c r="M1024" s="18">
        <v>0</v>
      </c>
      <c r="N1024" s="16"/>
      <c r="O1024" s="19">
        <v>50</v>
      </c>
      <c r="P1024" s="20">
        <v>0</v>
      </c>
      <c r="Q1024" s="29">
        <v>0</v>
      </c>
      <c r="R1024" s="9" t="s">
        <v>180</v>
      </c>
    </row>
    <row r="1025" spans="1:18" ht="12" customHeight="1" x14ac:dyDescent="0.25">
      <c r="A1025" s="14"/>
      <c r="B1025" s="15" t="s">
        <v>713</v>
      </c>
      <c r="C1025" s="29">
        <v>7590</v>
      </c>
      <c r="D1025" s="16">
        <v>46062</v>
      </c>
      <c r="E1025" s="15" t="s">
        <v>3</v>
      </c>
      <c r="F1025" s="29">
        <v>8113.71</v>
      </c>
      <c r="G1025" s="29">
        <v>0</v>
      </c>
      <c r="H1025" s="29">
        <v>8113.71</v>
      </c>
      <c r="I1025" s="15">
        <v>60</v>
      </c>
      <c r="J1025" s="15">
        <v>236</v>
      </c>
      <c r="K1025" s="30">
        <v>43478</v>
      </c>
      <c r="L1025" s="17">
        <v>46124</v>
      </c>
      <c r="M1025" s="18">
        <v>0</v>
      </c>
      <c r="N1025" s="16"/>
      <c r="O1025" s="19">
        <v>50</v>
      </c>
      <c r="P1025" s="20">
        <v>0</v>
      </c>
      <c r="Q1025" s="29">
        <v>0</v>
      </c>
      <c r="R1025" s="9" t="s">
        <v>180</v>
      </c>
    </row>
    <row r="1026" spans="1:18" ht="12" customHeight="1" x14ac:dyDescent="0.25">
      <c r="A1026" s="14"/>
      <c r="B1026" s="15">
        <v>1896</v>
      </c>
      <c r="C1026" s="29">
        <v>28284.83</v>
      </c>
      <c r="D1026" s="16">
        <v>46062</v>
      </c>
      <c r="E1026" s="15" t="s">
        <v>4</v>
      </c>
      <c r="F1026" s="29">
        <v>29260.83</v>
      </c>
      <c r="G1026" s="29">
        <v>29260.83</v>
      </c>
      <c r="H1026" s="29">
        <v>29260.83</v>
      </c>
      <c r="I1026" s="15">
        <v>30</v>
      </c>
      <c r="J1026" s="15">
        <v>177</v>
      </c>
      <c r="K1026" s="30">
        <v>100000</v>
      </c>
      <c r="L1026" s="17">
        <v>46092</v>
      </c>
      <c r="M1026" s="18">
        <v>0</v>
      </c>
      <c r="N1026" s="16"/>
      <c r="O1026" s="19">
        <v>50</v>
      </c>
      <c r="P1026" s="20">
        <v>0</v>
      </c>
      <c r="Q1026" s="29">
        <v>0</v>
      </c>
      <c r="R1026" s="9" t="s">
        <v>180</v>
      </c>
    </row>
    <row r="1027" spans="1:18" ht="12" customHeight="1" x14ac:dyDescent="0.25">
      <c r="A1027" s="14"/>
      <c r="B1027" s="15" t="s">
        <v>714</v>
      </c>
      <c r="C1027" s="29">
        <v>49000</v>
      </c>
      <c r="D1027" s="16">
        <v>46063</v>
      </c>
      <c r="E1027" s="15" t="s">
        <v>2</v>
      </c>
      <c r="F1027" s="29">
        <v>0</v>
      </c>
      <c r="G1027" s="29">
        <v>0</v>
      </c>
      <c r="H1027" s="29">
        <v>50685</v>
      </c>
      <c r="I1027" s="15">
        <v>30</v>
      </c>
      <c r="J1027" s="15">
        <v>56</v>
      </c>
      <c r="K1027" s="30">
        <v>320000</v>
      </c>
      <c r="L1027" s="17">
        <v>46096</v>
      </c>
      <c r="M1027" s="18">
        <v>50685</v>
      </c>
      <c r="N1027" s="16">
        <v>46098</v>
      </c>
      <c r="O1027" s="19"/>
      <c r="P1027" s="20">
        <v>1685</v>
      </c>
      <c r="Q1027" s="29">
        <v>49000</v>
      </c>
      <c r="R1027" s="9" t="s">
        <v>180</v>
      </c>
    </row>
    <row r="1028" spans="1:18" ht="12" customHeight="1" x14ac:dyDescent="0.25">
      <c r="A1028" s="14"/>
      <c r="B1028" s="15" t="s">
        <v>715</v>
      </c>
      <c r="C1028" s="29">
        <v>23813</v>
      </c>
      <c r="D1028" s="16">
        <v>46063</v>
      </c>
      <c r="E1028" s="15" t="s">
        <v>3</v>
      </c>
      <c r="F1028" s="29">
        <v>26279.439999999999</v>
      </c>
      <c r="G1028" s="29">
        <v>0</v>
      </c>
      <c r="H1028" s="29">
        <v>26279.439999999999</v>
      </c>
      <c r="I1028" s="15">
        <v>90</v>
      </c>
      <c r="J1028" s="15">
        <v>81</v>
      </c>
      <c r="K1028" s="30">
        <v>190000</v>
      </c>
      <c r="L1028" s="17">
        <v>46153</v>
      </c>
      <c r="M1028" s="18">
        <v>0</v>
      </c>
      <c r="N1028" s="16"/>
      <c r="O1028" s="19">
        <v>49</v>
      </c>
      <c r="P1028" s="20">
        <v>0</v>
      </c>
      <c r="Q1028" s="29">
        <v>0</v>
      </c>
      <c r="R1028" s="9" t="s">
        <v>180</v>
      </c>
    </row>
    <row r="1029" spans="1:18" ht="12" customHeight="1" x14ac:dyDescent="0.25">
      <c r="A1029" s="14"/>
      <c r="B1029" s="15" t="s">
        <v>716</v>
      </c>
      <c r="C1029" s="29">
        <v>34500</v>
      </c>
      <c r="D1029" s="16">
        <v>46063</v>
      </c>
      <c r="E1029" s="15" t="s">
        <v>2</v>
      </c>
      <c r="F1029" s="29">
        <v>0</v>
      </c>
      <c r="G1029" s="29">
        <v>0</v>
      </c>
      <c r="H1029" s="29">
        <v>35700</v>
      </c>
      <c r="I1029" s="15">
        <v>30</v>
      </c>
      <c r="J1029" s="15">
        <v>98</v>
      </c>
      <c r="K1029" s="30">
        <v>100000</v>
      </c>
      <c r="L1029" s="17">
        <v>46093</v>
      </c>
      <c r="M1029" s="18">
        <v>35700</v>
      </c>
      <c r="N1029" s="16">
        <v>46096</v>
      </c>
      <c r="O1029" s="19"/>
      <c r="P1029" s="20">
        <v>1200</v>
      </c>
      <c r="Q1029" s="29">
        <v>34500</v>
      </c>
      <c r="R1029" s="9" t="s">
        <v>180</v>
      </c>
    </row>
    <row r="1030" spans="1:18" ht="12" customHeight="1" x14ac:dyDescent="0.25">
      <c r="A1030" s="14"/>
      <c r="B1030" s="15" t="s">
        <v>664</v>
      </c>
      <c r="C1030" s="29">
        <v>96500</v>
      </c>
      <c r="D1030" s="16">
        <v>46063</v>
      </c>
      <c r="E1030" s="15" t="s">
        <v>2</v>
      </c>
      <c r="F1030" s="29">
        <v>0</v>
      </c>
      <c r="G1030" s="29">
        <v>0</v>
      </c>
      <c r="H1030" s="29">
        <v>99829.25</v>
      </c>
      <c r="I1030" s="15">
        <v>30</v>
      </c>
      <c r="J1030" s="15">
        <v>189</v>
      </c>
      <c r="K1030" s="30">
        <v>99000</v>
      </c>
      <c r="L1030" s="17">
        <v>46097</v>
      </c>
      <c r="M1030" s="18">
        <v>99829</v>
      </c>
      <c r="N1030" s="16">
        <v>46111</v>
      </c>
      <c r="O1030" s="19"/>
      <c r="P1030" s="20">
        <v>3329.24</v>
      </c>
      <c r="Q1030" s="29">
        <v>96499.76</v>
      </c>
      <c r="R1030" s="9" t="s">
        <v>180</v>
      </c>
    </row>
    <row r="1031" spans="1:18" ht="12" customHeight="1" x14ac:dyDescent="0.25">
      <c r="A1031" s="14"/>
      <c r="B1031" s="15">
        <v>2055</v>
      </c>
      <c r="C1031" s="29">
        <v>3634</v>
      </c>
      <c r="D1031" s="16">
        <v>46063</v>
      </c>
      <c r="E1031" s="15" t="s">
        <v>4</v>
      </c>
      <c r="F1031" s="29">
        <v>3759</v>
      </c>
      <c r="G1031" s="29">
        <v>3759</v>
      </c>
      <c r="H1031" s="29">
        <v>3759</v>
      </c>
      <c r="I1031" s="15">
        <v>30</v>
      </c>
      <c r="J1031" s="15">
        <v>177</v>
      </c>
      <c r="K1031" s="30">
        <v>100000</v>
      </c>
      <c r="L1031" s="17">
        <v>46093</v>
      </c>
      <c r="M1031" s="18">
        <v>0</v>
      </c>
      <c r="N1031" s="16"/>
      <c r="O1031" s="19">
        <v>49</v>
      </c>
      <c r="P1031" s="20">
        <v>0</v>
      </c>
      <c r="Q1031" s="29">
        <v>0</v>
      </c>
      <c r="R1031" s="9" t="s">
        <v>180</v>
      </c>
    </row>
    <row r="1032" spans="1:18" ht="12" customHeight="1" x14ac:dyDescent="0.25">
      <c r="A1032" s="14"/>
      <c r="B1032" s="15">
        <v>2052</v>
      </c>
      <c r="C1032" s="29">
        <v>16273</v>
      </c>
      <c r="D1032" s="16">
        <v>46063</v>
      </c>
      <c r="E1032" s="15" t="s">
        <v>3</v>
      </c>
      <c r="F1032" s="29">
        <v>17956.97</v>
      </c>
      <c r="G1032" s="29">
        <v>0</v>
      </c>
      <c r="H1032" s="29">
        <v>17956.97</v>
      </c>
      <c r="I1032" s="15">
        <v>90</v>
      </c>
      <c r="J1032" s="15">
        <v>138</v>
      </c>
      <c r="K1032" s="30">
        <v>130000</v>
      </c>
      <c r="L1032" s="17">
        <v>46153</v>
      </c>
      <c r="M1032" s="18">
        <v>0</v>
      </c>
      <c r="N1032" s="16"/>
      <c r="O1032" s="19">
        <v>49</v>
      </c>
      <c r="P1032" s="20">
        <v>0</v>
      </c>
      <c r="Q1032" s="29">
        <v>0</v>
      </c>
      <c r="R1032" s="9" t="s">
        <v>180</v>
      </c>
    </row>
    <row r="1033" spans="1:18" ht="12" customHeight="1" x14ac:dyDescent="0.25">
      <c r="A1033" s="14"/>
      <c r="B1033" s="15" t="s">
        <v>665</v>
      </c>
      <c r="C1033" s="29">
        <v>3241500</v>
      </c>
      <c r="D1033" s="16">
        <v>46063</v>
      </c>
      <c r="E1033" s="15" t="s">
        <v>3</v>
      </c>
      <c r="F1033" s="29">
        <v>3241500.25</v>
      </c>
      <c r="G1033" s="29">
        <v>0</v>
      </c>
      <c r="H1033" s="29">
        <v>3427886.25</v>
      </c>
      <c r="I1033" s="15">
        <v>90</v>
      </c>
      <c r="J1033" s="15">
        <v>265</v>
      </c>
      <c r="K1033" s="30">
        <v>7000000</v>
      </c>
      <c r="L1033" s="17">
        <v>46153</v>
      </c>
      <c r="M1033" s="18">
        <v>186386</v>
      </c>
      <c r="N1033" s="16">
        <v>46063</v>
      </c>
      <c r="O1033" s="19">
        <v>49</v>
      </c>
      <c r="P1033" s="20">
        <v>10134.459999999999</v>
      </c>
      <c r="Q1033" s="29">
        <v>176251.54</v>
      </c>
      <c r="R1033" s="9" t="s">
        <v>634</v>
      </c>
    </row>
    <row r="1034" spans="1:18" ht="12" customHeight="1" x14ac:dyDescent="0.25">
      <c r="A1034" s="14"/>
      <c r="B1034" s="15" t="s">
        <v>666</v>
      </c>
      <c r="C1034" s="29">
        <v>97750</v>
      </c>
      <c r="D1034" s="16">
        <v>46064</v>
      </c>
      <c r="E1034" s="15" t="s">
        <v>3</v>
      </c>
      <c r="F1034" s="29">
        <v>90825.75</v>
      </c>
      <c r="G1034" s="29">
        <v>0</v>
      </c>
      <c r="H1034" s="29">
        <v>104494.75</v>
      </c>
      <c r="I1034" s="15">
        <v>60</v>
      </c>
      <c r="J1034" s="15">
        <v>264</v>
      </c>
      <c r="K1034" s="30">
        <v>140000</v>
      </c>
      <c r="L1034" s="17">
        <v>46124</v>
      </c>
      <c r="M1034" s="18">
        <v>13669</v>
      </c>
      <c r="N1034" s="16">
        <v>46064</v>
      </c>
      <c r="O1034" s="19">
        <v>48</v>
      </c>
      <c r="P1034" s="20">
        <v>882.28</v>
      </c>
      <c r="Q1034" s="29">
        <v>12786.72</v>
      </c>
      <c r="R1034" s="9" t="s">
        <v>180</v>
      </c>
    </row>
    <row r="1035" spans="1:18" ht="12" customHeight="1" x14ac:dyDescent="0.25">
      <c r="A1035" s="14"/>
      <c r="B1035" s="15" t="s">
        <v>668</v>
      </c>
      <c r="C1035" s="29">
        <v>0</v>
      </c>
      <c r="D1035" s="16">
        <v>46064</v>
      </c>
      <c r="E1035" s="15" t="s">
        <v>2</v>
      </c>
      <c r="F1035" s="29">
        <v>0</v>
      </c>
      <c r="G1035" s="29">
        <v>0</v>
      </c>
      <c r="H1035" s="29">
        <v>3690</v>
      </c>
      <c r="I1035" s="15">
        <v>0</v>
      </c>
      <c r="J1035" s="15">
        <v>23</v>
      </c>
      <c r="K1035" s="30">
        <v>310000</v>
      </c>
      <c r="L1035" s="17">
        <v>46064</v>
      </c>
      <c r="M1035" s="18">
        <v>3690</v>
      </c>
      <c r="N1035" s="16">
        <v>46065</v>
      </c>
      <c r="O1035" s="19"/>
      <c r="P1035" s="20">
        <v>3690</v>
      </c>
      <c r="Q1035" s="29">
        <v>0</v>
      </c>
      <c r="R1035" s="9" t="s">
        <v>180</v>
      </c>
    </row>
    <row r="1036" spans="1:18" ht="12" customHeight="1" x14ac:dyDescent="0.25">
      <c r="A1036" s="14"/>
      <c r="B1036" s="15" t="s">
        <v>717</v>
      </c>
      <c r="C1036" s="29">
        <v>30003</v>
      </c>
      <c r="D1036" s="16">
        <v>46064</v>
      </c>
      <c r="E1036" s="15" t="s">
        <v>3</v>
      </c>
      <c r="F1036" s="29">
        <v>32075.09</v>
      </c>
      <c r="G1036" s="29">
        <v>0</v>
      </c>
      <c r="H1036" s="29">
        <v>32075.09</v>
      </c>
      <c r="I1036" s="15">
        <v>60</v>
      </c>
      <c r="J1036" s="15">
        <v>123</v>
      </c>
      <c r="K1036" s="30">
        <v>100000</v>
      </c>
      <c r="L1036" s="17">
        <v>46124</v>
      </c>
      <c r="M1036" s="18">
        <v>0</v>
      </c>
      <c r="N1036" s="16"/>
      <c r="O1036" s="19">
        <v>48</v>
      </c>
      <c r="P1036" s="20">
        <v>0</v>
      </c>
      <c r="Q1036" s="29">
        <v>0</v>
      </c>
      <c r="R1036" s="9" t="s">
        <v>180</v>
      </c>
    </row>
    <row r="1037" spans="1:18" ht="12" customHeight="1" x14ac:dyDescent="0.25">
      <c r="A1037" s="14"/>
      <c r="B1037" s="15" t="s">
        <v>718</v>
      </c>
      <c r="C1037" s="29">
        <v>38000</v>
      </c>
      <c r="D1037" s="16">
        <v>46064</v>
      </c>
      <c r="E1037" s="15" t="s">
        <v>2</v>
      </c>
      <c r="F1037" s="29">
        <v>0</v>
      </c>
      <c r="G1037" s="29">
        <v>0</v>
      </c>
      <c r="H1037" s="29">
        <v>38665.78</v>
      </c>
      <c r="I1037" s="15">
        <v>10</v>
      </c>
      <c r="J1037" s="15">
        <v>123</v>
      </c>
      <c r="K1037" s="30">
        <v>100000</v>
      </c>
      <c r="L1037" s="17">
        <v>46075</v>
      </c>
      <c r="M1037" s="18">
        <v>38665.22</v>
      </c>
      <c r="N1037" s="16">
        <v>46069</v>
      </c>
      <c r="O1037" s="19"/>
      <c r="P1037" s="20">
        <v>665.77</v>
      </c>
      <c r="Q1037" s="29">
        <v>37999.449999999997</v>
      </c>
      <c r="R1037" s="9" t="s">
        <v>180</v>
      </c>
    </row>
    <row r="1038" spans="1:18" ht="12" customHeight="1" x14ac:dyDescent="0.25">
      <c r="A1038" s="14"/>
      <c r="B1038" s="15" t="s">
        <v>719</v>
      </c>
      <c r="C1038" s="29">
        <v>0</v>
      </c>
      <c r="D1038" s="16">
        <v>46064</v>
      </c>
      <c r="E1038" s="15" t="s">
        <v>4</v>
      </c>
      <c r="F1038" s="29">
        <v>10533</v>
      </c>
      <c r="G1038" s="29">
        <v>10533</v>
      </c>
      <c r="H1038" s="29">
        <v>10533</v>
      </c>
      <c r="I1038" s="15">
        <v>0</v>
      </c>
      <c r="J1038" s="15">
        <v>69</v>
      </c>
      <c r="K1038" s="30">
        <v>500000</v>
      </c>
      <c r="L1038" s="17">
        <v>46064</v>
      </c>
      <c r="M1038" s="18">
        <v>0</v>
      </c>
      <c r="N1038" s="16"/>
      <c r="O1038" s="19">
        <v>48</v>
      </c>
      <c r="P1038" s="20">
        <v>0</v>
      </c>
      <c r="Q1038" s="29">
        <v>0</v>
      </c>
      <c r="R1038" s="9" t="s">
        <v>180</v>
      </c>
    </row>
    <row r="1039" spans="1:18" ht="12" customHeight="1" x14ac:dyDescent="0.25">
      <c r="A1039" s="14"/>
      <c r="B1039" s="15" t="s">
        <v>720</v>
      </c>
      <c r="C1039" s="29">
        <v>0</v>
      </c>
      <c r="D1039" s="16">
        <v>46064</v>
      </c>
      <c r="E1039" s="15" t="s">
        <v>2</v>
      </c>
      <c r="F1039" s="29">
        <v>0</v>
      </c>
      <c r="G1039" s="29">
        <v>0</v>
      </c>
      <c r="H1039" s="29">
        <v>2824</v>
      </c>
      <c r="I1039" s="15">
        <v>0</v>
      </c>
      <c r="J1039" s="15">
        <v>144</v>
      </c>
      <c r="K1039" s="30">
        <v>120000</v>
      </c>
      <c r="L1039" s="17">
        <v>46064</v>
      </c>
      <c r="M1039" s="18">
        <v>2824</v>
      </c>
      <c r="N1039" s="16">
        <v>46085</v>
      </c>
      <c r="O1039" s="19"/>
      <c r="P1039" s="20">
        <v>2824</v>
      </c>
      <c r="Q1039" s="29">
        <v>0</v>
      </c>
      <c r="R1039" s="9" t="s">
        <v>180</v>
      </c>
    </row>
    <row r="1040" spans="1:18" ht="12" customHeight="1" x14ac:dyDescent="0.25">
      <c r="A1040" s="14"/>
      <c r="B1040" s="15">
        <v>2056</v>
      </c>
      <c r="C1040" s="29">
        <v>27964.1</v>
      </c>
      <c r="D1040" s="16">
        <v>46064</v>
      </c>
      <c r="E1040" s="15" t="s">
        <v>2</v>
      </c>
      <c r="F1040" s="29">
        <v>0</v>
      </c>
      <c r="G1040" s="29">
        <v>0</v>
      </c>
      <c r="H1040" s="29">
        <v>28963.1</v>
      </c>
      <c r="I1040" s="15">
        <v>30</v>
      </c>
      <c r="J1040" s="15">
        <v>266</v>
      </c>
      <c r="K1040" s="30">
        <v>30000</v>
      </c>
      <c r="L1040" s="17">
        <v>46096</v>
      </c>
      <c r="M1040" s="18">
        <v>28963.34</v>
      </c>
      <c r="N1040" s="16">
        <v>46078</v>
      </c>
      <c r="O1040" s="19"/>
      <c r="P1040" s="20">
        <v>999.01</v>
      </c>
      <c r="Q1040" s="29">
        <v>27964.33</v>
      </c>
      <c r="R1040" s="9" t="s">
        <v>180</v>
      </c>
    </row>
    <row r="1041" spans="1:18" ht="12" customHeight="1" x14ac:dyDescent="0.25">
      <c r="A1041" s="14"/>
      <c r="B1041" s="15" t="s">
        <v>721</v>
      </c>
      <c r="C1041" s="29">
        <v>159509</v>
      </c>
      <c r="D1041" s="16">
        <v>46065</v>
      </c>
      <c r="E1041" s="15" t="s">
        <v>2</v>
      </c>
      <c r="F1041" s="29">
        <v>0</v>
      </c>
      <c r="G1041" s="29">
        <v>0</v>
      </c>
      <c r="H1041" s="29">
        <v>165179.73000000001</v>
      </c>
      <c r="I1041" s="15">
        <v>30</v>
      </c>
      <c r="J1041" s="15">
        <v>12</v>
      </c>
      <c r="K1041" s="30">
        <v>1196000</v>
      </c>
      <c r="L1041" s="17">
        <v>46096</v>
      </c>
      <c r="M1041" s="18">
        <v>165179.51999999999</v>
      </c>
      <c r="N1041" s="16">
        <v>46098</v>
      </c>
      <c r="O1041" s="19"/>
      <c r="P1041" s="20">
        <v>5670.72</v>
      </c>
      <c r="Q1041" s="29">
        <v>159508.79999999999</v>
      </c>
      <c r="R1041" s="9" t="s">
        <v>180</v>
      </c>
    </row>
    <row r="1042" spans="1:18" ht="12" customHeight="1" x14ac:dyDescent="0.25">
      <c r="A1042" s="14"/>
      <c r="B1042" s="15" t="s">
        <v>722</v>
      </c>
      <c r="C1042" s="29">
        <v>7500</v>
      </c>
      <c r="D1042" s="16">
        <v>46065</v>
      </c>
      <c r="E1042" s="15" t="s">
        <v>2</v>
      </c>
      <c r="F1042" s="29">
        <v>0</v>
      </c>
      <c r="G1042" s="29">
        <v>0</v>
      </c>
      <c r="H1042" s="29">
        <v>7758.75</v>
      </c>
      <c r="I1042" s="15">
        <v>30</v>
      </c>
      <c r="J1042" s="15">
        <v>272</v>
      </c>
      <c r="K1042" s="30">
        <v>43000</v>
      </c>
      <c r="L1042" s="17">
        <v>46096</v>
      </c>
      <c r="M1042" s="18">
        <v>7759</v>
      </c>
      <c r="N1042" s="16">
        <v>46098</v>
      </c>
      <c r="O1042" s="19"/>
      <c r="P1042" s="20">
        <v>258.76</v>
      </c>
      <c r="Q1042" s="29">
        <v>7500.24</v>
      </c>
      <c r="R1042" s="9" t="s">
        <v>180</v>
      </c>
    </row>
    <row r="1043" spans="1:18" ht="12" customHeight="1" x14ac:dyDescent="0.25">
      <c r="A1043" s="14"/>
      <c r="B1043" s="15" t="s">
        <v>723</v>
      </c>
      <c r="C1043" s="29">
        <v>7500</v>
      </c>
      <c r="D1043" s="16">
        <v>46065</v>
      </c>
      <c r="E1043" s="15" t="s">
        <v>3</v>
      </c>
      <c r="F1043" s="29">
        <v>8017.5</v>
      </c>
      <c r="G1043" s="29">
        <v>0</v>
      </c>
      <c r="H1043" s="29">
        <v>8017.5</v>
      </c>
      <c r="I1043" s="15">
        <v>60</v>
      </c>
      <c r="J1043" s="15">
        <v>272</v>
      </c>
      <c r="K1043" s="30">
        <v>43000</v>
      </c>
      <c r="L1043" s="17">
        <v>46125</v>
      </c>
      <c r="M1043" s="18">
        <v>0</v>
      </c>
      <c r="N1043" s="16"/>
      <c r="O1043" s="19">
        <v>47</v>
      </c>
      <c r="P1043" s="20">
        <v>0</v>
      </c>
      <c r="Q1043" s="29">
        <v>0</v>
      </c>
      <c r="R1043" s="9" t="s">
        <v>180</v>
      </c>
    </row>
    <row r="1044" spans="1:18" ht="12" customHeight="1" x14ac:dyDescent="0.25">
      <c r="A1044" s="14"/>
      <c r="B1044" s="15" t="s">
        <v>724</v>
      </c>
      <c r="C1044" s="29">
        <v>7500</v>
      </c>
      <c r="D1044" s="16">
        <v>46065</v>
      </c>
      <c r="E1044" s="15" t="s">
        <v>3</v>
      </c>
      <c r="F1044" s="29">
        <v>8276.25</v>
      </c>
      <c r="G1044" s="29">
        <v>0</v>
      </c>
      <c r="H1044" s="29">
        <v>8276.25</v>
      </c>
      <c r="I1044" s="15">
        <v>90</v>
      </c>
      <c r="J1044" s="15">
        <v>272</v>
      </c>
      <c r="K1044" s="30">
        <v>43000</v>
      </c>
      <c r="L1044" s="17">
        <v>46155</v>
      </c>
      <c r="M1044" s="18">
        <v>0</v>
      </c>
      <c r="N1044" s="16"/>
      <c r="O1044" s="19">
        <v>47</v>
      </c>
      <c r="P1044" s="20">
        <v>0</v>
      </c>
      <c r="Q1044" s="29">
        <v>0</v>
      </c>
      <c r="R1044" s="9" t="s">
        <v>180</v>
      </c>
    </row>
    <row r="1045" spans="1:18" ht="12" customHeight="1" x14ac:dyDescent="0.25">
      <c r="A1045" s="14"/>
      <c r="B1045" s="15" t="s">
        <v>725</v>
      </c>
      <c r="C1045" s="29">
        <v>20000</v>
      </c>
      <c r="D1045" s="16">
        <v>46065</v>
      </c>
      <c r="E1045" s="15" t="s">
        <v>2</v>
      </c>
      <c r="F1045" s="29">
        <v>0</v>
      </c>
      <c r="G1045" s="29">
        <v>0</v>
      </c>
      <c r="H1045" s="29">
        <v>20700.009999999998</v>
      </c>
      <c r="I1045" s="15">
        <v>30</v>
      </c>
      <c r="J1045" s="15">
        <v>98</v>
      </c>
      <c r="K1045" s="30">
        <v>100000</v>
      </c>
      <c r="L1045" s="17">
        <v>46096</v>
      </c>
      <c r="M1045" s="18">
        <v>20700</v>
      </c>
      <c r="N1045" s="16">
        <v>46097</v>
      </c>
      <c r="O1045" s="19"/>
      <c r="P1045" s="20">
        <v>700.01</v>
      </c>
      <c r="Q1045" s="29">
        <v>19999.990000000002</v>
      </c>
      <c r="R1045" s="9" t="s">
        <v>180</v>
      </c>
    </row>
    <row r="1046" spans="1:18" ht="12" customHeight="1" x14ac:dyDescent="0.25">
      <c r="A1046" s="14"/>
      <c r="B1046" s="15" t="s">
        <v>726</v>
      </c>
      <c r="C1046" s="29">
        <v>81501</v>
      </c>
      <c r="D1046" s="16">
        <v>46065</v>
      </c>
      <c r="E1046" s="15" t="s">
        <v>3</v>
      </c>
      <c r="F1046" s="29">
        <v>89936.320000000007</v>
      </c>
      <c r="G1046" s="29">
        <v>0</v>
      </c>
      <c r="H1046" s="29">
        <v>89936.320000000007</v>
      </c>
      <c r="I1046" s="15">
        <v>90</v>
      </c>
      <c r="J1046" s="15">
        <v>273</v>
      </c>
      <c r="K1046" s="30">
        <v>90000</v>
      </c>
      <c r="L1046" s="17">
        <v>46155</v>
      </c>
      <c r="M1046" s="18">
        <v>0</v>
      </c>
      <c r="N1046" s="16"/>
      <c r="O1046" s="19">
        <v>47</v>
      </c>
      <c r="P1046" s="20">
        <v>0</v>
      </c>
      <c r="Q1046" s="29">
        <v>0</v>
      </c>
      <c r="R1046" s="9" t="s">
        <v>180</v>
      </c>
    </row>
    <row r="1047" spans="1:18" ht="12" customHeight="1" x14ac:dyDescent="0.25">
      <c r="A1047" s="14"/>
      <c r="B1047" s="15" t="s">
        <v>727</v>
      </c>
      <c r="C1047" s="29">
        <v>19600</v>
      </c>
      <c r="D1047" s="16">
        <v>46065</v>
      </c>
      <c r="E1047" s="15" t="s">
        <v>2</v>
      </c>
      <c r="F1047" s="29">
        <v>0</v>
      </c>
      <c r="G1047" s="29">
        <v>0</v>
      </c>
      <c r="H1047" s="29">
        <v>20293</v>
      </c>
      <c r="I1047" s="15">
        <v>30</v>
      </c>
      <c r="J1047" s="15">
        <v>139</v>
      </c>
      <c r="K1047" s="30">
        <v>322000</v>
      </c>
      <c r="L1047" s="17">
        <v>46096</v>
      </c>
      <c r="M1047" s="18">
        <v>20293</v>
      </c>
      <c r="N1047" s="16">
        <v>46097</v>
      </c>
      <c r="O1047" s="19"/>
      <c r="P1047" s="20">
        <v>693</v>
      </c>
      <c r="Q1047" s="29">
        <v>19600</v>
      </c>
      <c r="R1047" s="9" t="s">
        <v>180</v>
      </c>
    </row>
    <row r="1048" spans="1:18" ht="12" customHeight="1" x14ac:dyDescent="0.25">
      <c r="A1048" s="14"/>
      <c r="B1048" s="15" t="s">
        <v>728</v>
      </c>
      <c r="C1048" s="29">
        <v>145000</v>
      </c>
      <c r="D1048" s="16">
        <v>46068</v>
      </c>
      <c r="E1048" s="15" t="s">
        <v>2</v>
      </c>
      <c r="F1048" s="29">
        <v>0</v>
      </c>
      <c r="G1048" s="29">
        <v>0</v>
      </c>
      <c r="H1048" s="29">
        <v>150002.5</v>
      </c>
      <c r="I1048" s="15">
        <v>30</v>
      </c>
      <c r="J1048" s="15">
        <v>17</v>
      </c>
      <c r="K1048" s="30">
        <v>2400000</v>
      </c>
      <c r="L1048" s="17">
        <v>46098</v>
      </c>
      <c r="M1048" s="18">
        <v>150000</v>
      </c>
      <c r="N1048" s="16">
        <v>46099</v>
      </c>
      <c r="O1048" s="19"/>
      <c r="P1048" s="20">
        <v>5002.42</v>
      </c>
      <c r="Q1048" s="29">
        <v>144997.57999999999</v>
      </c>
      <c r="R1048" s="9" t="s">
        <v>180</v>
      </c>
    </row>
    <row r="1049" spans="1:18" ht="12" customHeight="1" x14ac:dyDescent="0.25">
      <c r="A1049" s="14"/>
      <c r="B1049" s="15" t="s">
        <v>729</v>
      </c>
      <c r="C1049" s="29">
        <v>145000</v>
      </c>
      <c r="D1049" s="16">
        <v>46068</v>
      </c>
      <c r="E1049" s="15" t="s">
        <v>2</v>
      </c>
      <c r="F1049" s="29">
        <v>0</v>
      </c>
      <c r="G1049" s="29">
        <v>0</v>
      </c>
      <c r="H1049" s="29">
        <v>150002.5</v>
      </c>
      <c r="I1049" s="15">
        <v>30</v>
      </c>
      <c r="J1049" s="15">
        <v>17</v>
      </c>
      <c r="K1049" s="30">
        <v>2400000</v>
      </c>
      <c r="L1049" s="17">
        <v>46098</v>
      </c>
      <c r="M1049" s="18">
        <v>150000</v>
      </c>
      <c r="N1049" s="16">
        <v>46105</v>
      </c>
      <c r="O1049" s="19"/>
      <c r="P1049" s="20">
        <v>5002.42</v>
      </c>
      <c r="Q1049" s="29">
        <v>144997.57999999999</v>
      </c>
      <c r="R1049" s="9" t="s">
        <v>180</v>
      </c>
    </row>
    <row r="1050" spans="1:18" ht="12" customHeight="1" x14ac:dyDescent="0.25">
      <c r="A1050" s="14"/>
      <c r="B1050" s="15" t="s">
        <v>730</v>
      </c>
      <c r="C1050" s="29">
        <v>151800</v>
      </c>
      <c r="D1050" s="16">
        <v>46068</v>
      </c>
      <c r="E1050" s="15" t="s">
        <v>3</v>
      </c>
      <c r="F1050" s="29">
        <v>162274.20000000001</v>
      </c>
      <c r="G1050" s="29">
        <v>0</v>
      </c>
      <c r="H1050" s="29">
        <v>162274.20000000001</v>
      </c>
      <c r="I1050" s="15">
        <v>60</v>
      </c>
      <c r="J1050" s="15">
        <v>23</v>
      </c>
      <c r="K1050" s="30">
        <v>310000</v>
      </c>
      <c r="L1050" s="17">
        <v>46128</v>
      </c>
      <c r="M1050" s="18">
        <v>0</v>
      </c>
      <c r="N1050" s="16"/>
      <c r="O1050" s="19">
        <v>44</v>
      </c>
      <c r="P1050" s="20">
        <v>0</v>
      </c>
      <c r="Q1050" s="29">
        <v>0</v>
      </c>
      <c r="R1050" s="9" t="s">
        <v>180</v>
      </c>
    </row>
    <row r="1051" spans="1:18" ht="12" customHeight="1" x14ac:dyDescent="0.25">
      <c r="A1051" s="14"/>
      <c r="B1051" s="15" t="s">
        <v>731</v>
      </c>
      <c r="C1051" s="29">
        <v>138069</v>
      </c>
      <c r="D1051" s="16">
        <v>46068</v>
      </c>
      <c r="E1051" s="15" t="s">
        <v>3</v>
      </c>
      <c r="F1051" s="29">
        <v>147591</v>
      </c>
      <c r="G1051" s="29">
        <v>0</v>
      </c>
      <c r="H1051" s="29">
        <v>147591</v>
      </c>
      <c r="I1051" s="15">
        <v>60</v>
      </c>
      <c r="J1051" s="15">
        <v>23</v>
      </c>
      <c r="K1051" s="30">
        <v>310000</v>
      </c>
      <c r="L1051" s="17">
        <v>46128</v>
      </c>
      <c r="M1051" s="18">
        <v>0</v>
      </c>
      <c r="N1051" s="16"/>
      <c r="O1051" s="19">
        <v>44</v>
      </c>
      <c r="P1051" s="20">
        <v>0</v>
      </c>
      <c r="Q1051" s="29">
        <v>0</v>
      </c>
      <c r="R1051" s="9" t="s">
        <v>180</v>
      </c>
    </row>
    <row r="1052" spans="1:18" ht="12" customHeight="1" x14ac:dyDescent="0.25">
      <c r="A1052" s="14"/>
      <c r="B1052" s="15" t="s">
        <v>732</v>
      </c>
      <c r="C1052" s="29">
        <v>12550</v>
      </c>
      <c r="D1052" s="16">
        <v>46068</v>
      </c>
      <c r="E1052" s="15" t="s">
        <v>3</v>
      </c>
      <c r="F1052" s="29">
        <v>13863.09</v>
      </c>
      <c r="G1052" s="29">
        <v>0</v>
      </c>
      <c r="H1052" s="29">
        <v>13863.09</v>
      </c>
      <c r="I1052" s="15">
        <v>90</v>
      </c>
      <c r="J1052" s="15">
        <v>274</v>
      </c>
      <c r="K1052" s="30">
        <v>13000</v>
      </c>
      <c r="L1052" s="17">
        <v>46159</v>
      </c>
      <c r="M1052" s="18">
        <v>0</v>
      </c>
      <c r="N1052" s="16"/>
      <c r="O1052" s="19">
        <v>44</v>
      </c>
      <c r="P1052" s="20">
        <v>0</v>
      </c>
      <c r="Q1052" s="29">
        <v>0</v>
      </c>
      <c r="R1052" s="9" t="s">
        <v>180</v>
      </c>
    </row>
    <row r="1053" spans="1:18" ht="12" customHeight="1" x14ac:dyDescent="0.25">
      <c r="A1053" s="14"/>
      <c r="B1053" s="15" t="s">
        <v>733</v>
      </c>
      <c r="C1053" s="29">
        <v>0</v>
      </c>
      <c r="D1053" s="16">
        <v>46068</v>
      </c>
      <c r="E1053" s="15" t="s">
        <v>2</v>
      </c>
      <c r="F1053" s="29">
        <v>0</v>
      </c>
      <c r="G1053" s="29">
        <v>0</v>
      </c>
      <c r="H1053" s="29">
        <v>2440</v>
      </c>
      <c r="I1053" s="15">
        <v>0</v>
      </c>
      <c r="J1053" s="15">
        <v>109</v>
      </c>
      <c r="K1053" s="30">
        <v>130000</v>
      </c>
      <c r="L1053" s="17">
        <v>46068</v>
      </c>
      <c r="M1053" s="18">
        <v>2440</v>
      </c>
      <c r="N1053" s="16">
        <v>46096</v>
      </c>
      <c r="O1053" s="19"/>
      <c r="P1053" s="20">
        <v>2440</v>
      </c>
      <c r="Q1053" s="29">
        <v>0</v>
      </c>
      <c r="R1053" s="9" t="s">
        <v>180</v>
      </c>
    </row>
    <row r="1054" spans="1:18" ht="12" customHeight="1" x14ac:dyDescent="0.25">
      <c r="A1054" s="14"/>
      <c r="B1054" s="15" t="s">
        <v>734</v>
      </c>
      <c r="C1054" s="29">
        <v>35500</v>
      </c>
      <c r="D1054" s="16">
        <v>46068</v>
      </c>
      <c r="E1054" s="15" t="s">
        <v>3</v>
      </c>
      <c r="F1054" s="29">
        <v>37949.5</v>
      </c>
      <c r="G1054" s="29">
        <v>0</v>
      </c>
      <c r="H1054" s="29">
        <v>37949.5</v>
      </c>
      <c r="I1054" s="15">
        <v>60</v>
      </c>
      <c r="J1054" s="15">
        <v>114</v>
      </c>
      <c r="K1054" s="30">
        <v>38000</v>
      </c>
      <c r="L1054" s="17">
        <v>46128</v>
      </c>
      <c r="M1054" s="18">
        <v>0</v>
      </c>
      <c r="N1054" s="16"/>
      <c r="O1054" s="19">
        <v>44</v>
      </c>
      <c r="P1054" s="20">
        <v>0</v>
      </c>
      <c r="Q1054" s="29">
        <v>0</v>
      </c>
      <c r="R1054" s="9" t="s">
        <v>180</v>
      </c>
    </row>
    <row r="1055" spans="1:18" ht="12" customHeight="1" x14ac:dyDescent="0.25">
      <c r="A1055" s="14"/>
      <c r="B1055" s="15" t="s">
        <v>735</v>
      </c>
      <c r="C1055" s="29">
        <v>12601</v>
      </c>
      <c r="D1055" s="16">
        <v>46068</v>
      </c>
      <c r="E1055" s="15" t="s">
        <v>2</v>
      </c>
      <c r="F1055" s="29">
        <v>0</v>
      </c>
      <c r="G1055" s="29">
        <v>0</v>
      </c>
      <c r="H1055" s="29">
        <v>13049.95</v>
      </c>
      <c r="I1055" s="15">
        <v>30</v>
      </c>
      <c r="J1055" s="15">
        <v>139</v>
      </c>
      <c r="K1055" s="30">
        <v>322000</v>
      </c>
      <c r="L1055" s="17">
        <v>46098</v>
      </c>
      <c r="M1055" s="18">
        <v>13050</v>
      </c>
      <c r="N1055" s="16">
        <v>46098</v>
      </c>
      <c r="O1055" s="19"/>
      <c r="P1055" s="20">
        <v>448.95</v>
      </c>
      <c r="Q1055" s="29">
        <v>12601.05</v>
      </c>
      <c r="R1055" s="9" t="s">
        <v>180</v>
      </c>
    </row>
    <row r="1056" spans="1:18" ht="12" customHeight="1" x14ac:dyDescent="0.25">
      <c r="A1056" s="14"/>
      <c r="B1056" s="15" t="s">
        <v>736</v>
      </c>
      <c r="C1056" s="29">
        <v>0</v>
      </c>
      <c r="D1056" s="16">
        <v>46068</v>
      </c>
      <c r="E1056" s="15" t="s">
        <v>4</v>
      </c>
      <c r="F1056" s="29">
        <v>1003</v>
      </c>
      <c r="G1056" s="29">
        <v>1003</v>
      </c>
      <c r="H1056" s="29">
        <v>1003</v>
      </c>
      <c r="I1056" s="15">
        <v>0</v>
      </c>
      <c r="J1056" s="15">
        <v>158</v>
      </c>
      <c r="K1056" s="30">
        <v>87000</v>
      </c>
      <c r="L1056" s="17">
        <v>46068</v>
      </c>
      <c r="M1056" s="18">
        <v>0</v>
      </c>
      <c r="N1056" s="16"/>
      <c r="O1056" s="19">
        <v>44</v>
      </c>
      <c r="P1056" s="20">
        <v>0</v>
      </c>
      <c r="Q1056" s="29">
        <v>0</v>
      </c>
      <c r="R1056" s="9" t="s">
        <v>180</v>
      </c>
    </row>
    <row r="1057" spans="1:18" ht="12" customHeight="1" x14ac:dyDescent="0.25">
      <c r="A1057" s="14"/>
      <c r="B1057" s="15" t="s">
        <v>671</v>
      </c>
      <c r="C1057" s="29">
        <v>400001</v>
      </c>
      <c r="D1057" s="16">
        <v>46068</v>
      </c>
      <c r="E1057" s="15" t="s">
        <v>2</v>
      </c>
      <c r="F1057" s="29">
        <v>0</v>
      </c>
      <c r="G1057" s="29">
        <v>0</v>
      </c>
      <c r="H1057" s="29">
        <v>408012.08</v>
      </c>
      <c r="I1057" s="15">
        <v>15</v>
      </c>
      <c r="J1057" s="15">
        <v>179</v>
      </c>
      <c r="K1057" s="30">
        <v>410000</v>
      </c>
      <c r="L1057" s="17">
        <v>46083</v>
      </c>
      <c r="M1057" s="18">
        <v>409998.93</v>
      </c>
      <c r="N1057" s="16">
        <v>46107</v>
      </c>
      <c r="O1057" s="19"/>
      <c r="P1057" s="20">
        <v>8050.09</v>
      </c>
      <c r="Q1057" s="29">
        <v>401948.84</v>
      </c>
      <c r="R1057" s="9" t="s">
        <v>180</v>
      </c>
    </row>
    <row r="1058" spans="1:18" ht="12" customHeight="1" x14ac:dyDescent="0.25">
      <c r="A1058" s="14"/>
      <c r="B1058" s="15" t="s">
        <v>737</v>
      </c>
      <c r="C1058" s="29">
        <v>0</v>
      </c>
      <c r="D1058" s="16">
        <v>46068</v>
      </c>
      <c r="E1058" s="15" t="s">
        <v>2</v>
      </c>
      <c r="F1058" s="29">
        <v>0</v>
      </c>
      <c r="G1058" s="29">
        <v>0</v>
      </c>
      <c r="H1058" s="29">
        <v>3093</v>
      </c>
      <c r="I1058" s="15">
        <v>0</v>
      </c>
      <c r="J1058" s="15">
        <v>199</v>
      </c>
      <c r="K1058" s="30">
        <v>270000</v>
      </c>
      <c r="L1058" s="17">
        <v>46068</v>
      </c>
      <c r="M1058" s="18">
        <v>3093</v>
      </c>
      <c r="N1058" s="16">
        <v>46071</v>
      </c>
      <c r="O1058" s="19"/>
      <c r="P1058" s="20">
        <v>3093</v>
      </c>
      <c r="Q1058" s="29">
        <v>0</v>
      </c>
      <c r="R1058" s="9" t="s">
        <v>180</v>
      </c>
    </row>
    <row r="1059" spans="1:18" ht="12" customHeight="1" x14ac:dyDescent="0.25">
      <c r="A1059" s="14"/>
      <c r="B1059" s="15" t="s">
        <v>738</v>
      </c>
      <c r="C1059" s="29">
        <v>99996</v>
      </c>
      <c r="D1059" s="16">
        <v>46069</v>
      </c>
      <c r="E1059" s="15" t="s">
        <v>4</v>
      </c>
      <c r="F1059" s="29">
        <v>102167</v>
      </c>
      <c r="G1059" s="29">
        <v>102167</v>
      </c>
      <c r="H1059" s="29">
        <v>103450</v>
      </c>
      <c r="I1059" s="15">
        <v>30</v>
      </c>
      <c r="J1059" s="15">
        <v>6</v>
      </c>
      <c r="K1059" s="30">
        <v>810000</v>
      </c>
      <c r="L1059" s="17">
        <v>46099</v>
      </c>
      <c r="M1059" s="18">
        <v>1283</v>
      </c>
      <c r="N1059" s="16">
        <v>46069</v>
      </c>
      <c r="O1059" s="19">
        <v>43</v>
      </c>
      <c r="P1059" s="20">
        <v>42.84</v>
      </c>
      <c r="Q1059" s="29">
        <v>1240.1600000000001</v>
      </c>
      <c r="R1059" s="9" t="s">
        <v>180</v>
      </c>
    </row>
    <row r="1060" spans="1:18" ht="12" customHeight="1" x14ac:dyDescent="0.25">
      <c r="A1060" s="14"/>
      <c r="B1060" s="15" t="s">
        <v>739</v>
      </c>
      <c r="C1060" s="29">
        <v>96550</v>
      </c>
      <c r="D1060" s="16">
        <v>46069</v>
      </c>
      <c r="E1060" s="15" t="s">
        <v>2</v>
      </c>
      <c r="F1060" s="29">
        <v>0</v>
      </c>
      <c r="G1060" s="29">
        <v>0</v>
      </c>
      <c r="H1060" s="29">
        <v>99999.91</v>
      </c>
      <c r="I1060" s="15">
        <v>30</v>
      </c>
      <c r="J1060" s="15">
        <v>22</v>
      </c>
      <c r="K1060" s="30">
        <v>200000</v>
      </c>
      <c r="L1060" s="17">
        <v>46099</v>
      </c>
      <c r="M1060" s="18">
        <v>100000</v>
      </c>
      <c r="N1060" s="16">
        <v>46114</v>
      </c>
      <c r="O1060" s="19"/>
      <c r="P1060" s="20">
        <v>3449.91</v>
      </c>
      <c r="Q1060" s="29">
        <v>96550.09</v>
      </c>
      <c r="R1060" s="9" t="s">
        <v>180</v>
      </c>
    </row>
    <row r="1061" spans="1:18" ht="12" customHeight="1" x14ac:dyDescent="0.25">
      <c r="A1061" s="14"/>
      <c r="B1061" s="15" t="s">
        <v>740</v>
      </c>
      <c r="C1061" s="29">
        <v>179000</v>
      </c>
      <c r="D1061" s="16">
        <v>46069</v>
      </c>
      <c r="E1061" s="15" t="s">
        <v>2</v>
      </c>
      <c r="F1061" s="29">
        <v>0</v>
      </c>
      <c r="G1061" s="29">
        <v>0</v>
      </c>
      <c r="H1061" s="29">
        <v>185175.5</v>
      </c>
      <c r="I1061" s="15">
        <v>30</v>
      </c>
      <c r="J1061" s="15">
        <v>29</v>
      </c>
      <c r="K1061" s="30">
        <v>1240000</v>
      </c>
      <c r="L1061" s="17">
        <v>46099</v>
      </c>
      <c r="M1061" s="18">
        <v>185175</v>
      </c>
      <c r="N1061" s="16">
        <v>46093</v>
      </c>
      <c r="O1061" s="19"/>
      <c r="P1061" s="20">
        <v>6175.48</v>
      </c>
      <c r="Q1061" s="29">
        <v>178999.52</v>
      </c>
      <c r="R1061" s="9" t="s">
        <v>180</v>
      </c>
    </row>
    <row r="1062" spans="1:18" ht="12" customHeight="1" x14ac:dyDescent="0.25">
      <c r="A1062" s="14"/>
      <c r="B1062" s="15" t="s">
        <v>741</v>
      </c>
      <c r="C1062" s="29">
        <v>989101</v>
      </c>
      <c r="D1062" s="16">
        <v>46069</v>
      </c>
      <c r="E1062" s="15" t="s">
        <v>2</v>
      </c>
      <c r="F1062" s="29">
        <v>0</v>
      </c>
      <c r="G1062" s="29">
        <v>0</v>
      </c>
      <c r="H1062" s="29">
        <v>1023224.98</v>
      </c>
      <c r="I1062" s="15">
        <v>30</v>
      </c>
      <c r="J1062" s="15">
        <v>172</v>
      </c>
      <c r="K1062" s="30">
        <v>2000000</v>
      </c>
      <c r="L1062" s="17">
        <v>46100</v>
      </c>
      <c r="M1062" s="18">
        <v>1023224.71</v>
      </c>
      <c r="N1062" s="16">
        <v>46090</v>
      </c>
      <c r="O1062" s="19"/>
      <c r="P1062" s="20">
        <v>34123.97</v>
      </c>
      <c r="Q1062" s="29">
        <v>989100.74</v>
      </c>
      <c r="R1062" s="9" t="s">
        <v>180</v>
      </c>
    </row>
    <row r="1063" spans="1:18" ht="12" customHeight="1" x14ac:dyDescent="0.25">
      <c r="A1063" s="14"/>
      <c r="B1063" s="15" t="s">
        <v>742</v>
      </c>
      <c r="C1063" s="29">
        <v>3450</v>
      </c>
      <c r="D1063" s="16">
        <v>46069</v>
      </c>
      <c r="E1063" s="15" t="s">
        <v>3</v>
      </c>
      <c r="F1063" s="29">
        <v>3688.05</v>
      </c>
      <c r="G1063" s="29">
        <v>0</v>
      </c>
      <c r="H1063" s="29">
        <v>3688.05</v>
      </c>
      <c r="I1063" s="15">
        <v>60</v>
      </c>
      <c r="J1063" s="15">
        <v>236</v>
      </c>
      <c r="K1063" s="30">
        <v>43478</v>
      </c>
      <c r="L1063" s="17">
        <v>46131</v>
      </c>
      <c r="M1063" s="18">
        <v>0</v>
      </c>
      <c r="N1063" s="16"/>
      <c r="O1063" s="19">
        <v>43</v>
      </c>
      <c r="P1063" s="20">
        <v>0</v>
      </c>
      <c r="Q1063" s="29">
        <v>0</v>
      </c>
      <c r="R1063" s="9" t="s">
        <v>180</v>
      </c>
    </row>
    <row r="1064" spans="1:18" ht="12" customHeight="1" x14ac:dyDescent="0.25">
      <c r="A1064" s="14"/>
      <c r="B1064" s="15" t="s">
        <v>743</v>
      </c>
      <c r="C1064" s="29">
        <v>2818</v>
      </c>
      <c r="D1064" s="16">
        <v>46069</v>
      </c>
      <c r="E1064" s="15" t="s">
        <v>3</v>
      </c>
      <c r="F1064" s="29">
        <v>3012.44</v>
      </c>
      <c r="G1064" s="29">
        <v>0</v>
      </c>
      <c r="H1064" s="29">
        <v>3012.44</v>
      </c>
      <c r="I1064" s="15">
        <v>60</v>
      </c>
      <c r="J1064" s="15">
        <v>236</v>
      </c>
      <c r="K1064" s="30">
        <v>43478</v>
      </c>
      <c r="L1064" s="17">
        <v>46131</v>
      </c>
      <c r="M1064" s="18">
        <v>0</v>
      </c>
      <c r="N1064" s="16"/>
      <c r="O1064" s="19">
        <v>43</v>
      </c>
      <c r="P1064" s="20">
        <v>0</v>
      </c>
      <c r="Q1064" s="29">
        <v>0</v>
      </c>
      <c r="R1064" s="9" t="s">
        <v>180</v>
      </c>
    </row>
    <row r="1065" spans="1:18" ht="12" customHeight="1" x14ac:dyDescent="0.25">
      <c r="A1065" s="14"/>
      <c r="B1065" s="15">
        <v>2059</v>
      </c>
      <c r="C1065" s="29">
        <v>8993.6299999999992</v>
      </c>
      <c r="D1065" s="16">
        <v>46069</v>
      </c>
      <c r="E1065" s="15" t="s">
        <v>4</v>
      </c>
      <c r="F1065" s="29">
        <v>6209.63</v>
      </c>
      <c r="G1065" s="29">
        <v>6209.63</v>
      </c>
      <c r="H1065" s="29">
        <v>9314.6299999999992</v>
      </c>
      <c r="I1065" s="15">
        <v>30</v>
      </c>
      <c r="J1065" s="15">
        <v>270</v>
      </c>
      <c r="K1065" s="30">
        <v>10000</v>
      </c>
      <c r="L1065" s="17">
        <v>46099</v>
      </c>
      <c r="M1065" s="18">
        <v>3105</v>
      </c>
      <c r="N1065" s="16">
        <v>46085</v>
      </c>
      <c r="O1065" s="19">
        <v>43</v>
      </c>
      <c r="P1065" s="20">
        <v>107</v>
      </c>
      <c r="Q1065" s="29">
        <v>2998</v>
      </c>
      <c r="R1065" s="9" t="s">
        <v>180</v>
      </c>
    </row>
    <row r="1066" spans="1:18" ht="12" customHeight="1" x14ac:dyDescent="0.25">
      <c r="A1066" s="14"/>
      <c r="B1066" s="15">
        <v>2060</v>
      </c>
      <c r="C1066" s="29">
        <v>5773.69</v>
      </c>
      <c r="D1066" s="16">
        <v>46069</v>
      </c>
      <c r="E1066" s="15" t="s">
        <v>4</v>
      </c>
      <c r="F1066" s="29">
        <v>5979.69</v>
      </c>
      <c r="G1066" s="29">
        <v>5979.69</v>
      </c>
      <c r="H1066" s="29">
        <v>5979.69</v>
      </c>
      <c r="I1066" s="15">
        <v>30</v>
      </c>
      <c r="J1066" s="15">
        <v>267</v>
      </c>
      <c r="K1066" s="30">
        <v>6000</v>
      </c>
      <c r="L1066" s="17">
        <v>46099</v>
      </c>
      <c r="M1066" s="18">
        <v>0</v>
      </c>
      <c r="N1066" s="16"/>
      <c r="O1066" s="19">
        <v>43</v>
      </c>
      <c r="P1066" s="20">
        <v>0</v>
      </c>
      <c r="Q1066" s="29">
        <v>0</v>
      </c>
      <c r="R1066" s="9" t="s">
        <v>180</v>
      </c>
    </row>
    <row r="1067" spans="1:18" ht="12" customHeight="1" x14ac:dyDescent="0.25">
      <c r="A1067" s="14"/>
      <c r="B1067" s="15">
        <v>2098</v>
      </c>
      <c r="C1067" s="29">
        <v>37607.29</v>
      </c>
      <c r="D1067" s="16">
        <v>46069</v>
      </c>
      <c r="E1067" s="15" t="s">
        <v>4</v>
      </c>
      <c r="F1067" s="29">
        <v>31418.29</v>
      </c>
      <c r="G1067" s="29">
        <v>31418.29</v>
      </c>
      <c r="H1067" s="29">
        <v>38918.29</v>
      </c>
      <c r="I1067" s="15">
        <v>30</v>
      </c>
      <c r="J1067" s="15">
        <v>250</v>
      </c>
      <c r="K1067" s="30">
        <v>100000</v>
      </c>
      <c r="L1067" s="17">
        <v>46099</v>
      </c>
      <c r="M1067" s="18">
        <v>7500</v>
      </c>
      <c r="N1067" s="16">
        <v>46114</v>
      </c>
      <c r="O1067" s="19">
        <v>43</v>
      </c>
      <c r="P1067" s="20">
        <v>252.64</v>
      </c>
      <c r="Q1067" s="29">
        <v>7247.36</v>
      </c>
      <c r="R1067" s="9" t="s">
        <v>180</v>
      </c>
    </row>
    <row r="1068" spans="1:18" ht="12" customHeight="1" x14ac:dyDescent="0.25">
      <c r="A1068" s="14"/>
      <c r="B1068" s="15">
        <v>2095</v>
      </c>
      <c r="C1068" s="29">
        <v>39370.53</v>
      </c>
      <c r="D1068" s="16">
        <v>46069</v>
      </c>
      <c r="E1068" s="15" t="s">
        <v>4</v>
      </c>
      <c r="F1068" s="29">
        <v>40742.53</v>
      </c>
      <c r="G1068" s="29">
        <v>40742.53</v>
      </c>
      <c r="H1068" s="29">
        <v>40742.53</v>
      </c>
      <c r="I1068" s="15">
        <v>30</v>
      </c>
      <c r="J1068" s="15">
        <v>247</v>
      </c>
      <c r="K1068" s="30">
        <v>100000</v>
      </c>
      <c r="L1068" s="17">
        <v>46099</v>
      </c>
      <c r="M1068" s="18">
        <v>0</v>
      </c>
      <c r="N1068" s="16"/>
      <c r="O1068" s="19">
        <v>43</v>
      </c>
      <c r="P1068" s="20">
        <v>0</v>
      </c>
      <c r="Q1068" s="29">
        <v>0</v>
      </c>
      <c r="R1068" s="9" t="s">
        <v>180</v>
      </c>
    </row>
    <row r="1069" spans="1:18" ht="12" customHeight="1" x14ac:dyDescent="0.25">
      <c r="A1069" s="14"/>
      <c r="B1069" s="15" t="s">
        <v>744</v>
      </c>
      <c r="C1069" s="29">
        <v>70007</v>
      </c>
      <c r="D1069" s="16">
        <v>46070</v>
      </c>
      <c r="E1069" s="15" t="s">
        <v>4</v>
      </c>
      <c r="F1069" s="29">
        <v>72415.009999999995</v>
      </c>
      <c r="G1069" s="29">
        <v>72415.009999999995</v>
      </c>
      <c r="H1069" s="29">
        <v>72415.009999999995</v>
      </c>
      <c r="I1069" s="15">
        <v>30</v>
      </c>
      <c r="J1069" s="15">
        <v>6</v>
      </c>
      <c r="K1069" s="30">
        <v>810000</v>
      </c>
      <c r="L1069" s="17">
        <v>46100</v>
      </c>
      <c r="M1069" s="18">
        <v>0</v>
      </c>
      <c r="N1069" s="16"/>
      <c r="O1069" s="19">
        <v>42</v>
      </c>
      <c r="P1069" s="20">
        <v>0</v>
      </c>
      <c r="Q1069" s="29">
        <v>0</v>
      </c>
      <c r="R1069" s="9" t="s">
        <v>180</v>
      </c>
    </row>
    <row r="1070" spans="1:18" ht="12" customHeight="1" x14ac:dyDescent="0.25">
      <c r="A1070" s="14"/>
      <c r="B1070" s="15" t="s">
        <v>745</v>
      </c>
      <c r="C1070" s="29">
        <v>152956</v>
      </c>
      <c r="D1070" s="16">
        <v>46070</v>
      </c>
      <c r="E1070" s="15" t="s">
        <v>2</v>
      </c>
      <c r="F1070" s="29">
        <v>0</v>
      </c>
      <c r="G1070" s="29">
        <v>0</v>
      </c>
      <c r="H1070" s="29">
        <v>158232.98000000001</v>
      </c>
      <c r="I1070" s="15">
        <v>30</v>
      </c>
      <c r="J1070" s="15">
        <v>29</v>
      </c>
      <c r="K1070" s="30">
        <v>1240000</v>
      </c>
      <c r="L1070" s="17">
        <v>46103</v>
      </c>
      <c r="M1070" s="18">
        <v>158233.73000000001</v>
      </c>
      <c r="N1070" s="16">
        <v>46093</v>
      </c>
      <c r="O1070" s="19"/>
      <c r="P1070" s="20">
        <v>5277.01</v>
      </c>
      <c r="Q1070" s="29">
        <v>152956.72</v>
      </c>
      <c r="R1070" s="9" t="s">
        <v>180</v>
      </c>
    </row>
    <row r="1071" spans="1:18" ht="12" customHeight="1" x14ac:dyDescent="0.25">
      <c r="A1071" s="14"/>
      <c r="B1071" s="15" t="s">
        <v>746</v>
      </c>
      <c r="C1071" s="29">
        <v>163410</v>
      </c>
      <c r="D1071" s="16">
        <v>46070</v>
      </c>
      <c r="E1071" s="15" t="s">
        <v>2</v>
      </c>
      <c r="F1071" s="29">
        <v>0</v>
      </c>
      <c r="G1071" s="29">
        <v>0</v>
      </c>
      <c r="H1071" s="29">
        <v>169047.65</v>
      </c>
      <c r="I1071" s="15">
        <v>30</v>
      </c>
      <c r="J1071" s="15">
        <v>29</v>
      </c>
      <c r="K1071" s="30">
        <v>1240000</v>
      </c>
      <c r="L1071" s="17">
        <v>46103</v>
      </c>
      <c r="M1071" s="18">
        <v>169048.03</v>
      </c>
      <c r="N1071" s="16">
        <v>46096</v>
      </c>
      <c r="O1071" s="19"/>
      <c r="P1071" s="20">
        <v>5637.66</v>
      </c>
      <c r="Q1071" s="29">
        <v>163410.37</v>
      </c>
      <c r="R1071" s="9" t="s">
        <v>180</v>
      </c>
    </row>
    <row r="1072" spans="1:18" ht="12" customHeight="1" x14ac:dyDescent="0.25">
      <c r="A1072" s="14"/>
      <c r="B1072" s="15" t="s">
        <v>747</v>
      </c>
      <c r="C1072" s="29">
        <v>18630</v>
      </c>
      <c r="D1072" s="16">
        <v>46070</v>
      </c>
      <c r="E1072" s="15" t="s">
        <v>2</v>
      </c>
      <c r="F1072" s="29">
        <v>0</v>
      </c>
      <c r="G1072" s="29">
        <v>0</v>
      </c>
      <c r="H1072" s="29">
        <v>19276</v>
      </c>
      <c r="I1072" s="15">
        <v>30</v>
      </c>
      <c r="J1072" s="15">
        <v>159</v>
      </c>
      <c r="K1072" s="30">
        <v>129000</v>
      </c>
      <c r="L1072" s="17">
        <v>46100</v>
      </c>
      <c r="M1072" s="18">
        <v>19276</v>
      </c>
      <c r="N1072" s="16">
        <v>46098</v>
      </c>
      <c r="O1072" s="19"/>
      <c r="P1072" s="20">
        <v>646</v>
      </c>
      <c r="Q1072" s="29">
        <v>18630</v>
      </c>
      <c r="R1072" s="9" t="s">
        <v>180</v>
      </c>
    </row>
    <row r="1073" spans="1:18" ht="12" customHeight="1" x14ac:dyDescent="0.25">
      <c r="A1073" s="14"/>
      <c r="B1073" s="15" t="s">
        <v>748</v>
      </c>
      <c r="C1073" s="29">
        <v>171110</v>
      </c>
      <c r="D1073" s="16">
        <v>46071</v>
      </c>
      <c r="E1073" s="15" t="s">
        <v>2</v>
      </c>
      <c r="F1073" s="29">
        <v>0</v>
      </c>
      <c r="G1073" s="29">
        <v>0</v>
      </c>
      <c r="H1073" s="29">
        <v>173057.99</v>
      </c>
      <c r="I1073" s="15">
        <v>4</v>
      </c>
      <c r="J1073" s="15">
        <v>3</v>
      </c>
      <c r="K1073" s="30">
        <v>1000000</v>
      </c>
      <c r="L1073" s="17">
        <v>46076</v>
      </c>
      <c r="M1073" s="18">
        <v>173028</v>
      </c>
      <c r="N1073" s="16">
        <v>46079</v>
      </c>
      <c r="O1073" s="19"/>
      <c r="P1073" s="20">
        <v>1947.65</v>
      </c>
      <c r="Q1073" s="29">
        <v>171080.35</v>
      </c>
      <c r="R1073" s="9" t="s">
        <v>180</v>
      </c>
    </row>
    <row r="1074" spans="1:18" ht="12" customHeight="1" x14ac:dyDescent="0.25">
      <c r="A1074" s="14"/>
      <c r="B1074" s="15" t="s">
        <v>749</v>
      </c>
      <c r="C1074" s="29">
        <v>65000</v>
      </c>
      <c r="D1074" s="16">
        <v>46071</v>
      </c>
      <c r="E1074" s="15" t="s">
        <v>2</v>
      </c>
      <c r="F1074" s="29">
        <v>0</v>
      </c>
      <c r="G1074" s="29">
        <v>0</v>
      </c>
      <c r="H1074" s="29">
        <v>67240</v>
      </c>
      <c r="I1074" s="15">
        <v>30</v>
      </c>
      <c r="J1074" s="15">
        <v>56</v>
      </c>
      <c r="K1074" s="30">
        <v>320000</v>
      </c>
      <c r="L1074" s="17">
        <v>46103</v>
      </c>
      <c r="M1074" s="18">
        <v>67240</v>
      </c>
      <c r="N1074" s="16">
        <v>46106</v>
      </c>
      <c r="O1074" s="19"/>
      <c r="P1074" s="20">
        <v>2240</v>
      </c>
      <c r="Q1074" s="29">
        <v>65000</v>
      </c>
      <c r="R1074" s="9" t="s">
        <v>180</v>
      </c>
    </row>
    <row r="1075" spans="1:18" ht="12" customHeight="1" x14ac:dyDescent="0.25">
      <c r="A1075" s="14"/>
      <c r="B1075" s="15" t="s">
        <v>750</v>
      </c>
      <c r="C1075" s="29">
        <v>0</v>
      </c>
      <c r="D1075" s="16">
        <v>46071</v>
      </c>
      <c r="E1075" s="15" t="s">
        <v>2</v>
      </c>
      <c r="F1075" s="29">
        <v>0</v>
      </c>
      <c r="G1075" s="29">
        <v>0</v>
      </c>
      <c r="H1075" s="29">
        <v>2284</v>
      </c>
      <c r="I1075" s="15">
        <v>0</v>
      </c>
      <c r="J1075" s="15">
        <v>90</v>
      </c>
      <c r="K1075" s="30">
        <v>100000</v>
      </c>
      <c r="L1075" s="17">
        <v>46071</v>
      </c>
      <c r="M1075" s="18">
        <v>2278</v>
      </c>
      <c r="N1075" s="16">
        <v>46077</v>
      </c>
      <c r="O1075" s="19"/>
      <c r="P1075" s="20">
        <v>2278</v>
      </c>
      <c r="Q1075" s="29">
        <v>0</v>
      </c>
      <c r="R1075" s="9" t="s">
        <v>180</v>
      </c>
    </row>
    <row r="1076" spans="1:18" ht="12" customHeight="1" x14ac:dyDescent="0.25">
      <c r="A1076" s="14"/>
      <c r="B1076" s="15" t="s">
        <v>751</v>
      </c>
      <c r="C1076" s="29">
        <v>41935</v>
      </c>
      <c r="D1076" s="16">
        <v>46071</v>
      </c>
      <c r="E1076" s="15" t="s">
        <v>2</v>
      </c>
      <c r="F1076" s="29">
        <v>0</v>
      </c>
      <c r="G1076" s="29">
        <v>0</v>
      </c>
      <c r="H1076" s="29">
        <v>43400</v>
      </c>
      <c r="I1076" s="15">
        <v>30</v>
      </c>
      <c r="J1076" s="15">
        <v>98</v>
      </c>
      <c r="K1076" s="30">
        <v>100000</v>
      </c>
      <c r="L1076" s="17">
        <v>46103</v>
      </c>
      <c r="M1076" s="18">
        <v>43400</v>
      </c>
      <c r="N1076" s="16">
        <v>46105</v>
      </c>
      <c r="O1076" s="19"/>
      <c r="P1076" s="20">
        <v>1465</v>
      </c>
      <c r="Q1076" s="29">
        <v>41935</v>
      </c>
      <c r="R1076" s="9" t="s">
        <v>180</v>
      </c>
    </row>
    <row r="1077" spans="1:18" ht="12" customHeight="1" x14ac:dyDescent="0.25">
      <c r="A1077" s="14"/>
      <c r="B1077" s="15" t="s">
        <v>752</v>
      </c>
      <c r="C1077" s="29">
        <v>130000</v>
      </c>
      <c r="D1077" s="16">
        <v>46071</v>
      </c>
      <c r="E1077" s="15" t="s">
        <v>2</v>
      </c>
      <c r="F1077" s="29">
        <v>0</v>
      </c>
      <c r="G1077" s="29">
        <v>0</v>
      </c>
      <c r="H1077" s="29">
        <v>134498</v>
      </c>
      <c r="I1077" s="15">
        <v>30</v>
      </c>
      <c r="J1077" s="15">
        <v>112</v>
      </c>
      <c r="K1077" s="30">
        <v>290000</v>
      </c>
      <c r="L1077" s="17">
        <v>46103</v>
      </c>
      <c r="M1077" s="18">
        <v>134498</v>
      </c>
      <c r="N1077" s="16">
        <v>46107</v>
      </c>
      <c r="O1077" s="19"/>
      <c r="P1077" s="20">
        <v>4498</v>
      </c>
      <c r="Q1077" s="29">
        <v>130000</v>
      </c>
      <c r="R1077" s="9" t="s">
        <v>180</v>
      </c>
    </row>
    <row r="1078" spans="1:18" ht="12" customHeight="1" x14ac:dyDescent="0.25">
      <c r="A1078" s="14"/>
      <c r="B1078" s="15" t="s">
        <v>753</v>
      </c>
      <c r="C1078" s="29">
        <v>50000</v>
      </c>
      <c r="D1078" s="16">
        <v>46071</v>
      </c>
      <c r="E1078" s="15" t="s">
        <v>2</v>
      </c>
      <c r="F1078" s="29">
        <v>0</v>
      </c>
      <c r="G1078" s="29">
        <v>0</v>
      </c>
      <c r="H1078" s="29">
        <v>51725.98</v>
      </c>
      <c r="I1078" s="15">
        <v>30</v>
      </c>
      <c r="J1078" s="15">
        <v>159</v>
      </c>
      <c r="K1078" s="30">
        <v>129000</v>
      </c>
      <c r="L1078" s="17">
        <v>46103</v>
      </c>
      <c r="M1078" s="18">
        <v>51727</v>
      </c>
      <c r="N1078" s="16">
        <v>46111</v>
      </c>
      <c r="O1078" s="19"/>
      <c r="P1078" s="20">
        <v>1726.01</v>
      </c>
      <c r="Q1078" s="29">
        <v>50000.99</v>
      </c>
      <c r="R1078" s="9" t="s">
        <v>180</v>
      </c>
    </row>
    <row r="1079" spans="1:18" ht="12" customHeight="1" x14ac:dyDescent="0.25">
      <c r="A1079" s="14"/>
      <c r="B1079" s="15" t="s">
        <v>754</v>
      </c>
      <c r="C1079" s="29">
        <v>600000</v>
      </c>
      <c r="D1079" s="16">
        <v>46071</v>
      </c>
      <c r="E1079" s="15" t="s">
        <v>3</v>
      </c>
      <c r="F1079" s="29">
        <v>662100</v>
      </c>
      <c r="G1079" s="29">
        <v>0</v>
      </c>
      <c r="H1079" s="29">
        <v>662100</v>
      </c>
      <c r="I1079" s="15">
        <v>90</v>
      </c>
      <c r="J1079" s="15">
        <v>166</v>
      </c>
      <c r="K1079" s="30">
        <v>1330000</v>
      </c>
      <c r="L1079" s="17">
        <v>46161</v>
      </c>
      <c r="M1079" s="18">
        <v>0</v>
      </c>
      <c r="N1079" s="16"/>
      <c r="O1079" s="19">
        <v>41</v>
      </c>
      <c r="P1079" s="20">
        <v>0</v>
      </c>
      <c r="Q1079" s="29">
        <v>0</v>
      </c>
      <c r="R1079" s="9" t="s">
        <v>180</v>
      </c>
    </row>
    <row r="1080" spans="1:18" ht="12" customHeight="1" x14ac:dyDescent="0.25">
      <c r="A1080" s="14"/>
      <c r="B1080" s="15" t="s">
        <v>755</v>
      </c>
      <c r="C1080" s="29">
        <v>0</v>
      </c>
      <c r="D1080" s="16">
        <v>46071</v>
      </c>
      <c r="E1080" s="15" t="s">
        <v>4</v>
      </c>
      <c r="F1080" s="29">
        <v>113</v>
      </c>
      <c r="G1080" s="29">
        <v>113</v>
      </c>
      <c r="H1080" s="29">
        <v>113</v>
      </c>
      <c r="I1080" s="15">
        <v>0</v>
      </c>
      <c r="J1080" s="15">
        <v>214</v>
      </c>
      <c r="K1080" s="30">
        <v>10000</v>
      </c>
      <c r="L1080" s="17">
        <v>46071</v>
      </c>
      <c r="M1080" s="18">
        <v>0</v>
      </c>
      <c r="N1080" s="16"/>
      <c r="O1080" s="19">
        <v>41</v>
      </c>
      <c r="P1080" s="20">
        <v>0</v>
      </c>
      <c r="Q1080" s="29">
        <v>0</v>
      </c>
      <c r="R1080" s="9" t="s">
        <v>180</v>
      </c>
    </row>
    <row r="1081" spans="1:18" ht="12" customHeight="1" x14ac:dyDescent="0.25">
      <c r="A1081" s="14"/>
      <c r="B1081" s="15" t="s">
        <v>756</v>
      </c>
      <c r="C1081" s="29">
        <v>97000</v>
      </c>
      <c r="D1081" s="16">
        <v>46071</v>
      </c>
      <c r="E1081" s="15" t="s">
        <v>2</v>
      </c>
      <c r="F1081" s="29">
        <v>0</v>
      </c>
      <c r="G1081" s="29">
        <v>0</v>
      </c>
      <c r="H1081" s="29">
        <v>100346.5</v>
      </c>
      <c r="I1081" s="15">
        <v>30</v>
      </c>
      <c r="J1081" s="15">
        <v>242</v>
      </c>
      <c r="K1081" s="30">
        <v>100000</v>
      </c>
      <c r="L1081" s="17">
        <v>46103</v>
      </c>
      <c r="M1081" s="18">
        <v>100345</v>
      </c>
      <c r="N1081" s="16">
        <v>46105</v>
      </c>
      <c r="O1081" s="19"/>
      <c r="P1081" s="20">
        <v>3346.45</v>
      </c>
      <c r="Q1081" s="29">
        <v>96998.55</v>
      </c>
      <c r="R1081" s="9" t="s">
        <v>180</v>
      </c>
    </row>
    <row r="1082" spans="1:18" ht="12" customHeight="1" x14ac:dyDescent="0.25">
      <c r="A1082" s="14"/>
      <c r="B1082" s="15">
        <v>2100</v>
      </c>
      <c r="C1082" s="29">
        <v>9660</v>
      </c>
      <c r="D1082" s="16">
        <v>46071</v>
      </c>
      <c r="E1082" s="15" t="s">
        <v>4</v>
      </c>
      <c r="F1082" s="29">
        <v>9993</v>
      </c>
      <c r="G1082" s="29">
        <v>9993</v>
      </c>
      <c r="H1082" s="29">
        <v>9993</v>
      </c>
      <c r="I1082" s="15">
        <v>30</v>
      </c>
      <c r="J1082" s="15">
        <v>73</v>
      </c>
      <c r="K1082" s="30">
        <v>10000</v>
      </c>
      <c r="L1082" s="17">
        <v>46103</v>
      </c>
      <c r="M1082" s="18">
        <v>0</v>
      </c>
      <c r="N1082" s="16"/>
      <c r="O1082" s="19">
        <v>41</v>
      </c>
      <c r="P1082" s="20">
        <v>0</v>
      </c>
      <c r="Q1082" s="29">
        <v>0</v>
      </c>
      <c r="R1082" s="9" t="s">
        <v>180</v>
      </c>
    </row>
    <row r="1083" spans="1:18" ht="12" customHeight="1" x14ac:dyDescent="0.25">
      <c r="A1083" s="14"/>
      <c r="B1083" s="15" t="s">
        <v>757</v>
      </c>
      <c r="C1083" s="29">
        <v>70000</v>
      </c>
      <c r="D1083" s="16">
        <v>46072</v>
      </c>
      <c r="E1083" s="15" t="s">
        <v>4</v>
      </c>
      <c r="F1083" s="29">
        <v>72415.009999999995</v>
      </c>
      <c r="G1083" s="29">
        <v>72415.009999999995</v>
      </c>
      <c r="H1083" s="29">
        <v>72415.009999999995</v>
      </c>
      <c r="I1083" s="15">
        <v>30</v>
      </c>
      <c r="J1083" s="15">
        <v>6</v>
      </c>
      <c r="K1083" s="30">
        <v>810000</v>
      </c>
      <c r="L1083" s="17">
        <v>46103</v>
      </c>
      <c r="M1083" s="18">
        <v>0</v>
      </c>
      <c r="N1083" s="16"/>
      <c r="O1083" s="19">
        <v>40</v>
      </c>
      <c r="P1083" s="20">
        <v>0</v>
      </c>
      <c r="Q1083" s="29">
        <v>0</v>
      </c>
      <c r="R1083" s="9" t="s">
        <v>180</v>
      </c>
    </row>
    <row r="1084" spans="1:18" ht="12" customHeight="1" x14ac:dyDescent="0.25">
      <c r="A1084" s="14"/>
      <c r="B1084" s="15" t="s">
        <v>758</v>
      </c>
      <c r="C1084" s="29">
        <v>190000</v>
      </c>
      <c r="D1084" s="16">
        <v>46072</v>
      </c>
      <c r="E1084" s="15" t="s">
        <v>2</v>
      </c>
      <c r="F1084" s="29">
        <v>0</v>
      </c>
      <c r="G1084" s="29">
        <v>0</v>
      </c>
      <c r="H1084" s="29">
        <v>196555</v>
      </c>
      <c r="I1084" s="15">
        <v>30</v>
      </c>
      <c r="J1084" s="15">
        <v>17</v>
      </c>
      <c r="K1084" s="30">
        <v>2400000</v>
      </c>
      <c r="L1084" s="17">
        <v>46103</v>
      </c>
      <c r="M1084" s="18">
        <v>196555</v>
      </c>
      <c r="N1084" s="16">
        <v>46107</v>
      </c>
      <c r="O1084" s="19"/>
      <c r="P1084" s="20">
        <v>6555</v>
      </c>
      <c r="Q1084" s="29">
        <v>190000</v>
      </c>
      <c r="R1084" s="9" t="s">
        <v>180</v>
      </c>
    </row>
    <row r="1085" spans="1:18" ht="12" customHeight="1" x14ac:dyDescent="0.25">
      <c r="A1085" s="14"/>
      <c r="B1085" s="15" t="s">
        <v>759</v>
      </c>
      <c r="C1085" s="29">
        <v>190000</v>
      </c>
      <c r="D1085" s="16">
        <v>46072</v>
      </c>
      <c r="E1085" s="15" t="s">
        <v>2</v>
      </c>
      <c r="F1085" s="29">
        <v>0</v>
      </c>
      <c r="G1085" s="29">
        <v>0</v>
      </c>
      <c r="H1085" s="29">
        <v>196555</v>
      </c>
      <c r="I1085" s="15">
        <v>30</v>
      </c>
      <c r="J1085" s="15">
        <v>17</v>
      </c>
      <c r="K1085" s="30">
        <v>2400000</v>
      </c>
      <c r="L1085" s="17">
        <v>46103</v>
      </c>
      <c r="M1085" s="18">
        <v>196555</v>
      </c>
      <c r="N1085" s="16">
        <v>46107</v>
      </c>
      <c r="O1085" s="19"/>
      <c r="P1085" s="20">
        <v>6555</v>
      </c>
      <c r="Q1085" s="29">
        <v>190000</v>
      </c>
      <c r="R1085" s="9" t="s">
        <v>180</v>
      </c>
    </row>
    <row r="1086" spans="1:18" ht="12" customHeight="1" x14ac:dyDescent="0.25">
      <c r="A1086" s="14"/>
      <c r="B1086" s="15" t="s">
        <v>760</v>
      </c>
      <c r="C1086" s="29">
        <v>270000</v>
      </c>
      <c r="D1086" s="16">
        <v>46072</v>
      </c>
      <c r="E1086" s="15" t="s">
        <v>2</v>
      </c>
      <c r="F1086" s="29">
        <v>0</v>
      </c>
      <c r="G1086" s="29">
        <v>0</v>
      </c>
      <c r="H1086" s="29">
        <v>279315</v>
      </c>
      <c r="I1086" s="15">
        <v>30</v>
      </c>
      <c r="J1086" s="15">
        <v>12</v>
      </c>
      <c r="K1086" s="30">
        <v>1196000</v>
      </c>
      <c r="L1086" s="17">
        <v>46103</v>
      </c>
      <c r="M1086" s="18">
        <v>279315</v>
      </c>
      <c r="N1086" s="16">
        <v>46110</v>
      </c>
      <c r="O1086" s="19"/>
      <c r="P1086" s="20">
        <v>9315</v>
      </c>
      <c r="Q1086" s="29">
        <v>270000</v>
      </c>
      <c r="R1086" s="9" t="s">
        <v>180</v>
      </c>
    </row>
    <row r="1087" spans="1:18" ht="12" customHeight="1" x14ac:dyDescent="0.25">
      <c r="A1087" s="14"/>
      <c r="B1087" s="15" t="s">
        <v>761</v>
      </c>
      <c r="C1087" s="29">
        <v>63000</v>
      </c>
      <c r="D1087" s="16">
        <v>46072</v>
      </c>
      <c r="E1087" s="15" t="s">
        <v>2</v>
      </c>
      <c r="F1087" s="29">
        <v>0</v>
      </c>
      <c r="G1087" s="29">
        <v>0</v>
      </c>
      <c r="H1087" s="29">
        <v>65205</v>
      </c>
      <c r="I1087" s="15">
        <v>30</v>
      </c>
      <c r="J1087" s="15">
        <v>139</v>
      </c>
      <c r="K1087" s="30">
        <v>322000</v>
      </c>
      <c r="L1087" s="17">
        <v>46103</v>
      </c>
      <c r="M1087" s="18">
        <v>65205</v>
      </c>
      <c r="N1087" s="16">
        <v>46106</v>
      </c>
      <c r="O1087" s="19"/>
      <c r="P1087" s="20">
        <v>2205</v>
      </c>
      <c r="Q1087" s="29">
        <v>63000</v>
      </c>
      <c r="R1087" s="9" t="s">
        <v>180</v>
      </c>
    </row>
    <row r="1088" spans="1:18" ht="12" customHeight="1" x14ac:dyDescent="0.25">
      <c r="A1088" s="14"/>
      <c r="B1088" s="15" t="s">
        <v>762</v>
      </c>
      <c r="C1088" s="29">
        <v>14088</v>
      </c>
      <c r="D1088" s="16">
        <v>46072</v>
      </c>
      <c r="E1088" s="15" t="s">
        <v>2</v>
      </c>
      <c r="F1088" s="29">
        <v>0</v>
      </c>
      <c r="G1088" s="29">
        <v>0</v>
      </c>
      <c r="H1088" s="29">
        <v>14574.52</v>
      </c>
      <c r="I1088" s="15">
        <v>30</v>
      </c>
      <c r="J1088" s="15">
        <v>159</v>
      </c>
      <c r="K1088" s="30">
        <v>129000</v>
      </c>
      <c r="L1088" s="17">
        <v>46103</v>
      </c>
      <c r="M1088" s="18">
        <v>14575</v>
      </c>
      <c r="N1088" s="16">
        <v>46110</v>
      </c>
      <c r="O1088" s="19"/>
      <c r="P1088" s="20">
        <v>486.53</v>
      </c>
      <c r="Q1088" s="29">
        <v>14088.47</v>
      </c>
      <c r="R1088" s="9" t="s">
        <v>180</v>
      </c>
    </row>
    <row r="1089" spans="1:18" ht="12" customHeight="1" x14ac:dyDescent="0.25">
      <c r="A1089" s="14"/>
      <c r="B1089" s="15" t="s">
        <v>763</v>
      </c>
      <c r="C1089" s="29">
        <v>600000</v>
      </c>
      <c r="D1089" s="16">
        <v>46072</v>
      </c>
      <c r="E1089" s="15" t="s">
        <v>3</v>
      </c>
      <c r="F1089" s="29">
        <v>662100</v>
      </c>
      <c r="G1089" s="29">
        <v>0</v>
      </c>
      <c r="H1089" s="29">
        <v>662100</v>
      </c>
      <c r="I1089" s="15">
        <v>90</v>
      </c>
      <c r="J1089" s="15">
        <v>166</v>
      </c>
      <c r="K1089" s="30">
        <v>1330000</v>
      </c>
      <c r="L1089" s="17">
        <v>46162</v>
      </c>
      <c r="M1089" s="18">
        <v>0</v>
      </c>
      <c r="N1089" s="16"/>
      <c r="O1089" s="19">
        <v>40</v>
      </c>
      <c r="P1089" s="20">
        <v>0</v>
      </c>
      <c r="Q1089" s="29">
        <v>0</v>
      </c>
      <c r="R1089" s="9" t="s">
        <v>180</v>
      </c>
    </row>
    <row r="1090" spans="1:18" ht="12" customHeight="1" x14ac:dyDescent="0.25">
      <c r="A1090" s="14"/>
      <c r="B1090" s="15" t="s">
        <v>764</v>
      </c>
      <c r="C1090" s="29">
        <v>125000</v>
      </c>
      <c r="D1090" s="16">
        <v>46072</v>
      </c>
      <c r="E1090" s="15" t="s">
        <v>2</v>
      </c>
      <c r="F1090" s="29">
        <v>0</v>
      </c>
      <c r="G1090" s="29">
        <v>0</v>
      </c>
      <c r="H1090" s="29">
        <v>129311.57</v>
      </c>
      <c r="I1090" s="15">
        <v>30</v>
      </c>
      <c r="J1090" s="15">
        <v>211</v>
      </c>
      <c r="K1090" s="30">
        <v>130000</v>
      </c>
      <c r="L1090" s="17">
        <v>46103</v>
      </c>
      <c r="M1090" s="18">
        <v>129328.88</v>
      </c>
      <c r="N1090" s="16">
        <v>46110</v>
      </c>
      <c r="O1090" s="19"/>
      <c r="P1090" s="20">
        <v>4312.1499999999996</v>
      </c>
      <c r="Q1090" s="29">
        <v>125016.73</v>
      </c>
      <c r="R1090" s="9" t="s">
        <v>180</v>
      </c>
    </row>
    <row r="1091" spans="1:18" ht="12" customHeight="1" x14ac:dyDescent="0.25">
      <c r="A1091" s="14"/>
      <c r="B1091" s="15">
        <v>2132</v>
      </c>
      <c r="C1091" s="29">
        <v>9446.41</v>
      </c>
      <c r="D1091" s="16">
        <v>46072</v>
      </c>
      <c r="E1091" s="15" t="s">
        <v>4</v>
      </c>
      <c r="F1091" s="29">
        <v>9772.41</v>
      </c>
      <c r="G1091" s="29">
        <v>9772.41</v>
      </c>
      <c r="H1091" s="29">
        <v>9772.41</v>
      </c>
      <c r="I1091" s="15">
        <v>30</v>
      </c>
      <c r="J1091" s="15">
        <v>170</v>
      </c>
      <c r="K1091" s="30">
        <v>10000</v>
      </c>
      <c r="L1091" s="17">
        <v>46103</v>
      </c>
      <c r="M1091" s="18">
        <v>0</v>
      </c>
      <c r="N1091" s="16"/>
      <c r="O1091" s="19">
        <v>40</v>
      </c>
      <c r="P1091" s="20">
        <v>0</v>
      </c>
      <c r="Q1091" s="29">
        <v>0</v>
      </c>
      <c r="R1091" s="9" t="s">
        <v>180</v>
      </c>
    </row>
    <row r="1092" spans="1:18" ht="12" customHeight="1" x14ac:dyDescent="0.25">
      <c r="A1092" s="14"/>
      <c r="B1092" s="15" t="s">
        <v>765</v>
      </c>
      <c r="C1092" s="29">
        <v>60700</v>
      </c>
      <c r="D1092" s="16">
        <v>46076</v>
      </c>
      <c r="E1092" s="15" t="s">
        <v>3</v>
      </c>
      <c r="F1092" s="29">
        <v>64008</v>
      </c>
      <c r="G1092" s="29">
        <v>0</v>
      </c>
      <c r="H1092" s="29">
        <v>64008</v>
      </c>
      <c r="I1092" s="15">
        <v>45</v>
      </c>
      <c r="J1092" s="15">
        <v>88</v>
      </c>
      <c r="K1092" s="30">
        <v>64000</v>
      </c>
      <c r="L1092" s="17">
        <v>46121</v>
      </c>
      <c r="M1092" s="18">
        <v>0</v>
      </c>
      <c r="N1092" s="16"/>
      <c r="O1092" s="19">
        <v>36</v>
      </c>
      <c r="P1092" s="20">
        <v>0</v>
      </c>
      <c r="Q1092" s="29">
        <v>0</v>
      </c>
      <c r="R1092" s="9" t="s">
        <v>180</v>
      </c>
    </row>
    <row r="1093" spans="1:18" ht="12" customHeight="1" x14ac:dyDescent="0.25">
      <c r="A1093" s="14"/>
      <c r="B1093" s="15" t="s">
        <v>768</v>
      </c>
      <c r="C1093" s="29">
        <v>225000</v>
      </c>
      <c r="D1093" s="16">
        <v>46077</v>
      </c>
      <c r="E1093" s="15" t="s">
        <v>2</v>
      </c>
      <c r="F1093" s="29">
        <v>0</v>
      </c>
      <c r="G1093" s="29">
        <v>0</v>
      </c>
      <c r="H1093" s="29">
        <v>232762.5</v>
      </c>
      <c r="I1093" s="15">
        <v>30</v>
      </c>
      <c r="J1093" s="15">
        <v>17</v>
      </c>
      <c r="K1093" s="30">
        <v>2400000</v>
      </c>
      <c r="L1093" s="17">
        <v>46107</v>
      </c>
      <c r="M1093" s="18">
        <v>232762</v>
      </c>
      <c r="N1093" s="16">
        <v>46110</v>
      </c>
      <c r="O1093" s="19"/>
      <c r="P1093" s="20">
        <v>7762.48</v>
      </c>
      <c r="Q1093" s="29">
        <v>224999.52</v>
      </c>
      <c r="R1093" s="9" t="s">
        <v>180</v>
      </c>
    </row>
    <row r="1094" spans="1:18" ht="12" customHeight="1" x14ac:dyDescent="0.25">
      <c r="A1094" s="14"/>
      <c r="B1094" s="15" t="s">
        <v>769</v>
      </c>
      <c r="C1094" s="29">
        <v>180000</v>
      </c>
      <c r="D1094" s="16">
        <v>46077</v>
      </c>
      <c r="E1094" s="15" t="s">
        <v>2</v>
      </c>
      <c r="F1094" s="29">
        <v>0</v>
      </c>
      <c r="G1094" s="29">
        <v>0</v>
      </c>
      <c r="H1094" s="29">
        <v>186210</v>
      </c>
      <c r="I1094" s="15">
        <v>30</v>
      </c>
      <c r="J1094" s="15">
        <v>17</v>
      </c>
      <c r="K1094" s="30">
        <v>2400000</v>
      </c>
      <c r="L1094" s="17">
        <v>46107</v>
      </c>
      <c r="M1094" s="18">
        <v>186210</v>
      </c>
      <c r="N1094" s="16">
        <v>46110</v>
      </c>
      <c r="O1094" s="19"/>
      <c r="P1094" s="20">
        <v>6210</v>
      </c>
      <c r="Q1094" s="29">
        <v>180000</v>
      </c>
      <c r="R1094" s="9" t="s">
        <v>180</v>
      </c>
    </row>
    <row r="1095" spans="1:18" ht="12" customHeight="1" x14ac:dyDescent="0.25">
      <c r="A1095" s="14"/>
      <c r="B1095" s="15" t="s">
        <v>770</v>
      </c>
      <c r="C1095" s="29">
        <v>64500</v>
      </c>
      <c r="D1095" s="16">
        <v>46077</v>
      </c>
      <c r="E1095" s="15" t="s">
        <v>3</v>
      </c>
      <c r="F1095" s="29">
        <v>66719.990000000005</v>
      </c>
      <c r="G1095" s="29">
        <v>0</v>
      </c>
      <c r="H1095" s="29">
        <v>66719.990000000005</v>
      </c>
      <c r="I1095" s="15">
        <v>30</v>
      </c>
      <c r="J1095" s="15">
        <v>76</v>
      </c>
      <c r="K1095" s="30">
        <v>221000</v>
      </c>
      <c r="L1095" s="17">
        <v>46107</v>
      </c>
      <c r="M1095" s="18">
        <v>0</v>
      </c>
      <c r="N1095" s="16"/>
      <c r="O1095" s="19">
        <v>35</v>
      </c>
      <c r="P1095" s="20">
        <v>0</v>
      </c>
      <c r="Q1095" s="29">
        <v>0</v>
      </c>
      <c r="R1095" s="9" t="s">
        <v>180</v>
      </c>
    </row>
    <row r="1096" spans="1:18" ht="12" customHeight="1" x14ac:dyDescent="0.25">
      <c r="A1096" s="14"/>
      <c r="B1096" s="15" t="s">
        <v>771</v>
      </c>
      <c r="C1096" s="29">
        <v>100000</v>
      </c>
      <c r="D1096" s="16">
        <v>46077</v>
      </c>
      <c r="E1096" s="15" t="s">
        <v>3</v>
      </c>
      <c r="F1096" s="29">
        <v>103449.99</v>
      </c>
      <c r="G1096" s="29">
        <v>0</v>
      </c>
      <c r="H1096" s="29">
        <v>103449.99</v>
      </c>
      <c r="I1096" s="15">
        <v>30</v>
      </c>
      <c r="J1096" s="15">
        <v>76</v>
      </c>
      <c r="K1096" s="30">
        <v>221000</v>
      </c>
      <c r="L1096" s="17">
        <v>46107</v>
      </c>
      <c r="M1096" s="18">
        <v>0</v>
      </c>
      <c r="N1096" s="16"/>
      <c r="O1096" s="19">
        <v>35</v>
      </c>
      <c r="P1096" s="20">
        <v>0</v>
      </c>
      <c r="Q1096" s="29">
        <v>0</v>
      </c>
      <c r="R1096" s="9" t="s">
        <v>180</v>
      </c>
    </row>
    <row r="1097" spans="1:18" ht="12" customHeight="1" x14ac:dyDescent="0.25">
      <c r="A1097" s="14"/>
      <c r="B1097" s="15" t="s">
        <v>766</v>
      </c>
      <c r="C1097" s="29">
        <v>34001</v>
      </c>
      <c r="D1097" s="16">
        <v>46077</v>
      </c>
      <c r="E1097" s="15" t="s">
        <v>3</v>
      </c>
      <c r="F1097" s="29">
        <v>37519.14</v>
      </c>
      <c r="G1097" s="29">
        <v>0</v>
      </c>
      <c r="H1097" s="29">
        <v>37519.14</v>
      </c>
      <c r="I1097" s="15">
        <v>90</v>
      </c>
      <c r="J1097" s="15">
        <v>60</v>
      </c>
      <c r="K1097" s="30">
        <v>450000</v>
      </c>
      <c r="L1097" s="17">
        <v>46167</v>
      </c>
      <c r="M1097" s="18">
        <v>0</v>
      </c>
      <c r="N1097" s="16"/>
      <c r="O1097" s="19">
        <v>35</v>
      </c>
      <c r="P1097" s="20">
        <v>0</v>
      </c>
      <c r="Q1097" s="29">
        <v>0</v>
      </c>
      <c r="R1097" s="9" t="s">
        <v>180</v>
      </c>
    </row>
    <row r="1098" spans="1:18" ht="12" customHeight="1" x14ac:dyDescent="0.25">
      <c r="A1098" s="14"/>
      <c r="B1098" s="15" t="s">
        <v>767</v>
      </c>
      <c r="C1098" s="29">
        <v>67022</v>
      </c>
      <c r="D1098" s="16">
        <v>46077</v>
      </c>
      <c r="E1098" s="15" t="s">
        <v>2</v>
      </c>
      <c r="F1098" s="29">
        <v>0</v>
      </c>
      <c r="G1098" s="29">
        <v>0</v>
      </c>
      <c r="H1098" s="29">
        <v>69334.14</v>
      </c>
      <c r="I1098" s="15">
        <v>30</v>
      </c>
      <c r="J1098" s="15">
        <v>164</v>
      </c>
      <c r="K1098" s="30">
        <v>200000</v>
      </c>
      <c r="L1098" s="17">
        <v>46107</v>
      </c>
      <c r="M1098" s="18">
        <v>69334</v>
      </c>
      <c r="N1098" s="16">
        <v>46106</v>
      </c>
      <c r="O1098" s="19"/>
      <c r="P1098" s="20">
        <v>2312.14</v>
      </c>
      <c r="Q1098" s="29">
        <v>67021.86</v>
      </c>
      <c r="R1098" s="9" t="s">
        <v>180</v>
      </c>
    </row>
    <row r="1099" spans="1:18" ht="12" customHeight="1" x14ac:dyDescent="0.25">
      <c r="A1099" s="14"/>
      <c r="B1099" s="15" t="s">
        <v>772</v>
      </c>
      <c r="C1099" s="29">
        <v>2530</v>
      </c>
      <c r="D1099" s="16">
        <v>46077</v>
      </c>
      <c r="E1099" s="15" t="s">
        <v>3</v>
      </c>
      <c r="F1099" s="29">
        <v>2704.57</v>
      </c>
      <c r="G1099" s="29">
        <v>0</v>
      </c>
      <c r="H1099" s="29">
        <v>2704.57</v>
      </c>
      <c r="I1099" s="15">
        <v>60</v>
      </c>
      <c r="J1099" s="15">
        <v>236</v>
      </c>
      <c r="K1099" s="30">
        <v>43478</v>
      </c>
      <c r="L1099" s="17">
        <v>46138</v>
      </c>
      <c r="M1099" s="18">
        <v>0</v>
      </c>
      <c r="N1099" s="16"/>
      <c r="O1099" s="19">
        <v>35</v>
      </c>
      <c r="P1099" s="20">
        <v>0</v>
      </c>
      <c r="Q1099" s="29">
        <v>0</v>
      </c>
      <c r="R1099" s="9" t="s">
        <v>180</v>
      </c>
    </row>
    <row r="1100" spans="1:18" ht="12" customHeight="1" x14ac:dyDescent="0.25">
      <c r="A1100" s="14"/>
      <c r="B1100" s="15" t="s">
        <v>773</v>
      </c>
      <c r="C1100" s="29">
        <v>289981</v>
      </c>
      <c r="D1100" s="16">
        <v>46077</v>
      </c>
      <c r="E1100" s="15" t="s">
        <v>3</v>
      </c>
      <c r="F1100" s="29">
        <v>309988.61</v>
      </c>
      <c r="G1100" s="29">
        <v>0</v>
      </c>
      <c r="H1100" s="29">
        <v>309988.61</v>
      </c>
      <c r="I1100" s="15">
        <v>60</v>
      </c>
      <c r="J1100" s="15">
        <v>226</v>
      </c>
      <c r="K1100" s="30">
        <v>310000</v>
      </c>
      <c r="L1100" s="17">
        <v>46138</v>
      </c>
      <c r="M1100" s="18">
        <v>0</v>
      </c>
      <c r="N1100" s="16"/>
      <c r="O1100" s="19">
        <v>35</v>
      </c>
      <c r="P1100" s="20">
        <v>0</v>
      </c>
      <c r="Q1100" s="29">
        <v>0</v>
      </c>
      <c r="R1100" s="9" t="s">
        <v>180</v>
      </c>
    </row>
    <row r="1101" spans="1:18" ht="12" customHeight="1" x14ac:dyDescent="0.25">
      <c r="A1101" s="14"/>
      <c r="B1101" s="15" t="s">
        <v>774</v>
      </c>
      <c r="C1101" s="29">
        <v>84000</v>
      </c>
      <c r="D1101" s="16">
        <v>46077</v>
      </c>
      <c r="E1101" s="15" t="s">
        <v>3</v>
      </c>
      <c r="F1101" s="29">
        <v>86898</v>
      </c>
      <c r="G1101" s="29">
        <v>0</v>
      </c>
      <c r="H1101" s="29">
        <v>86898</v>
      </c>
      <c r="I1101" s="15">
        <v>30</v>
      </c>
      <c r="J1101" s="15">
        <v>282</v>
      </c>
      <c r="K1101" s="30">
        <v>87000</v>
      </c>
      <c r="L1101" s="17">
        <v>46107</v>
      </c>
      <c r="M1101" s="18">
        <v>0</v>
      </c>
      <c r="N1101" s="16"/>
      <c r="O1101" s="19">
        <v>35</v>
      </c>
      <c r="P1101" s="20">
        <v>0</v>
      </c>
      <c r="Q1101" s="29">
        <v>0</v>
      </c>
      <c r="R1101" s="9" t="s">
        <v>180</v>
      </c>
    </row>
    <row r="1102" spans="1:18" ht="12" customHeight="1" x14ac:dyDescent="0.25">
      <c r="A1102" s="14"/>
      <c r="B1102" s="15">
        <v>2134</v>
      </c>
      <c r="C1102" s="29">
        <v>96498.78</v>
      </c>
      <c r="D1102" s="16">
        <v>46077</v>
      </c>
      <c r="E1102" s="15" t="s">
        <v>3</v>
      </c>
      <c r="F1102" s="29">
        <v>99827.78</v>
      </c>
      <c r="G1102" s="29">
        <v>0</v>
      </c>
      <c r="H1102" s="29">
        <v>99827.78</v>
      </c>
      <c r="I1102" s="15">
        <v>30</v>
      </c>
      <c r="J1102" s="15">
        <v>178</v>
      </c>
      <c r="K1102" s="30">
        <v>100000</v>
      </c>
      <c r="L1102" s="17">
        <v>46107</v>
      </c>
      <c r="M1102" s="18">
        <v>0</v>
      </c>
      <c r="N1102" s="16"/>
      <c r="O1102" s="19">
        <v>35</v>
      </c>
      <c r="P1102" s="20">
        <v>0</v>
      </c>
      <c r="Q1102" s="29">
        <v>0</v>
      </c>
      <c r="R1102" s="9" t="s">
        <v>180</v>
      </c>
    </row>
    <row r="1103" spans="1:18" ht="12" customHeight="1" x14ac:dyDescent="0.25">
      <c r="A1103" s="14"/>
      <c r="B1103" s="15" t="s">
        <v>775</v>
      </c>
      <c r="C1103" s="29">
        <v>110000</v>
      </c>
      <c r="D1103" s="16">
        <v>46078</v>
      </c>
      <c r="E1103" s="15" t="s">
        <v>2</v>
      </c>
      <c r="F1103" s="29">
        <v>0</v>
      </c>
      <c r="G1103" s="29">
        <v>0</v>
      </c>
      <c r="H1103" s="29">
        <v>113780</v>
      </c>
      <c r="I1103" s="15">
        <v>30</v>
      </c>
      <c r="J1103" s="15">
        <v>15</v>
      </c>
      <c r="K1103" s="30">
        <v>2300000</v>
      </c>
      <c r="L1103" s="17">
        <v>46111</v>
      </c>
      <c r="M1103" s="18">
        <v>113780</v>
      </c>
      <c r="N1103" s="16">
        <v>46112</v>
      </c>
      <c r="O1103" s="19"/>
      <c r="P1103" s="20">
        <v>3780</v>
      </c>
      <c r="Q1103" s="29">
        <v>110000</v>
      </c>
      <c r="R1103" s="9" t="s">
        <v>180</v>
      </c>
    </row>
    <row r="1104" spans="1:18" ht="12" customHeight="1" x14ac:dyDescent="0.25">
      <c r="A1104" s="14"/>
      <c r="B1104" s="15" t="s">
        <v>776</v>
      </c>
      <c r="C1104" s="29">
        <v>450000</v>
      </c>
      <c r="D1104" s="16">
        <v>46078</v>
      </c>
      <c r="E1104" s="15" t="s">
        <v>2</v>
      </c>
      <c r="F1104" s="29">
        <v>0</v>
      </c>
      <c r="G1104" s="29">
        <v>0</v>
      </c>
      <c r="H1104" s="29">
        <v>465500.07</v>
      </c>
      <c r="I1104" s="15">
        <v>30</v>
      </c>
      <c r="J1104" s="15">
        <v>15</v>
      </c>
      <c r="K1104" s="30">
        <v>2300000</v>
      </c>
      <c r="L1104" s="17">
        <v>46111</v>
      </c>
      <c r="M1104" s="18">
        <v>465500</v>
      </c>
      <c r="N1104" s="16">
        <v>46110</v>
      </c>
      <c r="O1104" s="19"/>
      <c r="P1104" s="20">
        <v>15500.07</v>
      </c>
      <c r="Q1104" s="29">
        <v>449999.93</v>
      </c>
      <c r="R1104" s="9" t="s">
        <v>180</v>
      </c>
    </row>
    <row r="1105" spans="1:18" ht="12" customHeight="1" x14ac:dyDescent="0.25">
      <c r="A1105" s="14"/>
      <c r="B1105" s="15" t="s">
        <v>777</v>
      </c>
      <c r="C1105" s="29">
        <v>250000</v>
      </c>
      <c r="D1105" s="16">
        <v>46078</v>
      </c>
      <c r="E1105" s="15" t="s">
        <v>2</v>
      </c>
      <c r="F1105" s="29">
        <v>0</v>
      </c>
      <c r="G1105" s="29">
        <v>0</v>
      </c>
      <c r="H1105" s="29">
        <v>258600</v>
      </c>
      <c r="I1105" s="15">
        <v>30</v>
      </c>
      <c r="J1105" s="15">
        <v>15</v>
      </c>
      <c r="K1105" s="30">
        <v>2300000</v>
      </c>
      <c r="L1105" s="17">
        <v>46110</v>
      </c>
      <c r="M1105" s="18">
        <v>258600</v>
      </c>
      <c r="N1105" s="16">
        <v>46110</v>
      </c>
      <c r="O1105" s="19"/>
      <c r="P1105" s="20">
        <v>8600</v>
      </c>
      <c r="Q1105" s="29">
        <v>250000</v>
      </c>
      <c r="R1105" s="9" t="s">
        <v>180</v>
      </c>
    </row>
    <row r="1106" spans="1:18" ht="12" customHeight="1" x14ac:dyDescent="0.25">
      <c r="A1106" s="14"/>
      <c r="B1106" s="15" t="s">
        <v>778</v>
      </c>
      <c r="C1106" s="29">
        <v>200000</v>
      </c>
      <c r="D1106" s="16">
        <v>46078</v>
      </c>
      <c r="E1106" s="15" t="s">
        <v>2</v>
      </c>
      <c r="F1106" s="29">
        <v>0</v>
      </c>
      <c r="G1106" s="29">
        <v>0</v>
      </c>
      <c r="H1106" s="29">
        <v>206900</v>
      </c>
      <c r="I1106" s="15">
        <v>30</v>
      </c>
      <c r="J1106" s="15">
        <v>17</v>
      </c>
      <c r="K1106" s="30">
        <v>2400000</v>
      </c>
      <c r="L1106" s="17">
        <v>46110</v>
      </c>
      <c r="M1106" s="18">
        <v>206900</v>
      </c>
      <c r="N1106" s="16">
        <v>46111</v>
      </c>
      <c r="O1106" s="19"/>
      <c r="P1106" s="20">
        <v>6900</v>
      </c>
      <c r="Q1106" s="29">
        <v>200000</v>
      </c>
      <c r="R1106" s="9" t="s">
        <v>180</v>
      </c>
    </row>
    <row r="1107" spans="1:18" ht="12" customHeight="1" x14ac:dyDescent="0.25">
      <c r="A1107" s="14"/>
      <c r="B1107" s="15" t="s">
        <v>779</v>
      </c>
      <c r="C1107" s="29">
        <v>200000</v>
      </c>
      <c r="D1107" s="16">
        <v>46078</v>
      </c>
      <c r="E1107" s="15" t="s">
        <v>2</v>
      </c>
      <c r="F1107" s="29">
        <v>0</v>
      </c>
      <c r="G1107" s="29">
        <v>0</v>
      </c>
      <c r="H1107" s="29">
        <v>203459.96</v>
      </c>
      <c r="I1107" s="15">
        <v>10</v>
      </c>
      <c r="J1107" s="15">
        <v>17</v>
      </c>
      <c r="K1107" s="30">
        <v>2400000</v>
      </c>
      <c r="L1107" s="17">
        <v>46089</v>
      </c>
      <c r="M1107" s="18">
        <v>203459</v>
      </c>
      <c r="N1107" s="16">
        <v>46090</v>
      </c>
      <c r="O1107" s="19"/>
      <c r="P1107" s="20">
        <v>3459.94</v>
      </c>
      <c r="Q1107" s="29">
        <v>199999.06</v>
      </c>
      <c r="R1107" s="9" t="s">
        <v>180</v>
      </c>
    </row>
    <row r="1108" spans="1:18" ht="12" customHeight="1" x14ac:dyDescent="0.25">
      <c r="A1108" s="14"/>
      <c r="B1108" s="15" t="s">
        <v>780</v>
      </c>
      <c r="C1108" s="29">
        <v>46865</v>
      </c>
      <c r="D1108" s="16">
        <v>46078</v>
      </c>
      <c r="E1108" s="15" t="s">
        <v>2</v>
      </c>
      <c r="F1108" s="29">
        <v>0</v>
      </c>
      <c r="G1108" s="29">
        <v>0</v>
      </c>
      <c r="H1108" s="29">
        <v>48489</v>
      </c>
      <c r="I1108" s="15">
        <v>30</v>
      </c>
      <c r="J1108" s="15">
        <v>22</v>
      </c>
      <c r="K1108" s="30">
        <v>200000</v>
      </c>
      <c r="L1108" s="17">
        <v>46110</v>
      </c>
      <c r="M1108" s="18">
        <v>48489</v>
      </c>
      <c r="N1108" s="16">
        <v>46110</v>
      </c>
      <c r="O1108" s="19"/>
      <c r="P1108" s="20">
        <v>1624</v>
      </c>
      <c r="Q1108" s="29">
        <v>46865</v>
      </c>
      <c r="R1108" s="9" t="s">
        <v>180</v>
      </c>
    </row>
    <row r="1109" spans="1:18" ht="12" customHeight="1" x14ac:dyDescent="0.25">
      <c r="A1109" s="14"/>
      <c r="B1109" s="15" t="s">
        <v>781</v>
      </c>
      <c r="C1109" s="29">
        <v>96000</v>
      </c>
      <c r="D1109" s="16">
        <v>46078</v>
      </c>
      <c r="E1109" s="15" t="s">
        <v>3</v>
      </c>
      <c r="F1109" s="29">
        <v>74360</v>
      </c>
      <c r="G1109" s="29">
        <v>0</v>
      </c>
      <c r="H1109" s="29">
        <v>99360</v>
      </c>
      <c r="I1109" s="15">
        <v>30</v>
      </c>
      <c r="J1109" s="15">
        <v>90</v>
      </c>
      <c r="K1109" s="30">
        <v>100000</v>
      </c>
      <c r="L1109" s="17">
        <v>46110</v>
      </c>
      <c r="M1109" s="18">
        <v>25000</v>
      </c>
      <c r="N1109" s="16">
        <v>46084</v>
      </c>
      <c r="O1109" s="19">
        <v>34</v>
      </c>
      <c r="P1109" s="20">
        <v>845.41</v>
      </c>
      <c r="Q1109" s="29">
        <v>24154.59</v>
      </c>
      <c r="R1109" s="9" t="s">
        <v>180</v>
      </c>
    </row>
    <row r="1110" spans="1:18" ht="12" customHeight="1" x14ac:dyDescent="0.25">
      <c r="A1110" s="14"/>
      <c r="B1110" s="15" t="s">
        <v>782</v>
      </c>
      <c r="C1110" s="29">
        <v>80000</v>
      </c>
      <c r="D1110" s="16">
        <v>46078</v>
      </c>
      <c r="E1110" s="15" t="s">
        <v>3</v>
      </c>
      <c r="F1110" s="29">
        <v>18768</v>
      </c>
      <c r="G1110" s="29">
        <v>0</v>
      </c>
      <c r="H1110" s="29">
        <v>82768</v>
      </c>
      <c r="I1110" s="15">
        <v>30</v>
      </c>
      <c r="J1110" s="15">
        <v>149</v>
      </c>
      <c r="K1110" s="30">
        <v>87000</v>
      </c>
      <c r="L1110" s="17">
        <v>46111</v>
      </c>
      <c r="M1110" s="18">
        <v>64000</v>
      </c>
      <c r="N1110" s="16">
        <v>46114</v>
      </c>
      <c r="O1110" s="19">
        <v>34</v>
      </c>
      <c r="P1110" s="20">
        <v>2140.34</v>
      </c>
      <c r="Q1110" s="29">
        <v>61859.66</v>
      </c>
      <c r="R1110" s="9" t="s">
        <v>180</v>
      </c>
    </row>
    <row r="1111" spans="1:18" ht="12" customHeight="1" x14ac:dyDescent="0.25">
      <c r="A1111" s="14"/>
      <c r="B1111" s="15" t="s">
        <v>783</v>
      </c>
      <c r="C1111" s="29">
        <v>47472</v>
      </c>
      <c r="D1111" s="16">
        <v>46078</v>
      </c>
      <c r="E1111" s="15" t="s">
        <v>2</v>
      </c>
      <c r="F1111" s="29">
        <v>0</v>
      </c>
      <c r="G1111" s="29">
        <v>0</v>
      </c>
      <c r="H1111" s="29">
        <v>49109.78</v>
      </c>
      <c r="I1111" s="15">
        <v>30</v>
      </c>
      <c r="J1111" s="15">
        <v>164</v>
      </c>
      <c r="K1111" s="30">
        <v>200000</v>
      </c>
      <c r="L1111" s="17">
        <v>46110</v>
      </c>
      <c r="M1111" s="18">
        <v>49110</v>
      </c>
      <c r="N1111" s="16">
        <v>46110</v>
      </c>
      <c r="O1111" s="19"/>
      <c r="P1111" s="20">
        <v>1637.79</v>
      </c>
      <c r="Q1111" s="29">
        <v>47472.21</v>
      </c>
      <c r="R1111" s="9" t="s">
        <v>180</v>
      </c>
    </row>
    <row r="1112" spans="1:18" ht="12" customHeight="1" x14ac:dyDescent="0.25">
      <c r="A1112" s="14"/>
      <c r="B1112" s="15" t="s">
        <v>784</v>
      </c>
      <c r="C1112" s="29">
        <v>35860</v>
      </c>
      <c r="D1112" s="16">
        <v>46078</v>
      </c>
      <c r="E1112" s="15" t="s">
        <v>3</v>
      </c>
      <c r="F1112" s="29">
        <v>39571.51</v>
      </c>
      <c r="G1112" s="29">
        <v>0</v>
      </c>
      <c r="H1112" s="29">
        <v>39571.51</v>
      </c>
      <c r="I1112" s="15">
        <v>90</v>
      </c>
      <c r="J1112" s="15">
        <v>286</v>
      </c>
      <c r="K1112" s="30">
        <v>40000</v>
      </c>
      <c r="L1112" s="17">
        <v>46168</v>
      </c>
      <c r="M1112" s="18">
        <v>0</v>
      </c>
      <c r="N1112" s="16"/>
      <c r="O1112" s="19">
        <v>34</v>
      </c>
      <c r="P1112" s="20">
        <v>0</v>
      </c>
      <c r="Q1112" s="29">
        <v>0</v>
      </c>
      <c r="R1112" s="9" t="s">
        <v>180</v>
      </c>
    </row>
    <row r="1113" spans="1:18" ht="12" customHeight="1" x14ac:dyDescent="0.25">
      <c r="A1113" s="14"/>
      <c r="B1113" s="15" t="s">
        <v>785</v>
      </c>
      <c r="C1113" s="29">
        <v>90000</v>
      </c>
      <c r="D1113" s="16">
        <v>46078</v>
      </c>
      <c r="E1113" s="15" t="s">
        <v>3</v>
      </c>
      <c r="F1113" s="29">
        <v>99315.17</v>
      </c>
      <c r="G1113" s="29">
        <v>0</v>
      </c>
      <c r="H1113" s="29">
        <v>99315.17</v>
      </c>
      <c r="I1113" s="15">
        <v>90</v>
      </c>
      <c r="J1113" s="15">
        <v>285</v>
      </c>
      <c r="K1113" s="30">
        <v>100000</v>
      </c>
      <c r="L1113" s="17">
        <v>46168</v>
      </c>
      <c r="M1113" s="18">
        <v>0</v>
      </c>
      <c r="N1113" s="16"/>
      <c r="O1113" s="19">
        <v>34</v>
      </c>
      <c r="P1113" s="20">
        <v>0</v>
      </c>
      <c r="Q1113" s="29">
        <v>0</v>
      </c>
      <c r="R1113" s="9" t="s">
        <v>180</v>
      </c>
    </row>
    <row r="1114" spans="1:18" ht="12" customHeight="1" x14ac:dyDescent="0.25">
      <c r="A1114" s="14"/>
      <c r="B1114" s="15" t="s">
        <v>786</v>
      </c>
      <c r="C1114" s="29">
        <v>120000</v>
      </c>
      <c r="D1114" s="16">
        <v>46079</v>
      </c>
      <c r="E1114" s="15" t="s">
        <v>2</v>
      </c>
      <c r="F1114" s="29">
        <v>0</v>
      </c>
      <c r="G1114" s="29">
        <v>0</v>
      </c>
      <c r="H1114" s="29">
        <v>124140</v>
      </c>
      <c r="I1114" s="15">
        <v>30</v>
      </c>
      <c r="J1114" s="15">
        <v>17</v>
      </c>
      <c r="K1114" s="30">
        <v>2400000</v>
      </c>
      <c r="L1114" s="17">
        <v>46110</v>
      </c>
      <c r="M1114" s="18">
        <v>124140</v>
      </c>
      <c r="N1114" s="16">
        <v>46111</v>
      </c>
      <c r="O1114" s="19"/>
      <c r="P1114" s="20">
        <v>4140</v>
      </c>
      <c r="Q1114" s="29">
        <v>120000</v>
      </c>
      <c r="R1114" s="9" t="s">
        <v>180</v>
      </c>
    </row>
    <row r="1115" spans="1:18" ht="12" customHeight="1" x14ac:dyDescent="0.25">
      <c r="A1115" s="14"/>
      <c r="B1115" s="15" t="s">
        <v>787</v>
      </c>
      <c r="C1115" s="29">
        <v>45000</v>
      </c>
      <c r="D1115" s="16">
        <v>46079</v>
      </c>
      <c r="E1115" s="15" t="s">
        <v>2</v>
      </c>
      <c r="F1115" s="29">
        <v>0</v>
      </c>
      <c r="G1115" s="29">
        <v>0</v>
      </c>
      <c r="H1115" s="29">
        <v>46575</v>
      </c>
      <c r="I1115" s="15">
        <v>30</v>
      </c>
      <c r="J1115" s="15">
        <v>139</v>
      </c>
      <c r="K1115" s="30">
        <v>322000</v>
      </c>
      <c r="L1115" s="17">
        <v>46110</v>
      </c>
      <c r="M1115" s="18">
        <v>46575</v>
      </c>
      <c r="N1115" s="16">
        <v>46112</v>
      </c>
      <c r="O1115" s="19"/>
      <c r="P1115" s="20">
        <v>1575</v>
      </c>
      <c r="Q1115" s="29">
        <v>45000</v>
      </c>
      <c r="R1115" s="9" t="s">
        <v>180</v>
      </c>
    </row>
    <row r="1116" spans="1:18" ht="12" customHeight="1" x14ac:dyDescent="0.25">
      <c r="A1116" s="14"/>
      <c r="B1116" s="15" t="s">
        <v>788</v>
      </c>
      <c r="C1116" s="29">
        <v>17078</v>
      </c>
      <c r="D1116" s="16">
        <v>46079</v>
      </c>
      <c r="E1116" s="15" t="s">
        <v>2</v>
      </c>
      <c r="F1116" s="29">
        <v>0</v>
      </c>
      <c r="G1116" s="29">
        <v>0</v>
      </c>
      <c r="H1116" s="29">
        <v>17669.52</v>
      </c>
      <c r="I1116" s="15">
        <v>30</v>
      </c>
      <c r="J1116" s="15">
        <v>159</v>
      </c>
      <c r="K1116" s="30">
        <v>129000</v>
      </c>
      <c r="L1116" s="17">
        <v>46110</v>
      </c>
      <c r="M1116" s="18">
        <v>17675</v>
      </c>
      <c r="N1116" s="16">
        <v>46110</v>
      </c>
      <c r="O1116" s="19"/>
      <c r="P1116" s="20">
        <v>591.70000000000005</v>
      </c>
      <c r="Q1116" s="29">
        <v>17083.3</v>
      </c>
      <c r="R1116" s="9" t="s">
        <v>180</v>
      </c>
    </row>
    <row r="1117" spans="1:18" ht="12" customHeight="1" x14ac:dyDescent="0.25">
      <c r="A1117" s="14"/>
      <c r="B1117" s="15" t="s">
        <v>789</v>
      </c>
      <c r="C1117" s="29">
        <v>0</v>
      </c>
      <c r="D1117" s="16">
        <v>46079</v>
      </c>
      <c r="E1117" s="15" t="s">
        <v>4</v>
      </c>
      <c r="F1117" s="29">
        <v>1426</v>
      </c>
      <c r="G1117" s="29">
        <v>1426</v>
      </c>
      <c r="H1117" s="29">
        <v>1426</v>
      </c>
      <c r="I1117" s="15">
        <v>0</v>
      </c>
      <c r="J1117" s="15">
        <v>173</v>
      </c>
      <c r="K1117" s="30">
        <v>62000</v>
      </c>
      <c r="L1117" s="17">
        <v>46079</v>
      </c>
      <c r="M1117" s="18">
        <v>0</v>
      </c>
      <c r="N1117" s="16"/>
      <c r="O1117" s="19">
        <v>33</v>
      </c>
      <c r="P1117" s="20">
        <v>0</v>
      </c>
      <c r="Q1117" s="29">
        <v>0</v>
      </c>
      <c r="R1117" s="9" t="s">
        <v>180</v>
      </c>
    </row>
    <row r="1118" spans="1:18" ht="12" customHeight="1" x14ac:dyDescent="0.25">
      <c r="A1118" s="14"/>
      <c r="B1118" s="15" t="s">
        <v>790</v>
      </c>
      <c r="C1118" s="29">
        <v>944201</v>
      </c>
      <c r="D1118" s="16">
        <v>46079</v>
      </c>
      <c r="E1118" s="15" t="s">
        <v>2</v>
      </c>
      <c r="F1118" s="29">
        <v>0</v>
      </c>
      <c r="G1118" s="29">
        <v>0</v>
      </c>
      <c r="H1118" s="29">
        <v>976775.93</v>
      </c>
      <c r="I1118" s="15">
        <v>30</v>
      </c>
      <c r="J1118" s="15">
        <v>172</v>
      </c>
      <c r="K1118" s="30">
        <v>2000000</v>
      </c>
      <c r="L1118" s="17">
        <v>46110</v>
      </c>
      <c r="M1118" s="18">
        <v>976776</v>
      </c>
      <c r="N1118" s="16">
        <v>46107</v>
      </c>
      <c r="O1118" s="19"/>
      <c r="P1118" s="20">
        <v>32574.94</v>
      </c>
      <c r="Q1118" s="29">
        <v>944201.06</v>
      </c>
      <c r="R1118" s="9" t="s">
        <v>180</v>
      </c>
    </row>
    <row r="1119" spans="1:18" ht="12" customHeight="1" x14ac:dyDescent="0.25">
      <c r="A1119" s="14"/>
      <c r="B1119" s="15" t="s">
        <v>791</v>
      </c>
      <c r="C1119" s="29">
        <v>129380</v>
      </c>
      <c r="D1119" s="16">
        <v>46079</v>
      </c>
      <c r="E1119" s="15" t="s">
        <v>3</v>
      </c>
      <c r="F1119" s="29">
        <v>138970</v>
      </c>
      <c r="G1119" s="29">
        <v>0</v>
      </c>
      <c r="H1119" s="29">
        <v>138970</v>
      </c>
      <c r="I1119" s="15">
        <v>60</v>
      </c>
      <c r="J1119" s="15">
        <v>287</v>
      </c>
      <c r="K1119" s="30">
        <v>220000</v>
      </c>
      <c r="L1119" s="17">
        <v>46139</v>
      </c>
      <c r="M1119" s="18">
        <v>0</v>
      </c>
      <c r="N1119" s="16"/>
      <c r="O1119" s="19">
        <v>33</v>
      </c>
      <c r="P1119" s="20">
        <v>0</v>
      </c>
      <c r="Q1119" s="29">
        <v>0</v>
      </c>
      <c r="R1119" s="9" t="s">
        <v>180</v>
      </c>
    </row>
    <row r="1120" spans="1:18" ht="12" customHeight="1" x14ac:dyDescent="0.25">
      <c r="A1120" s="14"/>
      <c r="B1120" s="15" t="s">
        <v>792</v>
      </c>
      <c r="C1120" s="29">
        <v>100984</v>
      </c>
      <c r="D1120" s="16">
        <v>46079</v>
      </c>
      <c r="E1120" s="15" t="s">
        <v>3</v>
      </c>
      <c r="F1120" s="29">
        <v>107951.89</v>
      </c>
      <c r="G1120" s="29">
        <v>0</v>
      </c>
      <c r="H1120" s="29">
        <v>107951.89</v>
      </c>
      <c r="I1120" s="15">
        <v>60</v>
      </c>
      <c r="J1120" s="15">
        <v>284</v>
      </c>
      <c r="K1120" s="30">
        <v>110000</v>
      </c>
      <c r="L1120" s="17">
        <v>46139</v>
      </c>
      <c r="M1120" s="18">
        <v>0</v>
      </c>
      <c r="N1120" s="16"/>
      <c r="O1120" s="19">
        <v>33</v>
      </c>
      <c r="P1120" s="20">
        <v>0</v>
      </c>
      <c r="Q1120" s="29">
        <v>0</v>
      </c>
      <c r="R1120" s="9" t="s">
        <v>180</v>
      </c>
    </row>
    <row r="1121" spans="1:18" ht="12" customHeight="1" x14ac:dyDescent="0.25">
      <c r="A1121" s="14"/>
      <c r="B1121" s="15">
        <v>2150</v>
      </c>
      <c r="C1121" s="29">
        <v>48294.18</v>
      </c>
      <c r="D1121" s="16">
        <v>46079</v>
      </c>
      <c r="E1121" s="15" t="s">
        <v>3</v>
      </c>
      <c r="F1121" s="29">
        <v>49960.18</v>
      </c>
      <c r="G1121" s="29">
        <v>0</v>
      </c>
      <c r="H1121" s="29">
        <v>49960.18</v>
      </c>
      <c r="I1121" s="15">
        <v>30</v>
      </c>
      <c r="J1121" s="15">
        <v>241</v>
      </c>
      <c r="K1121" s="30">
        <v>50000</v>
      </c>
      <c r="L1121" s="17">
        <v>46110</v>
      </c>
      <c r="M1121" s="18">
        <v>0</v>
      </c>
      <c r="N1121" s="16"/>
      <c r="O1121" s="19">
        <v>33</v>
      </c>
      <c r="P1121" s="20">
        <v>0</v>
      </c>
      <c r="Q1121" s="29">
        <v>0</v>
      </c>
      <c r="R1121" s="9" t="s">
        <v>180</v>
      </c>
    </row>
    <row r="1122" spans="1:18" ht="12" customHeight="1" x14ac:dyDescent="0.25">
      <c r="B1122" s="15" t="s">
        <v>793</v>
      </c>
      <c r="C1122" s="29">
        <v>222432</v>
      </c>
      <c r="D1122" s="16">
        <v>46079</v>
      </c>
      <c r="E1122" s="15" t="s">
        <v>2</v>
      </c>
      <c r="F1122" s="29">
        <v>0</v>
      </c>
      <c r="G1122" s="29">
        <v>0</v>
      </c>
      <c r="H1122" s="29">
        <v>230105.9</v>
      </c>
      <c r="I1122" s="15">
        <v>30</v>
      </c>
      <c r="J1122" s="15">
        <v>228</v>
      </c>
      <c r="K1122" s="30">
        <v>10500000</v>
      </c>
      <c r="L1122" s="17">
        <v>46112</v>
      </c>
      <c r="M1122" s="18">
        <v>230105</v>
      </c>
      <c r="N1122" s="16">
        <v>46112</v>
      </c>
      <c r="O1122" s="19"/>
      <c r="P1122" s="20">
        <v>7673.87</v>
      </c>
      <c r="Q1122" s="29">
        <v>222431.13</v>
      </c>
      <c r="R1122" s="9" t="s">
        <v>634</v>
      </c>
    </row>
    <row r="1123" spans="1:18" ht="12" customHeight="1" x14ac:dyDescent="0.25">
      <c r="B1123" s="15" t="s">
        <v>796</v>
      </c>
      <c r="C1123" s="29">
        <v>600000</v>
      </c>
      <c r="D1123" s="16">
        <v>46082</v>
      </c>
      <c r="E1123" s="15" t="s">
        <v>3</v>
      </c>
      <c r="F1123" s="29">
        <v>620650.07999999996</v>
      </c>
      <c r="G1123" s="29">
        <v>0</v>
      </c>
      <c r="H1123" s="29">
        <v>620650.07999999996</v>
      </c>
      <c r="I1123" s="15">
        <v>30</v>
      </c>
      <c r="J1123" s="15">
        <v>15</v>
      </c>
      <c r="K1123" s="30">
        <v>2300000</v>
      </c>
      <c r="L1123" s="17">
        <v>46113</v>
      </c>
      <c r="M1123" s="18">
        <v>0</v>
      </c>
      <c r="N1123" s="16"/>
      <c r="O1123" s="19">
        <v>30</v>
      </c>
      <c r="P1123" s="20">
        <v>0</v>
      </c>
      <c r="Q1123" s="29">
        <v>0</v>
      </c>
      <c r="R1123" s="9" t="s">
        <v>180</v>
      </c>
    </row>
    <row r="1124" spans="1:18" ht="12" customHeight="1" x14ac:dyDescent="0.25">
      <c r="B1124" s="15" t="s">
        <v>797</v>
      </c>
      <c r="C1124" s="29">
        <v>89185</v>
      </c>
      <c r="D1124" s="16">
        <v>46082</v>
      </c>
      <c r="E1124" s="15" t="s">
        <v>3</v>
      </c>
      <c r="F1124" s="29">
        <v>98415.65</v>
      </c>
      <c r="G1124" s="29">
        <v>0</v>
      </c>
      <c r="H1124" s="29">
        <v>98415.65</v>
      </c>
      <c r="I1124" s="15">
        <v>90</v>
      </c>
      <c r="J1124" s="15">
        <v>49</v>
      </c>
      <c r="K1124" s="30">
        <v>273000</v>
      </c>
      <c r="L1124" s="17">
        <v>46173</v>
      </c>
      <c r="M1124" s="18">
        <v>0</v>
      </c>
      <c r="N1124" s="16"/>
      <c r="O1124" s="19">
        <v>30</v>
      </c>
      <c r="P1124" s="20">
        <v>0</v>
      </c>
      <c r="Q1124" s="29">
        <v>0</v>
      </c>
      <c r="R1124" s="9" t="s">
        <v>180</v>
      </c>
    </row>
    <row r="1125" spans="1:18" ht="12" customHeight="1" x14ac:dyDescent="0.25">
      <c r="B1125" s="15" t="s">
        <v>798</v>
      </c>
      <c r="C1125" s="29">
        <v>11776</v>
      </c>
      <c r="D1125" s="16">
        <v>46082</v>
      </c>
      <c r="E1125" s="15" t="s">
        <v>3</v>
      </c>
      <c r="F1125" s="29">
        <v>12994.82</v>
      </c>
      <c r="G1125" s="29">
        <v>0</v>
      </c>
      <c r="H1125" s="29">
        <v>12994.82</v>
      </c>
      <c r="I1125" s="15">
        <v>90</v>
      </c>
      <c r="J1125" s="15">
        <v>54</v>
      </c>
      <c r="K1125" s="30">
        <v>117000</v>
      </c>
      <c r="L1125" s="17">
        <v>46173</v>
      </c>
      <c r="M1125" s="18">
        <v>0</v>
      </c>
      <c r="N1125" s="16"/>
      <c r="O1125" s="19">
        <v>30</v>
      </c>
      <c r="P1125" s="20">
        <v>0</v>
      </c>
      <c r="Q1125" s="29">
        <v>0</v>
      </c>
      <c r="R1125" s="9" t="s">
        <v>180</v>
      </c>
    </row>
    <row r="1126" spans="1:18" ht="12" customHeight="1" x14ac:dyDescent="0.25">
      <c r="B1126" s="15" t="s">
        <v>799</v>
      </c>
      <c r="C1126" s="29">
        <v>100004</v>
      </c>
      <c r="D1126" s="16">
        <v>46082</v>
      </c>
      <c r="E1126" s="15" t="s">
        <v>3</v>
      </c>
      <c r="F1126" s="29">
        <v>103449.99</v>
      </c>
      <c r="G1126" s="29">
        <v>0</v>
      </c>
      <c r="H1126" s="29">
        <v>103449.99</v>
      </c>
      <c r="I1126" s="15">
        <v>30</v>
      </c>
      <c r="J1126" s="15">
        <v>78</v>
      </c>
      <c r="K1126" s="30">
        <v>208000</v>
      </c>
      <c r="L1126" s="17">
        <v>46112</v>
      </c>
      <c r="M1126" s="18">
        <v>0</v>
      </c>
      <c r="N1126" s="16"/>
      <c r="O1126" s="19">
        <v>30</v>
      </c>
      <c r="P1126" s="20">
        <v>0</v>
      </c>
      <c r="Q1126" s="29">
        <v>0</v>
      </c>
      <c r="R1126" s="9" t="s">
        <v>180</v>
      </c>
    </row>
    <row r="1127" spans="1:18" ht="12" customHeight="1" x14ac:dyDescent="0.25">
      <c r="B1127" s="15" t="s">
        <v>800</v>
      </c>
      <c r="C1127" s="29">
        <v>54832</v>
      </c>
      <c r="D1127" s="16">
        <v>46082</v>
      </c>
      <c r="E1127" s="15" t="s">
        <v>3</v>
      </c>
      <c r="F1127" s="29">
        <v>56720.01</v>
      </c>
      <c r="G1127" s="29">
        <v>0</v>
      </c>
      <c r="H1127" s="29">
        <v>56720.01</v>
      </c>
      <c r="I1127" s="15">
        <v>30</v>
      </c>
      <c r="J1127" s="15">
        <v>78</v>
      </c>
      <c r="K1127" s="30">
        <v>208000</v>
      </c>
      <c r="L1127" s="17">
        <v>46112</v>
      </c>
      <c r="M1127" s="18">
        <v>0</v>
      </c>
      <c r="N1127" s="16"/>
      <c r="O1127" s="19">
        <v>30</v>
      </c>
      <c r="P1127" s="20">
        <v>0</v>
      </c>
      <c r="Q1127" s="29">
        <v>0</v>
      </c>
      <c r="R1127" s="9" t="s">
        <v>180</v>
      </c>
    </row>
    <row r="1128" spans="1:18" ht="12" customHeight="1" x14ac:dyDescent="0.25">
      <c r="B1128" s="15" t="s">
        <v>801</v>
      </c>
      <c r="C1128" s="29">
        <v>30600</v>
      </c>
      <c r="D1128" s="16">
        <v>46082</v>
      </c>
      <c r="E1128" s="15" t="s">
        <v>2</v>
      </c>
      <c r="F1128" s="29">
        <v>0</v>
      </c>
      <c r="G1128" s="29">
        <v>0</v>
      </c>
      <c r="H1128" s="29">
        <v>31671</v>
      </c>
      <c r="I1128" s="15">
        <v>30</v>
      </c>
      <c r="J1128" s="15">
        <v>139</v>
      </c>
      <c r="K1128" s="30">
        <v>322000</v>
      </c>
      <c r="L1128" s="17">
        <v>46112</v>
      </c>
      <c r="M1128" s="18">
        <v>31671</v>
      </c>
      <c r="N1128" s="16">
        <v>46113</v>
      </c>
      <c r="O1128" s="19"/>
      <c r="P1128" s="20">
        <v>1071</v>
      </c>
      <c r="Q1128" s="29">
        <v>30600</v>
      </c>
      <c r="R1128" s="9" t="s">
        <v>180</v>
      </c>
    </row>
    <row r="1129" spans="1:18" ht="12" customHeight="1" x14ac:dyDescent="0.25">
      <c r="B1129" s="15" t="s">
        <v>802</v>
      </c>
      <c r="C1129" s="29">
        <v>0</v>
      </c>
      <c r="D1129" s="16">
        <v>46082</v>
      </c>
      <c r="E1129" s="15" t="s">
        <v>4</v>
      </c>
      <c r="F1129" s="29">
        <v>1003</v>
      </c>
      <c r="G1129" s="29">
        <v>1003</v>
      </c>
      <c r="H1129" s="29">
        <v>1003</v>
      </c>
      <c r="I1129" s="15">
        <v>0</v>
      </c>
      <c r="J1129" s="15">
        <v>158</v>
      </c>
      <c r="K1129" s="30">
        <v>87000</v>
      </c>
      <c r="L1129" s="17">
        <v>46082</v>
      </c>
      <c r="M1129" s="18">
        <v>0</v>
      </c>
      <c r="N1129" s="16"/>
      <c r="O1129" s="19">
        <v>30</v>
      </c>
      <c r="P1129" s="20">
        <v>0</v>
      </c>
      <c r="Q1129" s="29">
        <v>0</v>
      </c>
      <c r="R1129" s="9" t="s">
        <v>180</v>
      </c>
    </row>
    <row r="1130" spans="1:18" ht="12" customHeight="1" x14ac:dyDescent="0.25">
      <c r="B1130" s="15" t="s">
        <v>803</v>
      </c>
      <c r="C1130" s="29">
        <v>60000</v>
      </c>
      <c r="D1130" s="16">
        <v>46082</v>
      </c>
      <c r="E1130" s="15" t="s">
        <v>3</v>
      </c>
      <c r="F1130" s="29">
        <v>66210</v>
      </c>
      <c r="G1130" s="29">
        <v>0</v>
      </c>
      <c r="H1130" s="29">
        <v>66210</v>
      </c>
      <c r="I1130" s="15">
        <v>90</v>
      </c>
      <c r="J1130" s="15">
        <v>171</v>
      </c>
      <c r="K1130" s="30">
        <v>100000</v>
      </c>
      <c r="L1130" s="17">
        <v>46173</v>
      </c>
      <c r="M1130" s="18">
        <v>0</v>
      </c>
      <c r="N1130" s="16"/>
      <c r="O1130" s="19">
        <v>30</v>
      </c>
      <c r="P1130" s="20">
        <v>0</v>
      </c>
      <c r="Q1130" s="29">
        <v>0</v>
      </c>
      <c r="R1130" s="9" t="s">
        <v>180</v>
      </c>
    </row>
    <row r="1131" spans="1:18" ht="12" customHeight="1" x14ac:dyDescent="0.25">
      <c r="B1131" s="15" t="s">
        <v>804</v>
      </c>
      <c r="C1131" s="29">
        <v>98408</v>
      </c>
      <c r="D1131" s="16">
        <v>46082</v>
      </c>
      <c r="E1131" s="15" t="s">
        <v>2</v>
      </c>
      <c r="F1131" s="29">
        <v>0</v>
      </c>
      <c r="G1131" s="29">
        <v>0</v>
      </c>
      <c r="H1131" s="29">
        <v>100375.1</v>
      </c>
      <c r="I1131" s="15">
        <v>15</v>
      </c>
      <c r="J1131" s="15">
        <v>200</v>
      </c>
      <c r="K1131" s="30">
        <v>100000</v>
      </c>
      <c r="L1131" s="17">
        <v>46097</v>
      </c>
      <c r="M1131" s="18">
        <v>100375</v>
      </c>
      <c r="N1131" s="16">
        <v>46107</v>
      </c>
      <c r="O1131" s="19"/>
      <c r="P1131" s="20">
        <v>1967.1</v>
      </c>
      <c r="Q1131" s="29">
        <v>98407.9</v>
      </c>
      <c r="R1131" s="9" t="s">
        <v>180</v>
      </c>
    </row>
    <row r="1132" spans="1:18" ht="12" customHeight="1" x14ac:dyDescent="0.25">
      <c r="B1132" s="15" t="s">
        <v>805</v>
      </c>
      <c r="C1132" s="29">
        <v>100000</v>
      </c>
      <c r="D1132" s="16">
        <v>46083</v>
      </c>
      <c r="E1132" s="15" t="s">
        <v>3</v>
      </c>
      <c r="F1132" s="29">
        <v>106900.32</v>
      </c>
      <c r="G1132" s="29">
        <v>0</v>
      </c>
      <c r="H1132" s="29">
        <v>106900.32</v>
      </c>
      <c r="I1132" s="15">
        <v>60</v>
      </c>
      <c r="J1132" s="15">
        <v>53</v>
      </c>
      <c r="K1132" s="30">
        <v>630000</v>
      </c>
      <c r="L1132" s="17">
        <v>46145</v>
      </c>
      <c r="M1132" s="18">
        <v>0</v>
      </c>
      <c r="N1132" s="16"/>
      <c r="O1132" s="19">
        <v>29</v>
      </c>
      <c r="P1132" s="20">
        <v>0</v>
      </c>
      <c r="Q1132" s="29">
        <v>0</v>
      </c>
      <c r="R1132" s="9" t="s">
        <v>180</v>
      </c>
    </row>
    <row r="1133" spans="1:18" ht="12" customHeight="1" x14ac:dyDescent="0.25">
      <c r="B1133" s="15" t="s">
        <v>806</v>
      </c>
      <c r="C1133" s="29">
        <v>100000</v>
      </c>
      <c r="D1133" s="16">
        <v>46083</v>
      </c>
      <c r="E1133" s="15" t="s">
        <v>3</v>
      </c>
      <c r="F1133" s="29">
        <v>24740</v>
      </c>
      <c r="G1133" s="29">
        <v>0</v>
      </c>
      <c r="H1133" s="29">
        <v>103450</v>
      </c>
      <c r="I1133" s="15">
        <v>30</v>
      </c>
      <c r="J1133" s="15">
        <v>56</v>
      </c>
      <c r="K1133" s="30">
        <v>320000</v>
      </c>
      <c r="L1133" s="17">
        <v>46113</v>
      </c>
      <c r="M1133" s="18">
        <v>78710</v>
      </c>
      <c r="N1133" s="16">
        <v>46114</v>
      </c>
      <c r="O1133" s="19">
        <v>29</v>
      </c>
      <c r="P1133" s="20">
        <v>2624.93</v>
      </c>
      <c r="Q1133" s="29">
        <v>76085.070000000007</v>
      </c>
      <c r="R1133" s="9" t="s">
        <v>180</v>
      </c>
    </row>
    <row r="1134" spans="1:18" ht="12" customHeight="1" x14ac:dyDescent="0.25">
      <c r="B1134" s="15" t="s">
        <v>807</v>
      </c>
      <c r="C1134" s="29">
        <v>100000</v>
      </c>
      <c r="D1134" s="16">
        <v>46083</v>
      </c>
      <c r="E1134" s="15" t="s">
        <v>2</v>
      </c>
      <c r="F1134" s="29">
        <v>0</v>
      </c>
      <c r="G1134" s="29">
        <v>0</v>
      </c>
      <c r="H1134" s="29">
        <v>103450</v>
      </c>
      <c r="I1134" s="15">
        <v>30</v>
      </c>
      <c r="J1134" s="15">
        <v>157</v>
      </c>
      <c r="K1134" s="30">
        <v>195000</v>
      </c>
      <c r="L1134" s="17">
        <v>46113</v>
      </c>
      <c r="M1134" s="18">
        <v>103450</v>
      </c>
      <c r="N1134" s="16">
        <v>46112</v>
      </c>
      <c r="O1134" s="19"/>
      <c r="P1134" s="20">
        <v>3450</v>
      </c>
      <c r="Q1134" s="29">
        <v>100000</v>
      </c>
      <c r="R1134" s="9" t="s">
        <v>180</v>
      </c>
    </row>
    <row r="1135" spans="1:18" ht="12" customHeight="1" x14ac:dyDescent="0.25">
      <c r="B1135" s="15" t="s">
        <v>808</v>
      </c>
      <c r="C1135" s="29">
        <v>45000</v>
      </c>
      <c r="D1135" s="16">
        <v>46083</v>
      </c>
      <c r="E1135" s="15" t="s">
        <v>2</v>
      </c>
      <c r="F1135" s="29">
        <v>0</v>
      </c>
      <c r="G1135" s="29">
        <v>0</v>
      </c>
      <c r="H1135" s="29">
        <v>46550</v>
      </c>
      <c r="I1135" s="15">
        <v>30</v>
      </c>
      <c r="J1135" s="15">
        <v>157</v>
      </c>
      <c r="K1135" s="30">
        <v>195000</v>
      </c>
      <c r="L1135" s="17">
        <v>46113</v>
      </c>
      <c r="M1135" s="18">
        <v>46550</v>
      </c>
      <c r="N1135" s="16">
        <v>46112</v>
      </c>
      <c r="O1135" s="19"/>
      <c r="P1135" s="20">
        <v>1550</v>
      </c>
      <c r="Q1135" s="29">
        <v>45000</v>
      </c>
      <c r="R1135" s="9" t="s">
        <v>180</v>
      </c>
    </row>
    <row r="1136" spans="1:18" ht="12" customHeight="1" x14ac:dyDescent="0.25">
      <c r="B1136" s="15" t="s">
        <v>809</v>
      </c>
      <c r="C1136" s="29">
        <v>0</v>
      </c>
      <c r="D1136" s="16">
        <v>46083</v>
      </c>
      <c r="E1136" s="15" t="s">
        <v>4</v>
      </c>
      <c r="F1136" s="29">
        <v>2157</v>
      </c>
      <c r="G1136" s="29">
        <v>2157</v>
      </c>
      <c r="H1136" s="29">
        <v>2157</v>
      </c>
      <c r="I1136" s="15">
        <v>0</v>
      </c>
      <c r="J1136" s="15">
        <v>181</v>
      </c>
      <c r="K1136" s="30">
        <v>95000</v>
      </c>
      <c r="L1136" s="17">
        <v>46083</v>
      </c>
      <c r="M1136" s="18">
        <v>0</v>
      </c>
      <c r="N1136" s="16"/>
      <c r="O1136" s="19">
        <v>29</v>
      </c>
      <c r="P1136" s="20">
        <v>0</v>
      </c>
      <c r="Q1136" s="29">
        <v>0</v>
      </c>
      <c r="R1136" s="9" t="s">
        <v>180</v>
      </c>
    </row>
    <row r="1137" spans="2:18" ht="12" customHeight="1" x14ac:dyDescent="0.25">
      <c r="B1137" s="15" t="s">
        <v>810</v>
      </c>
      <c r="C1137" s="29">
        <v>0</v>
      </c>
      <c r="D1137" s="16">
        <v>46083</v>
      </c>
      <c r="E1137" s="15" t="s">
        <v>4</v>
      </c>
      <c r="F1137" s="29">
        <v>723</v>
      </c>
      <c r="G1137" s="29">
        <v>723</v>
      </c>
      <c r="H1137" s="29">
        <v>723</v>
      </c>
      <c r="I1137" s="15">
        <v>0</v>
      </c>
      <c r="J1137" s="15">
        <v>185</v>
      </c>
      <c r="K1137" s="30">
        <v>63000</v>
      </c>
      <c r="L1137" s="17">
        <v>46083</v>
      </c>
      <c r="M1137" s="18">
        <v>0</v>
      </c>
      <c r="N1137" s="16"/>
      <c r="O1137" s="19">
        <v>29</v>
      </c>
      <c r="P1137" s="20">
        <v>0</v>
      </c>
      <c r="Q1137" s="29">
        <v>0</v>
      </c>
      <c r="R1137" s="9" t="s">
        <v>180</v>
      </c>
    </row>
    <row r="1138" spans="2:18" ht="12" customHeight="1" x14ac:dyDescent="0.25">
      <c r="B1138" s="15" t="s">
        <v>811</v>
      </c>
      <c r="C1138" s="29">
        <v>277150</v>
      </c>
      <c r="D1138" s="16">
        <v>46083</v>
      </c>
      <c r="E1138" s="15" t="s">
        <v>2</v>
      </c>
      <c r="F1138" s="29">
        <v>0</v>
      </c>
      <c r="G1138" s="29">
        <v>0</v>
      </c>
      <c r="H1138" s="29">
        <v>282693</v>
      </c>
      <c r="I1138" s="15">
        <v>15</v>
      </c>
      <c r="J1138" s="15">
        <v>182</v>
      </c>
      <c r="K1138" s="30">
        <v>470000</v>
      </c>
      <c r="L1138" s="17">
        <v>46098</v>
      </c>
      <c r="M1138" s="18">
        <v>282693</v>
      </c>
      <c r="N1138" s="16">
        <v>46104</v>
      </c>
      <c r="O1138" s="19"/>
      <c r="P1138" s="20">
        <v>5543</v>
      </c>
      <c r="Q1138" s="29">
        <v>277150</v>
      </c>
      <c r="R1138" s="9" t="s">
        <v>180</v>
      </c>
    </row>
    <row r="1139" spans="2:18" ht="12" customHeight="1" x14ac:dyDescent="0.25">
      <c r="B1139" s="15" t="s">
        <v>812</v>
      </c>
      <c r="C1139" s="29">
        <v>3000062</v>
      </c>
      <c r="D1139" s="16">
        <v>46083</v>
      </c>
      <c r="E1139" s="15" t="s">
        <v>3</v>
      </c>
      <c r="F1139" s="29">
        <v>3000066.56</v>
      </c>
      <c r="G1139" s="29">
        <v>0</v>
      </c>
      <c r="H1139" s="29">
        <v>3241566.56</v>
      </c>
      <c r="I1139" s="15">
        <v>90</v>
      </c>
      <c r="J1139" s="15">
        <v>228</v>
      </c>
      <c r="K1139" s="30">
        <v>10500000</v>
      </c>
      <c r="L1139" s="17">
        <v>46173</v>
      </c>
      <c r="M1139" s="18">
        <v>241500</v>
      </c>
      <c r="N1139" s="16">
        <v>46083</v>
      </c>
      <c r="O1139" s="19">
        <v>29</v>
      </c>
      <c r="P1139" s="20">
        <v>17992.330000000002</v>
      </c>
      <c r="Q1139" s="29">
        <v>223507.67</v>
      </c>
      <c r="R1139" s="9" t="s">
        <v>634</v>
      </c>
    </row>
    <row r="1140" spans="2:18" ht="12" customHeight="1" x14ac:dyDescent="0.25">
      <c r="B1140" s="15" t="s">
        <v>813</v>
      </c>
      <c r="C1140" s="29">
        <v>222768</v>
      </c>
      <c r="D1140" s="16">
        <v>46083</v>
      </c>
      <c r="E1140" s="15" t="s">
        <v>2</v>
      </c>
      <c r="F1140" s="29">
        <v>0</v>
      </c>
      <c r="G1140" s="29">
        <v>0</v>
      </c>
      <c r="H1140" s="29">
        <v>230453.02</v>
      </c>
      <c r="I1140" s="15">
        <v>30</v>
      </c>
      <c r="J1140" s="15">
        <v>228</v>
      </c>
      <c r="K1140" s="30">
        <v>10500000</v>
      </c>
      <c r="L1140" s="17">
        <v>46113</v>
      </c>
      <c r="M1140" s="18">
        <v>230453</v>
      </c>
      <c r="N1140" s="16">
        <v>46114</v>
      </c>
      <c r="O1140" s="19"/>
      <c r="P1140" s="20">
        <v>7685.02</v>
      </c>
      <c r="Q1140" s="29">
        <v>222767.98</v>
      </c>
      <c r="R1140" s="9" t="s">
        <v>634</v>
      </c>
    </row>
    <row r="1141" spans="2:18" ht="12" customHeight="1" x14ac:dyDescent="0.25">
      <c r="B1141" s="15" t="s">
        <v>814</v>
      </c>
      <c r="C1141" s="29">
        <v>427000</v>
      </c>
      <c r="D1141" s="16">
        <v>46084</v>
      </c>
      <c r="E1141" s="15" t="s">
        <v>3</v>
      </c>
      <c r="F1141" s="29">
        <v>441650.46</v>
      </c>
      <c r="G1141" s="29">
        <v>0</v>
      </c>
      <c r="H1141" s="29">
        <v>441650.46</v>
      </c>
      <c r="I1141" s="15">
        <v>30</v>
      </c>
      <c r="J1141" s="15">
        <v>15</v>
      </c>
      <c r="K1141" s="30">
        <v>2300000</v>
      </c>
      <c r="L1141" s="17">
        <v>46114</v>
      </c>
      <c r="M1141" s="18">
        <v>0</v>
      </c>
      <c r="N1141" s="16"/>
      <c r="O1141" s="19">
        <v>28</v>
      </c>
      <c r="P1141" s="20">
        <v>0</v>
      </c>
      <c r="Q1141" s="29">
        <v>0</v>
      </c>
      <c r="R1141" s="9" t="s">
        <v>180</v>
      </c>
    </row>
    <row r="1142" spans="2:18" ht="12" customHeight="1" x14ac:dyDescent="0.25">
      <c r="B1142" s="15" t="s">
        <v>815</v>
      </c>
      <c r="C1142" s="29">
        <v>280000</v>
      </c>
      <c r="D1142" s="16">
        <v>46084</v>
      </c>
      <c r="E1142" s="15" t="s">
        <v>3</v>
      </c>
      <c r="F1142" s="29">
        <v>289660</v>
      </c>
      <c r="G1142" s="29">
        <v>0</v>
      </c>
      <c r="H1142" s="29">
        <v>289660</v>
      </c>
      <c r="I1142" s="15">
        <v>30</v>
      </c>
      <c r="J1142" s="15">
        <v>17</v>
      </c>
      <c r="K1142" s="30">
        <v>2400000</v>
      </c>
      <c r="L1142" s="17">
        <v>46114</v>
      </c>
      <c r="M1142" s="18">
        <v>0</v>
      </c>
      <c r="N1142" s="16"/>
      <c r="O1142" s="19">
        <v>28</v>
      </c>
      <c r="P1142" s="20">
        <v>0</v>
      </c>
      <c r="Q1142" s="29">
        <v>0</v>
      </c>
      <c r="R1142" s="9" t="s">
        <v>180</v>
      </c>
    </row>
    <row r="1143" spans="2:18" ht="12" customHeight="1" x14ac:dyDescent="0.25">
      <c r="B1143" s="15" t="s">
        <v>816</v>
      </c>
      <c r="C1143" s="29">
        <v>150000</v>
      </c>
      <c r="D1143" s="16">
        <v>46084</v>
      </c>
      <c r="E1143" s="15" t="s">
        <v>2</v>
      </c>
      <c r="F1143" s="29">
        <v>0</v>
      </c>
      <c r="G1143" s="29">
        <v>0</v>
      </c>
      <c r="H1143" s="29">
        <v>155175</v>
      </c>
      <c r="I1143" s="15">
        <v>30</v>
      </c>
      <c r="J1143" s="15">
        <v>17</v>
      </c>
      <c r="K1143" s="30">
        <v>2400000</v>
      </c>
      <c r="L1143" s="17">
        <v>46114</v>
      </c>
      <c r="M1143" s="18">
        <v>155175</v>
      </c>
      <c r="N1143" s="16">
        <v>46113</v>
      </c>
      <c r="O1143" s="19"/>
      <c r="P1143" s="20">
        <v>5175</v>
      </c>
      <c r="Q1143" s="29">
        <v>150000</v>
      </c>
      <c r="R1143" s="9" t="s">
        <v>180</v>
      </c>
    </row>
    <row r="1144" spans="2:18" ht="12" customHeight="1" x14ac:dyDescent="0.25">
      <c r="B1144" s="15" t="s">
        <v>817</v>
      </c>
      <c r="C1144" s="29">
        <v>138050</v>
      </c>
      <c r="D1144" s="16">
        <v>46084</v>
      </c>
      <c r="E1144" s="15" t="s">
        <v>2</v>
      </c>
      <c r="F1144" s="29">
        <v>0</v>
      </c>
      <c r="G1144" s="29">
        <v>0</v>
      </c>
      <c r="H1144" s="29">
        <v>140800.01</v>
      </c>
      <c r="I1144" s="15">
        <v>15</v>
      </c>
      <c r="J1144" s="15">
        <v>18</v>
      </c>
      <c r="K1144" s="30">
        <v>600000</v>
      </c>
      <c r="L1144" s="17">
        <v>46100</v>
      </c>
      <c r="M1144" s="18">
        <v>140800</v>
      </c>
      <c r="N1144" s="16">
        <v>46104</v>
      </c>
      <c r="O1144" s="19"/>
      <c r="P1144" s="20">
        <v>2750.01</v>
      </c>
      <c r="Q1144" s="29">
        <v>138049.99</v>
      </c>
      <c r="R1144" s="9" t="s">
        <v>180</v>
      </c>
    </row>
    <row r="1145" spans="2:18" ht="12" customHeight="1" x14ac:dyDescent="0.25">
      <c r="B1145" s="15" t="s">
        <v>818</v>
      </c>
      <c r="C1145" s="29">
        <v>245824</v>
      </c>
      <c r="D1145" s="16">
        <v>46084</v>
      </c>
      <c r="E1145" s="15" t="s">
        <v>2</v>
      </c>
      <c r="F1145" s="29">
        <v>0</v>
      </c>
      <c r="G1145" s="29">
        <v>0</v>
      </c>
      <c r="H1145" s="29">
        <v>254304.87</v>
      </c>
      <c r="I1145" s="15">
        <v>30</v>
      </c>
      <c r="J1145" s="15">
        <v>29</v>
      </c>
      <c r="K1145" s="30">
        <v>1240000</v>
      </c>
      <c r="L1145" s="17">
        <v>46117</v>
      </c>
      <c r="M1145" s="18">
        <v>254305</v>
      </c>
      <c r="N1145" s="16">
        <v>46113</v>
      </c>
      <c r="O1145" s="19"/>
      <c r="P1145" s="20">
        <v>8480.8700000000008</v>
      </c>
      <c r="Q1145" s="29">
        <v>245824.13</v>
      </c>
      <c r="R1145" s="9" t="s">
        <v>180</v>
      </c>
    </row>
    <row r="1146" spans="2:18" ht="12" customHeight="1" x14ac:dyDescent="0.25">
      <c r="B1146" s="15" t="s">
        <v>819</v>
      </c>
      <c r="C1146" s="29">
        <v>235499</v>
      </c>
      <c r="D1146" s="16">
        <v>46084</v>
      </c>
      <c r="E1146" s="15" t="s">
        <v>3</v>
      </c>
      <c r="F1146" s="29">
        <v>259874.4</v>
      </c>
      <c r="G1146" s="29">
        <v>0</v>
      </c>
      <c r="H1146" s="29">
        <v>259874.4</v>
      </c>
      <c r="I1146" s="15">
        <v>90</v>
      </c>
      <c r="J1146" s="15">
        <v>58</v>
      </c>
      <c r="K1146" s="30">
        <v>260000</v>
      </c>
      <c r="L1146" s="17">
        <v>46174</v>
      </c>
      <c r="M1146" s="18">
        <v>0</v>
      </c>
      <c r="N1146" s="16"/>
      <c r="O1146" s="19">
        <v>28</v>
      </c>
      <c r="P1146" s="20">
        <v>0</v>
      </c>
      <c r="Q1146" s="29">
        <v>0</v>
      </c>
      <c r="R1146" s="9" t="s">
        <v>180</v>
      </c>
    </row>
    <row r="1147" spans="2:18" ht="12" customHeight="1" x14ac:dyDescent="0.25">
      <c r="B1147" s="15" t="s">
        <v>820</v>
      </c>
      <c r="C1147" s="29">
        <v>338014</v>
      </c>
      <c r="D1147" s="16">
        <v>46084</v>
      </c>
      <c r="E1147" s="15" t="s">
        <v>3</v>
      </c>
      <c r="F1147" s="29">
        <v>349675.48</v>
      </c>
      <c r="G1147" s="29">
        <v>0</v>
      </c>
      <c r="H1147" s="29">
        <v>349675.48</v>
      </c>
      <c r="I1147" s="15">
        <v>30</v>
      </c>
      <c r="J1147" s="15">
        <v>207</v>
      </c>
      <c r="K1147" s="30">
        <v>350000</v>
      </c>
      <c r="L1147" s="17">
        <v>46114</v>
      </c>
      <c r="M1147" s="18">
        <v>0</v>
      </c>
      <c r="N1147" s="16"/>
      <c r="O1147" s="19">
        <v>28</v>
      </c>
      <c r="P1147" s="20">
        <v>0</v>
      </c>
      <c r="Q1147" s="29">
        <v>0</v>
      </c>
      <c r="R1147" s="9" t="s">
        <v>180</v>
      </c>
    </row>
    <row r="1148" spans="2:18" ht="12" customHeight="1" x14ac:dyDescent="0.25">
      <c r="B1148" s="15" t="s">
        <v>821</v>
      </c>
      <c r="C1148" s="29">
        <v>467544</v>
      </c>
      <c r="D1148" s="16">
        <v>46084</v>
      </c>
      <c r="E1148" s="15" t="s">
        <v>3</v>
      </c>
      <c r="F1148" s="29">
        <v>499804.54</v>
      </c>
      <c r="G1148" s="29">
        <v>0</v>
      </c>
      <c r="H1148" s="29">
        <v>499804.54</v>
      </c>
      <c r="I1148" s="15">
        <v>60</v>
      </c>
      <c r="J1148" s="15">
        <v>290</v>
      </c>
      <c r="K1148" s="30">
        <v>500000</v>
      </c>
      <c r="L1148" s="17">
        <v>46145</v>
      </c>
      <c r="M1148" s="18">
        <v>0</v>
      </c>
      <c r="N1148" s="16"/>
      <c r="O1148" s="19">
        <v>28</v>
      </c>
      <c r="P1148" s="20">
        <v>0</v>
      </c>
      <c r="Q1148" s="29">
        <v>0</v>
      </c>
      <c r="R1148" s="9" t="s">
        <v>180</v>
      </c>
    </row>
    <row r="1149" spans="2:18" ht="12" customHeight="1" x14ac:dyDescent="0.25">
      <c r="B1149" s="15" t="s">
        <v>822</v>
      </c>
      <c r="C1149" s="29">
        <v>222986</v>
      </c>
      <c r="D1149" s="16">
        <v>46085</v>
      </c>
      <c r="E1149" s="15" t="s">
        <v>2</v>
      </c>
      <c r="F1149" s="29">
        <v>0</v>
      </c>
      <c r="G1149" s="29">
        <v>0</v>
      </c>
      <c r="H1149" s="29">
        <v>230679.02</v>
      </c>
      <c r="I1149" s="15">
        <v>30</v>
      </c>
      <c r="J1149" s="15">
        <v>29</v>
      </c>
      <c r="K1149" s="30">
        <v>1240000</v>
      </c>
      <c r="L1149" s="17">
        <v>46117</v>
      </c>
      <c r="M1149" s="18">
        <v>230679.34</v>
      </c>
      <c r="N1149" s="16">
        <v>46114</v>
      </c>
      <c r="O1149" s="19"/>
      <c r="P1149" s="20">
        <v>7693.03</v>
      </c>
      <c r="Q1149" s="29">
        <v>222986.31</v>
      </c>
      <c r="R1149" s="9" t="s">
        <v>180</v>
      </c>
    </row>
    <row r="1150" spans="2:18" ht="12" customHeight="1" x14ac:dyDescent="0.25">
      <c r="B1150" s="15" t="s">
        <v>823</v>
      </c>
      <c r="C1150" s="29">
        <v>233953</v>
      </c>
      <c r="D1150" s="16">
        <v>46085</v>
      </c>
      <c r="E1150" s="15" t="s">
        <v>2</v>
      </c>
      <c r="F1150" s="29">
        <v>0</v>
      </c>
      <c r="G1150" s="29">
        <v>0</v>
      </c>
      <c r="H1150" s="29">
        <v>242024.38</v>
      </c>
      <c r="I1150" s="15">
        <v>30</v>
      </c>
      <c r="J1150" s="15">
        <v>29</v>
      </c>
      <c r="K1150" s="30">
        <v>1240000</v>
      </c>
      <c r="L1150" s="17">
        <v>46117</v>
      </c>
      <c r="M1150" s="18">
        <v>242024.5</v>
      </c>
      <c r="N1150" s="16">
        <v>46113</v>
      </c>
      <c r="O1150" s="19"/>
      <c r="P1150" s="20">
        <v>8071.38</v>
      </c>
      <c r="Q1150" s="29">
        <v>233953.12</v>
      </c>
      <c r="R1150" s="9" t="s">
        <v>180</v>
      </c>
    </row>
    <row r="1151" spans="2:18" ht="12" customHeight="1" x14ac:dyDescent="0.25">
      <c r="B1151" s="15" t="s">
        <v>824</v>
      </c>
      <c r="C1151" s="29">
        <v>21151</v>
      </c>
      <c r="D1151" s="16">
        <v>46085</v>
      </c>
      <c r="E1151" s="15" t="s">
        <v>3</v>
      </c>
      <c r="F1151" s="29">
        <v>21999.79</v>
      </c>
      <c r="G1151" s="29">
        <v>0</v>
      </c>
      <c r="H1151" s="29">
        <v>21999.79</v>
      </c>
      <c r="I1151" s="15">
        <v>30</v>
      </c>
      <c r="J1151" s="15">
        <v>113</v>
      </c>
      <c r="K1151" s="30">
        <v>130000</v>
      </c>
      <c r="L1151" s="17">
        <v>46117</v>
      </c>
      <c r="M1151" s="18">
        <v>0</v>
      </c>
      <c r="N1151" s="16"/>
      <c r="O1151" s="19">
        <v>27</v>
      </c>
      <c r="P1151" s="20">
        <v>0</v>
      </c>
      <c r="Q1151" s="29">
        <v>0</v>
      </c>
      <c r="R1151" s="9" t="s">
        <v>180</v>
      </c>
    </row>
    <row r="1152" spans="2:18" ht="12" customHeight="1" x14ac:dyDescent="0.25">
      <c r="B1152" s="15" t="s">
        <v>825</v>
      </c>
      <c r="C1152" s="29">
        <v>22500</v>
      </c>
      <c r="D1152" s="16">
        <v>46085</v>
      </c>
      <c r="E1152" s="15" t="s">
        <v>3</v>
      </c>
      <c r="F1152" s="29">
        <v>23300</v>
      </c>
      <c r="G1152" s="29">
        <v>0</v>
      </c>
      <c r="H1152" s="29">
        <v>23300</v>
      </c>
      <c r="I1152" s="15">
        <v>30</v>
      </c>
      <c r="J1152" s="15">
        <v>139</v>
      </c>
      <c r="K1152" s="30">
        <v>322000</v>
      </c>
      <c r="L1152" s="17">
        <v>46117</v>
      </c>
      <c r="M1152" s="18">
        <v>0</v>
      </c>
      <c r="N1152" s="16"/>
      <c r="O1152" s="19">
        <v>27</v>
      </c>
      <c r="P1152" s="20">
        <v>0</v>
      </c>
      <c r="Q1152" s="29">
        <v>0</v>
      </c>
      <c r="R1152" s="9" t="s">
        <v>180</v>
      </c>
    </row>
    <row r="1153" spans="2:18" ht="12" customHeight="1" x14ac:dyDescent="0.25">
      <c r="B1153" s="15" t="s">
        <v>826</v>
      </c>
      <c r="C1153" s="29">
        <v>37375</v>
      </c>
      <c r="D1153" s="16">
        <v>46085</v>
      </c>
      <c r="E1153" s="15" t="s">
        <v>3</v>
      </c>
      <c r="F1153" s="29">
        <v>39953.879999999997</v>
      </c>
      <c r="G1153" s="29">
        <v>0</v>
      </c>
      <c r="H1153" s="29">
        <v>39953.879999999997</v>
      </c>
      <c r="I1153" s="15">
        <v>60</v>
      </c>
      <c r="J1153" s="15">
        <v>289</v>
      </c>
      <c r="K1153" s="30">
        <v>40000</v>
      </c>
      <c r="L1153" s="17">
        <v>46145</v>
      </c>
      <c r="M1153" s="18">
        <v>0</v>
      </c>
      <c r="N1153" s="16"/>
      <c r="O1153" s="19">
        <v>27</v>
      </c>
      <c r="P1153" s="20">
        <v>0</v>
      </c>
      <c r="Q1153" s="29">
        <v>0</v>
      </c>
      <c r="R1153" s="9" t="s">
        <v>180</v>
      </c>
    </row>
    <row r="1154" spans="2:18" ht="12" customHeight="1" x14ac:dyDescent="0.25">
      <c r="B1154" s="15" t="s">
        <v>827</v>
      </c>
      <c r="C1154" s="29">
        <v>387000</v>
      </c>
      <c r="D1154" s="16">
        <v>46086</v>
      </c>
      <c r="E1154" s="15" t="s">
        <v>3</v>
      </c>
      <c r="F1154" s="29">
        <v>400300.03</v>
      </c>
      <c r="G1154" s="29">
        <v>0</v>
      </c>
      <c r="H1154" s="29">
        <v>400300.03</v>
      </c>
      <c r="I1154" s="15">
        <v>30</v>
      </c>
      <c r="J1154" s="15">
        <v>15</v>
      </c>
      <c r="K1154" s="30">
        <v>2300000</v>
      </c>
      <c r="L1154" s="17">
        <v>46119</v>
      </c>
      <c r="M1154" s="18">
        <v>0</v>
      </c>
      <c r="N1154" s="16"/>
      <c r="O1154" s="19">
        <v>26</v>
      </c>
      <c r="P1154" s="20">
        <v>0</v>
      </c>
      <c r="Q1154" s="29">
        <v>0</v>
      </c>
      <c r="R1154" s="9" t="s">
        <v>180</v>
      </c>
    </row>
    <row r="1155" spans="2:18" ht="12" customHeight="1" x14ac:dyDescent="0.25">
      <c r="B1155" s="15" t="s">
        <v>828</v>
      </c>
      <c r="C1155" s="29">
        <v>0</v>
      </c>
      <c r="D1155" s="16">
        <v>46086</v>
      </c>
      <c r="E1155" s="15" t="s">
        <v>4</v>
      </c>
      <c r="F1155" s="29">
        <v>6440</v>
      </c>
      <c r="G1155" s="29">
        <v>6440</v>
      </c>
      <c r="H1155" s="29">
        <v>6440</v>
      </c>
      <c r="I1155" s="15">
        <v>0</v>
      </c>
      <c r="J1155" s="15">
        <v>74</v>
      </c>
      <c r="K1155" s="30">
        <v>280000</v>
      </c>
      <c r="L1155" s="17">
        <v>46086</v>
      </c>
      <c r="M1155" s="18">
        <v>0</v>
      </c>
      <c r="N1155" s="16"/>
      <c r="O1155" s="19">
        <v>26</v>
      </c>
      <c r="P1155" s="20">
        <v>0</v>
      </c>
      <c r="Q1155" s="29">
        <v>0</v>
      </c>
      <c r="R1155" s="9" t="s">
        <v>180</v>
      </c>
    </row>
    <row r="1156" spans="2:18" ht="12" customHeight="1" x14ac:dyDescent="0.25">
      <c r="B1156" s="15" t="s">
        <v>829</v>
      </c>
      <c r="C1156" s="29">
        <v>49400</v>
      </c>
      <c r="D1156" s="16">
        <v>46086</v>
      </c>
      <c r="E1156" s="15" t="s">
        <v>3</v>
      </c>
      <c r="F1156" s="29">
        <v>51100</v>
      </c>
      <c r="G1156" s="29">
        <v>0</v>
      </c>
      <c r="H1156" s="29">
        <v>51100</v>
      </c>
      <c r="I1156" s="15">
        <v>30</v>
      </c>
      <c r="J1156" s="15">
        <v>76</v>
      </c>
      <c r="K1156" s="30">
        <v>221000</v>
      </c>
      <c r="L1156" s="17">
        <v>46117</v>
      </c>
      <c r="M1156" s="18">
        <v>0</v>
      </c>
      <c r="N1156" s="16"/>
      <c r="O1156" s="19">
        <v>26</v>
      </c>
      <c r="P1156" s="20">
        <v>0</v>
      </c>
      <c r="Q1156" s="29">
        <v>0</v>
      </c>
      <c r="R1156" s="9" t="s">
        <v>180</v>
      </c>
    </row>
    <row r="1157" spans="2:18" ht="12" customHeight="1" x14ac:dyDescent="0.25">
      <c r="B1157" s="15" t="s">
        <v>830</v>
      </c>
      <c r="C1157" s="29">
        <v>21308</v>
      </c>
      <c r="D1157" s="16">
        <v>46086</v>
      </c>
      <c r="E1157" s="15" t="s">
        <v>3</v>
      </c>
      <c r="F1157" s="29">
        <v>22043</v>
      </c>
      <c r="G1157" s="29">
        <v>0</v>
      </c>
      <c r="H1157" s="29">
        <v>22043</v>
      </c>
      <c r="I1157" s="15">
        <v>30</v>
      </c>
      <c r="J1157" s="15">
        <v>81</v>
      </c>
      <c r="K1157" s="30">
        <v>190000</v>
      </c>
      <c r="L1157" s="17">
        <v>46117</v>
      </c>
      <c r="M1157" s="18">
        <v>0</v>
      </c>
      <c r="N1157" s="16"/>
      <c r="O1157" s="19">
        <v>26</v>
      </c>
      <c r="P1157" s="20">
        <v>0</v>
      </c>
      <c r="Q1157" s="29">
        <v>0</v>
      </c>
      <c r="R1157" s="9" t="s">
        <v>180</v>
      </c>
    </row>
    <row r="1158" spans="2:18" ht="12" customHeight="1" x14ac:dyDescent="0.25">
      <c r="B1158" s="15" t="s">
        <v>831</v>
      </c>
      <c r="C1158" s="29">
        <v>8533</v>
      </c>
      <c r="D1158" s="16">
        <v>46086</v>
      </c>
      <c r="E1158" s="15" t="s">
        <v>3</v>
      </c>
      <c r="F1158" s="29">
        <v>9121.77</v>
      </c>
      <c r="G1158" s="29">
        <v>0</v>
      </c>
      <c r="H1158" s="29">
        <v>9121.77</v>
      </c>
      <c r="I1158" s="15">
        <v>60</v>
      </c>
      <c r="J1158" s="15">
        <v>91</v>
      </c>
      <c r="K1158" s="30">
        <v>61000</v>
      </c>
      <c r="L1158" s="17">
        <v>46146</v>
      </c>
      <c r="M1158" s="18">
        <v>0</v>
      </c>
      <c r="N1158" s="16"/>
      <c r="O1158" s="19">
        <v>26</v>
      </c>
      <c r="P1158" s="20">
        <v>0</v>
      </c>
      <c r="Q1158" s="29">
        <v>0</v>
      </c>
      <c r="R1158" s="9" t="s">
        <v>180</v>
      </c>
    </row>
    <row r="1159" spans="2:18" ht="12" customHeight="1" x14ac:dyDescent="0.25">
      <c r="B1159" s="15" t="s">
        <v>832</v>
      </c>
      <c r="C1159" s="29">
        <v>100000</v>
      </c>
      <c r="D1159" s="16">
        <v>46086</v>
      </c>
      <c r="E1159" s="15" t="s">
        <v>3</v>
      </c>
      <c r="F1159" s="29">
        <v>103450</v>
      </c>
      <c r="G1159" s="29">
        <v>0</v>
      </c>
      <c r="H1159" s="29">
        <v>103450</v>
      </c>
      <c r="I1159" s="15">
        <v>30</v>
      </c>
      <c r="J1159" s="15">
        <v>112</v>
      </c>
      <c r="K1159" s="30">
        <v>290000</v>
      </c>
      <c r="L1159" s="17">
        <v>46117</v>
      </c>
      <c r="M1159" s="18">
        <v>0</v>
      </c>
      <c r="N1159" s="16"/>
      <c r="O1159" s="19">
        <v>26</v>
      </c>
      <c r="P1159" s="20">
        <v>0</v>
      </c>
      <c r="Q1159" s="29">
        <v>0</v>
      </c>
      <c r="R1159" s="9" t="s">
        <v>180</v>
      </c>
    </row>
    <row r="1160" spans="2:18" ht="12" customHeight="1" x14ac:dyDescent="0.25">
      <c r="B1160" s="15" t="s">
        <v>833</v>
      </c>
      <c r="C1160" s="29">
        <v>27542</v>
      </c>
      <c r="D1160" s="16">
        <v>46086</v>
      </c>
      <c r="E1160" s="15" t="s">
        <v>3</v>
      </c>
      <c r="F1160" s="29">
        <v>30393</v>
      </c>
      <c r="G1160" s="29">
        <v>0</v>
      </c>
      <c r="H1160" s="29">
        <v>30393</v>
      </c>
      <c r="I1160" s="15">
        <v>90</v>
      </c>
      <c r="J1160" s="15">
        <v>113</v>
      </c>
      <c r="K1160" s="30">
        <v>130000</v>
      </c>
      <c r="L1160" s="17">
        <v>46176</v>
      </c>
      <c r="M1160" s="18">
        <v>0</v>
      </c>
      <c r="N1160" s="16"/>
      <c r="O1160" s="19">
        <v>26</v>
      </c>
      <c r="P1160" s="20">
        <v>0</v>
      </c>
      <c r="Q1160" s="29">
        <v>0</v>
      </c>
      <c r="R1160" s="9" t="s">
        <v>180</v>
      </c>
    </row>
    <row r="1161" spans="2:18" ht="12" customHeight="1" x14ac:dyDescent="0.25">
      <c r="B1161" s="15" t="s">
        <v>834</v>
      </c>
      <c r="C1161" s="29">
        <v>0</v>
      </c>
      <c r="D1161" s="16">
        <v>46086</v>
      </c>
      <c r="E1161" s="15" t="s">
        <v>4</v>
      </c>
      <c r="F1161" s="29">
        <v>732</v>
      </c>
      <c r="G1161" s="29">
        <v>732</v>
      </c>
      <c r="H1161" s="29">
        <v>732</v>
      </c>
      <c r="I1161" s="15">
        <v>0</v>
      </c>
      <c r="J1161" s="15">
        <v>185</v>
      </c>
      <c r="K1161" s="30">
        <v>63000</v>
      </c>
      <c r="L1161" s="17">
        <v>46086</v>
      </c>
      <c r="M1161" s="18">
        <v>0</v>
      </c>
      <c r="N1161" s="16"/>
      <c r="O1161" s="19">
        <v>26</v>
      </c>
      <c r="P1161" s="20">
        <v>0</v>
      </c>
      <c r="Q1161" s="29">
        <v>0</v>
      </c>
      <c r="R1161" s="9" t="s">
        <v>180</v>
      </c>
    </row>
    <row r="1162" spans="2:18" ht="12" customHeight="1" x14ac:dyDescent="0.25">
      <c r="B1162" s="15" t="s">
        <v>835</v>
      </c>
      <c r="C1162" s="29">
        <v>3904</v>
      </c>
      <c r="D1162" s="16">
        <v>46086</v>
      </c>
      <c r="E1162" s="15" t="s">
        <v>2</v>
      </c>
      <c r="F1162" s="29">
        <v>0</v>
      </c>
      <c r="G1162" s="29">
        <v>0</v>
      </c>
      <c r="H1162" s="29">
        <v>4038.71</v>
      </c>
      <c r="I1162" s="15">
        <v>30</v>
      </c>
      <c r="J1162" s="15">
        <v>258</v>
      </c>
      <c r="K1162" s="30">
        <v>200000</v>
      </c>
      <c r="L1162" s="17">
        <v>46117</v>
      </c>
      <c r="M1162" s="18">
        <v>4038</v>
      </c>
      <c r="N1162" s="16">
        <v>46107</v>
      </c>
      <c r="O1162" s="19"/>
      <c r="P1162" s="20">
        <v>134.68</v>
      </c>
      <c r="Q1162" s="29">
        <v>3903.32</v>
      </c>
      <c r="R1162" s="9" t="s">
        <v>180</v>
      </c>
    </row>
    <row r="1163" spans="2:18" ht="12" customHeight="1" x14ac:dyDescent="0.25">
      <c r="B1163" s="15" t="s">
        <v>836</v>
      </c>
      <c r="C1163" s="29">
        <v>19045</v>
      </c>
      <c r="D1163" s="16">
        <v>46086</v>
      </c>
      <c r="E1163" s="15" t="s">
        <v>3</v>
      </c>
      <c r="F1163" s="29">
        <v>21016.03</v>
      </c>
      <c r="G1163" s="29">
        <v>0</v>
      </c>
      <c r="H1163" s="29">
        <v>21016.03</v>
      </c>
      <c r="I1163" s="15">
        <v>90</v>
      </c>
      <c r="J1163" s="15">
        <v>258</v>
      </c>
      <c r="K1163" s="30">
        <v>200000</v>
      </c>
      <c r="L1163" s="17">
        <v>46176</v>
      </c>
      <c r="M1163" s="18">
        <v>0</v>
      </c>
      <c r="N1163" s="16"/>
      <c r="O1163" s="19">
        <v>26</v>
      </c>
      <c r="P1163" s="20">
        <v>0</v>
      </c>
      <c r="Q1163" s="29">
        <v>0</v>
      </c>
      <c r="R1163" s="9" t="s">
        <v>180</v>
      </c>
    </row>
    <row r="1164" spans="2:18" ht="12" customHeight="1" x14ac:dyDescent="0.25">
      <c r="B1164" s="15" t="s">
        <v>837</v>
      </c>
      <c r="C1164" s="29">
        <v>3904</v>
      </c>
      <c r="D1164" s="16">
        <v>46086</v>
      </c>
      <c r="E1164" s="15" t="s">
        <v>3</v>
      </c>
      <c r="F1164" s="29">
        <v>4308.05</v>
      </c>
      <c r="G1164" s="29">
        <v>0</v>
      </c>
      <c r="H1164" s="29">
        <v>4308.05</v>
      </c>
      <c r="I1164" s="15">
        <v>90</v>
      </c>
      <c r="J1164" s="15">
        <v>258</v>
      </c>
      <c r="K1164" s="30">
        <v>200000</v>
      </c>
      <c r="L1164" s="17">
        <v>46176</v>
      </c>
      <c r="M1164" s="18">
        <v>0</v>
      </c>
      <c r="N1164" s="16"/>
      <c r="O1164" s="19">
        <v>26</v>
      </c>
      <c r="P1164" s="20">
        <v>0</v>
      </c>
      <c r="Q1164" s="29">
        <v>0</v>
      </c>
      <c r="R1164" s="9" t="s">
        <v>180</v>
      </c>
    </row>
    <row r="1165" spans="2:18" ht="12" customHeight="1" x14ac:dyDescent="0.25">
      <c r="B1165" s="15" t="s">
        <v>838</v>
      </c>
      <c r="C1165" s="29">
        <v>52300</v>
      </c>
      <c r="D1165" s="16">
        <v>46086</v>
      </c>
      <c r="E1165" s="15" t="s">
        <v>3</v>
      </c>
      <c r="F1165" s="29">
        <v>57712.35</v>
      </c>
      <c r="G1165" s="29">
        <v>0</v>
      </c>
      <c r="H1165" s="29">
        <v>57712.35</v>
      </c>
      <c r="I1165" s="15">
        <v>90</v>
      </c>
      <c r="J1165" s="15">
        <v>291</v>
      </c>
      <c r="K1165" s="30">
        <v>120000</v>
      </c>
      <c r="L1165" s="17">
        <v>46176</v>
      </c>
      <c r="M1165" s="18">
        <v>0</v>
      </c>
      <c r="N1165" s="16"/>
      <c r="O1165" s="19">
        <v>26</v>
      </c>
      <c r="P1165" s="20">
        <v>0</v>
      </c>
      <c r="Q1165" s="29">
        <v>0</v>
      </c>
      <c r="R1165" s="9" t="s">
        <v>180</v>
      </c>
    </row>
    <row r="1166" spans="2:18" ht="12" customHeight="1" x14ac:dyDescent="0.25">
      <c r="B1166" s="15" t="s">
        <v>839</v>
      </c>
      <c r="C1166" s="29">
        <v>432790</v>
      </c>
      <c r="D1166" s="16">
        <v>46086</v>
      </c>
      <c r="E1166" s="15" t="s">
        <v>3</v>
      </c>
      <c r="F1166" s="29">
        <v>477365</v>
      </c>
      <c r="G1166" s="29">
        <v>0</v>
      </c>
      <c r="H1166" s="29">
        <v>477365</v>
      </c>
      <c r="I1166" s="15">
        <v>90</v>
      </c>
      <c r="J1166" s="15">
        <v>72</v>
      </c>
      <c r="K1166" s="30">
        <v>500000</v>
      </c>
      <c r="L1166" s="17">
        <v>46176</v>
      </c>
      <c r="M1166" s="18">
        <v>0</v>
      </c>
      <c r="N1166" s="16"/>
      <c r="O1166" s="19">
        <v>26</v>
      </c>
      <c r="P1166" s="20">
        <v>0</v>
      </c>
      <c r="Q1166" s="29">
        <v>0</v>
      </c>
      <c r="R1166" s="9" t="s">
        <v>180</v>
      </c>
    </row>
    <row r="1167" spans="2:18" ht="12" customHeight="1" x14ac:dyDescent="0.25">
      <c r="B1167" s="15">
        <v>2153</v>
      </c>
      <c r="C1167" s="29">
        <v>16175.33</v>
      </c>
      <c r="D1167" s="16">
        <v>46086</v>
      </c>
      <c r="E1167" s="15" t="s">
        <v>3</v>
      </c>
      <c r="F1167" s="29">
        <v>17849.330000000002</v>
      </c>
      <c r="G1167" s="29">
        <v>0</v>
      </c>
      <c r="H1167" s="29">
        <v>17849.330000000002</v>
      </c>
      <c r="I1167" s="15">
        <v>90</v>
      </c>
      <c r="J1167" s="15">
        <v>138</v>
      </c>
      <c r="K1167" s="30">
        <v>130000</v>
      </c>
      <c r="L1167" s="17">
        <v>46176</v>
      </c>
      <c r="M1167" s="18">
        <v>0</v>
      </c>
      <c r="N1167" s="16"/>
      <c r="O1167" s="19">
        <v>26</v>
      </c>
      <c r="P1167" s="20">
        <v>0</v>
      </c>
      <c r="Q1167" s="29">
        <v>0</v>
      </c>
      <c r="R1167" s="9" t="s">
        <v>180</v>
      </c>
    </row>
    <row r="1168" spans="2:18" ht="12" customHeight="1" x14ac:dyDescent="0.25">
      <c r="B1168" s="15" t="s">
        <v>840</v>
      </c>
      <c r="C1168" s="29">
        <v>171000</v>
      </c>
      <c r="D1168" s="16">
        <v>46089</v>
      </c>
      <c r="E1168" s="15" t="s">
        <v>2</v>
      </c>
      <c r="F1168" s="29">
        <v>0</v>
      </c>
      <c r="G1168" s="29">
        <v>0</v>
      </c>
      <c r="H1168" s="29">
        <v>172942</v>
      </c>
      <c r="I1168" s="15">
        <v>4</v>
      </c>
      <c r="J1168" s="15">
        <v>3</v>
      </c>
      <c r="K1168" s="30">
        <v>1000000</v>
      </c>
      <c r="L1168" s="17">
        <v>46093</v>
      </c>
      <c r="M1168" s="18">
        <v>172966</v>
      </c>
      <c r="N1168" s="16">
        <v>46097</v>
      </c>
      <c r="O1168" s="19"/>
      <c r="P1168" s="20">
        <v>1942.27</v>
      </c>
      <c r="Q1168" s="29">
        <v>171023.73</v>
      </c>
      <c r="R1168" s="9" t="s">
        <v>180</v>
      </c>
    </row>
    <row r="1169" spans="2:18" ht="12" customHeight="1" x14ac:dyDescent="0.25">
      <c r="B1169" s="15" t="s">
        <v>841</v>
      </c>
      <c r="C1169" s="29">
        <v>110200</v>
      </c>
      <c r="D1169" s="16">
        <v>46089</v>
      </c>
      <c r="E1169" s="15" t="s">
        <v>2</v>
      </c>
      <c r="F1169" s="29">
        <v>0</v>
      </c>
      <c r="G1169" s="29">
        <v>0</v>
      </c>
      <c r="H1169" s="29">
        <v>112400.01</v>
      </c>
      <c r="I1169" s="15">
        <v>15</v>
      </c>
      <c r="J1169" s="15">
        <v>3</v>
      </c>
      <c r="K1169" s="30">
        <v>1000000</v>
      </c>
      <c r="L1169" s="17">
        <v>46104</v>
      </c>
      <c r="M1169" s="18">
        <v>112400</v>
      </c>
      <c r="N1169" s="16">
        <v>46104</v>
      </c>
      <c r="O1169" s="19"/>
      <c r="P1169" s="20">
        <v>2200.0100000000002</v>
      </c>
      <c r="Q1169" s="29">
        <v>110199.99</v>
      </c>
      <c r="R1169" s="9" t="s">
        <v>180</v>
      </c>
    </row>
    <row r="1170" spans="2:18" ht="12" customHeight="1" x14ac:dyDescent="0.25">
      <c r="B1170" s="15" t="s">
        <v>842</v>
      </c>
      <c r="C1170" s="29">
        <v>143452</v>
      </c>
      <c r="D1170" s="16">
        <v>46089</v>
      </c>
      <c r="E1170" s="15" t="s">
        <v>4</v>
      </c>
      <c r="F1170" s="29">
        <v>146324.20000000001</v>
      </c>
      <c r="G1170" s="29">
        <v>146324.20000000001</v>
      </c>
      <c r="H1170" s="29">
        <v>146324.20000000001</v>
      </c>
      <c r="I1170" s="15">
        <v>15</v>
      </c>
      <c r="J1170" s="15">
        <v>6</v>
      </c>
      <c r="K1170" s="30">
        <v>810000</v>
      </c>
      <c r="L1170" s="17">
        <v>46104</v>
      </c>
      <c r="M1170" s="18">
        <v>0</v>
      </c>
      <c r="N1170" s="16"/>
      <c r="O1170" s="19">
        <v>23</v>
      </c>
      <c r="P1170" s="20">
        <v>0</v>
      </c>
      <c r="Q1170" s="29">
        <v>0</v>
      </c>
      <c r="R1170" s="9" t="s">
        <v>180</v>
      </c>
    </row>
    <row r="1171" spans="2:18" ht="12" customHeight="1" x14ac:dyDescent="0.25">
      <c r="B1171" s="15" t="s">
        <v>843</v>
      </c>
      <c r="C1171" s="29">
        <v>66410</v>
      </c>
      <c r="D1171" s="16">
        <v>46089</v>
      </c>
      <c r="E1171" s="15" t="s">
        <v>4</v>
      </c>
      <c r="F1171" s="29">
        <v>67737.41</v>
      </c>
      <c r="G1171" s="29">
        <v>67737.41</v>
      </c>
      <c r="H1171" s="29">
        <v>67737.41</v>
      </c>
      <c r="I1171" s="15">
        <v>15</v>
      </c>
      <c r="J1171" s="15">
        <v>6</v>
      </c>
      <c r="K1171" s="30">
        <v>810000</v>
      </c>
      <c r="L1171" s="17">
        <v>46104</v>
      </c>
      <c r="M1171" s="18">
        <v>0</v>
      </c>
      <c r="N1171" s="16"/>
      <c r="O1171" s="19">
        <v>23</v>
      </c>
      <c r="P1171" s="20">
        <v>0</v>
      </c>
      <c r="Q1171" s="29">
        <v>0</v>
      </c>
      <c r="R1171" s="9" t="s">
        <v>180</v>
      </c>
    </row>
    <row r="1172" spans="2:18" ht="12" customHeight="1" x14ac:dyDescent="0.25">
      <c r="B1172" s="15" t="s">
        <v>844</v>
      </c>
      <c r="C1172" s="29">
        <v>181044</v>
      </c>
      <c r="D1172" s="16">
        <v>46089</v>
      </c>
      <c r="E1172" s="15" t="s">
        <v>4</v>
      </c>
      <c r="F1172" s="29">
        <v>184664.13</v>
      </c>
      <c r="G1172" s="29">
        <v>184664.13</v>
      </c>
      <c r="H1172" s="29">
        <v>184664.13</v>
      </c>
      <c r="I1172" s="15">
        <v>15</v>
      </c>
      <c r="J1172" s="15">
        <v>6</v>
      </c>
      <c r="K1172" s="30">
        <v>810000</v>
      </c>
      <c r="L1172" s="17">
        <v>46104</v>
      </c>
      <c r="M1172" s="18">
        <v>0</v>
      </c>
      <c r="N1172" s="16"/>
      <c r="O1172" s="19">
        <v>23</v>
      </c>
      <c r="P1172" s="20">
        <v>0</v>
      </c>
      <c r="Q1172" s="29">
        <v>0</v>
      </c>
      <c r="R1172" s="9" t="s">
        <v>180</v>
      </c>
    </row>
    <row r="1173" spans="2:18" ht="12" customHeight="1" x14ac:dyDescent="0.25">
      <c r="B1173" s="15" t="s">
        <v>845</v>
      </c>
      <c r="C1173" s="29">
        <v>167079</v>
      </c>
      <c r="D1173" s="16">
        <v>46089</v>
      </c>
      <c r="E1173" s="15" t="s">
        <v>4</v>
      </c>
      <c r="F1173" s="29">
        <v>170419.99</v>
      </c>
      <c r="G1173" s="29">
        <v>170419.99</v>
      </c>
      <c r="H1173" s="29">
        <v>170419.99</v>
      </c>
      <c r="I1173" s="15">
        <v>15</v>
      </c>
      <c r="J1173" s="15">
        <v>6</v>
      </c>
      <c r="K1173" s="30">
        <v>810000</v>
      </c>
      <c r="L1173" s="17">
        <v>46104</v>
      </c>
      <c r="M1173" s="18">
        <v>0</v>
      </c>
      <c r="N1173" s="16"/>
      <c r="O1173" s="19">
        <v>23</v>
      </c>
      <c r="P1173" s="20">
        <v>0</v>
      </c>
      <c r="Q1173" s="29">
        <v>0</v>
      </c>
      <c r="R1173" s="9" t="s">
        <v>180</v>
      </c>
    </row>
    <row r="1174" spans="2:18" ht="12" customHeight="1" x14ac:dyDescent="0.25">
      <c r="B1174" s="15" t="s">
        <v>846</v>
      </c>
      <c r="C1174" s="29">
        <v>28065</v>
      </c>
      <c r="D1174" s="16">
        <v>46089</v>
      </c>
      <c r="E1174" s="15" t="s">
        <v>3</v>
      </c>
      <c r="F1174" s="29">
        <v>30001</v>
      </c>
      <c r="G1174" s="29">
        <v>0</v>
      </c>
      <c r="H1174" s="29">
        <v>30001</v>
      </c>
      <c r="I1174" s="15">
        <v>60</v>
      </c>
      <c r="J1174" s="15">
        <v>50</v>
      </c>
      <c r="K1174" s="30">
        <v>84000</v>
      </c>
      <c r="L1174" s="17">
        <v>46149</v>
      </c>
      <c r="M1174" s="18">
        <v>0</v>
      </c>
      <c r="N1174" s="16"/>
      <c r="O1174" s="19">
        <v>23</v>
      </c>
      <c r="P1174" s="20">
        <v>0</v>
      </c>
      <c r="Q1174" s="29">
        <v>0</v>
      </c>
      <c r="R1174" s="9" t="s">
        <v>180</v>
      </c>
    </row>
    <row r="1175" spans="2:18" ht="12" customHeight="1" x14ac:dyDescent="0.25">
      <c r="B1175" s="15" t="s">
        <v>847</v>
      </c>
      <c r="C1175" s="29">
        <v>7949</v>
      </c>
      <c r="D1175" s="16">
        <v>46089</v>
      </c>
      <c r="E1175" s="15" t="s">
        <v>3</v>
      </c>
      <c r="F1175" s="29">
        <v>8497.4699999999993</v>
      </c>
      <c r="G1175" s="29">
        <v>0</v>
      </c>
      <c r="H1175" s="29">
        <v>8497.4699999999993</v>
      </c>
      <c r="I1175" s="15">
        <v>60</v>
      </c>
      <c r="J1175" s="15">
        <v>91</v>
      </c>
      <c r="K1175" s="30">
        <v>61000</v>
      </c>
      <c r="L1175" s="17">
        <v>46149</v>
      </c>
      <c r="M1175" s="18">
        <v>0</v>
      </c>
      <c r="N1175" s="16"/>
      <c r="O1175" s="19">
        <v>23</v>
      </c>
      <c r="P1175" s="20">
        <v>0</v>
      </c>
      <c r="Q1175" s="29">
        <v>0</v>
      </c>
      <c r="R1175" s="9" t="s">
        <v>180</v>
      </c>
    </row>
    <row r="1176" spans="2:18" ht="12" customHeight="1" x14ac:dyDescent="0.25">
      <c r="B1176" s="15" t="s">
        <v>848</v>
      </c>
      <c r="C1176" s="29">
        <v>27600</v>
      </c>
      <c r="D1176" s="16">
        <v>46089</v>
      </c>
      <c r="E1176" s="15" t="s">
        <v>3</v>
      </c>
      <c r="F1176" s="29">
        <v>29505.03</v>
      </c>
      <c r="G1176" s="29">
        <v>0</v>
      </c>
      <c r="H1176" s="29">
        <v>29505.03</v>
      </c>
      <c r="I1176" s="15">
        <v>60</v>
      </c>
      <c r="J1176" s="15">
        <v>113</v>
      </c>
      <c r="K1176" s="30">
        <v>130000</v>
      </c>
      <c r="L1176" s="17">
        <v>46149</v>
      </c>
      <c r="M1176" s="18">
        <v>0</v>
      </c>
      <c r="N1176" s="16"/>
      <c r="O1176" s="19">
        <v>23</v>
      </c>
      <c r="P1176" s="20">
        <v>0</v>
      </c>
      <c r="Q1176" s="29">
        <v>0</v>
      </c>
      <c r="R1176" s="9" t="s">
        <v>180</v>
      </c>
    </row>
    <row r="1177" spans="2:18" ht="12" customHeight="1" x14ac:dyDescent="0.25">
      <c r="B1177" s="15" t="s">
        <v>849</v>
      </c>
      <c r="C1177" s="29">
        <v>45000</v>
      </c>
      <c r="D1177" s="16">
        <v>46089</v>
      </c>
      <c r="E1177" s="15" t="s">
        <v>3</v>
      </c>
      <c r="F1177" s="29">
        <v>46575</v>
      </c>
      <c r="G1177" s="29">
        <v>0</v>
      </c>
      <c r="H1177" s="29">
        <v>46575</v>
      </c>
      <c r="I1177" s="15">
        <v>30</v>
      </c>
      <c r="J1177" s="15">
        <v>139</v>
      </c>
      <c r="K1177" s="30">
        <v>322000</v>
      </c>
      <c r="L1177" s="17">
        <v>46119</v>
      </c>
      <c r="M1177" s="18">
        <v>0</v>
      </c>
      <c r="N1177" s="16"/>
      <c r="O1177" s="19">
        <v>23</v>
      </c>
      <c r="P1177" s="20">
        <v>0</v>
      </c>
      <c r="Q1177" s="29">
        <v>0</v>
      </c>
      <c r="R1177" s="9" t="s">
        <v>180</v>
      </c>
    </row>
    <row r="1178" spans="2:18" ht="12" customHeight="1" x14ac:dyDescent="0.25">
      <c r="B1178" s="15" t="s">
        <v>850</v>
      </c>
      <c r="C1178" s="29">
        <v>10120</v>
      </c>
      <c r="D1178" s="16">
        <v>46089</v>
      </c>
      <c r="E1178" s="15" t="s">
        <v>3</v>
      </c>
      <c r="F1178" s="29">
        <v>10818.28</v>
      </c>
      <c r="G1178" s="29">
        <v>0</v>
      </c>
      <c r="H1178" s="29">
        <v>10818.28</v>
      </c>
      <c r="I1178" s="15">
        <v>60</v>
      </c>
      <c r="J1178" s="15">
        <v>236</v>
      </c>
      <c r="K1178" s="30">
        <v>43478</v>
      </c>
      <c r="L1178" s="17">
        <v>46149</v>
      </c>
      <c r="M1178" s="18">
        <v>0</v>
      </c>
      <c r="N1178" s="16"/>
      <c r="O1178" s="19">
        <v>23</v>
      </c>
      <c r="P1178" s="20">
        <v>0</v>
      </c>
      <c r="Q1178" s="29">
        <v>0</v>
      </c>
      <c r="R1178" s="9" t="s">
        <v>180</v>
      </c>
    </row>
    <row r="1179" spans="2:18" ht="12" customHeight="1" x14ac:dyDescent="0.25">
      <c r="B1179" s="15" t="s">
        <v>851</v>
      </c>
      <c r="C1179" s="29">
        <v>286972</v>
      </c>
      <c r="D1179" s="16">
        <v>46089</v>
      </c>
      <c r="E1179" s="15" t="s">
        <v>3</v>
      </c>
      <c r="F1179" s="29">
        <v>296872.5</v>
      </c>
      <c r="G1179" s="29">
        <v>0</v>
      </c>
      <c r="H1179" s="29">
        <v>296872.5</v>
      </c>
      <c r="I1179" s="15">
        <v>30</v>
      </c>
      <c r="J1179" s="15">
        <v>253</v>
      </c>
      <c r="K1179" s="30">
        <v>410000</v>
      </c>
      <c r="L1179" s="17">
        <v>46119</v>
      </c>
      <c r="M1179" s="18">
        <v>0</v>
      </c>
      <c r="N1179" s="16"/>
      <c r="O1179" s="19">
        <v>23</v>
      </c>
      <c r="P1179" s="20">
        <v>0</v>
      </c>
      <c r="Q1179" s="29">
        <v>0</v>
      </c>
      <c r="R1179" s="9" t="s">
        <v>180</v>
      </c>
    </row>
    <row r="1180" spans="2:18" ht="12" customHeight="1" x14ac:dyDescent="0.25">
      <c r="B1180" s="15" t="s">
        <v>852</v>
      </c>
      <c r="C1180" s="29">
        <v>72495</v>
      </c>
      <c r="D1180" s="16">
        <v>46089</v>
      </c>
      <c r="E1180" s="15" t="s">
        <v>3</v>
      </c>
      <c r="F1180" s="29">
        <v>79998.2</v>
      </c>
      <c r="G1180" s="29">
        <v>0</v>
      </c>
      <c r="H1180" s="29">
        <v>79998.2</v>
      </c>
      <c r="I1180" s="15">
        <v>90</v>
      </c>
      <c r="J1180" s="15">
        <v>296</v>
      </c>
      <c r="K1180" s="30">
        <v>80000</v>
      </c>
      <c r="L1180" s="17">
        <v>46180</v>
      </c>
      <c r="M1180" s="18">
        <v>0</v>
      </c>
      <c r="N1180" s="16"/>
      <c r="O1180" s="19">
        <v>23</v>
      </c>
      <c r="P1180" s="20">
        <v>0</v>
      </c>
      <c r="Q1180" s="29">
        <v>0</v>
      </c>
      <c r="R1180" s="9" t="s">
        <v>180</v>
      </c>
    </row>
    <row r="1181" spans="2:18" ht="12" customHeight="1" x14ac:dyDescent="0.25">
      <c r="B1181" s="15">
        <v>2154</v>
      </c>
      <c r="C1181" s="29">
        <v>20000.8</v>
      </c>
      <c r="D1181" s="16">
        <v>46089</v>
      </c>
      <c r="E1181" s="15" t="s">
        <v>3</v>
      </c>
      <c r="F1181" s="29">
        <v>20690.8</v>
      </c>
      <c r="G1181" s="29">
        <v>0</v>
      </c>
      <c r="H1181" s="29">
        <v>20690.8</v>
      </c>
      <c r="I1181" s="15">
        <v>30</v>
      </c>
      <c r="J1181" s="15">
        <v>280</v>
      </c>
      <c r="K1181" s="30">
        <v>68000</v>
      </c>
      <c r="L1181" s="17">
        <v>46119</v>
      </c>
      <c r="M1181" s="18">
        <v>0</v>
      </c>
      <c r="N1181" s="16"/>
      <c r="O1181" s="19">
        <v>23</v>
      </c>
      <c r="P1181" s="20">
        <v>0</v>
      </c>
      <c r="Q1181" s="29">
        <v>0</v>
      </c>
      <c r="R1181" s="9" t="s">
        <v>180</v>
      </c>
    </row>
    <row r="1182" spans="2:18" ht="12" customHeight="1" x14ac:dyDescent="0.25">
      <c r="B1182" s="15" t="s">
        <v>853</v>
      </c>
      <c r="C1182" s="29">
        <v>483228</v>
      </c>
      <c r="D1182" s="16">
        <v>46090</v>
      </c>
      <c r="E1182" s="15" t="s">
        <v>3</v>
      </c>
      <c r="F1182" s="29">
        <v>499899.37</v>
      </c>
      <c r="G1182" s="29">
        <v>0</v>
      </c>
      <c r="H1182" s="29">
        <v>499899.37</v>
      </c>
      <c r="I1182" s="15">
        <v>30</v>
      </c>
      <c r="J1182" s="15">
        <v>172</v>
      </c>
      <c r="K1182" s="30">
        <v>2000000</v>
      </c>
      <c r="L1182" s="17">
        <v>46120</v>
      </c>
      <c r="M1182" s="18">
        <v>0</v>
      </c>
      <c r="N1182" s="16"/>
      <c r="O1182" s="19">
        <v>22</v>
      </c>
      <c r="P1182" s="20">
        <v>0</v>
      </c>
      <c r="Q1182" s="29">
        <v>0</v>
      </c>
      <c r="R1182" s="9" t="s">
        <v>180</v>
      </c>
    </row>
    <row r="1183" spans="2:18" ht="12" customHeight="1" x14ac:dyDescent="0.25">
      <c r="B1183" s="15" t="s">
        <v>854</v>
      </c>
      <c r="C1183" s="29">
        <v>16611</v>
      </c>
      <c r="D1183" s="16">
        <v>46090</v>
      </c>
      <c r="E1183" s="15" t="s">
        <v>3</v>
      </c>
      <c r="F1183" s="29">
        <v>18331</v>
      </c>
      <c r="G1183" s="29">
        <v>0</v>
      </c>
      <c r="H1183" s="29">
        <v>18331</v>
      </c>
      <c r="I1183" s="15">
        <v>90</v>
      </c>
      <c r="J1183" s="15">
        <v>291</v>
      </c>
      <c r="K1183" s="30">
        <v>120000</v>
      </c>
      <c r="L1183" s="17">
        <v>46180</v>
      </c>
      <c r="M1183" s="18">
        <v>0</v>
      </c>
      <c r="N1183" s="16"/>
      <c r="O1183" s="19">
        <v>22</v>
      </c>
      <c r="P1183" s="20">
        <v>0</v>
      </c>
      <c r="Q1183" s="29">
        <v>0</v>
      </c>
      <c r="R1183" s="9" t="s">
        <v>180</v>
      </c>
    </row>
    <row r="1184" spans="2:18" ht="12" customHeight="1" x14ac:dyDescent="0.25">
      <c r="B1184" s="15" t="s">
        <v>855</v>
      </c>
      <c r="C1184" s="29">
        <v>14950</v>
      </c>
      <c r="D1184" s="16">
        <v>46090</v>
      </c>
      <c r="E1184" s="15" t="s">
        <v>3</v>
      </c>
      <c r="F1184" s="29">
        <v>16497.330000000002</v>
      </c>
      <c r="G1184" s="29">
        <v>0</v>
      </c>
      <c r="H1184" s="29">
        <v>16497.330000000002</v>
      </c>
      <c r="I1184" s="15">
        <v>90</v>
      </c>
      <c r="J1184" s="15">
        <v>297</v>
      </c>
      <c r="K1184" s="30">
        <v>20000</v>
      </c>
      <c r="L1184" s="17">
        <v>46180</v>
      </c>
      <c r="M1184" s="18">
        <v>0</v>
      </c>
      <c r="N1184" s="16"/>
      <c r="O1184" s="19">
        <v>22</v>
      </c>
      <c r="P1184" s="20">
        <v>0</v>
      </c>
      <c r="Q1184" s="29">
        <v>0</v>
      </c>
      <c r="R1184" s="9" t="s">
        <v>180</v>
      </c>
    </row>
    <row r="1185" spans="2:18" ht="12" customHeight="1" x14ac:dyDescent="0.25">
      <c r="B1185" s="15" t="s">
        <v>856</v>
      </c>
      <c r="C1185" s="29">
        <v>172200</v>
      </c>
      <c r="D1185" s="16">
        <v>46091</v>
      </c>
      <c r="E1185" s="15" t="s">
        <v>3</v>
      </c>
      <c r="F1185" s="29">
        <v>178120.04</v>
      </c>
      <c r="G1185" s="29">
        <v>0</v>
      </c>
      <c r="H1185" s="29">
        <v>178120.04</v>
      </c>
      <c r="I1185" s="15">
        <v>30</v>
      </c>
      <c r="J1185" s="15">
        <v>10</v>
      </c>
      <c r="K1185" s="30">
        <v>403000</v>
      </c>
      <c r="L1185" s="17">
        <v>46121</v>
      </c>
      <c r="M1185" s="18">
        <v>0</v>
      </c>
      <c r="N1185" s="16"/>
      <c r="O1185" s="19">
        <v>21</v>
      </c>
      <c r="P1185" s="20">
        <v>0</v>
      </c>
      <c r="Q1185" s="29">
        <v>0</v>
      </c>
      <c r="R1185" s="9" t="s">
        <v>180</v>
      </c>
    </row>
    <row r="1186" spans="2:18" ht="12" customHeight="1" x14ac:dyDescent="0.25">
      <c r="B1186" s="15" t="s">
        <v>857</v>
      </c>
      <c r="C1186" s="29">
        <v>500000</v>
      </c>
      <c r="D1186" s="16">
        <v>46091</v>
      </c>
      <c r="E1186" s="15" t="s">
        <v>3</v>
      </c>
      <c r="F1186" s="29">
        <v>517200</v>
      </c>
      <c r="G1186" s="29">
        <v>0</v>
      </c>
      <c r="H1186" s="29">
        <v>517200</v>
      </c>
      <c r="I1186" s="15">
        <v>30</v>
      </c>
      <c r="J1186" s="15">
        <v>7</v>
      </c>
      <c r="K1186" s="30">
        <v>650000</v>
      </c>
      <c r="L1186" s="17">
        <v>46124</v>
      </c>
      <c r="M1186" s="18">
        <v>0</v>
      </c>
      <c r="N1186" s="16"/>
      <c r="O1186" s="19">
        <v>21</v>
      </c>
      <c r="P1186" s="20">
        <v>0</v>
      </c>
      <c r="Q1186" s="29">
        <v>0</v>
      </c>
      <c r="R1186" s="9" t="s">
        <v>180</v>
      </c>
    </row>
    <row r="1187" spans="2:18" ht="12" customHeight="1" x14ac:dyDescent="0.25">
      <c r="B1187" s="15" t="s">
        <v>858</v>
      </c>
      <c r="C1187" s="29">
        <v>90000</v>
      </c>
      <c r="D1187" s="16">
        <v>46091</v>
      </c>
      <c r="E1187" s="15" t="s">
        <v>3</v>
      </c>
      <c r="F1187" s="29">
        <v>93100.01</v>
      </c>
      <c r="G1187" s="29">
        <v>0</v>
      </c>
      <c r="H1187" s="29">
        <v>93100.01</v>
      </c>
      <c r="I1187" s="15">
        <v>30</v>
      </c>
      <c r="J1187" s="15">
        <v>56</v>
      </c>
      <c r="K1187" s="30">
        <v>320000</v>
      </c>
      <c r="L1187" s="17">
        <v>46121</v>
      </c>
      <c r="M1187" s="18">
        <v>0</v>
      </c>
      <c r="N1187" s="16"/>
      <c r="O1187" s="19">
        <v>21</v>
      </c>
      <c r="P1187" s="20">
        <v>0</v>
      </c>
      <c r="Q1187" s="29">
        <v>0</v>
      </c>
      <c r="R1187" s="9" t="s">
        <v>180</v>
      </c>
    </row>
    <row r="1188" spans="2:18" ht="12" customHeight="1" x14ac:dyDescent="0.25">
      <c r="B1188" s="15" t="s">
        <v>859</v>
      </c>
      <c r="C1188" s="29">
        <v>31200</v>
      </c>
      <c r="D1188" s="16">
        <v>46091</v>
      </c>
      <c r="E1188" s="15" t="s">
        <v>3</v>
      </c>
      <c r="F1188" s="29">
        <v>33000.03</v>
      </c>
      <c r="G1188" s="29">
        <v>0</v>
      </c>
      <c r="H1188" s="29">
        <v>33000.03</v>
      </c>
      <c r="I1188" s="15">
        <v>45</v>
      </c>
      <c r="J1188" s="15">
        <v>113</v>
      </c>
      <c r="K1188" s="30">
        <v>130000</v>
      </c>
      <c r="L1188" s="17">
        <v>46138</v>
      </c>
      <c r="M1188" s="18">
        <v>0</v>
      </c>
      <c r="N1188" s="16"/>
      <c r="O1188" s="19">
        <v>21</v>
      </c>
      <c r="P1188" s="20">
        <v>0</v>
      </c>
      <c r="Q1188" s="29">
        <v>0</v>
      </c>
      <c r="R1188" s="9" t="s">
        <v>180</v>
      </c>
    </row>
    <row r="1189" spans="2:18" ht="12" customHeight="1" x14ac:dyDescent="0.25">
      <c r="B1189" s="15" t="s">
        <v>860</v>
      </c>
      <c r="C1189" s="29">
        <v>505742</v>
      </c>
      <c r="D1189" s="16">
        <v>46091</v>
      </c>
      <c r="E1189" s="15" t="s">
        <v>3</v>
      </c>
      <c r="F1189" s="29">
        <v>523190.1</v>
      </c>
      <c r="G1189" s="29">
        <v>0</v>
      </c>
      <c r="H1189" s="29">
        <v>523190.1</v>
      </c>
      <c r="I1189" s="15">
        <v>30</v>
      </c>
      <c r="J1189" s="15">
        <v>172</v>
      </c>
      <c r="K1189" s="30">
        <v>2000000</v>
      </c>
      <c r="L1189" s="17">
        <v>46121</v>
      </c>
      <c r="M1189" s="18">
        <v>0</v>
      </c>
      <c r="N1189" s="16"/>
      <c r="O1189" s="19">
        <v>21</v>
      </c>
      <c r="P1189" s="20">
        <v>0</v>
      </c>
      <c r="Q1189" s="29">
        <v>0</v>
      </c>
      <c r="R1189" s="9" t="s">
        <v>180</v>
      </c>
    </row>
    <row r="1190" spans="2:18" ht="12" customHeight="1" x14ac:dyDescent="0.25">
      <c r="B1190" s="15" t="s">
        <v>861</v>
      </c>
      <c r="C1190" s="29">
        <v>0</v>
      </c>
      <c r="D1190" s="16">
        <v>46091</v>
      </c>
      <c r="E1190" s="15" t="s">
        <v>4</v>
      </c>
      <c r="F1190" s="29">
        <v>1103</v>
      </c>
      <c r="G1190" s="29">
        <v>1103</v>
      </c>
      <c r="H1190" s="29">
        <v>1103</v>
      </c>
      <c r="I1190" s="15">
        <v>0</v>
      </c>
      <c r="J1190" s="15">
        <v>181</v>
      </c>
      <c r="K1190" s="30">
        <v>95000</v>
      </c>
      <c r="L1190" s="17">
        <v>46091</v>
      </c>
      <c r="M1190" s="18">
        <v>0</v>
      </c>
      <c r="N1190" s="16"/>
      <c r="O1190" s="19">
        <v>21</v>
      </c>
      <c r="P1190" s="20">
        <v>0</v>
      </c>
      <c r="Q1190" s="29">
        <v>0</v>
      </c>
      <c r="R1190" s="9" t="s">
        <v>180</v>
      </c>
    </row>
    <row r="1191" spans="2:18" ht="12" customHeight="1" x14ac:dyDescent="0.25">
      <c r="B1191" s="15" t="s">
        <v>862</v>
      </c>
      <c r="C1191" s="29">
        <v>0</v>
      </c>
      <c r="D1191" s="16">
        <v>46091</v>
      </c>
      <c r="E1191" s="15" t="s">
        <v>4</v>
      </c>
      <c r="F1191" s="29">
        <v>837</v>
      </c>
      <c r="G1191" s="29">
        <v>837</v>
      </c>
      <c r="H1191" s="29">
        <v>837</v>
      </c>
      <c r="I1191" s="15">
        <v>0</v>
      </c>
      <c r="J1191" s="15">
        <v>185</v>
      </c>
      <c r="K1191" s="30">
        <v>63000</v>
      </c>
      <c r="L1191" s="17">
        <v>46091</v>
      </c>
      <c r="M1191" s="18">
        <v>0</v>
      </c>
      <c r="N1191" s="16"/>
      <c r="O1191" s="19">
        <v>21</v>
      </c>
      <c r="P1191" s="20">
        <v>0</v>
      </c>
      <c r="Q1191" s="29">
        <v>0</v>
      </c>
      <c r="R1191" s="9" t="s">
        <v>180</v>
      </c>
    </row>
    <row r="1192" spans="2:18" ht="12" customHeight="1" x14ac:dyDescent="0.25">
      <c r="B1192" s="15" t="s">
        <v>863</v>
      </c>
      <c r="C1192" s="29">
        <v>49724</v>
      </c>
      <c r="D1192" s="16">
        <v>46092</v>
      </c>
      <c r="E1192" s="15" t="s">
        <v>3</v>
      </c>
      <c r="F1192" s="29">
        <v>51502.12</v>
      </c>
      <c r="G1192" s="29">
        <v>0</v>
      </c>
      <c r="H1192" s="29">
        <v>51502.12</v>
      </c>
      <c r="I1192" s="15">
        <v>30</v>
      </c>
      <c r="J1192" s="15">
        <v>22</v>
      </c>
      <c r="K1192" s="30">
        <v>200000</v>
      </c>
      <c r="L1192" s="17">
        <v>46124</v>
      </c>
      <c r="M1192" s="18">
        <v>0</v>
      </c>
      <c r="N1192" s="16"/>
      <c r="O1192" s="19">
        <v>20</v>
      </c>
      <c r="P1192" s="20">
        <v>0</v>
      </c>
      <c r="Q1192" s="29">
        <v>0</v>
      </c>
      <c r="R1192" s="9" t="s">
        <v>180</v>
      </c>
    </row>
    <row r="1193" spans="2:18" ht="12" customHeight="1" x14ac:dyDescent="0.25">
      <c r="B1193" s="15" t="s">
        <v>864</v>
      </c>
      <c r="C1193" s="29">
        <v>31133</v>
      </c>
      <c r="D1193" s="16">
        <v>46092</v>
      </c>
      <c r="E1193" s="15" t="s">
        <v>3</v>
      </c>
      <c r="F1193" s="29">
        <v>29795.09</v>
      </c>
      <c r="G1193" s="29">
        <v>0</v>
      </c>
      <c r="H1193" s="29">
        <v>32207.09</v>
      </c>
      <c r="I1193" s="15">
        <v>30</v>
      </c>
      <c r="J1193" s="15">
        <v>46</v>
      </c>
      <c r="K1193" s="30">
        <v>30000</v>
      </c>
      <c r="L1193" s="17">
        <v>46124</v>
      </c>
      <c r="M1193" s="18">
        <v>2412</v>
      </c>
      <c r="N1193" s="16">
        <v>46091</v>
      </c>
      <c r="O1193" s="19">
        <v>20</v>
      </c>
      <c r="P1193" s="20">
        <v>80.44</v>
      </c>
      <c r="Q1193" s="29">
        <v>2331.56</v>
      </c>
      <c r="R1193" s="9" t="s">
        <v>180</v>
      </c>
    </row>
    <row r="1194" spans="2:18" ht="12" customHeight="1" x14ac:dyDescent="0.25">
      <c r="B1194" s="15" t="s">
        <v>865</v>
      </c>
      <c r="C1194" s="29">
        <v>22000</v>
      </c>
      <c r="D1194" s="16">
        <v>46092</v>
      </c>
      <c r="E1194" s="15" t="s">
        <v>3</v>
      </c>
      <c r="F1194" s="29">
        <v>22770</v>
      </c>
      <c r="G1194" s="29">
        <v>0</v>
      </c>
      <c r="H1194" s="29">
        <v>22770</v>
      </c>
      <c r="I1194" s="15">
        <v>30</v>
      </c>
      <c r="J1194" s="15">
        <v>139</v>
      </c>
      <c r="K1194" s="30">
        <v>322000</v>
      </c>
      <c r="L1194" s="17">
        <v>46124</v>
      </c>
      <c r="M1194" s="18">
        <v>0</v>
      </c>
      <c r="N1194" s="16"/>
      <c r="O1194" s="19">
        <v>20</v>
      </c>
      <c r="P1194" s="20">
        <v>0</v>
      </c>
      <c r="Q1194" s="29">
        <v>0</v>
      </c>
      <c r="R1194" s="9" t="s">
        <v>180</v>
      </c>
    </row>
    <row r="1195" spans="2:18" ht="12" customHeight="1" x14ac:dyDescent="0.25">
      <c r="B1195" s="15" t="s">
        <v>866</v>
      </c>
      <c r="C1195" s="29">
        <v>2818</v>
      </c>
      <c r="D1195" s="16">
        <v>46092</v>
      </c>
      <c r="E1195" s="15" t="s">
        <v>3</v>
      </c>
      <c r="F1195" s="29">
        <v>3012.44</v>
      </c>
      <c r="G1195" s="29">
        <v>0</v>
      </c>
      <c r="H1195" s="29">
        <v>3012.44</v>
      </c>
      <c r="I1195" s="15">
        <v>60</v>
      </c>
      <c r="J1195" s="15">
        <v>236</v>
      </c>
      <c r="K1195" s="30">
        <v>43478</v>
      </c>
      <c r="L1195" s="17">
        <v>46152</v>
      </c>
      <c r="M1195" s="18">
        <v>0</v>
      </c>
      <c r="N1195" s="16"/>
      <c r="O1195" s="19">
        <v>20</v>
      </c>
      <c r="P1195" s="20">
        <v>0</v>
      </c>
      <c r="Q1195" s="29">
        <v>0</v>
      </c>
      <c r="R1195" s="9" t="s">
        <v>180</v>
      </c>
    </row>
    <row r="1196" spans="2:18" ht="12" customHeight="1" x14ac:dyDescent="0.25">
      <c r="B1196" s="15" t="s">
        <v>867</v>
      </c>
      <c r="C1196" s="29">
        <v>368288</v>
      </c>
      <c r="D1196" s="16">
        <v>46092</v>
      </c>
      <c r="E1196" s="15" t="s">
        <v>3</v>
      </c>
      <c r="F1196" s="29">
        <v>380993.84</v>
      </c>
      <c r="G1196" s="29">
        <v>0</v>
      </c>
      <c r="H1196" s="29">
        <v>380993.84</v>
      </c>
      <c r="I1196" s="15">
        <v>30</v>
      </c>
      <c r="J1196" s="15">
        <v>298</v>
      </c>
      <c r="K1196" s="30">
        <v>2000000</v>
      </c>
      <c r="L1196" s="17">
        <v>46124</v>
      </c>
      <c r="M1196" s="18">
        <v>0</v>
      </c>
      <c r="N1196" s="16"/>
      <c r="O1196" s="19">
        <v>20</v>
      </c>
      <c r="P1196" s="20">
        <v>0</v>
      </c>
      <c r="Q1196" s="29">
        <v>0</v>
      </c>
      <c r="R1196" s="9" t="s">
        <v>180</v>
      </c>
    </row>
    <row r="1197" spans="2:18" ht="12" customHeight="1" x14ac:dyDescent="0.25">
      <c r="B1197" s="15" t="s">
        <v>868</v>
      </c>
      <c r="C1197" s="29">
        <v>166350</v>
      </c>
      <c r="D1197" s="16">
        <v>46093</v>
      </c>
      <c r="E1197" s="15" t="s">
        <v>2</v>
      </c>
      <c r="F1197" s="29">
        <v>0</v>
      </c>
      <c r="G1197" s="29">
        <v>0</v>
      </c>
      <c r="H1197" s="29">
        <v>168235</v>
      </c>
      <c r="I1197" s="15">
        <v>4</v>
      </c>
      <c r="J1197" s="15">
        <v>3</v>
      </c>
      <c r="K1197" s="30">
        <v>1000000</v>
      </c>
      <c r="L1197" s="17">
        <v>46100</v>
      </c>
      <c r="M1197" s="18">
        <v>168335</v>
      </c>
      <c r="N1197" s="16">
        <v>46104</v>
      </c>
      <c r="O1197" s="19"/>
      <c r="P1197" s="20">
        <v>1886.12</v>
      </c>
      <c r="Q1197" s="29">
        <v>166448.88</v>
      </c>
      <c r="R1197" s="9" t="s">
        <v>180</v>
      </c>
    </row>
    <row r="1198" spans="2:18" ht="12" customHeight="1" x14ac:dyDescent="0.25">
      <c r="B1198" s="15" t="s">
        <v>869</v>
      </c>
      <c r="C1198" s="29">
        <v>172943</v>
      </c>
      <c r="D1198" s="16">
        <v>46093</v>
      </c>
      <c r="E1198" s="15" t="s">
        <v>3</v>
      </c>
      <c r="F1198" s="29">
        <v>178909.53</v>
      </c>
      <c r="G1198" s="29">
        <v>0</v>
      </c>
      <c r="H1198" s="29">
        <v>178909.53</v>
      </c>
      <c r="I1198" s="15">
        <v>30</v>
      </c>
      <c r="J1198" s="15">
        <v>29</v>
      </c>
      <c r="K1198" s="30">
        <v>1240000</v>
      </c>
      <c r="L1198" s="17">
        <v>46124</v>
      </c>
      <c r="M1198" s="18">
        <v>0</v>
      </c>
      <c r="N1198" s="16"/>
      <c r="O1198" s="19">
        <v>19</v>
      </c>
      <c r="P1198" s="20">
        <v>0</v>
      </c>
      <c r="Q1198" s="29">
        <v>0</v>
      </c>
      <c r="R1198" s="9" t="s">
        <v>180</v>
      </c>
    </row>
    <row r="1199" spans="2:18" ht="12" customHeight="1" x14ac:dyDescent="0.25">
      <c r="B1199" s="15" t="s">
        <v>870</v>
      </c>
      <c r="C1199" s="29">
        <v>87000</v>
      </c>
      <c r="D1199" s="16">
        <v>46093</v>
      </c>
      <c r="E1199" s="15" t="s">
        <v>3</v>
      </c>
      <c r="F1199" s="29">
        <v>90000</v>
      </c>
      <c r="G1199" s="29">
        <v>0</v>
      </c>
      <c r="H1199" s="29">
        <v>90000</v>
      </c>
      <c r="I1199" s="15">
        <v>30</v>
      </c>
      <c r="J1199" s="15">
        <v>269</v>
      </c>
      <c r="K1199" s="30">
        <v>90000</v>
      </c>
      <c r="L1199" s="17">
        <v>46124</v>
      </c>
      <c r="M1199" s="18">
        <v>0</v>
      </c>
      <c r="N1199" s="16"/>
      <c r="O1199" s="19">
        <v>19</v>
      </c>
      <c r="P1199" s="20">
        <v>0</v>
      </c>
      <c r="Q1199" s="29">
        <v>0</v>
      </c>
      <c r="R1199" s="9" t="s">
        <v>180</v>
      </c>
    </row>
    <row r="1200" spans="2:18" ht="12" customHeight="1" x14ac:dyDescent="0.25">
      <c r="B1200" s="15" t="s">
        <v>871</v>
      </c>
      <c r="C1200" s="29">
        <v>12794</v>
      </c>
      <c r="D1200" s="16">
        <v>46093</v>
      </c>
      <c r="E1200" s="15" t="s">
        <v>3</v>
      </c>
      <c r="F1200" s="29">
        <v>13676.76</v>
      </c>
      <c r="G1200" s="29">
        <v>0</v>
      </c>
      <c r="H1200" s="29">
        <v>13676.76</v>
      </c>
      <c r="I1200" s="15">
        <v>60</v>
      </c>
      <c r="J1200" s="15">
        <v>91</v>
      </c>
      <c r="K1200" s="30">
        <v>61000</v>
      </c>
      <c r="L1200" s="17">
        <v>46153</v>
      </c>
      <c r="M1200" s="18">
        <v>0</v>
      </c>
      <c r="N1200" s="16"/>
      <c r="O1200" s="19">
        <v>19</v>
      </c>
      <c r="P1200" s="20">
        <v>0</v>
      </c>
      <c r="Q1200" s="29">
        <v>0</v>
      </c>
      <c r="R1200" s="9" t="s">
        <v>180</v>
      </c>
    </row>
    <row r="1201" spans="2:18" ht="12" customHeight="1" x14ac:dyDescent="0.25">
      <c r="B1201" s="15" t="s">
        <v>872</v>
      </c>
      <c r="C1201" s="29">
        <v>31050</v>
      </c>
      <c r="D1201" s="16">
        <v>46093</v>
      </c>
      <c r="E1201" s="15" t="s">
        <v>3</v>
      </c>
      <c r="F1201" s="29">
        <v>32121.23</v>
      </c>
      <c r="G1201" s="29">
        <v>0</v>
      </c>
      <c r="H1201" s="29">
        <v>32121.23</v>
      </c>
      <c r="I1201" s="15">
        <v>30</v>
      </c>
      <c r="J1201" s="15">
        <v>164</v>
      </c>
      <c r="K1201" s="30">
        <v>200000</v>
      </c>
      <c r="L1201" s="17">
        <v>46124</v>
      </c>
      <c r="M1201" s="18">
        <v>0</v>
      </c>
      <c r="N1201" s="16"/>
      <c r="O1201" s="19">
        <v>19</v>
      </c>
      <c r="P1201" s="20">
        <v>0</v>
      </c>
      <c r="Q1201" s="29">
        <v>0</v>
      </c>
      <c r="R1201" s="9" t="s">
        <v>180</v>
      </c>
    </row>
    <row r="1202" spans="2:18" ht="12" customHeight="1" x14ac:dyDescent="0.25">
      <c r="B1202" s="15" t="s">
        <v>873</v>
      </c>
      <c r="C1202" s="29">
        <v>260000</v>
      </c>
      <c r="D1202" s="16">
        <v>46093</v>
      </c>
      <c r="E1202" s="15" t="s">
        <v>3</v>
      </c>
      <c r="F1202" s="29">
        <v>268967.52</v>
      </c>
      <c r="G1202" s="29">
        <v>0</v>
      </c>
      <c r="H1202" s="29">
        <v>268967.52</v>
      </c>
      <c r="I1202" s="15">
        <v>30</v>
      </c>
      <c r="J1202" s="15">
        <v>199</v>
      </c>
      <c r="K1202" s="30">
        <v>270000</v>
      </c>
      <c r="L1202" s="17">
        <v>46124</v>
      </c>
      <c r="M1202" s="18">
        <v>0</v>
      </c>
      <c r="N1202" s="16"/>
      <c r="O1202" s="19">
        <v>19</v>
      </c>
      <c r="P1202" s="20">
        <v>0</v>
      </c>
      <c r="Q1202" s="29">
        <v>0</v>
      </c>
      <c r="R1202" s="9" t="s">
        <v>180</v>
      </c>
    </row>
    <row r="1203" spans="2:18" ht="12" customHeight="1" x14ac:dyDescent="0.25">
      <c r="B1203" s="15" t="s">
        <v>874</v>
      </c>
      <c r="C1203" s="29">
        <v>0</v>
      </c>
      <c r="D1203" s="16">
        <v>46093</v>
      </c>
      <c r="E1203" s="15" t="s">
        <v>2</v>
      </c>
      <c r="F1203" s="29">
        <v>0</v>
      </c>
      <c r="G1203" s="29">
        <v>0</v>
      </c>
      <c r="H1203" s="29">
        <v>1025</v>
      </c>
      <c r="I1203" s="15">
        <v>0</v>
      </c>
      <c r="J1203" s="15">
        <v>258</v>
      </c>
      <c r="K1203" s="30">
        <v>200000</v>
      </c>
      <c r="L1203" s="17">
        <v>46093</v>
      </c>
      <c r="M1203" s="18">
        <v>1025</v>
      </c>
      <c r="N1203" s="16">
        <v>46084</v>
      </c>
      <c r="O1203" s="19"/>
      <c r="P1203" s="20">
        <v>1025</v>
      </c>
      <c r="Q1203" s="29">
        <v>0</v>
      </c>
      <c r="R1203" s="9" t="s">
        <v>180</v>
      </c>
    </row>
    <row r="1204" spans="2:18" ht="12" customHeight="1" x14ac:dyDescent="0.25">
      <c r="B1204" s="15" t="s">
        <v>875</v>
      </c>
      <c r="C1204" s="29">
        <v>1092500</v>
      </c>
      <c r="D1204" s="16">
        <v>46093</v>
      </c>
      <c r="E1204" s="15" t="s">
        <v>3</v>
      </c>
      <c r="F1204" s="29">
        <v>1130192</v>
      </c>
      <c r="G1204" s="29">
        <v>0</v>
      </c>
      <c r="H1204" s="29">
        <v>1130192</v>
      </c>
      <c r="I1204" s="15">
        <v>30</v>
      </c>
      <c r="J1204" s="15">
        <v>298</v>
      </c>
      <c r="K1204" s="30">
        <v>2000000</v>
      </c>
      <c r="L1204" s="17">
        <v>46124</v>
      </c>
      <c r="M1204" s="18">
        <v>0</v>
      </c>
      <c r="N1204" s="16"/>
      <c r="O1204" s="19">
        <v>19</v>
      </c>
      <c r="P1204" s="20">
        <v>0</v>
      </c>
      <c r="Q1204" s="29">
        <v>0</v>
      </c>
      <c r="R1204" s="9" t="s">
        <v>180</v>
      </c>
    </row>
    <row r="1205" spans="2:18" ht="12" customHeight="1" x14ac:dyDescent="0.25">
      <c r="B1205" s="15" t="s">
        <v>876</v>
      </c>
      <c r="C1205" s="29">
        <v>860050</v>
      </c>
      <c r="D1205" s="16">
        <v>46093</v>
      </c>
      <c r="E1205" s="15" t="s">
        <v>3</v>
      </c>
      <c r="F1205" s="29">
        <v>949968.98</v>
      </c>
      <c r="G1205" s="29">
        <v>0</v>
      </c>
      <c r="H1205" s="29">
        <v>949968.98</v>
      </c>
      <c r="I1205" s="15">
        <v>90</v>
      </c>
      <c r="J1205" s="15">
        <v>300</v>
      </c>
      <c r="K1205" s="30">
        <v>950000</v>
      </c>
      <c r="L1205" s="17">
        <v>46183</v>
      </c>
      <c r="M1205" s="18">
        <v>0</v>
      </c>
      <c r="N1205" s="16"/>
      <c r="O1205" s="19">
        <v>19</v>
      </c>
      <c r="P1205" s="20">
        <v>0</v>
      </c>
      <c r="Q1205" s="29">
        <v>0</v>
      </c>
      <c r="R1205" s="9" t="s">
        <v>180</v>
      </c>
    </row>
    <row r="1206" spans="2:18" ht="12" customHeight="1" x14ac:dyDescent="0.25">
      <c r="B1206" s="15" t="s">
        <v>877</v>
      </c>
      <c r="C1206" s="29">
        <v>63410</v>
      </c>
      <c r="D1206" s="16">
        <v>46093</v>
      </c>
      <c r="E1206" s="15" t="s">
        <v>3</v>
      </c>
      <c r="F1206" s="29">
        <v>69972.94</v>
      </c>
      <c r="G1206" s="29">
        <v>0</v>
      </c>
      <c r="H1206" s="29">
        <v>69972.94</v>
      </c>
      <c r="I1206" s="15">
        <v>90</v>
      </c>
      <c r="J1206" s="15">
        <v>299</v>
      </c>
      <c r="K1206" s="30">
        <v>70000</v>
      </c>
      <c r="L1206" s="17">
        <v>46183</v>
      </c>
      <c r="M1206" s="18">
        <v>0</v>
      </c>
      <c r="N1206" s="16"/>
      <c r="O1206" s="19">
        <v>19</v>
      </c>
      <c r="P1206" s="20">
        <v>0</v>
      </c>
      <c r="Q1206" s="29">
        <v>0</v>
      </c>
      <c r="R1206" s="9" t="s">
        <v>180</v>
      </c>
    </row>
    <row r="1207" spans="2:18" ht="12" customHeight="1" x14ac:dyDescent="0.25">
      <c r="B1207" s="15" t="s">
        <v>878</v>
      </c>
      <c r="C1207" s="29">
        <v>169954</v>
      </c>
      <c r="D1207" s="16">
        <v>46096</v>
      </c>
      <c r="E1207" s="15" t="s">
        <v>3</v>
      </c>
      <c r="F1207" s="29">
        <v>175817.42</v>
      </c>
      <c r="G1207" s="29">
        <v>0</v>
      </c>
      <c r="H1207" s="29">
        <v>175817.42</v>
      </c>
      <c r="I1207" s="15">
        <v>30</v>
      </c>
      <c r="J1207" s="15">
        <v>29</v>
      </c>
      <c r="K1207" s="30">
        <v>1240000</v>
      </c>
      <c r="L1207" s="17">
        <v>46126</v>
      </c>
      <c r="M1207" s="18">
        <v>0</v>
      </c>
      <c r="N1207" s="16"/>
      <c r="O1207" s="19">
        <v>16</v>
      </c>
      <c r="P1207" s="20">
        <v>0</v>
      </c>
      <c r="Q1207" s="29">
        <v>0</v>
      </c>
      <c r="R1207" s="9" t="s">
        <v>180</v>
      </c>
    </row>
    <row r="1208" spans="2:18" ht="12" customHeight="1" x14ac:dyDescent="0.25">
      <c r="B1208" s="15" t="s">
        <v>879</v>
      </c>
      <c r="C1208" s="29">
        <v>152896</v>
      </c>
      <c r="D1208" s="16">
        <v>46096</v>
      </c>
      <c r="E1208" s="15" t="s">
        <v>3</v>
      </c>
      <c r="F1208" s="29">
        <v>158170.91</v>
      </c>
      <c r="G1208" s="29">
        <v>0</v>
      </c>
      <c r="H1208" s="29">
        <v>158170.91</v>
      </c>
      <c r="I1208" s="15">
        <v>30</v>
      </c>
      <c r="J1208" s="15">
        <v>29</v>
      </c>
      <c r="K1208" s="30">
        <v>1240000</v>
      </c>
      <c r="L1208" s="17">
        <v>46126</v>
      </c>
      <c r="M1208" s="18">
        <v>0</v>
      </c>
      <c r="N1208" s="16"/>
      <c r="O1208" s="19">
        <v>16</v>
      </c>
      <c r="P1208" s="20">
        <v>0</v>
      </c>
      <c r="Q1208" s="29">
        <v>0</v>
      </c>
      <c r="R1208" s="9" t="s">
        <v>180</v>
      </c>
    </row>
    <row r="1209" spans="2:18" ht="12" customHeight="1" x14ac:dyDescent="0.25">
      <c r="B1209" s="15" t="s">
        <v>880</v>
      </c>
      <c r="C1209" s="29">
        <v>50071</v>
      </c>
      <c r="D1209" s="16">
        <v>46096</v>
      </c>
      <c r="E1209" s="15" t="s">
        <v>3</v>
      </c>
      <c r="F1209" s="29">
        <v>53527.08</v>
      </c>
      <c r="G1209" s="29">
        <v>0</v>
      </c>
      <c r="H1209" s="29">
        <v>53527.08</v>
      </c>
      <c r="I1209" s="15">
        <v>60</v>
      </c>
      <c r="J1209" s="15">
        <v>123</v>
      </c>
      <c r="K1209" s="30">
        <v>100000</v>
      </c>
      <c r="L1209" s="17">
        <v>46156</v>
      </c>
      <c r="M1209" s="18">
        <v>0</v>
      </c>
      <c r="N1209" s="16"/>
      <c r="O1209" s="19">
        <v>16</v>
      </c>
      <c r="P1209" s="20">
        <v>0</v>
      </c>
      <c r="Q1209" s="29">
        <v>0</v>
      </c>
      <c r="R1209" s="9" t="s">
        <v>180</v>
      </c>
    </row>
    <row r="1210" spans="2:18" ht="12" customHeight="1" x14ac:dyDescent="0.25">
      <c r="B1210" s="15" t="s">
        <v>881</v>
      </c>
      <c r="C1210" s="29">
        <v>83000</v>
      </c>
      <c r="D1210" s="16">
        <v>46096</v>
      </c>
      <c r="E1210" s="15" t="s">
        <v>3</v>
      </c>
      <c r="F1210" s="29">
        <v>91590.53</v>
      </c>
      <c r="G1210" s="29">
        <v>0</v>
      </c>
      <c r="H1210" s="29">
        <v>91590.53</v>
      </c>
      <c r="I1210" s="15">
        <v>90</v>
      </c>
      <c r="J1210" s="15">
        <v>79</v>
      </c>
      <c r="K1210" s="30">
        <v>92000</v>
      </c>
      <c r="L1210" s="17">
        <v>46187</v>
      </c>
      <c r="M1210" s="18">
        <v>0</v>
      </c>
      <c r="N1210" s="16"/>
      <c r="O1210" s="19">
        <v>16</v>
      </c>
      <c r="P1210" s="20">
        <v>0</v>
      </c>
      <c r="Q1210" s="29">
        <v>0</v>
      </c>
      <c r="R1210" s="9" t="s">
        <v>180</v>
      </c>
    </row>
    <row r="1211" spans="2:18" ht="12" customHeight="1" x14ac:dyDescent="0.25">
      <c r="B1211" s="15" t="s">
        <v>882</v>
      </c>
      <c r="C1211" s="29">
        <v>27185</v>
      </c>
      <c r="D1211" s="16">
        <v>46096</v>
      </c>
      <c r="E1211" s="15" t="s">
        <v>3</v>
      </c>
      <c r="F1211" s="29">
        <v>29993</v>
      </c>
      <c r="G1211" s="29">
        <v>0</v>
      </c>
      <c r="H1211" s="29">
        <v>29993</v>
      </c>
      <c r="I1211" s="15">
        <v>90</v>
      </c>
      <c r="J1211" s="15">
        <v>93</v>
      </c>
      <c r="K1211" s="30">
        <v>30000</v>
      </c>
      <c r="L1211" s="17">
        <v>46187</v>
      </c>
      <c r="M1211" s="18">
        <v>0</v>
      </c>
      <c r="N1211" s="16"/>
      <c r="O1211" s="19">
        <v>16</v>
      </c>
      <c r="P1211" s="20">
        <v>0</v>
      </c>
      <c r="Q1211" s="29">
        <v>0</v>
      </c>
      <c r="R1211" s="9" t="s">
        <v>180</v>
      </c>
    </row>
    <row r="1212" spans="2:18" ht="12" customHeight="1" x14ac:dyDescent="0.25">
      <c r="B1212" s="15" t="s">
        <v>883</v>
      </c>
      <c r="C1212" s="29">
        <v>57199</v>
      </c>
      <c r="D1212" s="16">
        <v>46096</v>
      </c>
      <c r="E1212" s="15" t="s">
        <v>3</v>
      </c>
      <c r="F1212" s="29">
        <v>59202.31</v>
      </c>
      <c r="G1212" s="29">
        <v>0</v>
      </c>
      <c r="H1212" s="29">
        <v>59202.31</v>
      </c>
      <c r="I1212" s="15">
        <v>30</v>
      </c>
      <c r="J1212" s="15">
        <v>139</v>
      </c>
      <c r="K1212" s="30">
        <v>322000</v>
      </c>
      <c r="L1212" s="17">
        <v>46126</v>
      </c>
      <c r="M1212" s="18">
        <v>0</v>
      </c>
      <c r="N1212" s="16"/>
      <c r="O1212" s="19">
        <v>16</v>
      </c>
      <c r="P1212" s="20">
        <v>0</v>
      </c>
      <c r="Q1212" s="29">
        <v>0</v>
      </c>
      <c r="R1212" s="9" t="s">
        <v>180</v>
      </c>
    </row>
    <row r="1213" spans="2:18" ht="12" customHeight="1" x14ac:dyDescent="0.25">
      <c r="B1213" s="15" t="s">
        <v>884</v>
      </c>
      <c r="C1213" s="29">
        <v>24323</v>
      </c>
      <c r="D1213" s="16">
        <v>46096</v>
      </c>
      <c r="E1213" s="15" t="s">
        <v>3</v>
      </c>
      <c r="F1213" s="29">
        <v>25165.52</v>
      </c>
      <c r="G1213" s="29">
        <v>0</v>
      </c>
      <c r="H1213" s="29">
        <v>25165.52</v>
      </c>
      <c r="I1213" s="15">
        <v>30</v>
      </c>
      <c r="J1213" s="15">
        <v>159</v>
      </c>
      <c r="K1213" s="30">
        <v>129000</v>
      </c>
      <c r="L1213" s="17">
        <v>46126</v>
      </c>
      <c r="M1213" s="18">
        <v>0</v>
      </c>
      <c r="N1213" s="16"/>
      <c r="O1213" s="19">
        <v>16</v>
      </c>
      <c r="P1213" s="20">
        <v>0</v>
      </c>
      <c r="Q1213" s="29">
        <v>0</v>
      </c>
      <c r="R1213" s="9" t="s">
        <v>180</v>
      </c>
    </row>
    <row r="1214" spans="2:18" ht="12" customHeight="1" x14ac:dyDescent="0.25">
      <c r="B1214" s="15" t="s">
        <v>885</v>
      </c>
      <c r="C1214" s="29">
        <v>0</v>
      </c>
      <c r="D1214" s="16">
        <v>46096</v>
      </c>
      <c r="E1214" s="15" t="s">
        <v>4</v>
      </c>
      <c r="F1214" s="29">
        <v>2864</v>
      </c>
      <c r="G1214" s="29">
        <v>2864</v>
      </c>
      <c r="H1214" s="29">
        <v>2864</v>
      </c>
      <c r="I1214" s="15">
        <v>0</v>
      </c>
      <c r="J1214" s="15">
        <v>208</v>
      </c>
      <c r="K1214" s="30">
        <v>50000</v>
      </c>
      <c r="L1214" s="17">
        <v>46096</v>
      </c>
      <c r="M1214" s="18">
        <v>0</v>
      </c>
      <c r="N1214" s="16"/>
      <c r="O1214" s="19">
        <v>16</v>
      </c>
      <c r="P1214" s="20">
        <v>0</v>
      </c>
      <c r="Q1214" s="29">
        <v>0</v>
      </c>
      <c r="R1214" s="9" t="s">
        <v>180</v>
      </c>
    </row>
    <row r="1215" spans="2:18" ht="12" customHeight="1" x14ac:dyDescent="0.25">
      <c r="B1215" s="15">
        <v>2423</v>
      </c>
      <c r="C1215" s="29">
        <v>11054.9</v>
      </c>
      <c r="D1215" s="16">
        <v>46096</v>
      </c>
      <c r="E1215" s="15" t="s">
        <v>3</v>
      </c>
      <c r="F1215" s="29">
        <v>12198.9</v>
      </c>
      <c r="G1215" s="29">
        <v>0</v>
      </c>
      <c r="H1215" s="29">
        <v>12198.9</v>
      </c>
      <c r="I1215" s="15">
        <v>90</v>
      </c>
      <c r="J1215" s="15">
        <v>138</v>
      </c>
      <c r="K1215" s="30">
        <v>130000</v>
      </c>
      <c r="L1215" s="17">
        <v>46187</v>
      </c>
      <c r="M1215" s="18">
        <v>0</v>
      </c>
      <c r="N1215" s="16"/>
      <c r="O1215" s="19">
        <v>16</v>
      </c>
      <c r="P1215" s="20">
        <v>0</v>
      </c>
      <c r="Q1215" s="29">
        <v>0</v>
      </c>
      <c r="R1215" s="9" t="s">
        <v>180</v>
      </c>
    </row>
    <row r="1216" spans="2:18" ht="12" customHeight="1" x14ac:dyDescent="0.25">
      <c r="B1216" s="15">
        <v>2422</v>
      </c>
      <c r="C1216" s="29">
        <v>26664.09</v>
      </c>
      <c r="D1216" s="16">
        <v>46096</v>
      </c>
      <c r="E1216" s="15" t="s">
        <v>3</v>
      </c>
      <c r="F1216" s="29">
        <v>27584.09</v>
      </c>
      <c r="G1216" s="29">
        <v>0</v>
      </c>
      <c r="H1216" s="29">
        <v>27584.09</v>
      </c>
      <c r="I1216" s="15">
        <v>30</v>
      </c>
      <c r="J1216" s="15">
        <v>277</v>
      </c>
      <c r="K1216" s="30">
        <v>220000</v>
      </c>
      <c r="L1216" s="17">
        <v>46126</v>
      </c>
      <c r="M1216" s="18">
        <v>0</v>
      </c>
      <c r="N1216" s="16"/>
      <c r="O1216" s="19">
        <v>16</v>
      </c>
      <c r="P1216" s="20">
        <v>0</v>
      </c>
      <c r="Q1216" s="29">
        <v>0</v>
      </c>
      <c r="R1216" s="9" t="s">
        <v>180</v>
      </c>
    </row>
    <row r="1217" spans="2:18" ht="12" customHeight="1" x14ac:dyDescent="0.25">
      <c r="B1217" s="15" t="s">
        <v>886</v>
      </c>
      <c r="C1217" s="29">
        <v>167550</v>
      </c>
      <c r="D1217" s="16">
        <v>46097</v>
      </c>
      <c r="E1217" s="15" t="s">
        <v>2</v>
      </c>
      <c r="F1217" s="29">
        <v>0</v>
      </c>
      <c r="G1217" s="29">
        <v>0</v>
      </c>
      <c r="H1217" s="29">
        <v>169459.99</v>
      </c>
      <c r="I1217" s="15">
        <v>4</v>
      </c>
      <c r="J1217" s="15">
        <v>3</v>
      </c>
      <c r="K1217" s="30">
        <v>1000000</v>
      </c>
      <c r="L1217" s="17">
        <v>46103</v>
      </c>
      <c r="M1217" s="18">
        <v>169460</v>
      </c>
      <c r="N1217" s="16">
        <v>46105</v>
      </c>
      <c r="O1217" s="19"/>
      <c r="P1217" s="20">
        <v>1909.99</v>
      </c>
      <c r="Q1217" s="29">
        <v>167550.01</v>
      </c>
      <c r="R1217" s="9" t="s">
        <v>180</v>
      </c>
    </row>
    <row r="1218" spans="2:18" ht="12" customHeight="1" x14ac:dyDescent="0.25">
      <c r="B1218" s="15" t="s">
        <v>887</v>
      </c>
      <c r="C1218" s="29">
        <v>150000</v>
      </c>
      <c r="D1218" s="16">
        <v>46097</v>
      </c>
      <c r="E1218" s="15" t="s">
        <v>3</v>
      </c>
      <c r="F1218" s="29">
        <v>155175</v>
      </c>
      <c r="G1218" s="29">
        <v>0</v>
      </c>
      <c r="H1218" s="29">
        <v>155175</v>
      </c>
      <c r="I1218" s="15">
        <v>30</v>
      </c>
      <c r="J1218" s="15">
        <v>17</v>
      </c>
      <c r="K1218" s="30">
        <v>2400000</v>
      </c>
      <c r="L1218" s="17">
        <v>46127</v>
      </c>
      <c r="M1218" s="18">
        <v>0</v>
      </c>
      <c r="N1218" s="16"/>
      <c r="O1218" s="19">
        <v>15</v>
      </c>
      <c r="P1218" s="20">
        <v>0</v>
      </c>
      <c r="Q1218" s="29">
        <v>0</v>
      </c>
      <c r="R1218" s="9" t="s">
        <v>180</v>
      </c>
    </row>
    <row r="1219" spans="2:18" ht="12" customHeight="1" x14ac:dyDescent="0.25">
      <c r="B1219" s="15" t="s">
        <v>888</v>
      </c>
      <c r="C1219" s="29">
        <v>150000</v>
      </c>
      <c r="D1219" s="16">
        <v>46097</v>
      </c>
      <c r="E1219" s="15" t="s">
        <v>3</v>
      </c>
      <c r="F1219" s="29">
        <v>155175</v>
      </c>
      <c r="G1219" s="29">
        <v>0</v>
      </c>
      <c r="H1219" s="29">
        <v>155175</v>
      </c>
      <c r="I1219" s="15">
        <v>30</v>
      </c>
      <c r="J1219" s="15">
        <v>17</v>
      </c>
      <c r="K1219" s="30">
        <v>2400000</v>
      </c>
      <c r="L1219" s="17">
        <v>46127</v>
      </c>
      <c r="M1219" s="18">
        <v>0</v>
      </c>
      <c r="N1219" s="16"/>
      <c r="O1219" s="19">
        <v>15</v>
      </c>
      <c r="P1219" s="20">
        <v>0</v>
      </c>
      <c r="Q1219" s="29">
        <v>0</v>
      </c>
      <c r="R1219" s="9" t="s">
        <v>180</v>
      </c>
    </row>
    <row r="1220" spans="2:18" ht="12" customHeight="1" x14ac:dyDescent="0.25">
      <c r="B1220" s="15" t="s">
        <v>889</v>
      </c>
      <c r="C1220" s="29">
        <v>0</v>
      </c>
      <c r="D1220" s="16">
        <v>46097</v>
      </c>
      <c r="E1220" s="15" t="s">
        <v>4</v>
      </c>
      <c r="F1220" s="29">
        <v>4960</v>
      </c>
      <c r="G1220" s="29">
        <v>4960</v>
      </c>
      <c r="H1220" s="29">
        <v>4960</v>
      </c>
      <c r="I1220" s="15">
        <v>0</v>
      </c>
      <c r="J1220" s="15">
        <v>40</v>
      </c>
      <c r="K1220" s="30">
        <v>420000</v>
      </c>
      <c r="L1220" s="17">
        <v>46097</v>
      </c>
      <c r="M1220" s="18">
        <v>0</v>
      </c>
      <c r="N1220" s="16"/>
      <c r="O1220" s="19">
        <v>15</v>
      </c>
      <c r="P1220" s="20">
        <v>0</v>
      </c>
      <c r="Q1220" s="29">
        <v>0</v>
      </c>
      <c r="R1220" s="9" t="s">
        <v>180</v>
      </c>
    </row>
    <row r="1221" spans="2:18" ht="12" customHeight="1" x14ac:dyDescent="0.25">
      <c r="B1221" s="15" t="s">
        <v>890</v>
      </c>
      <c r="C1221" s="29">
        <v>131500</v>
      </c>
      <c r="D1221" s="16">
        <v>46097</v>
      </c>
      <c r="E1221" s="15" t="s">
        <v>2</v>
      </c>
      <c r="F1221" s="29">
        <v>0</v>
      </c>
      <c r="G1221" s="29">
        <v>0</v>
      </c>
      <c r="H1221" s="29">
        <v>133000.01</v>
      </c>
      <c r="I1221" s="15">
        <v>4</v>
      </c>
      <c r="J1221" s="15">
        <v>7</v>
      </c>
      <c r="K1221" s="30">
        <v>650000</v>
      </c>
      <c r="L1221" s="17">
        <v>46103</v>
      </c>
      <c r="M1221" s="18">
        <v>133000</v>
      </c>
      <c r="N1221" s="16">
        <v>46104</v>
      </c>
      <c r="O1221" s="19"/>
      <c r="P1221" s="20">
        <v>1500.01</v>
      </c>
      <c r="Q1221" s="29">
        <v>131499.99</v>
      </c>
      <c r="R1221" s="9" t="s">
        <v>180</v>
      </c>
    </row>
    <row r="1222" spans="2:18" ht="12" customHeight="1" x14ac:dyDescent="0.25">
      <c r="B1222" s="15" t="s">
        <v>891</v>
      </c>
      <c r="C1222" s="29">
        <v>21000</v>
      </c>
      <c r="D1222" s="16">
        <v>46097</v>
      </c>
      <c r="E1222" s="15" t="s">
        <v>3</v>
      </c>
      <c r="F1222" s="29">
        <v>23173.49</v>
      </c>
      <c r="G1222" s="29">
        <v>0</v>
      </c>
      <c r="H1222" s="29">
        <v>23173.49</v>
      </c>
      <c r="I1222" s="15">
        <v>90</v>
      </c>
      <c r="J1222" s="15">
        <v>60</v>
      </c>
      <c r="K1222" s="30">
        <v>450000</v>
      </c>
      <c r="L1222" s="17">
        <v>46187</v>
      </c>
      <c r="M1222" s="18">
        <v>0</v>
      </c>
      <c r="N1222" s="16"/>
      <c r="O1222" s="19">
        <v>15</v>
      </c>
      <c r="P1222" s="20">
        <v>0</v>
      </c>
      <c r="Q1222" s="29">
        <v>0</v>
      </c>
      <c r="R1222" s="9" t="s">
        <v>180</v>
      </c>
    </row>
    <row r="1223" spans="2:18" ht="12" customHeight="1" x14ac:dyDescent="0.25">
      <c r="B1223" s="15" t="s">
        <v>892</v>
      </c>
      <c r="C1223" s="29">
        <v>0</v>
      </c>
      <c r="D1223" s="16">
        <v>46097</v>
      </c>
      <c r="E1223" s="15" t="s">
        <v>2</v>
      </c>
      <c r="F1223" s="29">
        <v>0</v>
      </c>
      <c r="G1223" s="29">
        <v>0</v>
      </c>
      <c r="H1223" s="29">
        <v>6141</v>
      </c>
      <c r="I1223" s="15">
        <v>0</v>
      </c>
      <c r="J1223" s="15">
        <v>179</v>
      </c>
      <c r="K1223" s="30">
        <v>410000</v>
      </c>
      <c r="L1223" s="17">
        <v>46097</v>
      </c>
      <c r="M1223" s="18">
        <v>6141</v>
      </c>
      <c r="N1223" s="16">
        <v>46107</v>
      </c>
      <c r="O1223" s="19"/>
      <c r="P1223" s="20">
        <v>6141</v>
      </c>
      <c r="Q1223" s="29">
        <v>0</v>
      </c>
      <c r="R1223" s="9" t="s">
        <v>180</v>
      </c>
    </row>
    <row r="1224" spans="2:18" ht="12" customHeight="1" x14ac:dyDescent="0.25">
      <c r="B1224" s="15" t="s">
        <v>893</v>
      </c>
      <c r="C1224" s="29">
        <v>471875</v>
      </c>
      <c r="D1224" s="16">
        <v>46097</v>
      </c>
      <c r="E1224" s="15" t="s">
        <v>3</v>
      </c>
      <c r="F1224" s="29">
        <v>488155</v>
      </c>
      <c r="G1224" s="29">
        <v>0</v>
      </c>
      <c r="H1224" s="29">
        <v>488155</v>
      </c>
      <c r="I1224" s="15">
        <v>30</v>
      </c>
      <c r="J1224" s="15">
        <v>298</v>
      </c>
      <c r="K1224" s="30">
        <v>2000000</v>
      </c>
      <c r="L1224" s="17">
        <v>46127</v>
      </c>
      <c r="M1224" s="18">
        <v>0</v>
      </c>
      <c r="N1224" s="16"/>
      <c r="O1224" s="19">
        <v>15</v>
      </c>
      <c r="P1224" s="20">
        <v>0</v>
      </c>
      <c r="Q1224" s="29">
        <v>0</v>
      </c>
      <c r="R1224" s="9" t="s">
        <v>180</v>
      </c>
    </row>
    <row r="1225" spans="2:18" ht="12" customHeight="1" x14ac:dyDescent="0.25">
      <c r="B1225" s="15" t="s">
        <v>894</v>
      </c>
      <c r="C1225" s="29">
        <v>54350</v>
      </c>
      <c r="D1225" s="16">
        <v>46097</v>
      </c>
      <c r="E1225" s="15" t="s">
        <v>3</v>
      </c>
      <c r="F1225" s="29">
        <v>59975.24</v>
      </c>
      <c r="G1225" s="29">
        <v>0</v>
      </c>
      <c r="H1225" s="29">
        <v>59975.24</v>
      </c>
      <c r="I1225" s="15">
        <v>90</v>
      </c>
      <c r="J1225" s="15">
        <v>303</v>
      </c>
      <c r="K1225" s="30">
        <v>60000</v>
      </c>
      <c r="L1225" s="17">
        <v>46187</v>
      </c>
      <c r="M1225" s="18">
        <v>0</v>
      </c>
      <c r="N1225" s="16"/>
      <c r="O1225" s="19">
        <v>15</v>
      </c>
      <c r="P1225" s="20">
        <v>0</v>
      </c>
      <c r="Q1225" s="29">
        <v>0</v>
      </c>
      <c r="R1225" s="9" t="s">
        <v>180</v>
      </c>
    </row>
    <row r="1226" spans="2:18" ht="12" customHeight="1" x14ac:dyDescent="0.25">
      <c r="B1226" s="15" t="s">
        <v>895</v>
      </c>
      <c r="C1226" s="29">
        <v>40250</v>
      </c>
      <c r="D1226" s="16">
        <v>46097</v>
      </c>
      <c r="E1226" s="15" t="s">
        <v>3</v>
      </c>
      <c r="F1226" s="29">
        <v>44415.88</v>
      </c>
      <c r="G1226" s="29">
        <v>0</v>
      </c>
      <c r="H1226" s="29">
        <v>44415.88</v>
      </c>
      <c r="I1226" s="15">
        <v>90</v>
      </c>
      <c r="J1226" s="15">
        <v>302</v>
      </c>
      <c r="K1226" s="30">
        <v>240000</v>
      </c>
      <c r="L1226" s="17">
        <v>46187</v>
      </c>
      <c r="M1226" s="18">
        <v>0</v>
      </c>
      <c r="N1226" s="16"/>
      <c r="O1226" s="19">
        <v>15</v>
      </c>
      <c r="P1226" s="20">
        <v>0</v>
      </c>
      <c r="Q1226" s="29">
        <v>0</v>
      </c>
      <c r="R1226" s="9" t="s">
        <v>180</v>
      </c>
    </row>
    <row r="1227" spans="2:18" ht="12" customHeight="1" x14ac:dyDescent="0.25">
      <c r="B1227" s="15" t="s">
        <v>896</v>
      </c>
      <c r="C1227" s="29">
        <v>879000</v>
      </c>
      <c r="D1227" s="16">
        <v>46097</v>
      </c>
      <c r="E1227" s="15" t="s">
        <v>3</v>
      </c>
      <c r="F1227" s="29">
        <v>909326</v>
      </c>
      <c r="G1227" s="29">
        <v>0</v>
      </c>
      <c r="H1227" s="29">
        <v>909326</v>
      </c>
      <c r="I1227" s="15">
        <v>30</v>
      </c>
      <c r="J1227" s="15">
        <v>304</v>
      </c>
      <c r="K1227" s="30">
        <v>910000</v>
      </c>
      <c r="L1227" s="17">
        <v>46127</v>
      </c>
      <c r="M1227" s="18">
        <v>0</v>
      </c>
      <c r="N1227" s="16"/>
      <c r="O1227" s="19">
        <v>15</v>
      </c>
      <c r="P1227" s="20">
        <v>0</v>
      </c>
      <c r="Q1227" s="29">
        <v>0</v>
      </c>
      <c r="R1227" s="9" t="s">
        <v>180</v>
      </c>
    </row>
    <row r="1228" spans="2:18" ht="12" customHeight="1" x14ac:dyDescent="0.25">
      <c r="B1228" s="15">
        <v>2260</v>
      </c>
      <c r="C1228" s="29">
        <v>5999.55</v>
      </c>
      <c r="D1228" s="16">
        <v>46097</v>
      </c>
      <c r="E1228" s="15" t="s">
        <v>3</v>
      </c>
      <c r="F1228" s="29">
        <v>6620.55</v>
      </c>
      <c r="G1228" s="29">
        <v>0</v>
      </c>
      <c r="H1228" s="29">
        <v>6620.55</v>
      </c>
      <c r="I1228" s="15">
        <v>90</v>
      </c>
      <c r="J1228" s="15">
        <v>275</v>
      </c>
      <c r="K1228" s="30">
        <v>6000</v>
      </c>
      <c r="L1228" s="17">
        <v>46187</v>
      </c>
      <c r="M1228" s="18">
        <v>0</v>
      </c>
      <c r="N1228" s="16"/>
      <c r="O1228" s="19">
        <v>15</v>
      </c>
      <c r="P1228" s="20">
        <v>0</v>
      </c>
      <c r="Q1228" s="29">
        <v>0</v>
      </c>
      <c r="R1228" s="9" t="s">
        <v>180</v>
      </c>
    </row>
    <row r="1229" spans="2:18" ht="12" customHeight="1" x14ac:dyDescent="0.25">
      <c r="B1229" s="15" t="s">
        <v>897</v>
      </c>
      <c r="C1229" s="29">
        <v>24570</v>
      </c>
      <c r="D1229" s="16">
        <v>46098</v>
      </c>
      <c r="E1229" s="15" t="s">
        <v>3</v>
      </c>
      <c r="F1229" s="29">
        <v>25431.3</v>
      </c>
      <c r="G1229" s="29">
        <v>0</v>
      </c>
      <c r="H1229" s="29">
        <v>25431.3</v>
      </c>
      <c r="I1229" s="15">
        <v>30</v>
      </c>
      <c r="J1229" s="15">
        <v>139</v>
      </c>
      <c r="K1229" s="30">
        <v>322000</v>
      </c>
      <c r="L1229" s="17">
        <v>46128</v>
      </c>
      <c r="M1229" s="18">
        <v>0</v>
      </c>
      <c r="N1229" s="16"/>
      <c r="O1229" s="19">
        <v>14</v>
      </c>
      <c r="P1229" s="20">
        <v>0</v>
      </c>
      <c r="Q1229" s="29">
        <v>0</v>
      </c>
      <c r="R1229" s="9" t="s">
        <v>180</v>
      </c>
    </row>
    <row r="1230" spans="2:18" ht="12" customHeight="1" x14ac:dyDescent="0.25">
      <c r="B1230" s="15" t="s">
        <v>898</v>
      </c>
      <c r="C1230" s="29">
        <v>19510</v>
      </c>
      <c r="D1230" s="16">
        <v>46098</v>
      </c>
      <c r="E1230" s="15" t="s">
        <v>3</v>
      </c>
      <c r="F1230" s="29">
        <v>20186.259999999998</v>
      </c>
      <c r="G1230" s="29">
        <v>0</v>
      </c>
      <c r="H1230" s="29">
        <v>20186.259999999998</v>
      </c>
      <c r="I1230" s="15">
        <v>30</v>
      </c>
      <c r="J1230" s="15">
        <v>159</v>
      </c>
      <c r="K1230" s="30">
        <v>129000</v>
      </c>
      <c r="L1230" s="17">
        <v>46128</v>
      </c>
      <c r="M1230" s="18">
        <v>0</v>
      </c>
      <c r="N1230" s="16"/>
      <c r="O1230" s="19">
        <v>14</v>
      </c>
      <c r="P1230" s="20">
        <v>0</v>
      </c>
      <c r="Q1230" s="29">
        <v>0</v>
      </c>
      <c r="R1230" s="9" t="s">
        <v>180</v>
      </c>
    </row>
    <row r="1231" spans="2:18" ht="12" customHeight="1" x14ac:dyDescent="0.25">
      <c r="B1231" s="15" t="s">
        <v>899</v>
      </c>
      <c r="C1231" s="29">
        <v>9420</v>
      </c>
      <c r="D1231" s="16">
        <v>46098</v>
      </c>
      <c r="E1231" s="15" t="s">
        <v>3</v>
      </c>
      <c r="F1231" s="29">
        <v>9745</v>
      </c>
      <c r="G1231" s="29">
        <v>0</v>
      </c>
      <c r="H1231" s="29">
        <v>9745</v>
      </c>
      <c r="I1231" s="15">
        <v>30</v>
      </c>
      <c r="J1231" s="15">
        <v>45</v>
      </c>
      <c r="K1231" s="30">
        <v>10000</v>
      </c>
      <c r="L1231" s="17">
        <v>46128</v>
      </c>
      <c r="M1231" s="18">
        <v>0</v>
      </c>
      <c r="N1231" s="16"/>
      <c r="O1231" s="19">
        <v>14</v>
      </c>
      <c r="P1231" s="20">
        <v>0</v>
      </c>
      <c r="Q1231" s="29">
        <v>0</v>
      </c>
      <c r="R1231" s="9" t="s">
        <v>180</v>
      </c>
    </row>
    <row r="1232" spans="2:18" ht="12" customHeight="1" x14ac:dyDescent="0.25">
      <c r="B1232" s="15" t="s">
        <v>900</v>
      </c>
      <c r="C1232" s="29">
        <v>0</v>
      </c>
      <c r="D1232" s="16">
        <v>46098</v>
      </c>
      <c r="E1232" s="15" t="s">
        <v>4</v>
      </c>
      <c r="F1232" s="29">
        <v>1337</v>
      </c>
      <c r="G1232" s="29">
        <v>1337</v>
      </c>
      <c r="H1232" s="29">
        <v>1337</v>
      </c>
      <c r="I1232" s="15">
        <v>0</v>
      </c>
      <c r="J1232" s="15">
        <v>231</v>
      </c>
      <c r="K1232" s="30">
        <v>300000</v>
      </c>
      <c r="L1232" s="17">
        <v>46098</v>
      </c>
      <c r="M1232" s="18">
        <v>0</v>
      </c>
      <c r="N1232" s="16"/>
      <c r="O1232" s="19">
        <v>14</v>
      </c>
      <c r="P1232" s="20">
        <v>0</v>
      </c>
      <c r="Q1232" s="29">
        <v>0</v>
      </c>
      <c r="R1232" s="9" t="s">
        <v>180</v>
      </c>
    </row>
    <row r="1233" spans="2:18" ht="12" customHeight="1" x14ac:dyDescent="0.25">
      <c r="B1233" s="15">
        <v>2448</v>
      </c>
      <c r="C1233" s="29">
        <v>37557.22</v>
      </c>
      <c r="D1233" s="16">
        <v>46098</v>
      </c>
      <c r="E1233" s="15" t="s">
        <v>3</v>
      </c>
      <c r="F1233" s="29">
        <v>38866.22</v>
      </c>
      <c r="G1233" s="29">
        <v>0</v>
      </c>
      <c r="H1233" s="29">
        <v>38866.22</v>
      </c>
      <c r="I1233" s="15">
        <v>30</v>
      </c>
      <c r="J1233" s="15">
        <v>250</v>
      </c>
      <c r="K1233" s="30">
        <v>100000</v>
      </c>
      <c r="L1233" s="17">
        <v>46128</v>
      </c>
      <c r="M1233" s="18">
        <v>0</v>
      </c>
      <c r="N1233" s="16"/>
      <c r="O1233" s="19">
        <v>14</v>
      </c>
      <c r="P1233" s="20">
        <v>0</v>
      </c>
      <c r="Q1233" s="29">
        <v>0</v>
      </c>
      <c r="R1233" s="9" t="s">
        <v>180</v>
      </c>
    </row>
    <row r="1234" spans="2:18" ht="12" customHeight="1" x14ac:dyDescent="0.25">
      <c r="B1234" s="15" t="s">
        <v>901</v>
      </c>
      <c r="C1234" s="29">
        <v>9839</v>
      </c>
      <c r="D1234" s="16">
        <v>46099</v>
      </c>
      <c r="E1234" s="15" t="s">
        <v>3</v>
      </c>
      <c r="F1234" s="29">
        <v>10857.34</v>
      </c>
      <c r="G1234" s="29">
        <v>0</v>
      </c>
      <c r="H1234" s="29">
        <v>10857.34</v>
      </c>
      <c r="I1234" s="15">
        <v>90</v>
      </c>
      <c r="J1234" s="15">
        <v>54</v>
      </c>
      <c r="K1234" s="30">
        <v>117000</v>
      </c>
      <c r="L1234" s="17">
        <v>46189</v>
      </c>
      <c r="M1234" s="18">
        <v>0</v>
      </c>
      <c r="N1234" s="16"/>
      <c r="O1234" s="19">
        <v>13</v>
      </c>
      <c r="P1234" s="20">
        <v>0</v>
      </c>
      <c r="Q1234" s="29">
        <v>0</v>
      </c>
      <c r="R1234" s="9" t="s">
        <v>180</v>
      </c>
    </row>
    <row r="1235" spans="2:18" ht="12" customHeight="1" x14ac:dyDescent="0.25">
      <c r="B1235" s="15" t="s">
        <v>902</v>
      </c>
      <c r="C1235" s="29">
        <v>30251</v>
      </c>
      <c r="D1235" s="16">
        <v>46105</v>
      </c>
      <c r="E1235" s="15" t="s">
        <v>3</v>
      </c>
      <c r="F1235" s="29">
        <v>31158.87</v>
      </c>
      <c r="G1235" s="29">
        <v>0</v>
      </c>
      <c r="H1235" s="29">
        <v>31158.87</v>
      </c>
      <c r="I1235" s="15">
        <v>30</v>
      </c>
      <c r="J1235" s="15">
        <v>34</v>
      </c>
      <c r="K1235" s="30">
        <v>370000</v>
      </c>
      <c r="L1235" s="17">
        <v>46135</v>
      </c>
      <c r="M1235" s="18">
        <v>0</v>
      </c>
      <c r="N1235" s="16"/>
      <c r="O1235" s="19">
        <v>7</v>
      </c>
      <c r="P1235" s="20">
        <v>0</v>
      </c>
      <c r="Q1235" s="29">
        <v>0</v>
      </c>
      <c r="R1235" s="9" t="s">
        <v>180</v>
      </c>
    </row>
    <row r="1236" spans="2:18" ht="12" customHeight="1" x14ac:dyDescent="0.25">
      <c r="B1236" s="15" t="s">
        <v>903</v>
      </c>
      <c r="C1236" s="29">
        <v>23159</v>
      </c>
      <c r="D1236" s="16">
        <v>46105</v>
      </c>
      <c r="E1236" s="15" t="s">
        <v>3</v>
      </c>
      <c r="F1236" s="29">
        <v>23954.22</v>
      </c>
      <c r="G1236" s="29">
        <v>0</v>
      </c>
      <c r="H1236" s="29">
        <v>23954.22</v>
      </c>
      <c r="I1236" s="15">
        <v>30</v>
      </c>
      <c r="J1236" s="15">
        <v>34</v>
      </c>
      <c r="K1236" s="30">
        <v>370000</v>
      </c>
      <c r="L1236" s="17">
        <v>46135</v>
      </c>
      <c r="M1236" s="18">
        <v>0</v>
      </c>
      <c r="N1236" s="16"/>
      <c r="O1236" s="19">
        <v>7</v>
      </c>
      <c r="P1236" s="20">
        <v>0</v>
      </c>
      <c r="Q1236" s="29">
        <v>0</v>
      </c>
      <c r="R1236" s="9" t="s">
        <v>180</v>
      </c>
    </row>
    <row r="1237" spans="2:18" ht="12" customHeight="1" x14ac:dyDescent="0.25">
      <c r="B1237" s="15" t="s">
        <v>904</v>
      </c>
      <c r="C1237" s="29">
        <v>206195</v>
      </c>
      <c r="D1237" s="16">
        <v>46105</v>
      </c>
      <c r="E1237" s="15" t="s">
        <v>3</v>
      </c>
      <c r="F1237" s="29">
        <v>227536.15</v>
      </c>
      <c r="G1237" s="29">
        <v>0</v>
      </c>
      <c r="H1237" s="29">
        <v>227536.15</v>
      </c>
      <c r="I1237" s="15">
        <v>90</v>
      </c>
      <c r="J1237" s="15">
        <v>68</v>
      </c>
      <c r="K1237" s="30">
        <v>230000</v>
      </c>
      <c r="L1237" s="17">
        <v>46195</v>
      </c>
      <c r="M1237" s="18">
        <v>0</v>
      </c>
      <c r="N1237" s="16"/>
      <c r="O1237" s="19">
        <v>7</v>
      </c>
      <c r="P1237" s="20">
        <v>0</v>
      </c>
      <c r="Q1237" s="29">
        <v>0</v>
      </c>
      <c r="R1237" s="9" t="s">
        <v>180</v>
      </c>
    </row>
    <row r="1238" spans="2:18" ht="12" customHeight="1" x14ac:dyDescent="0.25">
      <c r="B1238" s="15" t="s">
        <v>905</v>
      </c>
      <c r="C1238" s="29">
        <v>62000</v>
      </c>
      <c r="D1238" s="16">
        <v>46105</v>
      </c>
      <c r="E1238" s="15" t="s">
        <v>3</v>
      </c>
      <c r="F1238" s="29">
        <v>68417</v>
      </c>
      <c r="G1238" s="29">
        <v>0</v>
      </c>
      <c r="H1238" s="29">
        <v>68417</v>
      </c>
      <c r="I1238" s="15">
        <v>90</v>
      </c>
      <c r="J1238" s="15">
        <v>219</v>
      </c>
      <c r="K1238" s="30">
        <v>140000</v>
      </c>
      <c r="L1238" s="17">
        <v>46195</v>
      </c>
      <c r="M1238" s="18">
        <v>0</v>
      </c>
      <c r="N1238" s="16"/>
      <c r="O1238" s="19">
        <v>7</v>
      </c>
      <c r="P1238" s="20">
        <v>0</v>
      </c>
      <c r="Q1238" s="29">
        <v>0</v>
      </c>
      <c r="R1238" s="9" t="s">
        <v>180</v>
      </c>
    </row>
    <row r="1239" spans="2:18" ht="12" customHeight="1" x14ac:dyDescent="0.25">
      <c r="B1239" s="15" t="s">
        <v>906</v>
      </c>
      <c r="C1239" s="29">
        <v>200000</v>
      </c>
      <c r="D1239" s="16">
        <v>46105</v>
      </c>
      <c r="E1239" s="15" t="s">
        <v>3</v>
      </c>
      <c r="F1239" s="29">
        <v>207300</v>
      </c>
      <c r="G1239" s="29">
        <v>0</v>
      </c>
      <c r="H1239" s="29">
        <v>207300</v>
      </c>
      <c r="I1239" s="15">
        <v>30</v>
      </c>
      <c r="J1239" s="15">
        <v>306</v>
      </c>
      <c r="K1239" s="30">
        <v>500000</v>
      </c>
      <c r="L1239" s="17">
        <v>46135</v>
      </c>
      <c r="M1239" s="18">
        <v>0</v>
      </c>
      <c r="N1239" s="16"/>
      <c r="O1239" s="19">
        <v>7</v>
      </c>
      <c r="P1239" s="20">
        <v>0</v>
      </c>
      <c r="Q1239" s="29">
        <v>0</v>
      </c>
      <c r="R1239" s="9" t="s">
        <v>180</v>
      </c>
    </row>
    <row r="1240" spans="2:18" ht="12" customHeight="1" x14ac:dyDescent="0.25">
      <c r="B1240" s="15" t="s">
        <v>907</v>
      </c>
      <c r="C1240" s="29">
        <v>100000</v>
      </c>
      <c r="D1240" s="16">
        <v>46106</v>
      </c>
      <c r="E1240" s="15" t="s">
        <v>3</v>
      </c>
      <c r="F1240" s="29">
        <v>103450</v>
      </c>
      <c r="G1240" s="29">
        <v>0</v>
      </c>
      <c r="H1240" s="29">
        <v>103450</v>
      </c>
      <c r="I1240" s="15">
        <v>30</v>
      </c>
      <c r="J1240" s="15">
        <v>56</v>
      </c>
      <c r="K1240" s="30">
        <v>320000</v>
      </c>
      <c r="L1240" s="17">
        <v>46138</v>
      </c>
      <c r="M1240" s="18">
        <v>0</v>
      </c>
      <c r="N1240" s="16"/>
      <c r="O1240" s="19">
        <v>6</v>
      </c>
      <c r="P1240" s="20">
        <v>0</v>
      </c>
      <c r="Q1240" s="29">
        <v>0</v>
      </c>
      <c r="R1240" s="9" t="s">
        <v>180</v>
      </c>
    </row>
    <row r="1241" spans="2:18" ht="12" customHeight="1" x14ac:dyDescent="0.25">
      <c r="B1241" s="15" t="s">
        <v>908</v>
      </c>
      <c r="C1241" s="29">
        <v>27150</v>
      </c>
      <c r="D1241" s="16">
        <v>46106</v>
      </c>
      <c r="E1241" s="15" t="s">
        <v>3</v>
      </c>
      <c r="F1241" s="29">
        <v>28125</v>
      </c>
      <c r="G1241" s="29">
        <v>0</v>
      </c>
      <c r="H1241" s="29">
        <v>28125</v>
      </c>
      <c r="I1241" s="15">
        <v>30</v>
      </c>
      <c r="J1241" s="15">
        <v>139</v>
      </c>
      <c r="K1241" s="30">
        <v>322000</v>
      </c>
      <c r="L1241" s="17">
        <v>46138</v>
      </c>
      <c r="M1241" s="18">
        <v>0</v>
      </c>
      <c r="N1241" s="16"/>
      <c r="O1241" s="19">
        <v>6</v>
      </c>
      <c r="P1241" s="20">
        <v>0</v>
      </c>
      <c r="Q1241" s="29">
        <v>0</v>
      </c>
      <c r="R1241" s="9" t="s">
        <v>180</v>
      </c>
    </row>
    <row r="1242" spans="2:18" ht="12" customHeight="1" x14ac:dyDescent="0.25">
      <c r="B1242" s="15" t="s">
        <v>909</v>
      </c>
      <c r="C1242" s="29">
        <v>0</v>
      </c>
      <c r="D1242" s="16">
        <v>46106</v>
      </c>
      <c r="E1242" s="15" t="s">
        <v>2</v>
      </c>
      <c r="F1242" s="29">
        <v>0</v>
      </c>
      <c r="G1242" s="29">
        <v>0</v>
      </c>
      <c r="H1242" s="29">
        <v>8330</v>
      </c>
      <c r="I1242" s="15">
        <v>0</v>
      </c>
      <c r="J1242" s="15">
        <v>179</v>
      </c>
      <c r="K1242" s="30">
        <v>410000</v>
      </c>
      <c r="L1242" s="17">
        <v>46106</v>
      </c>
      <c r="M1242" s="18">
        <v>8330</v>
      </c>
      <c r="N1242" s="16">
        <v>46107</v>
      </c>
      <c r="O1242" s="19"/>
      <c r="P1242" s="20">
        <v>8330</v>
      </c>
      <c r="Q1242" s="29">
        <v>0</v>
      </c>
      <c r="R1242" s="9" t="s">
        <v>180</v>
      </c>
    </row>
    <row r="1243" spans="2:18" ht="12" customHeight="1" x14ac:dyDescent="0.25">
      <c r="B1243" s="15" t="s">
        <v>910</v>
      </c>
      <c r="C1243" s="29">
        <v>400085</v>
      </c>
      <c r="D1243" s="16">
        <v>46106</v>
      </c>
      <c r="E1243" s="15" t="s">
        <v>3</v>
      </c>
      <c r="F1243" s="29">
        <v>413887.93</v>
      </c>
      <c r="G1243" s="29">
        <v>0</v>
      </c>
      <c r="H1243" s="29">
        <v>413887.93</v>
      </c>
      <c r="I1243" s="15">
        <v>30</v>
      </c>
      <c r="J1243" s="15">
        <v>172</v>
      </c>
      <c r="K1243" s="30">
        <v>2000000</v>
      </c>
      <c r="L1243" s="17">
        <v>46138</v>
      </c>
      <c r="M1243" s="18">
        <v>0</v>
      </c>
      <c r="N1243" s="16"/>
      <c r="O1243" s="19">
        <v>6</v>
      </c>
      <c r="P1243" s="20">
        <v>0</v>
      </c>
      <c r="Q1243" s="29">
        <v>0</v>
      </c>
      <c r="R1243" s="9" t="s">
        <v>180</v>
      </c>
    </row>
    <row r="1244" spans="2:18" ht="12" customHeight="1" x14ac:dyDescent="0.25">
      <c r="B1244" s="15" t="s">
        <v>911</v>
      </c>
      <c r="C1244" s="29">
        <v>63000</v>
      </c>
      <c r="D1244" s="16">
        <v>46106</v>
      </c>
      <c r="E1244" s="15" t="s">
        <v>3</v>
      </c>
      <c r="F1244" s="29">
        <v>69520.5</v>
      </c>
      <c r="G1244" s="29">
        <v>0</v>
      </c>
      <c r="H1244" s="29">
        <v>69520.5</v>
      </c>
      <c r="I1244" s="15">
        <v>90</v>
      </c>
      <c r="J1244" s="15">
        <v>219</v>
      </c>
      <c r="K1244" s="30">
        <v>140000</v>
      </c>
      <c r="L1244" s="17">
        <v>46196</v>
      </c>
      <c r="M1244" s="18">
        <v>0</v>
      </c>
      <c r="N1244" s="16"/>
      <c r="O1244" s="19">
        <v>6</v>
      </c>
      <c r="P1244" s="20">
        <v>0</v>
      </c>
      <c r="Q1244" s="29">
        <v>0</v>
      </c>
      <c r="R1244" s="9" t="s">
        <v>180</v>
      </c>
    </row>
    <row r="1245" spans="2:18" ht="12" customHeight="1" x14ac:dyDescent="0.25">
      <c r="B1245" s="15" t="s">
        <v>912</v>
      </c>
      <c r="C1245" s="29">
        <v>97002</v>
      </c>
      <c r="D1245" s="16">
        <v>46106</v>
      </c>
      <c r="E1245" s="15" t="s">
        <v>3</v>
      </c>
      <c r="F1245" s="29">
        <v>100348.2</v>
      </c>
      <c r="G1245" s="29">
        <v>0</v>
      </c>
      <c r="H1245" s="29">
        <v>100348.2</v>
      </c>
      <c r="I1245" s="15">
        <v>30</v>
      </c>
      <c r="J1245" s="15">
        <v>242</v>
      </c>
      <c r="K1245" s="30">
        <v>100000</v>
      </c>
      <c r="L1245" s="17">
        <v>46138</v>
      </c>
      <c r="M1245" s="18">
        <v>0</v>
      </c>
      <c r="N1245" s="16"/>
      <c r="O1245" s="19">
        <v>6</v>
      </c>
      <c r="P1245" s="20">
        <v>0</v>
      </c>
      <c r="Q1245" s="29">
        <v>0</v>
      </c>
      <c r="R1245" s="9" t="s">
        <v>180</v>
      </c>
    </row>
    <row r="1246" spans="2:18" ht="12" customHeight="1" x14ac:dyDescent="0.25">
      <c r="B1246" s="15" t="s">
        <v>913</v>
      </c>
      <c r="C1246" s="29">
        <v>196555</v>
      </c>
      <c r="D1246" s="16">
        <v>46107</v>
      </c>
      <c r="E1246" s="15" t="s">
        <v>3</v>
      </c>
      <c r="F1246" s="29">
        <v>203336.02</v>
      </c>
      <c r="G1246" s="29">
        <v>0</v>
      </c>
      <c r="H1246" s="29">
        <v>203336.02</v>
      </c>
      <c r="I1246" s="15">
        <v>30</v>
      </c>
      <c r="J1246" s="15">
        <v>17</v>
      </c>
      <c r="K1246" s="30">
        <v>2400000</v>
      </c>
      <c r="L1246" s="17">
        <v>46134</v>
      </c>
      <c r="M1246" s="18">
        <v>0</v>
      </c>
      <c r="N1246" s="16"/>
      <c r="O1246" s="19">
        <v>5</v>
      </c>
      <c r="P1246" s="20">
        <v>0</v>
      </c>
      <c r="Q1246" s="29">
        <v>0</v>
      </c>
      <c r="R1246" s="9" t="s">
        <v>180</v>
      </c>
    </row>
    <row r="1247" spans="2:18" ht="12" customHeight="1" x14ac:dyDescent="0.25">
      <c r="B1247" s="15" t="s">
        <v>914</v>
      </c>
      <c r="C1247" s="29">
        <v>196555</v>
      </c>
      <c r="D1247" s="16">
        <v>46107</v>
      </c>
      <c r="E1247" s="15" t="s">
        <v>3</v>
      </c>
      <c r="F1247" s="29">
        <v>203336.02</v>
      </c>
      <c r="G1247" s="29">
        <v>0</v>
      </c>
      <c r="H1247" s="29">
        <v>203336.02</v>
      </c>
      <c r="I1247" s="15">
        <v>30</v>
      </c>
      <c r="J1247" s="15">
        <v>17</v>
      </c>
      <c r="K1247" s="30">
        <v>2400000</v>
      </c>
      <c r="L1247" s="17">
        <v>46134</v>
      </c>
      <c r="M1247" s="18">
        <v>0</v>
      </c>
      <c r="N1247" s="16"/>
      <c r="O1247" s="19">
        <v>5</v>
      </c>
      <c r="P1247" s="20">
        <v>0</v>
      </c>
      <c r="Q1247" s="29">
        <v>0</v>
      </c>
      <c r="R1247" s="9" t="s">
        <v>180</v>
      </c>
    </row>
    <row r="1248" spans="2:18" ht="12" customHeight="1" x14ac:dyDescent="0.25">
      <c r="B1248" s="15" t="s">
        <v>915</v>
      </c>
      <c r="C1248" s="29">
        <v>180000</v>
      </c>
      <c r="D1248" s="16">
        <v>46107</v>
      </c>
      <c r="E1248" s="15" t="s">
        <v>3</v>
      </c>
      <c r="F1248" s="29">
        <v>186210</v>
      </c>
      <c r="G1248" s="29">
        <v>0</v>
      </c>
      <c r="H1248" s="29">
        <v>186210</v>
      </c>
      <c r="I1248" s="15">
        <v>30</v>
      </c>
      <c r="J1248" s="15">
        <v>17</v>
      </c>
      <c r="K1248" s="30">
        <v>2400000</v>
      </c>
      <c r="L1248" s="17">
        <v>46138</v>
      </c>
      <c r="M1248" s="18">
        <v>0</v>
      </c>
      <c r="N1248" s="16"/>
      <c r="O1248" s="19">
        <v>5</v>
      </c>
      <c r="P1248" s="20">
        <v>0</v>
      </c>
      <c r="Q1248" s="29">
        <v>0</v>
      </c>
      <c r="R1248" s="9" t="s">
        <v>180</v>
      </c>
    </row>
    <row r="1249" spans="2:18" ht="12" customHeight="1" x14ac:dyDescent="0.25">
      <c r="B1249" s="15" t="s">
        <v>916</v>
      </c>
      <c r="C1249" s="29">
        <v>225000</v>
      </c>
      <c r="D1249" s="16">
        <v>46107</v>
      </c>
      <c r="E1249" s="15" t="s">
        <v>3</v>
      </c>
      <c r="F1249" s="29">
        <v>232762.5</v>
      </c>
      <c r="G1249" s="29">
        <v>0</v>
      </c>
      <c r="H1249" s="29">
        <v>232762.5</v>
      </c>
      <c r="I1249" s="15">
        <v>30</v>
      </c>
      <c r="J1249" s="15">
        <v>17</v>
      </c>
      <c r="K1249" s="30">
        <v>2400000</v>
      </c>
      <c r="L1249" s="17">
        <v>46138</v>
      </c>
      <c r="M1249" s="18">
        <v>0</v>
      </c>
      <c r="N1249" s="16"/>
      <c r="O1249" s="19">
        <v>5</v>
      </c>
      <c r="P1249" s="20">
        <v>0</v>
      </c>
      <c r="Q1249" s="29">
        <v>0</v>
      </c>
      <c r="R1249" s="9" t="s">
        <v>180</v>
      </c>
    </row>
    <row r="1250" spans="2:18" ht="12" customHeight="1" x14ac:dyDescent="0.25">
      <c r="B1250" s="15" t="s">
        <v>917</v>
      </c>
      <c r="C1250" s="29">
        <v>0</v>
      </c>
      <c r="D1250" s="16">
        <v>46107</v>
      </c>
      <c r="E1250" s="15" t="s">
        <v>2</v>
      </c>
      <c r="F1250" s="29">
        <v>0</v>
      </c>
      <c r="G1250" s="29">
        <v>0</v>
      </c>
      <c r="H1250" s="29">
        <v>1070</v>
      </c>
      <c r="I1250" s="15">
        <v>0</v>
      </c>
      <c r="J1250" s="15">
        <v>22</v>
      </c>
      <c r="K1250" s="30">
        <v>200000</v>
      </c>
      <c r="L1250" s="17">
        <v>46107</v>
      </c>
      <c r="M1250" s="18">
        <v>1070</v>
      </c>
      <c r="N1250" s="16">
        <v>46114</v>
      </c>
      <c r="O1250" s="19"/>
      <c r="P1250" s="20">
        <v>1070</v>
      </c>
      <c r="Q1250" s="29">
        <v>0</v>
      </c>
      <c r="R1250" s="9" t="s">
        <v>180</v>
      </c>
    </row>
    <row r="1251" spans="2:18" ht="12" customHeight="1" x14ac:dyDescent="0.25">
      <c r="B1251" s="15" t="s">
        <v>918</v>
      </c>
      <c r="C1251" s="29">
        <v>47005</v>
      </c>
      <c r="D1251" s="16">
        <v>46107</v>
      </c>
      <c r="E1251" s="15" t="s">
        <v>3</v>
      </c>
      <c r="F1251" s="29">
        <v>50240</v>
      </c>
      <c r="G1251" s="29">
        <v>0</v>
      </c>
      <c r="H1251" s="29">
        <v>50240</v>
      </c>
      <c r="I1251" s="15">
        <v>60</v>
      </c>
      <c r="J1251" s="15">
        <v>47</v>
      </c>
      <c r="K1251" s="30">
        <v>50000</v>
      </c>
      <c r="L1251" s="17">
        <v>46167</v>
      </c>
      <c r="M1251" s="18">
        <v>0</v>
      </c>
      <c r="N1251" s="16"/>
      <c r="O1251" s="19">
        <v>5</v>
      </c>
      <c r="P1251" s="20">
        <v>0</v>
      </c>
      <c r="Q1251" s="29">
        <v>0</v>
      </c>
      <c r="R1251" s="9" t="s">
        <v>180</v>
      </c>
    </row>
    <row r="1252" spans="2:18" ht="12" customHeight="1" x14ac:dyDescent="0.25">
      <c r="B1252" s="15" t="s">
        <v>919</v>
      </c>
      <c r="C1252" s="29">
        <v>0</v>
      </c>
      <c r="D1252" s="16">
        <v>46107</v>
      </c>
      <c r="E1252" s="15" t="s">
        <v>2</v>
      </c>
      <c r="F1252" s="29">
        <v>0</v>
      </c>
      <c r="G1252" s="29">
        <v>0</v>
      </c>
      <c r="H1252" s="29">
        <v>122</v>
      </c>
      <c r="I1252" s="15">
        <v>0</v>
      </c>
      <c r="J1252" s="15">
        <v>91</v>
      </c>
      <c r="K1252" s="30">
        <v>61000</v>
      </c>
      <c r="L1252" s="17">
        <v>46107</v>
      </c>
      <c r="M1252" s="18">
        <v>122</v>
      </c>
      <c r="N1252" s="16">
        <v>46110</v>
      </c>
      <c r="O1252" s="19"/>
      <c r="P1252" s="20">
        <v>122</v>
      </c>
      <c r="Q1252" s="29">
        <v>0</v>
      </c>
      <c r="R1252" s="9" t="s">
        <v>180</v>
      </c>
    </row>
    <row r="1253" spans="2:18" ht="12" customHeight="1" x14ac:dyDescent="0.25">
      <c r="B1253" s="15" t="s">
        <v>920</v>
      </c>
      <c r="C1253" s="29">
        <v>66873</v>
      </c>
      <c r="D1253" s="16">
        <v>46107</v>
      </c>
      <c r="E1253" s="15" t="s">
        <v>3</v>
      </c>
      <c r="F1253" s="29">
        <v>69180.12</v>
      </c>
      <c r="G1253" s="29">
        <v>0</v>
      </c>
      <c r="H1253" s="29">
        <v>69180.12</v>
      </c>
      <c r="I1253" s="15">
        <v>30</v>
      </c>
      <c r="J1253" s="15">
        <v>164</v>
      </c>
      <c r="K1253" s="30">
        <v>200000</v>
      </c>
      <c r="L1253" s="17">
        <v>46138</v>
      </c>
      <c r="M1253" s="18">
        <v>0</v>
      </c>
      <c r="N1253" s="16"/>
      <c r="O1253" s="19">
        <v>5</v>
      </c>
      <c r="P1253" s="20">
        <v>0</v>
      </c>
      <c r="Q1253" s="29">
        <v>0</v>
      </c>
      <c r="R1253" s="9" t="s">
        <v>180</v>
      </c>
    </row>
    <row r="1254" spans="2:18" ht="12" customHeight="1" x14ac:dyDescent="0.25">
      <c r="B1254" s="15" t="s">
        <v>921</v>
      </c>
      <c r="C1254" s="29">
        <v>425592</v>
      </c>
      <c r="D1254" s="16">
        <v>46107</v>
      </c>
      <c r="E1254" s="15" t="s">
        <v>3</v>
      </c>
      <c r="F1254" s="29">
        <v>440274.92</v>
      </c>
      <c r="G1254" s="29">
        <v>0</v>
      </c>
      <c r="H1254" s="29">
        <v>440274.92</v>
      </c>
      <c r="I1254" s="15">
        <v>30</v>
      </c>
      <c r="J1254" s="15">
        <v>172</v>
      </c>
      <c r="K1254" s="30">
        <v>2000000</v>
      </c>
      <c r="L1254" s="17">
        <v>46138</v>
      </c>
      <c r="M1254" s="18">
        <v>0</v>
      </c>
      <c r="N1254" s="16"/>
      <c r="O1254" s="19">
        <v>5</v>
      </c>
      <c r="P1254" s="20">
        <v>0</v>
      </c>
      <c r="Q1254" s="29">
        <v>0</v>
      </c>
      <c r="R1254" s="9" t="s">
        <v>180</v>
      </c>
    </row>
    <row r="1255" spans="2:18" ht="12" customHeight="1" x14ac:dyDescent="0.25">
      <c r="B1255" s="15" t="s">
        <v>922</v>
      </c>
      <c r="C1255" s="29">
        <v>118602</v>
      </c>
      <c r="D1255" s="16">
        <v>46107</v>
      </c>
      <c r="E1255" s="15" t="s">
        <v>3</v>
      </c>
      <c r="F1255" s="29">
        <v>122693.77</v>
      </c>
      <c r="G1255" s="29">
        <v>0</v>
      </c>
      <c r="H1255" s="29">
        <v>122693.77</v>
      </c>
      <c r="I1255" s="15">
        <v>30</v>
      </c>
      <c r="J1255" s="15">
        <v>172</v>
      </c>
      <c r="K1255" s="30">
        <v>2000000</v>
      </c>
      <c r="L1255" s="17">
        <v>46138</v>
      </c>
      <c r="M1255" s="18">
        <v>0</v>
      </c>
      <c r="N1255" s="16"/>
      <c r="O1255" s="19">
        <v>5</v>
      </c>
      <c r="P1255" s="20">
        <v>0</v>
      </c>
      <c r="Q1255" s="29">
        <v>0</v>
      </c>
      <c r="R1255" s="9" t="s">
        <v>180</v>
      </c>
    </row>
    <row r="1256" spans="2:18" ht="12" customHeight="1" x14ac:dyDescent="0.25">
      <c r="B1256" s="15" t="s">
        <v>923</v>
      </c>
      <c r="C1256" s="29">
        <v>0</v>
      </c>
      <c r="D1256" s="16">
        <v>46107</v>
      </c>
      <c r="E1256" s="15" t="s">
        <v>3</v>
      </c>
      <c r="F1256" s="29">
        <v>308</v>
      </c>
      <c r="G1256" s="29">
        <v>0</v>
      </c>
      <c r="H1256" s="29">
        <v>308</v>
      </c>
      <c r="I1256" s="15">
        <v>0</v>
      </c>
      <c r="J1256" s="15">
        <v>183</v>
      </c>
      <c r="K1256" s="30">
        <v>30000</v>
      </c>
      <c r="L1256" s="17">
        <v>46107</v>
      </c>
      <c r="M1256" s="18">
        <v>0</v>
      </c>
      <c r="N1256" s="16"/>
      <c r="O1256" s="19">
        <v>5</v>
      </c>
      <c r="P1256" s="20">
        <v>0</v>
      </c>
      <c r="Q1256" s="29">
        <v>0</v>
      </c>
      <c r="R1256" s="9" t="s">
        <v>180</v>
      </c>
    </row>
    <row r="1257" spans="2:18" ht="12" customHeight="1" x14ac:dyDescent="0.25">
      <c r="B1257" s="15" t="s">
        <v>924</v>
      </c>
      <c r="C1257" s="29">
        <v>0</v>
      </c>
      <c r="D1257" s="16">
        <v>46107</v>
      </c>
      <c r="E1257" s="15" t="s">
        <v>3</v>
      </c>
      <c r="F1257" s="29">
        <v>623</v>
      </c>
      <c r="G1257" s="29">
        <v>0</v>
      </c>
      <c r="H1257" s="29">
        <v>623</v>
      </c>
      <c r="I1257" s="15">
        <v>0</v>
      </c>
      <c r="J1257" s="15">
        <v>183</v>
      </c>
      <c r="K1257" s="30">
        <v>30000</v>
      </c>
      <c r="L1257" s="17">
        <v>46107</v>
      </c>
      <c r="M1257" s="18">
        <v>0</v>
      </c>
      <c r="N1257" s="16"/>
      <c r="O1257" s="19">
        <v>5</v>
      </c>
      <c r="P1257" s="20">
        <v>0</v>
      </c>
      <c r="Q1257" s="29">
        <v>0</v>
      </c>
      <c r="R1257" s="9" t="s">
        <v>180</v>
      </c>
    </row>
    <row r="1258" spans="2:18" ht="12" customHeight="1" x14ac:dyDescent="0.25">
      <c r="B1258" s="15" t="s">
        <v>925</v>
      </c>
      <c r="C1258" s="29">
        <v>0</v>
      </c>
      <c r="D1258" s="16">
        <v>46107</v>
      </c>
      <c r="E1258" s="15" t="s">
        <v>3</v>
      </c>
      <c r="F1258" s="29">
        <v>1388</v>
      </c>
      <c r="G1258" s="29">
        <v>0</v>
      </c>
      <c r="H1258" s="29">
        <v>1388</v>
      </c>
      <c r="I1258" s="15">
        <v>0</v>
      </c>
      <c r="J1258" s="15">
        <v>212</v>
      </c>
      <c r="K1258" s="30">
        <v>230000</v>
      </c>
      <c r="L1258" s="17">
        <v>46107</v>
      </c>
      <c r="M1258" s="18">
        <v>0</v>
      </c>
      <c r="N1258" s="16"/>
      <c r="O1258" s="19">
        <v>5</v>
      </c>
      <c r="P1258" s="20">
        <v>0</v>
      </c>
      <c r="Q1258" s="29">
        <v>0</v>
      </c>
      <c r="R1258" s="9" t="s">
        <v>180</v>
      </c>
    </row>
    <row r="1259" spans="2:18" ht="12" customHeight="1" x14ac:dyDescent="0.25">
      <c r="B1259" s="15" t="s">
        <v>926</v>
      </c>
      <c r="C1259" s="29">
        <v>0</v>
      </c>
      <c r="D1259" s="16">
        <v>46107</v>
      </c>
      <c r="E1259" s="15" t="s">
        <v>3</v>
      </c>
      <c r="F1259" s="29">
        <v>2808</v>
      </c>
      <c r="G1259" s="29">
        <v>0</v>
      </c>
      <c r="H1259" s="29">
        <v>2808</v>
      </c>
      <c r="I1259" s="15">
        <v>0</v>
      </c>
      <c r="J1259" s="15">
        <v>212</v>
      </c>
      <c r="K1259" s="30">
        <v>230000</v>
      </c>
      <c r="L1259" s="17">
        <v>46107</v>
      </c>
      <c r="M1259" s="18">
        <v>0</v>
      </c>
      <c r="N1259" s="16"/>
      <c r="O1259" s="19">
        <v>5</v>
      </c>
      <c r="P1259" s="20">
        <v>0</v>
      </c>
      <c r="Q1259" s="29">
        <v>0</v>
      </c>
      <c r="R1259" s="9" t="s">
        <v>180</v>
      </c>
    </row>
    <row r="1260" spans="2:18" ht="12" customHeight="1" x14ac:dyDescent="0.25">
      <c r="B1260" s="15" t="s">
        <v>927</v>
      </c>
      <c r="C1260" s="29">
        <v>0</v>
      </c>
      <c r="D1260" s="16">
        <v>46107</v>
      </c>
      <c r="E1260" s="15" t="s">
        <v>2</v>
      </c>
      <c r="F1260" s="29">
        <v>0</v>
      </c>
      <c r="G1260" s="29">
        <v>0</v>
      </c>
      <c r="H1260" s="29">
        <v>460</v>
      </c>
      <c r="I1260" s="15">
        <v>0</v>
      </c>
      <c r="J1260" s="15">
        <v>200</v>
      </c>
      <c r="K1260" s="30">
        <v>100000</v>
      </c>
      <c r="L1260" s="17">
        <v>46107</v>
      </c>
      <c r="M1260" s="18">
        <v>460</v>
      </c>
      <c r="N1260" s="16">
        <v>46107</v>
      </c>
      <c r="O1260" s="19"/>
      <c r="P1260" s="20">
        <v>460</v>
      </c>
      <c r="Q1260" s="29">
        <v>0</v>
      </c>
      <c r="R1260" s="9" t="s">
        <v>180</v>
      </c>
    </row>
    <row r="1261" spans="2:18" ht="12" customHeight="1" x14ac:dyDescent="0.25">
      <c r="B1261" s="15" t="s">
        <v>928</v>
      </c>
      <c r="C1261" s="29">
        <v>29720</v>
      </c>
      <c r="D1261" s="16">
        <v>46107</v>
      </c>
      <c r="E1261" s="15" t="s">
        <v>3</v>
      </c>
      <c r="F1261" s="29">
        <v>32797</v>
      </c>
      <c r="G1261" s="29">
        <v>0</v>
      </c>
      <c r="H1261" s="29">
        <v>32797</v>
      </c>
      <c r="I1261" s="15">
        <v>90</v>
      </c>
      <c r="J1261" s="15">
        <v>291</v>
      </c>
      <c r="K1261" s="30">
        <v>120000</v>
      </c>
      <c r="L1261" s="17">
        <v>46197</v>
      </c>
      <c r="M1261" s="18">
        <v>0</v>
      </c>
      <c r="N1261" s="16"/>
      <c r="O1261" s="19">
        <v>5</v>
      </c>
      <c r="P1261" s="20">
        <v>0</v>
      </c>
      <c r="Q1261" s="29">
        <v>0</v>
      </c>
      <c r="R1261" s="9" t="s">
        <v>180</v>
      </c>
    </row>
    <row r="1262" spans="2:18" ht="12" customHeight="1" x14ac:dyDescent="0.25">
      <c r="B1262" s="15">
        <v>2465</v>
      </c>
      <c r="C1262" s="29">
        <v>95795</v>
      </c>
      <c r="D1262" s="16">
        <v>46107</v>
      </c>
      <c r="E1262" s="15" t="s">
        <v>3</v>
      </c>
      <c r="F1262" s="29">
        <v>99100</v>
      </c>
      <c r="G1262" s="29">
        <v>0</v>
      </c>
      <c r="H1262" s="29">
        <v>99100</v>
      </c>
      <c r="I1262" s="15">
        <v>30</v>
      </c>
      <c r="J1262" s="15">
        <v>210</v>
      </c>
      <c r="K1262" s="30">
        <v>100000</v>
      </c>
      <c r="L1262" s="17">
        <v>46138</v>
      </c>
      <c r="M1262" s="18">
        <v>0</v>
      </c>
      <c r="N1262" s="16"/>
      <c r="O1262" s="19">
        <v>5</v>
      </c>
      <c r="P1262" s="20">
        <v>0</v>
      </c>
      <c r="Q1262" s="29">
        <v>0</v>
      </c>
      <c r="R1262" s="9" t="s">
        <v>180</v>
      </c>
    </row>
    <row r="1263" spans="2:18" ht="12" customHeight="1" x14ac:dyDescent="0.25">
      <c r="B1263" s="15">
        <v>2463</v>
      </c>
      <c r="C1263" s="29">
        <v>22346.36</v>
      </c>
      <c r="D1263" s="16">
        <v>46107</v>
      </c>
      <c r="E1263" s="15" t="s">
        <v>3</v>
      </c>
      <c r="F1263" s="29">
        <v>23117.360000000001</v>
      </c>
      <c r="G1263" s="29">
        <v>0</v>
      </c>
      <c r="H1263" s="29">
        <v>23117.360000000001</v>
      </c>
      <c r="I1263" s="15">
        <v>30</v>
      </c>
      <c r="J1263" s="15">
        <v>34</v>
      </c>
      <c r="K1263" s="30">
        <v>370000</v>
      </c>
      <c r="L1263" s="17">
        <v>46138</v>
      </c>
      <c r="M1263" s="18">
        <v>0</v>
      </c>
      <c r="N1263" s="16"/>
      <c r="O1263" s="19">
        <v>5</v>
      </c>
      <c r="P1263" s="20">
        <v>0</v>
      </c>
      <c r="Q1263" s="29">
        <v>0</v>
      </c>
      <c r="R1263" s="9" t="s">
        <v>180</v>
      </c>
    </row>
    <row r="1264" spans="2:18" ht="12" customHeight="1" x14ac:dyDescent="0.25">
      <c r="B1264" s="15" t="s">
        <v>929</v>
      </c>
      <c r="C1264" s="29">
        <v>168930</v>
      </c>
      <c r="D1264" s="16">
        <v>46110</v>
      </c>
      <c r="E1264" s="15" t="s">
        <v>3</v>
      </c>
      <c r="F1264" s="29">
        <v>170859.99</v>
      </c>
      <c r="G1264" s="29">
        <v>0</v>
      </c>
      <c r="H1264" s="29">
        <v>170859.99</v>
      </c>
      <c r="I1264" s="15">
        <v>4</v>
      </c>
      <c r="J1264" s="15">
        <v>3</v>
      </c>
      <c r="K1264" s="30">
        <v>1000000</v>
      </c>
      <c r="L1264" s="17">
        <v>46117</v>
      </c>
      <c r="M1264" s="18">
        <v>0</v>
      </c>
      <c r="N1264" s="16"/>
      <c r="O1264" s="19">
        <v>2</v>
      </c>
      <c r="P1264" s="20">
        <v>0</v>
      </c>
      <c r="Q1264" s="29">
        <v>0</v>
      </c>
      <c r="R1264" s="9" t="s">
        <v>180</v>
      </c>
    </row>
    <row r="1265" spans="2:18" ht="12" customHeight="1" x14ac:dyDescent="0.25">
      <c r="B1265" s="15" t="s">
        <v>930</v>
      </c>
      <c r="C1265" s="29">
        <v>450000</v>
      </c>
      <c r="D1265" s="16">
        <v>46110</v>
      </c>
      <c r="E1265" s="15" t="s">
        <v>3</v>
      </c>
      <c r="F1265" s="29">
        <v>465500.07</v>
      </c>
      <c r="G1265" s="29">
        <v>0</v>
      </c>
      <c r="H1265" s="29">
        <v>465500.07</v>
      </c>
      <c r="I1265" s="15">
        <v>30</v>
      </c>
      <c r="J1265" s="15">
        <v>15</v>
      </c>
      <c r="K1265" s="30">
        <v>2300000</v>
      </c>
      <c r="L1265" s="17">
        <v>46140</v>
      </c>
      <c r="M1265" s="18">
        <v>0</v>
      </c>
      <c r="N1265" s="16"/>
      <c r="O1265" s="19">
        <v>2</v>
      </c>
      <c r="P1265" s="20">
        <v>0</v>
      </c>
      <c r="Q1265" s="29">
        <v>0</v>
      </c>
      <c r="R1265" s="9" t="s">
        <v>180</v>
      </c>
    </row>
    <row r="1266" spans="2:18" ht="12" customHeight="1" x14ac:dyDescent="0.25">
      <c r="B1266" s="15" t="s">
        <v>931</v>
      </c>
      <c r="C1266" s="29">
        <v>200000</v>
      </c>
      <c r="D1266" s="16">
        <v>46110</v>
      </c>
      <c r="E1266" s="15" t="s">
        <v>3</v>
      </c>
      <c r="F1266" s="29">
        <v>206900</v>
      </c>
      <c r="G1266" s="29">
        <v>0</v>
      </c>
      <c r="H1266" s="29">
        <v>206900</v>
      </c>
      <c r="I1266" s="15">
        <v>30</v>
      </c>
      <c r="J1266" s="15">
        <v>17</v>
      </c>
      <c r="K1266" s="30">
        <v>2400000</v>
      </c>
      <c r="L1266" s="17">
        <v>46140</v>
      </c>
      <c r="M1266" s="18">
        <v>0</v>
      </c>
      <c r="N1266" s="16"/>
      <c r="O1266" s="19">
        <v>2</v>
      </c>
      <c r="P1266" s="20">
        <v>0</v>
      </c>
      <c r="Q1266" s="29">
        <v>0</v>
      </c>
      <c r="R1266" s="9" t="s">
        <v>180</v>
      </c>
    </row>
    <row r="1267" spans="2:18" ht="12" customHeight="1" x14ac:dyDescent="0.25">
      <c r="B1267" s="15" t="s">
        <v>932</v>
      </c>
      <c r="C1267" s="29">
        <v>120000</v>
      </c>
      <c r="D1267" s="16">
        <v>46110</v>
      </c>
      <c r="E1267" s="15" t="s">
        <v>3</v>
      </c>
      <c r="F1267" s="29">
        <v>124140</v>
      </c>
      <c r="G1267" s="29">
        <v>0</v>
      </c>
      <c r="H1267" s="29">
        <v>124140</v>
      </c>
      <c r="I1267" s="15">
        <v>30</v>
      </c>
      <c r="J1267" s="15">
        <v>17</v>
      </c>
      <c r="K1267" s="30">
        <v>2400000</v>
      </c>
      <c r="L1267" s="17">
        <v>46140</v>
      </c>
      <c r="M1267" s="18">
        <v>0</v>
      </c>
      <c r="N1267" s="16"/>
      <c r="O1267" s="19">
        <v>2</v>
      </c>
      <c r="P1267" s="20">
        <v>0</v>
      </c>
      <c r="Q1267" s="29">
        <v>0</v>
      </c>
      <c r="R1267" s="9" t="s">
        <v>180</v>
      </c>
    </row>
    <row r="1268" spans="2:18" ht="12" customHeight="1" x14ac:dyDescent="0.25">
      <c r="B1268" s="15" t="s">
        <v>933</v>
      </c>
      <c r="C1268" s="29">
        <v>0</v>
      </c>
      <c r="D1268" s="16">
        <v>46110</v>
      </c>
      <c r="E1268" s="15" t="s">
        <v>3</v>
      </c>
      <c r="F1268" s="29">
        <v>17089</v>
      </c>
      <c r="G1268" s="29">
        <v>0</v>
      </c>
      <c r="H1268" s="29">
        <v>17089</v>
      </c>
      <c r="I1268" s="15">
        <v>0</v>
      </c>
      <c r="J1268" s="15">
        <v>37</v>
      </c>
      <c r="K1268" s="30">
        <v>1500000</v>
      </c>
      <c r="L1268" s="17">
        <v>46110</v>
      </c>
      <c r="M1268" s="18">
        <v>0</v>
      </c>
      <c r="N1268" s="16"/>
      <c r="O1268" s="19">
        <v>2</v>
      </c>
      <c r="P1268" s="20">
        <v>0</v>
      </c>
      <c r="Q1268" s="29">
        <v>0</v>
      </c>
      <c r="R1268" s="9" t="s">
        <v>180</v>
      </c>
    </row>
    <row r="1269" spans="2:18" ht="12" customHeight="1" x14ac:dyDescent="0.25">
      <c r="B1269" s="15" t="s">
        <v>934</v>
      </c>
      <c r="C1269" s="29">
        <v>12862</v>
      </c>
      <c r="D1269" s="16">
        <v>46110</v>
      </c>
      <c r="E1269" s="15" t="s">
        <v>3</v>
      </c>
      <c r="F1269" s="29">
        <v>13305.72</v>
      </c>
      <c r="G1269" s="29">
        <v>0</v>
      </c>
      <c r="H1269" s="29">
        <v>13305.72</v>
      </c>
      <c r="I1269" s="15">
        <v>30</v>
      </c>
      <c r="J1269" s="15">
        <v>34</v>
      </c>
      <c r="K1269" s="30">
        <v>370000</v>
      </c>
      <c r="L1269" s="17">
        <v>46140</v>
      </c>
      <c r="M1269" s="18">
        <v>0</v>
      </c>
      <c r="N1269" s="16"/>
      <c r="O1269" s="19">
        <v>2</v>
      </c>
      <c r="P1269" s="20">
        <v>0</v>
      </c>
      <c r="Q1269" s="29">
        <v>0</v>
      </c>
      <c r="R1269" s="9" t="s">
        <v>180</v>
      </c>
    </row>
    <row r="1270" spans="2:18" ht="12" customHeight="1" x14ac:dyDescent="0.25">
      <c r="B1270" s="15" t="s">
        <v>935</v>
      </c>
      <c r="C1270" s="29">
        <v>10268</v>
      </c>
      <c r="D1270" s="16">
        <v>46110</v>
      </c>
      <c r="E1270" s="15" t="s">
        <v>3</v>
      </c>
      <c r="F1270" s="29">
        <v>10622.23</v>
      </c>
      <c r="G1270" s="29">
        <v>0</v>
      </c>
      <c r="H1270" s="29">
        <v>10622.23</v>
      </c>
      <c r="I1270" s="15">
        <v>30</v>
      </c>
      <c r="J1270" s="15">
        <v>34</v>
      </c>
      <c r="K1270" s="30">
        <v>370000</v>
      </c>
      <c r="L1270" s="17">
        <v>46140</v>
      </c>
      <c r="M1270" s="18">
        <v>0</v>
      </c>
      <c r="N1270" s="16"/>
      <c r="O1270" s="19">
        <v>2</v>
      </c>
      <c r="P1270" s="20">
        <v>0</v>
      </c>
      <c r="Q1270" s="29">
        <v>0</v>
      </c>
      <c r="R1270" s="9" t="s">
        <v>180</v>
      </c>
    </row>
    <row r="1271" spans="2:18" ht="12" customHeight="1" x14ac:dyDescent="0.25">
      <c r="B1271" s="15" t="s">
        <v>936</v>
      </c>
      <c r="C1271" s="29">
        <v>11040</v>
      </c>
      <c r="D1271" s="16">
        <v>46110</v>
      </c>
      <c r="E1271" s="15" t="s">
        <v>3</v>
      </c>
      <c r="F1271" s="29">
        <v>12182.64</v>
      </c>
      <c r="G1271" s="29">
        <v>0</v>
      </c>
      <c r="H1271" s="29">
        <v>12182.64</v>
      </c>
      <c r="I1271" s="15">
        <v>90</v>
      </c>
      <c r="J1271" s="15">
        <v>54</v>
      </c>
      <c r="K1271" s="30">
        <v>117000</v>
      </c>
      <c r="L1271" s="17">
        <v>46201</v>
      </c>
      <c r="M1271" s="18">
        <v>0</v>
      </c>
      <c r="N1271" s="16"/>
      <c r="O1271" s="19">
        <v>2</v>
      </c>
      <c r="P1271" s="20">
        <v>0</v>
      </c>
      <c r="Q1271" s="29">
        <v>0</v>
      </c>
      <c r="R1271" s="9" t="s">
        <v>180</v>
      </c>
    </row>
    <row r="1272" spans="2:18" ht="12" customHeight="1" x14ac:dyDescent="0.25">
      <c r="B1272" s="15" t="s">
        <v>937</v>
      </c>
      <c r="C1272" s="29">
        <v>46500</v>
      </c>
      <c r="D1272" s="16">
        <v>46110</v>
      </c>
      <c r="E1272" s="15" t="s">
        <v>3</v>
      </c>
      <c r="F1272" s="29">
        <v>48100</v>
      </c>
      <c r="G1272" s="29">
        <v>0</v>
      </c>
      <c r="H1272" s="29">
        <v>48100</v>
      </c>
      <c r="I1272" s="15">
        <v>30</v>
      </c>
      <c r="J1272" s="15">
        <v>78</v>
      </c>
      <c r="K1272" s="30">
        <v>208000</v>
      </c>
      <c r="L1272" s="17">
        <v>46140</v>
      </c>
      <c r="M1272" s="18">
        <v>0</v>
      </c>
      <c r="N1272" s="16"/>
      <c r="O1272" s="19">
        <v>2</v>
      </c>
      <c r="P1272" s="20">
        <v>0</v>
      </c>
      <c r="Q1272" s="29">
        <v>0</v>
      </c>
      <c r="R1272" s="9" t="s">
        <v>180</v>
      </c>
    </row>
    <row r="1273" spans="2:18" ht="12" customHeight="1" x14ac:dyDescent="0.25">
      <c r="B1273" s="15" t="s">
        <v>938</v>
      </c>
      <c r="C1273" s="29">
        <v>30800</v>
      </c>
      <c r="D1273" s="16">
        <v>46110</v>
      </c>
      <c r="E1273" s="15" t="s">
        <v>3</v>
      </c>
      <c r="F1273" s="29">
        <v>31900</v>
      </c>
      <c r="G1273" s="29">
        <v>0</v>
      </c>
      <c r="H1273" s="29">
        <v>31900</v>
      </c>
      <c r="I1273" s="15">
        <v>30</v>
      </c>
      <c r="J1273" s="15">
        <v>139</v>
      </c>
      <c r="K1273" s="30">
        <v>322000</v>
      </c>
      <c r="L1273" s="17">
        <v>46140</v>
      </c>
      <c r="M1273" s="18">
        <v>0</v>
      </c>
      <c r="N1273" s="16"/>
      <c r="O1273" s="19">
        <v>2</v>
      </c>
      <c r="P1273" s="20">
        <v>0</v>
      </c>
      <c r="Q1273" s="29">
        <v>0</v>
      </c>
      <c r="R1273" s="9" t="s">
        <v>180</v>
      </c>
    </row>
    <row r="1274" spans="2:18" ht="12" customHeight="1" x14ac:dyDescent="0.25">
      <c r="B1274" s="15" t="s">
        <v>939</v>
      </c>
      <c r="C1274" s="29">
        <v>90620</v>
      </c>
      <c r="D1274" s="16">
        <v>46110</v>
      </c>
      <c r="E1274" s="15" t="s">
        <v>3</v>
      </c>
      <c r="F1274" s="29">
        <v>99999.99</v>
      </c>
      <c r="G1274" s="29">
        <v>0</v>
      </c>
      <c r="H1274" s="29">
        <v>99999.99</v>
      </c>
      <c r="I1274" s="15">
        <v>90</v>
      </c>
      <c r="J1274" s="15">
        <v>180</v>
      </c>
      <c r="K1274" s="30">
        <v>100000</v>
      </c>
      <c r="L1274" s="17">
        <v>46201</v>
      </c>
      <c r="M1274" s="18">
        <v>0</v>
      </c>
      <c r="N1274" s="16"/>
      <c r="O1274" s="19">
        <v>2</v>
      </c>
      <c r="P1274" s="20">
        <v>0</v>
      </c>
      <c r="Q1274" s="29">
        <v>0</v>
      </c>
      <c r="R1274" s="9" t="s">
        <v>180</v>
      </c>
    </row>
    <row r="1275" spans="2:18" ht="12" customHeight="1" x14ac:dyDescent="0.25">
      <c r="B1275" s="15" t="s">
        <v>940</v>
      </c>
      <c r="C1275" s="29">
        <v>125500</v>
      </c>
      <c r="D1275" s="16">
        <v>46110</v>
      </c>
      <c r="E1275" s="15" t="s">
        <v>3</v>
      </c>
      <c r="F1275" s="29">
        <v>129828.77</v>
      </c>
      <c r="G1275" s="29">
        <v>0</v>
      </c>
      <c r="H1275" s="29">
        <v>129828.77</v>
      </c>
      <c r="I1275" s="15">
        <v>30</v>
      </c>
      <c r="J1275" s="15">
        <v>211</v>
      </c>
      <c r="K1275" s="30">
        <v>130000</v>
      </c>
      <c r="L1275" s="17">
        <v>46140</v>
      </c>
      <c r="M1275" s="18">
        <v>0</v>
      </c>
      <c r="N1275" s="16"/>
      <c r="O1275" s="19">
        <v>2</v>
      </c>
      <c r="P1275" s="20">
        <v>0</v>
      </c>
      <c r="Q1275" s="29">
        <v>0</v>
      </c>
      <c r="R1275" s="9" t="s">
        <v>180</v>
      </c>
    </row>
    <row r="1276" spans="2:18" ht="12" customHeight="1" x14ac:dyDescent="0.25">
      <c r="B1276" s="15" t="s">
        <v>941</v>
      </c>
      <c r="C1276" s="29">
        <v>250000</v>
      </c>
      <c r="D1276" s="16">
        <v>46111</v>
      </c>
      <c r="E1276" s="15" t="s">
        <v>3</v>
      </c>
      <c r="F1276" s="29">
        <v>258600</v>
      </c>
      <c r="G1276" s="29">
        <v>0</v>
      </c>
      <c r="H1276" s="29">
        <v>258600</v>
      </c>
      <c r="I1276" s="15">
        <v>30</v>
      </c>
      <c r="J1276" s="15">
        <v>15</v>
      </c>
      <c r="K1276" s="30">
        <v>2300000</v>
      </c>
      <c r="L1276" s="17">
        <v>46141</v>
      </c>
      <c r="M1276" s="18">
        <v>0</v>
      </c>
      <c r="N1276" s="16"/>
      <c r="O1276" s="19">
        <v>1</v>
      </c>
      <c r="P1276" s="20">
        <v>0</v>
      </c>
      <c r="Q1276" s="29">
        <v>0</v>
      </c>
      <c r="R1276" s="9" t="s">
        <v>180</v>
      </c>
    </row>
    <row r="1277" spans="2:18" ht="12" customHeight="1" x14ac:dyDescent="0.25">
      <c r="B1277" s="15" t="s">
        <v>942</v>
      </c>
      <c r="C1277" s="29">
        <v>200000</v>
      </c>
      <c r="D1277" s="16">
        <v>46111</v>
      </c>
      <c r="E1277" s="15" t="s">
        <v>3</v>
      </c>
      <c r="F1277" s="29">
        <v>206900</v>
      </c>
      <c r="G1277" s="29">
        <v>0</v>
      </c>
      <c r="H1277" s="29">
        <v>206900</v>
      </c>
      <c r="I1277" s="15">
        <v>30</v>
      </c>
      <c r="J1277" s="15">
        <v>17</v>
      </c>
      <c r="K1277" s="30">
        <v>2400000</v>
      </c>
      <c r="L1277" s="17">
        <v>46141</v>
      </c>
      <c r="M1277" s="18">
        <v>0</v>
      </c>
      <c r="N1277" s="16"/>
      <c r="O1277" s="19">
        <v>1</v>
      </c>
      <c r="P1277" s="20">
        <v>0</v>
      </c>
      <c r="Q1277" s="29">
        <v>0</v>
      </c>
      <c r="R1277" s="9" t="s">
        <v>180</v>
      </c>
    </row>
    <row r="1278" spans="2:18" ht="12" customHeight="1" x14ac:dyDescent="0.25">
      <c r="B1278" s="15" t="s">
        <v>943</v>
      </c>
      <c r="C1278" s="29">
        <v>200000</v>
      </c>
      <c r="D1278" s="16">
        <v>46111</v>
      </c>
      <c r="E1278" s="15" t="s">
        <v>3</v>
      </c>
      <c r="F1278" s="29">
        <v>206900</v>
      </c>
      <c r="G1278" s="29">
        <v>0</v>
      </c>
      <c r="H1278" s="29">
        <v>206900</v>
      </c>
      <c r="I1278" s="15">
        <v>30</v>
      </c>
      <c r="J1278" s="15">
        <v>17</v>
      </c>
      <c r="K1278" s="30">
        <v>2400000</v>
      </c>
      <c r="L1278" s="17">
        <v>46141</v>
      </c>
      <c r="M1278" s="18">
        <v>0</v>
      </c>
      <c r="N1278" s="16"/>
      <c r="O1278" s="19">
        <v>1</v>
      </c>
      <c r="P1278" s="20">
        <v>0</v>
      </c>
      <c r="Q1278" s="29">
        <v>0</v>
      </c>
      <c r="R1278" s="9" t="s">
        <v>180</v>
      </c>
    </row>
    <row r="1279" spans="2:18" ht="12" customHeight="1" x14ac:dyDescent="0.25">
      <c r="B1279" s="15" t="s">
        <v>944</v>
      </c>
      <c r="C1279" s="29">
        <v>0</v>
      </c>
      <c r="D1279" s="16">
        <v>46111</v>
      </c>
      <c r="E1279" s="15" t="s">
        <v>3</v>
      </c>
      <c r="F1279" s="29">
        <v>13198</v>
      </c>
      <c r="G1279" s="29">
        <v>0</v>
      </c>
      <c r="H1279" s="29">
        <v>13198</v>
      </c>
      <c r="I1279" s="15">
        <v>0</v>
      </c>
      <c r="J1279" s="15">
        <v>37</v>
      </c>
      <c r="K1279" s="30">
        <v>1500000</v>
      </c>
      <c r="L1279" s="17">
        <v>46111</v>
      </c>
      <c r="M1279" s="18">
        <v>0</v>
      </c>
      <c r="N1279" s="16"/>
      <c r="O1279" s="19">
        <v>1</v>
      </c>
      <c r="P1279" s="20">
        <v>0</v>
      </c>
      <c r="Q1279" s="29">
        <v>0</v>
      </c>
      <c r="R1279" s="9" t="s">
        <v>180</v>
      </c>
    </row>
    <row r="1280" spans="2:18" ht="12" customHeight="1" x14ac:dyDescent="0.25">
      <c r="B1280" s="15" t="s">
        <v>945</v>
      </c>
      <c r="C1280" s="29">
        <v>50520</v>
      </c>
      <c r="D1280" s="16">
        <v>46111</v>
      </c>
      <c r="E1280" s="15" t="s">
        <v>3</v>
      </c>
      <c r="F1280" s="29">
        <v>54000</v>
      </c>
      <c r="G1280" s="29">
        <v>0</v>
      </c>
      <c r="H1280" s="29">
        <v>54000</v>
      </c>
      <c r="I1280" s="15">
        <v>60</v>
      </c>
      <c r="J1280" s="15">
        <v>50</v>
      </c>
      <c r="K1280" s="30">
        <v>84000</v>
      </c>
      <c r="L1280" s="17">
        <v>46173</v>
      </c>
      <c r="M1280" s="18">
        <v>0</v>
      </c>
      <c r="N1280" s="16"/>
      <c r="O1280" s="19">
        <v>1</v>
      </c>
      <c r="P1280" s="20">
        <v>0</v>
      </c>
      <c r="Q1280" s="29">
        <v>0</v>
      </c>
      <c r="R1280" s="9" t="s">
        <v>180</v>
      </c>
    </row>
    <row r="1281" spans="2:18" ht="12" customHeight="1" x14ac:dyDescent="0.25">
      <c r="B1281" s="15" t="s">
        <v>946</v>
      </c>
      <c r="C1281" s="29">
        <v>100000</v>
      </c>
      <c r="D1281" s="16">
        <v>46111</v>
      </c>
      <c r="E1281" s="15" t="s">
        <v>3</v>
      </c>
      <c r="F1281" s="29">
        <v>110350</v>
      </c>
      <c r="G1281" s="29">
        <v>0</v>
      </c>
      <c r="H1281" s="29">
        <v>110350</v>
      </c>
      <c r="I1281" s="15">
        <v>90</v>
      </c>
      <c r="J1281" s="15">
        <v>80</v>
      </c>
      <c r="K1281" s="30">
        <v>100000</v>
      </c>
      <c r="L1281" s="17">
        <v>46201</v>
      </c>
      <c r="M1281" s="18">
        <v>0</v>
      </c>
      <c r="N1281" s="16"/>
      <c r="O1281" s="19">
        <v>1</v>
      </c>
      <c r="P1281" s="20">
        <v>0</v>
      </c>
      <c r="Q1281" s="29">
        <v>0</v>
      </c>
      <c r="R1281" s="9" t="s">
        <v>180</v>
      </c>
    </row>
    <row r="1282" spans="2:18" ht="12" customHeight="1" x14ac:dyDescent="0.25">
      <c r="B1282" s="15" t="s">
        <v>947</v>
      </c>
      <c r="C1282" s="29">
        <v>32085</v>
      </c>
      <c r="D1282" s="16">
        <v>46111</v>
      </c>
      <c r="E1282" s="15" t="s">
        <v>3</v>
      </c>
      <c r="F1282" s="29">
        <v>33191</v>
      </c>
      <c r="G1282" s="29">
        <v>0</v>
      </c>
      <c r="H1282" s="29">
        <v>33191</v>
      </c>
      <c r="I1282" s="15">
        <v>30</v>
      </c>
      <c r="J1282" s="15">
        <v>159</v>
      </c>
      <c r="K1282" s="30">
        <v>129000</v>
      </c>
      <c r="L1282" s="17">
        <v>46141</v>
      </c>
      <c r="M1282" s="18">
        <v>0</v>
      </c>
      <c r="N1282" s="16"/>
      <c r="O1282" s="19">
        <v>1</v>
      </c>
      <c r="P1282" s="20">
        <v>0</v>
      </c>
      <c r="Q1282" s="29">
        <v>0</v>
      </c>
      <c r="R1282" s="9" t="s">
        <v>180</v>
      </c>
    </row>
    <row r="1283" spans="2:18" ht="12" customHeight="1" x14ac:dyDescent="0.25">
      <c r="B1283" s="15" t="s">
        <v>948</v>
      </c>
      <c r="C1283" s="29">
        <v>95999</v>
      </c>
      <c r="D1283" s="16">
        <v>46111</v>
      </c>
      <c r="E1283" s="15" t="s">
        <v>3</v>
      </c>
      <c r="F1283" s="29">
        <v>98399</v>
      </c>
      <c r="G1283" s="29">
        <v>0</v>
      </c>
      <c r="H1283" s="29">
        <v>98399</v>
      </c>
      <c r="I1283" s="15">
        <v>15</v>
      </c>
      <c r="J1283" s="15">
        <v>189</v>
      </c>
      <c r="K1283" s="30">
        <v>99000</v>
      </c>
      <c r="L1283" s="17">
        <v>46124</v>
      </c>
      <c r="M1283" s="18">
        <v>0</v>
      </c>
      <c r="N1283" s="16"/>
      <c r="O1283" s="19">
        <v>1</v>
      </c>
      <c r="P1283" s="20">
        <v>0</v>
      </c>
      <c r="Q1283" s="29">
        <v>0</v>
      </c>
      <c r="R1283" s="9" t="s">
        <v>180</v>
      </c>
    </row>
    <row r="1284" spans="2:18" ht="12" customHeight="1" x14ac:dyDescent="0.25">
      <c r="B1284" s="15" t="s">
        <v>949</v>
      </c>
      <c r="C1284" s="29">
        <v>0</v>
      </c>
      <c r="D1284" s="16">
        <v>46111</v>
      </c>
      <c r="E1284" s="15" t="s">
        <v>3</v>
      </c>
      <c r="F1284" s="29">
        <v>8</v>
      </c>
      <c r="G1284" s="29">
        <v>0</v>
      </c>
      <c r="H1284" s="29">
        <v>8</v>
      </c>
      <c r="I1284" s="15">
        <v>0</v>
      </c>
      <c r="J1284" s="15">
        <v>205</v>
      </c>
      <c r="K1284" s="30">
        <v>20000</v>
      </c>
      <c r="L1284" s="17">
        <v>46111</v>
      </c>
      <c r="M1284" s="18">
        <v>0</v>
      </c>
      <c r="N1284" s="16"/>
      <c r="O1284" s="19">
        <v>1</v>
      </c>
      <c r="P1284" s="20">
        <v>0</v>
      </c>
      <c r="Q1284" s="29">
        <v>0</v>
      </c>
      <c r="R1284" s="9" t="s">
        <v>180</v>
      </c>
    </row>
    <row r="1285" spans="2:18" ht="12" customHeight="1" x14ac:dyDescent="0.25">
      <c r="B1285" s="15" t="s">
        <v>950</v>
      </c>
      <c r="C1285" s="29">
        <v>0</v>
      </c>
      <c r="D1285" s="16">
        <v>46111</v>
      </c>
      <c r="E1285" s="15" t="s">
        <v>3</v>
      </c>
      <c r="F1285" s="29">
        <v>74</v>
      </c>
      <c r="G1285" s="29">
        <v>0</v>
      </c>
      <c r="H1285" s="29">
        <v>74</v>
      </c>
      <c r="I1285" s="15">
        <v>0</v>
      </c>
      <c r="J1285" s="15">
        <v>205</v>
      </c>
      <c r="K1285" s="30">
        <v>20000</v>
      </c>
      <c r="L1285" s="17">
        <v>46111</v>
      </c>
      <c r="M1285" s="18">
        <v>0</v>
      </c>
      <c r="N1285" s="16"/>
      <c r="O1285" s="19">
        <v>1</v>
      </c>
      <c r="P1285" s="20">
        <v>0</v>
      </c>
      <c r="Q1285" s="29">
        <v>0</v>
      </c>
      <c r="R1285" s="9" t="s">
        <v>180</v>
      </c>
    </row>
    <row r="1286" spans="2:18" ht="12" customHeight="1" x14ac:dyDescent="0.25">
      <c r="B1286" s="15" t="s">
        <v>951</v>
      </c>
      <c r="C1286" s="29">
        <v>0</v>
      </c>
      <c r="D1286" s="16">
        <v>46111</v>
      </c>
      <c r="E1286" s="15" t="s">
        <v>3</v>
      </c>
      <c r="F1286" s="29">
        <v>148</v>
      </c>
      <c r="G1286" s="29">
        <v>0</v>
      </c>
      <c r="H1286" s="29">
        <v>148</v>
      </c>
      <c r="I1286" s="15">
        <v>0</v>
      </c>
      <c r="J1286" s="15">
        <v>205</v>
      </c>
      <c r="K1286" s="30">
        <v>20000</v>
      </c>
      <c r="L1286" s="17">
        <v>46111</v>
      </c>
      <c r="M1286" s="18">
        <v>0</v>
      </c>
      <c r="N1286" s="16"/>
      <c r="O1286" s="19">
        <v>1</v>
      </c>
      <c r="P1286" s="20">
        <v>0</v>
      </c>
      <c r="Q1286" s="29">
        <v>0</v>
      </c>
      <c r="R1286" s="9" t="s">
        <v>180</v>
      </c>
    </row>
    <row r="1287" spans="2:18" ht="12" customHeight="1" x14ac:dyDescent="0.25">
      <c r="B1287" s="15" t="s">
        <v>952</v>
      </c>
      <c r="C1287" s="29">
        <v>0</v>
      </c>
      <c r="D1287" s="16">
        <v>46111</v>
      </c>
      <c r="E1287" s="15" t="s">
        <v>3</v>
      </c>
      <c r="F1287" s="29">
        <v>158</v>
      </c>
      <c r="G1287" s="29">
        <v>0</v>
      </c>
      <c r="H1287" s="29">
        <v>158</v>
      </c>
      <c r="I1287" s="15">
        <v>0</v>
      </c>
      <c r="J1287" s="15">
        <v>205</v>
      </c>
      <c r="K1287" s="30">
        <v>20000</v>
      </c>
      <c r="L1287" s="17">
        <v>46111</v>
      </c>
      <c r="M1287" s="18">
        <v>0</v>
      </c>
      <c r="N1287" s="16"/>
      <c r="O1287" s="19">
        <v>1</v>
      </c>
      <c r="P1287" s="20">
        <v>0</v>
      </c>
      <c r="Q1287" s="29">
        <v>0</v>
      </c>
      <c r="R1287" s="9" t="s">
        <v>180</v>
      </c>
    </row>
    <row r="1288" spans="2:18" ht="12" customHeight="1" x14ac:dyDescent="0.25">
      <c r="B1288" s="15" t="s">
        <v>953</v>
      </c>
      <c r="C1288" s="29">
        <v>10120</v>
      </c>
      <c r="D1288" s="16">
        <v>46111</v>
      </c>
      <c r="E1288" s="15" t="s">
        <v>3</v>
      </c>
      <c r="F1288" s="29">
        <v>10818.28</v>
      </c>
      <c r="G1288" s="29">
        <v>0</v>
      </c>
      <c r="H1288" s="29">
        <v>10818.28</v>
      </c>
      <c r="I1288" s="15">
        <v>60</v>
      </c>
      <c r="J1288" s="15">
        <v>236</v>
      </c>
      <c r="K1288" s="30">
        <v>43478</v>
      </c>
      <c r="L1288" s="17">
        <v>46173</v>
      </c>
      <c r="M1288" s="18">
        <v>0</v>
      </c>
      <c r="N1288" s="16"/>
      <c r="O1288" s="19">
        <v>1</v>
      </c>
      <c r="P1288" s="20">
        <v>0</v>
      </c>
      <c r="Q1288" s="29">
        <v>0</v>
      </c>
      <c r="R1288" s="9" t="s">
        <v>180</v>
      </c>
    </row>
    <row r="1289" spans="2:18" ht="12" customHeight="1" x14ac:dyDescent="0.25">
      <c r="B1289" s="15" t="s">
        <v>954</v>
      </c>
      <c r="C1289" s="29">
        <v>0</v>
      </c>
      <c r="D1289" s="16">
        <v>46111</v>
      </c>
      <c r="E1289" s="15" t="s">
        <v>3</v>
      </c>
      <c r="F1289" s="29">
        <v>509</v>
      </c>
      <c r="G1289" s="29">
        <v>0</v>
      </c>
      <c r="H1289" s="29">
        <v>509</v>
      </c>
      <c r="I1289" s="15">
        <v>0</v>
      </c>
      <c r="J1289" s="15">
        <v>216</v>
      </c>
      <c r="K1289" s="30">
        <v>87000</v>
      </c>
      <c r="L1289" s="17">
        <v>46111</v>
      </c>
      <c r="M1289" s="18">
        <v>0</v>
      </c>
      <c r="N1289" s="16"/>
      <c r="O1289" s="19">
        <v>1</v>
      </c>
      <c r="P1289" s="20">
        <v>0</v>
      </c>
      <c r="Q1289" s="29">
        <v>0</v>
      </c>
      <c r="R1289" s="9" t="s">
        <v>180</v>
      </c>
    </row>
    <row r="1290" spans="2:18" ht="12" customHeight="1" x14ac:dyDescent="0.25">
      <c r="B1290" s="15" t="s">
        <v>955</v>
      </c>
      <c r="C1290" s="29">
        <v>72600</v>
      </c>
      <c r="D1290" s="16">
        <v>46111</v>
      </c>
      <c r="E1290" s="15" t="s">
        <v>3</v>
      </c>
      <c r="F1290" s="29">
        <v>81030</v>
      </c>
      <c r="G1290" s="29">
        <v>0</v>
      </c>
      <c r="H1290" s="29">
        <v>81030</v>
      </c>
      <c r="I1290" s="15">
        <v>90</v>
      </c>
      <c r="J1290" s="15">
        <v>287</v>
      </c>
      <c r="K1290" s="30">
        <v>220000</v>
      </c>
      <c r="L1290" s="17">
        <v>46201</v>
      </c>
      <c r="M1290" s="18">
        <v>0</v>
      </c>
      <c r="N1290" s="16"/>
      <c r="O1290" s="19">
        <v>1</v>
      </c>
      <c r="P1290" s="20">
        <v>0</v>
      </c>
      <c r="Q1290" s="29">
        <v>0</v>
      </c>
      <c r="R1290" s="9" t="s">
        <v>180</v>
      </c>
    </row>
    <row r="1291" spans="2:18" ht="12" customHeight="1" x14ac:dyDescent="0.25">
      <c r="B1291" s="15" t="s">
        <v>956</v>
      </c>
      <c r="C1291" s="29">
        <v>0</v>
      </c>
      <c r="D1291" s="16">
        <v>46111</v>
      </c>
      <c r="E1291" s="15" t="s">
        <v>3</v>
      </c>
      <c r="F1291" s="29">
        <v>4863</v>
      </c>
      <c r="G1291" s="29">
        <v>0</v>
      </c>
      <c r="H1291" s="29">
        <v>4863</v>
      </c>
      <c r="I1291" s="15">
        <v>0</v>
      </c>
      <c r="J1291" s="15">
        <v>99</v>
      </c>
      <c r="K1291" s="30">
        <v>100000</v>
      </c>
      <c r="L1291" s="17">
        <v>46111</v>
      </c>
      <c r="M1291" s="18">
        <v>0</v>
      </c>
      <c r="N1291" s="16"/>
      <c r="O1291" s="19">
        <v>1</v>
      </c>
      <c r="P1291" s="20">
        <v>0</v>
      </c>
      <c r="Q1291" s="29">
        <v>0</v>
      </c>
      <c r="R1291" s="9" t="s">
        <v>180</v>
      </c>
    </row>
    <row r="1292" spans="2:18" ht="12" customHeight="1" x14ac:dyDescent="0.25">
      <c r="B1292" s="15" t="s">
        <v>957</v>
      </c>
      <c r="C1292" s="29">
        <v>0</v>
      </c>
      <c r="D1292" s="16">
        <v>46111</v>
      </c>
      <c r="E1292" s="15" t="s">
        <v>3</v>
      </c>
      <c r="F1292" s="29">
        <v>638</v>
      </c>
      <c r="G1292" s="29">
        <v>0</v>
      </c>
      <c r="H1292" s="29">
        <v>638</v>
      </c>
      <c r="I1292" s="15">
        <v>0</v>
      </c>
      <c r="J1292" s="15">
        <v>99</v>
      </c>
      <c r="K1292" s="30">
        <v>100000</v>
      </c>
      <c r="L1292" s="17">
        <v>46111</v>
      </c>
      <c r="M1292" s="18">
        <v>0</v>
      </c>
      <c r="N1292" s="16"/>
      <c r="O1292" s="19">
        <v>1</v>
      </c>
      <c r="P1292" s="20">
        <v>0</v>
      </c>
      <c r="Q1292" s="29">
        <v>0</v>
      </c>
      <c r="R1292" s="9" t="s">
        <v>180</v>
      </c>
    </row>
    <row r="1293" spans="2:18" ht="12" customHeight="1" x14ac:dyDescent="0.25">
      <c r="B1293" s="15" t="s">
        <v>958</v>
      </c>
      <c r="C1293" s="29">
        <v>110000</v>
      </c>
      <c r="D1293" s="16">
        <v>46112</v>
      </c>
      <c r="E1293" s="15" t="s">
        <v>3</v>
      </c>
      <c r="F1293" s="29">
        <v>113780</v>
      </c>
      <c r="G1293" s="29">
        <v>0</v>
      </c>
      <c r="H1293" s="29">
        <v>113780</v>
      </c>
      <c r="I1293" s="15">
        <v>30</v>
      </c>
      <c r="J1293" s="15">
        <v>15</v>
      </c>
      <c r="K1293" s="30">
        <v>2300000</v>
      </c>
      <c r="L1293" s="17">
        <v>46142</v>
      </c>
      <c r="M1293" s="18">
        <v>0</v>
      </c>
      <c r="N1293" s="16"/>
      <c r="O1293" s="19">
        <v>0</v>
      </c>
      <c r="P1293" s="20">
        <v>0</v>
      </c>
      <c r="Q1293" s="29">
        <v>0</v>
      </c>
      <c r="R1293" s="9" t="s">
        <v>180</v>
      </c>
    </row>
    <row r="1294" spans="2:18" ht="12" customHeight="1" x14ac:dyDescent="0.25">
      <c r="B1294" s="15" t="s">
        <v>959</v>
      </c>
      <c r="C1294" s="29">
        <v>4124</v>
      </c>
      <c r="D1294" s="16">
        <v>46112</v>
      </c>
      <c r="E1294" s="15" t="s">
        <v>3</v>
      </c>
      <c r="F1294" s="29">
        <v>4266.2700000000004</v>
      </c>
      <c r="G1294" s="29">
        <v>0</v>
      </c>
      <c r="H1294" s="29">
        <v>4266.2700000000004</v>
      </c>
      <c r="I1294" s="15">
        <v>30</v>
      </c>
      <c r="J1294" s="15">
        <v>34</v>
      </c>
      <c r="K1294" s="30">
        <v>370000</v>
      </c>
      <c r="L1294" s="17">
        <v>46142</v>
      </c>
      <c r="M1294" s="18">
        <v>0</v>
      </c>
      <c r="N1294" s="16"/>
      <c r="O1294" s="19">
        <v>0</v>
      </c>
      <c r="P1294" s="20">
        <v>0</v>
      </c>
      <c r="Q1294" s="29">
        <v>0</v>
      </c>
      <c r="R1294" s="9" t="s">
        <v>180</v>
      </c>
    </row>
    <row r="1295" spans="2:18" ht="12" customHeight="1" x14ac:dyDescent="0.25">
      <c r="B1295" s="15" t="s">
        <v>960</v>
      </c>
      <c r="C1295" s="29">
        <v>14656</v>
      </c>
      <c r="D1295" s="16">
        <v>46112</v>
      </c>
      <c r="E1295" s="15" t="s">
        <v>3</v>
      </c>
      <c r="F1295" s="29">
        <v>15161</v>
      </c>
      <c r="G1295" s="29">
        <v>0</v>
      </c>
      <c r="H1295" s="29">
        <v>15161</v>
      </c>
      <c r="I1295" s="15">
        <v>30</v>
      </c>
      <c r="J1295" s="15">
        <v>34</v>
      </c>
      <c r="K1295" s="30">
        <v>370000</v>
      </c>
      <c r="L1295" s="17">
        <v>46142</v>
      </c>
      <c r="M1295" s="18">
        <v>0</v>
      </c>
      <c r="N1295" s="16"/>
      <c r="O1295" s="19">
        <v>0</v>
      </c>
      <c r="P1295" s="20">
        <v>0</v>
      </c>
      <c r="Q1295" s="29">
        <v>0</v>
      </c>
      <c r="R1295" s="9" t="s">
        <v>180</v>
      </c>
    </row>
    <row r="1296" spans="2:18" ht="12" customHeight="1" x14ac:dyDescent="0.25">
      <c r="B1296" s="15" t="s">
        <v>961</v>
      </c>
      <c r="C1296" s="29">
        <v>5820</v>
      </c>
      <c r="D1296" s="16">
        <v>46112</v>
      </c>
      <c r="E1296" s="15" t="s">
        <v>3</v>
      </c>
      <c r="F1296" s="29">
        <v>6021</v>
      </c>
      <c r="G1296" s="29">
        <v>0</v>
      </c>
      <c r="H1296" s="29">
        <v>6021</v>
      </c>
      <c r="I1296" s="15">
        <v>30</v>
      </c>
      <c r="J1296" s="15">
        <v>34</v>
      </c>
      <c r="K1296" s="30">
        <v>370000</v>
      </c>
      <c r="L1296" s="17">
        <v>46142</v>
      </c>
      <c r="M1296" s="18">
        <v>0</v>
      </c>
      <c r="N1296" s="16"/>
      <c r="O1296" s="19">
        <v>0</v>
      </c>
      <c r="P1296" s="20">
        <v>0</v>
      </c>
      <c r="Q1296" s="29">
        <v>0</v>
      </c>
      <c r="R1296" s="9" t="s">
        <v>180</v>
      </c>
    </row>
    <row r="1297" spans="2:18" ht="12" customHeight="1" x14ac:dyDescent="0.25">
      <c r="B1297" s="15" t="s">
        <v>962</v>
      </c>
      <c r="C1297" s="29">
        <v>40725</v>
      </c>
      <c r="D1297" s="16">
        <v>46112</v>
      </c>
      <c r="E1297" s="15" t="s">
        <v>3</v>
      </c>
      <c r="F1297" s="29">
        <v>42187.5</v>
      </c>
      <c r="G1297" s="29">
        <v>0</v>
      </c>
      <c r="H1297" s="29">
        <v>42187.5</v>
      </c>
      <c r="I1297" s="15">
        <v>30</v>
      </c>
      <c r="J1297" s="15">
        <v>139</v>
      </c>
      <c r="K1297" s="30">
        <v>322000</v>
      </c>
      <c r="L1297" s="17">
        <v>46142</v>
      </c>
      <c r="M1297" s="18">
        <v>0</v>
      </c>
      <c r="N1297" s="16"/>
      <c r="O1297" s="19">
        <v>0</v>
      </c>
      <c r="P1297" s="20">
        <v>0</v>
      </c>
      <c r="Q1297" s="29">
        <v>0</v>
      </c>
      <c r="R1297" s="9" t="s">
        <v>180</v>
      </c>
    </row>
    <row r="1298" spans="2:18" ht="12" customHeight="1" x14ac:dyDescent="0.25">
      <c r="B1298" s="15" t="s">
        <v>963</v>
      </c>
      <c r="C1298" s="29">
        <v>45000</v>
      </c>
      <c r="D1298" s="16">
        <v>46112</v>
      </c>
      <c r="E1298" s="15" t="s">
        <v>3</v>
      </c>
      <c r="F1298" s="29">
        <v>49650</v>
      </c>
      <c r="G1298" s="29">
        <v>0</v>
      </c>
      <c r="H1298" s="29">
        <v>49650</v>
      </c>
      <c r="I1298" s="15">
        <v>90</v>
      </c>
      <c r="J1298" s="15">
        <v>157</v>
      </c>
      <c r="K1298" s="30">
        <v>195000</v>
      </c>
      <c r="L1298" s="17">
        <v>46203</v>
      </c>
      <c r="M1298" s="18">
        <v>0</v>
      </c>
      <c r="N1298" s="16"/>
      <c r="O1298" s="19">
        <v>0</v>
      </c>
      <c r="P1298" s="20">
        <v>0</v>
      </c>
      <c r="Q1298" s="29">
        <v>0</v>
      </c>
      <c r="R1298" s="9" t="s">
        <v>180</v>
      </c>
    </row>
    <row r="1299" spans="2:18" ht="12" customHeight="1" x14ac:dyDescent="0.25">
      <c r="B1299" s="15" t="s">
        <v>964</v>
      </c>
      <c r="C1299" s="29">
        <v>30056</v>
      </c>
      <c r="D1299" s="16">
        <v>46112</v>
      </c>
      <c r="E1299" s="15" t="s">
        <v>3</v>
      </c>
      <c r="F1299" s="29">
        <v>31093.59</v>
      </c>
      <c r="G1299" s="29">
        <v>0</v>
      </c>
      <c r="H1299" s="29">
        <v>31093.59</v>
      </c>
      <c r="I1299" s="15">
        <v>30</v>
      </c>
      <c r="J1299" s="15">
        <v>159</v>
      </c>
      <c r="K1299" s="30">
        <v>129000</v>
      </c>
      <c r="L1299" s="17">
        <v>46142</v>
      </c>
      <c r="M1299" s="18">
        <v>0</v>
      </c>
      <c r="N1299" s="16"/>
      <c r="O1299" s="19">
        <v>0</v>
      </c>
      <c r="P1299" s="20">
        <v>0</v>
      </c>
      <c r="Q1299" s="29">
        <v>0</v>
      </c>
      <c r="R1299" s="9" t="s">
        <v>180</v>
      </c>
    </row>
    <row r="1300" spans="2:18" ht="12" customHeight="1" x14ac:dyDescent="0.25">
      <c r="B1300" s="15" t="s">
        <v>965</v>
      </c>
      <c r="C1300" s="29">
        <v>0</v>
      </c>
      <c r="D1300" s="16">
        <v>46112</v>
      </c>
      <c r="E1300" s="15" t="s">
        <v>3</v>
      </c>
      <c r="F1300" s="29">
        <v>1138</v>
      </c>
      <c r="G1300" s="29">
        <v>0</v>
      </c>
      <c r="H1300" s="29">
        <v>1138</v>
      </c>
      <c r="I1300" s="15">
        <v>90</v>
      </c>
      <c r="J1300" s="15">
        <v>217</v>
      </c>
      <c r="K1300" s="30">
        <v>100000</v>
      </c>
      <c r="L1300" s="17">
        <v>46202</v>
      </c>
      <c r="M1300" s="18">
        <v>0</v>
      </c>
      <c r="N1300" s="16"/>
      <c r="O1300" s="19">
        <v>0</v>
      </c>
      <c r="P1300" s="20">
        <v>0</v>
      </c>
      <c r="Q1300" s="29">
        <v>0</v>
      </c>
      <c r="R1300" s="9" t="s">
        <v>180</v>
      </c>
    </row>
    <row r="1301" spans="2:18" ht="12" customHeight="1" x14ac:dyDescent="0.25">
      <c r="B1301" s="15" t="s">
        <v>966</v>
      </c>
      <c r="C1301" s="29">
        <v>58650</v>
      </c>
      <c r="D1301" s="16">
        <v>46112</v>
      </c>
      <c r="E1301" s="15" t="s">
        <v>3</v>
      </c>
      <c r="F1301" s="29">
        <v>64778.93</v>
      </c>
      <c r="G1301" s="29">
        <v>0</v>
      </c>
      <c r="H1301" s="29">
        <v>64778.93</v>
      </c>
      <c r="I1301" s="15">
        <v>90</v>
      </c>
      <c r="J1301" s="15">
        <v>222</v>
      </c>
      <c r="K1301" s="30">
        <v>69000</v>
      </c>
      <c r="L1301" s="17">
        <v>46202</v>
      </c>
      <c r="M1301" s="18">
        <v>0</v>
      </c>
      <c r="N1301" s="16"/>
      <c r="O1301" s="19">
        <v>0</v>
      </c>
      <c r="P1301" s="20">
        <v>0</v>
      </c>
      <c r="Q1301" s="29">
        <v>0</v>
      </c>
      <c r="R1301" s="9" t="s">
        <v>180</v>
      </c>
    </row>
    <row r="1302" spans="2:18" ht="12" customHeight="1" x14ac:dyDescent="0.25">
      <c r="B1302" s="15" t="s">
        <v>967</v>
      </c>
      <c r="C1302" s="29">
        <v>98946</v>
      </c>
      <c r="D1302" s="16">
        <v>46112</v>
      </c>
      <c r="E1302" s="15" t="s">
        <v>3</v>
      </c>
      <c r="F1302" s="29">
        <v>101815.43</v>
      </c>
      <c r="G1302" s="29">
        <v>0</v>
      </c>
      <c r="H1302" s="29">
        <v>101815.43</v>
      </c>
      <c r="I1302" s="15">
        <v>15</v>
      </c>
      <c r="J1302" s="15">
        <v>200</v>
      </c>
      <c r="K1302" s="30">
        <v>100000</v>
      </c>
      <c r="L1302" s="17">
        <v>46127</v>
      </c>
      <c r="M1302" s="18">
        <v>0</v>
      </c>
      <c r="N1302" s="16"/>
      <c r="O1302" s="19">
        <v>0</v>
      </c>
      <c r="P1302" s="20">
        <v>0</v>
      </c>
      <c r="Q1302" s="29">
        <v>0</v>
      </c>
      <c r="R1302" s="9" t="s">
        <v>180</v>
      </c>
    </row>
    <row r="1303" spans="2:18" ht="12" customHeight="1" x14ac:dyDescent="0.25">
      <c r="B1303" s="15" t="s">
        <v>968</v>
      </c>
      <c r="C1303" s="29">
        <v>0</v>
      </c>
      <c r="D1303" s="16">
        <v>46112</v>
      </c>
      <c r="E1303" s="15" t="s">
        <v>3</v>
      </c>
      <c r="F1303" s="29">
        <v>999</v>
      </c>
      <c r="G1303" s="29">
        <v>0</v>
      </c>
      <c r="H1303" s="29">
        <v>999</v>
      </c>
      <c r="I1303" s="15">
        <v>0</v>
      </c>
      <c r="J1303" s="15">
        <v>282</v>
      </c>
      <c r="K1303" s="30">
        <v>87000</v>
      </c>
      <c r="L1303" s="17">
        <v>46112</v>
      </c>
      <c r="M1303" s="18">
        <v>0</v>
      </c>
      <c r="N1303" s="16"/>
      <c r="O1303" s="19">
        <v>0</v>
      </c>
      <c r="P1303" s="20">
        <v>0</v>
      </c>
      <c r="Q1303" s="29">
        <v>0</v>
      </c>
      <c r="R1303" s="9" t="s">
        <v>180</v>
      </c>
    </row>
    <row r="1304" spans="2:18" ht="12" customHeight="1" x14ac:dyDescent="0.25">
      <c r="B1304" s="15">
        <v>2480</v>
      </c>
      <c r="C1304" s="29">
        <v>8389.26</v>
      </c>
      <c r="D1304" s="16">
        <v>46112</v>
      </c>
      <c r="E1304" s="15" t="s">
        <v>3</v>
      </c>
      <c r="F1304" s="29">
        <v>8678.26</v>
      </c>
      <c r="G1304" s="29">
        <v>0</v>
      </c>
      <c r="H1304" s="29">
        <v>8678.26</v>
      </c>
      <c r="I1304" s="15">
        <v>30</v>
      </c>
      <c r="J1304" s="15">
        <v>295</v>
      </c>
      <c r="K1304" s="30">
        <v>10000</v>
      </c>
      <c r="L1304" s="17">
        <v>46142</v>
      </c>
      <c r="M1304" s="18">
        <v>0</v>
      </c>
      <c r="N1304" s="16"/>
      <c r="O1304" s="19">
        <v>0</v>
      </c>
      <c r="P1304" s="20">
        <v>0</v>
      </c>
      <c r="Q1304" s="29">
        <v>0</v>
      </c>
      <c r="R1304" s="9" t="s">
        <v>180</v>
      </c>
    </row>
    <row r="1305" spans="2:18" ht="12" customHeight="1" x14ac:dyDescent="0.25">
      <c r="B1305" s="15">
        <v>2467</v>
      </c>
      <c r="C1305" s="29">
        <v>8363.9500000000007</v>
      </c>
      <c r="D1305" s="16">
        <v>46112</v>
      </c>
      <c r="E1305" s="15" t="s">
        <v>3</v>
      </c>
      <c r="F1305" s="29">
        <v>8652.9500000000007</v>
      </c>
      <c r="G1305" s="29">
        <v>0</v>
      </c>
      <c r="H1305" s="29">
        <v>8652.9500000000007</v>
      </c>
      <c r="I1305" s="15">
        <v>30</v>
      </c>
      <c r="J1305" s="15">
        <v>292</v>
      </c>
      <c r="K1305" s="30">
        <v>10000</v>
      </c>
      <c r="L1305" s="17">
        <v>46142</v>
      </c>
      <c r="M1305" s="18">
        <v>0</v>
      </c>
      <c r="N1305" s="16"/>
      <c r="O1305" s="19">
        <v>0</v>
      </c>
      <c r="P1305" s="20">
        <v>0</v>
      </c>
      <c r="Q1305" s="29">
        <v>0</v>
      </c>
      <c r="R1305" s="9" t="s">
        <v>180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7682c18-56c7-4a5c-b0fe-73f36bd08ce2" xsi:nil="true"/>
    <lcf76f155ced4ddcb4097134ff3c332f xmlns="583732f1-34f8-4391-a042-f1b6e908279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B54EE1106FF74E8DF7F877EA235C3D" ma:contentTypeVersion="13" ma:contentTypeDescription="Create a new document." ma:contentTypeScope="" ma:versionID="88badf6aecdcb95541f30c0b5e35e504">
  <xsd:schema xmlns:xsd="http://www.w3.org/2001/XMLSchema" xmlns:xs="http://www.w3.org/2001/XMLSchema" xmlns:p="http://schemas.microsoft.com/office/2006/metadata/properties" xmlns:ns2="583732f1-34f8-4391-a042-f1b6e9082791" xmlns:ns3="17682c18-56c7-4a5c-b0fe-73f36bd08ce2" targetNamespace="http://schemas.microsoft.com/office/2006/metadata/properties" ma:root="true" ma:fieldsID="2f674e9178fbd97e53c5e6b8fa28bd85" ns2:_="" ns3:_="">
    <xsd:import namespace="583732f1-34f8-4391-a042-f1b6e9082791"/>
    <xsd:import namespace="17682c18-56c7-4a5c-b0fe-73f36bd08c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32f1-34f8-4391-a042-f1b6e90827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f3ed2d-9316-4958-8ce7-b69263a8b64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682c18-56c7-4a5c-b0fe-73f36bd08ce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44c5f32-9b56-432f-8f0d-76e06bc8321f}" ma:internalName="TaxCatchAll" ma:showField="CatchAllData" ma:web="17682c18-56c7-4a5c-b0fe-73f36bd08c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14B48A-909B-457D-81E8-E81EC5E3B713}">
  <ds:schemaRefs>
    <ds:schemaRef ds:uri="http://schemas.microsoft.com/office/2006/metadata/properties"/>
    <ds:schemaRef ds:uri="http://schemas.microsoft.com/office/infopath/2007/PartnerControls"/>
    <ds:schemaRef ds:uri="17682c18-56c7-4a5c-b0fe-73f36bd08ce2"/>
    <ds:schemaRef ds:uri="583732f1-34f8-4391-a042-f1b6e9082791"/>
  </ds:schemaRefs>
</ds:datastoreItem>
</file>

<file path=customXml/itemProps2.xml><?xml version="1.0" encoding="utf-8"?>
<ds:datastoreItem xmlns:ds="http://schemas.openxmlformats.org/officeDocument/2006/customXml" ds:itemID="{700E2640-FDFD-4EC1-803F-1804C7293012}">
  <ds:schemaRefs>
    <ds:schemaRef ds:uri="http://schemas.microsoft.com/sharepoint/v3/contenttype/forms"/>
  </ds:schemaRefs>
</ds:datastoreItem>
</file>

<file path=customXml/itemProps3.xml><?xml version="1.0" encoding="utf-8"?>
<ds:datastoreItem xmlns:ds="http://schemas.openxmlformats.org/officeDocument/2006/customXml" ds:itemID="{0FEB2702-ED40-4C0A-9488-6256FD634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732f1-34f8-4391-a042-f1b6e9082791"/>
    <ds:schemaRef ds:uri="17682c18-56c7-4a5c-b0fe-73f36bd08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RCL_LT</vt:lpstr>
      <vt:lpstr>Portfolio Commentary</vt:lpstr>
      <vt:lpstr>SCF+BNPL+RBF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Wadhwa</dc:creator>
  <cp:lastModifiedBy>Sharif Eid</cp:lastModifiedBy>
  <dcterms:created xsi:type="dcterms:W3CDTF">2025-08-18T13:17:25Z</dcterms:created>
  <dcterms:modified xsi:type="dcterms:W3CDTF">2026-04-08T06:02:47Z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0x01010023B54EE1106FF74E8DF7F877EA235C3D</vt:lpwstr>
  </property>
</Properties>
</file>